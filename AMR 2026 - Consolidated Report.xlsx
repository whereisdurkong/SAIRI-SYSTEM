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D:\Desktop\"/>
    </mc:Choice>
  </mc:AlternateContent>
  <xr:revisionPtr revIDLastSave="0" documentId="13_ncr:1_{1C2BA8A9-27F1-4D84-A9DC-ABB3D4DD1B2B}" xr6:coauthVersionLast="47" xr6:coauthVersionMax="47" xr10:uidLastSave="{00000000-0000-0000-0000-000000000000}"/>
  <bookViews>
    <workbookView xWindow="-110" yWindow="-110" windowWidth="19420" windowHeight="11500" firstSheet="6" activeTab="13" xr2:uid="{65F8E165-C2B4-4CBB-AD17-4FCC11488676}"/>
  </bookViews>
  <sheets>
    <sheet name="Monthly Statistics" sheetId="200" state="hidden" r:id="rId1"/>
    <sheet name="Compliation" sheetId="199" state="hidden" r:id="rId2"/>
    <sheet name="SCAT Reference" sheetId="210" state="hidden" r:id="rId3"/>
    <sheet name="DataReferences" sheetId="204" r:id="rId4"/>
    <sheet name="input" sheetId="202" r:id="rId5"/>
    <sheet name="Description of Incidents" sheetId="203" r:id="rId6"/>
    <sheet name="January" sheetId="201" r:id="rId7"/>
    <sheet name="February" sheetId="205" r:id="rId8"/>
    <sheet name="March" sheetId="206" r:id="rId9"/>
    <sheet name="April" sheetId="212" r:id="rId10"/>
    <sheet name="May" sheetId="214" r:id="rId11"/>
    <sheet name="June" sheetId="217" r:id="rId12"/>
    <sheet name="July" sheetId="218" r:id="rId13"/>
    <sheet name="August" sheetId="219" r:id="rId14"/>
    <sheet name="CPAP Status" sheetId="221" r:id="rId15"/>
  </sheets>
  <definedNames>
    <definedName name="_xlnm._FilterDatabase" localSheetId="9" hidden="1">April!$A$5:$AZ$5</definedName>
    <definedName name="_xlnm._FilterDatabase" localSheetId="13" hidden="1">August!$A$5:$AZ$5</definedName>
    <definedName name="_xlnm._FilterDatabase" localSheetId="1" hidden="1">Compliation!$A$2:$CJ$2</definedName>
    <definedName name="_xlnm._FilterDatabase" localSheetId="14" hidden="1">'CPAP Status'!$A$1:$J$38</definedName>
    <definedName name="_xlnm._FilterDatabase" localSheetId="7" hidden="1">February!$B$4:$AZ$4</definedName>
    <definedName name="_xlnm._FilterDatabase" localSheetId="4" hidden="1">input!$A$1:$AE$133</definedName>
    <definedName name="_xlnm._FilterDatabase" localSheetId="6" hidden="1">January!$B$4:$AZ$4</definedName>
    <definedName name="_xlnm._FilterDatabase" localSheetId="12" hidden="1">July!$A$5:$AZ$5</definedName>
    <definedName name="_xlnm._FilterDatabase" localSheetId="11" hidden="1">June!$A$5:$AZ$5</definedName>
    <definedName name="_xlnm._FilterDatabase" localSheetId="8" hidden="1">March!$A$97:$AZ$97</definedName>
    <definedName name="_xlnm._FilterDatabase" localSheetId="10" hidden="1">May!$A$5:$AZ$5</definedName>
    <definedName name="_xlnm._FilterDatabase" localSheetId="0" hidden="1">'Monthly Statistics'!$B$3:$Q$26</definedName>
    <definedName name="_xlnm.Print_Area" localSheetId="9">April!$B$1:$Z$213</definedName>
    <definedName name="_xlnm.Print_Area" localSheetId="13">August!$B$1:$Z$256</definedName>
    <definedName name="_xlnm.Print_Area" localSheetId="5">'Description of Incidents'!$A$219:$B$294</definedName>
    <definedName name="_xlnm.Print_Area" localSheetId="7">February!$A$1:$Z$134</definedName>
    <definedName name="_xlnm.Print_Area" localSheetId="6">January!$A$1:$Z$118</definedName>
    <definedName name="_xlnm.Print_Area" localSheetId="12">July!$B$1:$Z$235</definedName>
    <definedName name="_xlnm.Print_Area" localSheetId="11">June!$B$1:$Z$206</definedName>
    <definedName name="_xlnm.Print_Area" localSheetId="8">March!$A$1:$Z$189</definedName>
    <definedName name="_xlnm.Print_Area" localSheetId="10">May!$B$1:$Z$218</definedName>
    <definedName name="_xlnm.Print_Titles" localSheetId="9">April!$1:$2</definedName>
    <definedName name="_xlnm.Print_Titles" localSheetId="13">August!$1:$2</definedName>
    <definedName name="_xlnm.Print_Titles" localSheetId="5">'Description of Incidents'!$267:$267</definedName>
    <definedName name="_xlnm.Print_Titles" localSheetId="7">February!$1:$2</definedName>
    <definedName name="_xlnm.Print_Titles" localSheetId="6">January!$1:$2</definedName>
    <definedName name="_xlnm.Print_Titles" localSheetId="12">July!$1:$2</definedName>
    <definedName name="_xlnm.Print_Titles" localSheetId="11">June!$1:$2</definedName>
    <definedName name="_xlnm.Print_Titles" localSheetId="8">March!$1:$2</definedName>
    <definedName name="_xlnm.Print_Titles" localSheetId="10">May!$1:$2</definedName>
    <definedName name="Z_97A2DB47_3547_4E4B_8585_6A29F55DF6FC_.wvu.Rows" localSheetId="9" hidden="1">April!#REF!</definedName>
    <definedName name="Z_97A2DB47_3547_4E4B_8585_6A29F55DF6FC_.wvu.Rows" localSheetId="13" hidden="1">August!#REF!</definedName>
    <definedName name="Z_97A2DB47_3547_4E4B_8585_6A29F55DF6FC_.wvu.Rows" localSheetId="7" hidden="1">February!#REF!</definedName>
    <definedName name="Z_97A2DB47_3547_4E4B_8585_6A29F55DF6FC_.wvu.Rows" localSheetId="6" hidden="1">January!#REF!</definedName>
    <definedName name="Z_97A2DB47_3547_4E4B_8585_6A29F55DF6FC_.wvu.Rows" localSheetId="12" hidden="1">July!#REF!</definedName>
    <definedName name="Z_97A2DB47_3547_4E4B_8585_6A29F55DF6FC_.wvu.Rows" localSheetId="11" hidden="1">June!#REF!</definedName>
    <definedName name="Z_97A2DB47_3547_4E4B_8585_6A29F55DF6FC_.wvu.Rows" localSheetId="8" hidden="1">March!#REF!</definedName>
    <definedName name="Z_97A2DB47_3547_4E4B_8585_6A29F55DF6FC_.wvu.Rows" localSheetId="10" hidden="1">May!#REF!</definedName>
  </definedNames>
  <calcPr calcId="191029"/>
  <customWorkbookViews>
    <customWorkbookView name="NEW" guid="{97A2DB47-3547-4E4B-8585-6A29F55DF6FC}" maximized="1" xWindow="1" yWindow="1" windowWidth="1366" windowHeight="538" tabRatio="844" activeSheetId="157"/>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221" l="1"/>
  <c r="B229" i="219"/>
  <c r="B226" i="219"/>
  <c r="B223" i="219"/>
  <c r="B220" i="219"/>
  <c r="B217" i="219"/>
  <c r="B214" i="219"/>
  <c r="Q171" i="219"/>
  <c r="R171" i="219"/>
  <c r="S171" i="219"/>
  <c r="T171" i="219"/>
  <c r="U171" i="219"/>
  <c r="V171" i="219"/>
  <c r="W171" i="219"/>
  <c r="X171" i="219"/>
  <c r="Q172" i="219"/>
  <c r="R172" i="219"/>
  <c r="S172" i="219"/>
  <c r="T172" i="219"/>
  <c r="U172" i="219"/>
  <c r="V172" i="219"/>
  <c r="W172" i="219"/>
  <c r="X172" i="219"/>
  <c r="Q173" i="219"/>
  <c r="R173" i="219"/>
  <c r="S173" i="219"/>
  <c r="T173" i="219"/>
  <c r="U173" i="219"/>
  <c r="V173" i="219"/>
  <c r="W173" i="219"/>
  <c r="X173" i="219"/>
  <c r="Q174" i="219"/>
  <c r="R174" i="219"/>
  <c r="S174" i="219"/>
  <c r="T174" i="219"/>
  <c r="U174" i="219"/>
  <c r="V174" i="219"/>
  <c r="W174" i="219"/>
  <c r="X174" i="219"/>
  <c r="Q175" i="219"/>
  <c r="R175" i="219"/>
  <c r="S175" i="219"/>
  <c r="T175" i="219"/>
  <c r="U175" i="219"/>
  <c r="V175" i="219"/>
  <c r="W175" i="219"/>
  <c r="X175" i="219"/>
  <c r="Q176" i="219"/>
  <c r="R176" i="219"/>
  <c r="S176" i="219"/>
  <c r="T176" i="219"/>
  <c r="U176" i="219"/>
  <c r="V176" i="219"/>
  <c r="W176" i="219"/>
  <c r="X176" i="219"/>
  <c r="Q177" i="219"/>
  <c r="R177" i="219"/>
  <c r="S177" i="219"/>
  <c r="T177" i="219"/>
  <c r="U177" i="219"/>
  <c r="V177" i="219"/>
  <c r="W177" i="219"/>
  <c r="X177" i="219"/>
  <c r="Q178" i="219"/>
  <c r="R178" i="219"/>
  <c r="S178" i="219"/>
  <c r="T178" i="219"/>
  <c r="U178" i="219"/>
  <c r="V178" i="219"/>
  <c r="W178" i="219"/>
  <c r="X178" i="219"/>
  <c r="Q179" i="219"/>
  <c r="R179" i="219"/>
  <c r="S179" i="219"/>
  <c r="T179" i="219"/>
  <c r="U179" i="219"/>
  <c r="V179" i="219"/>
  <c r="W179" i="219"/>
  <c r="X179" i="219"/>
  <c r="Q180" i="219"/>
  <c r="R180" i="219"/>
  <c r="S180" i="219"/>
  <c r="T180" i="219"/>
  <c r="U180" i="219"/>
  <c r="V180" i="219"/>
  <c r="W180" i="219"/>
  <c r="X180" i="219"/>
  <c r="Q181" i="219"/>
  <c r="R181" i="219"/>
  <c r="S181" i="219"/>
  <c r="T181" i="219"/>
  <c r="U181" i="219"/>
  <c r="V181" i="219"/>
  <c r="W181" i="219"/>
  <c r="X181" i="219"/>
  <c r="Q182" i="219"/>
  <c r="R182" i="219"/>
  <c r="S182" i="219"/>
  <c r="T182" i="219"/>
  <c r="U182" i="219"/>
  <c r="V182" i="219"/>
  <c r="W182" i="219"/>
  <c r="X182" i="219"/>
  <c r="Q183" i="219"/>
  <c r="R183" i="219"/>
  <c r="S183" i="219"/>
  <c r="T183" i="219"/>
  <c r="U183" i="219"/>
  <c r="V183" i="219"/>
  <c r="W183" i="219"/>
  <c r="X183" i="219"/>
  <c r="Q184" i="219"/>
  <c r="R184" i="219"/>
  <c r="S184" i="219"/>
  <c r="T184" i="219"/>
  <c r="U184" i="219"/>
  <c r="V184" i="219"/>
  <c r="W184" i="219"/>
  <c r="X184" i="219"/>
  <c r="Q185" i="219"/>
  <c r="R185" i="219"/>
  <c r="S185" i="219"/>
  <c r="T185" i="219"/>
  <c r="U185" i="219"/>
  <c r="V185" i="219"/>
  <c r="W185" i="219"/>
  <c r="X185" i="219"/>
  <c r="Q186" i="219"/>
  <c r="R186" i="219"/>
  <c r="S186" i="219"/>
  <c r="T186" i="219"/>
  <c r="U186" i="219"/>
  <c r="V186" i="219"/>
  <c r="W186" i="219"/>
  <c r="X186" i="219"/>
  <c r="Q187" i="219"/>
  <c r="R187" i="219"/>
  <c r="S187" i="219"/>
  <c r="T187" i="219"/>
  <c r="U187" i="219"/>
  <c r="V187" i="219"/>
  <c r="W187" i="219"/>
  <c r="X187" i="219"/>
  <c r="Q188" i="219"/>
  <c r="R188" i="219"/>
  <c r="S188" i="219"/>
  <c r="T188" i="219"/>
  <c r="U188" i="219"/>
  <c r="V188" i="219"/>
  <c r="W188" i="219"/>
  <c r="X188" i="219"/>
  <c r="Q189" i="219"/>
  <c r="R189" i="219"/>
  <c r="S189" i="219"/>
  <c r="T189" i="219"/>
  <c r="U189" i="219"/>
  <c r="V189" i="219"/>
  <c r="W189" i="219"/>
  <c r="X189" i="219"/>
  <c r="Q190" i="219"/>
  <c r="R190" i="219"/>
  <c r="S190" i="219"/>
  <c r="T190" i="219"/>
  <c r="U190" i="219"/>
  <c r="V190" i="219"/>
  <c r="W190" i="219"/>
  <c r="X190" i="219"/>
  <c r="Q191" i="219"/>
  <c r="R191" i="219"/>
  <c r="S191" i="219"/>
  <c r="T191" i="219"/>
  <c r="U191" i="219"/>
  <c r="V191" i="219"/>
  <c r="W191" i="219"/>
  <c r="X191" i="219"/>
  <c r="Q192" i="219"/>
  <c r="R192" i="219"/>
  <c r="S192" i="219"/>
  <c r="T192" i="219"/>
  <c r="U192" i="219"/>
  <c r="V192" i="219"/>
  <c r="W192" i="219"/>
  <c r="X192" i="219"/>
  <c r="Q193" i="219"/>
  <c r="R193" i="219"/>
  <c r="S193" i="219"/>
  <c r="T193" i="219"/>
  <c r="U193" i="219"/>
  <c r="V193" i="219"/>
  <c r="W193" i="219"/>
  <c r="X193" i="219"/>
  <c r="Q194" i="219"/>
  <c r="R194" i="219"/>
  <c r="S194" i="219"/>
  <c r="T194" i="219"/>
  <c r="U194" i="219"/>
  <c r="V194" i="219"/>
  <c r="W194" i="219"/>
  <c r="X194" i="219"/>
  <c r="Q195" i="219"/>
  <c r="R195" i="219"/>
  <c r="S195" i="219"/>
  <c r="T195" i="219"/>
  <c r="U195" i="219"/>
  <c r="V195" i="219"/>
  <c r="W195" i="219"/>
  <c r="X195" i="219"/>
  <c r="Q196" i="219"/>
  <c r="R196" i="219"/>
  <c r="S196" i="219"/>
  <c r="T196" i="219"/>
  <c r="U196" i="219"/>
  <c r="V196" i="219"/>
  <c r="W196" i="219"/>
  <c r="X196" i="219"/>
  <c r="Q197" i="219"/>
  <c r="R197" i="219"/>
  <c r="S197" i="219"/>
  <c r="T197" i="219"/>
  <c r="U197" i="219"/>
  <c r="V197" i="219"/>
  <c r="W197" i="219"/>
  <c r="X197" i="219"/>
  <c r="Q198" i="219"/>
  <c r="R198" i="219"/>
  <c r="S198" i="219"/>
  <c r="T198" i="219"/>
  <c r="U198" i="219"/>
  <c r="V198" i="219"/>
  <c r="W198" i="219"/>
  <c r="X198" i="219"/>
  <c r="Q199" i="219"/>
  <c r="R199" i="219"/>
  <c r="S199" i="219"/>
  <c r="T199" i="219"/>
  <c r="U199" i="219"/>
  <c r="V199" i="219"/>
  <c r="W199" i="219"/>
  <c r="X199" i="219"/>
  <c r="Q200" i="219"/>
  <c r="R200" i="219"/>
  <c r="S200" i="219"/>
  <c r="T200" i="219"/>
  <c r="U200" i="219"/>
  <c r="V200" i="219"/>
  <c r="W200" i="219"/>
  <c r="X200" i="219"/>
  <c r="Q201" i="219"/>
  <c r="R201" i="219"/>
  <c r="S201" i="219"/>
  <c r="T201" i="219"/>
  <c r="U201" i="219"/>
  <c r="V201" i="219"/>
  <c r="W201" i="219"/>
  <c r="X201" i="219"/>
  <c r="Q202" i="219"/>
  <c r="R202" i="219"/>
  <c r="S202" i="219"/>
  <c r="T202" i="219"/>
  <c r="U202" i="219"/>
  <c r="V202" i="219"/>
  <c r="W202" i="219"/>
  <c r="X202" i="219"/>
  <c r="Q203" i="219"/>
  <c r="R203" i="219"/>
  <c r="S203" i="219"/>
  <c r="T203" i="219"/>
  <c r="U203" i="219"/>
  <c r="V203" i="219"/>
  <c r="W203" i="219"/>
  <c r="X203" i="219"/>
  <c r="Q204" i="219"/>
  <c r="R204" i="219"/>
  <c r="S204" i="219"/>
  <c r="T204" i="219"/>
  <c r="U204" i="219"/>
  <c r="V204" i="219"/>
  <c r="W204" i="219"/>
  <c r="X204" i="219"/>
  <c r="Q205" i="219"/>
  <c r="R205" i="219"/>
  <c r="S205" i="219"/>
  <c r="T205" i="219"/>
  <c r="U205" i="219"/>
  <c r="V205" i="219"/>
  <c r="W205" i="219"/>
  <c r="X205" i="219"/>
  <c r="Q206" i="219"/>
  <c r="R206" i="219"/>
  <c r="S206" i="219"/>
  <c r="T206" i="219"/>
  <c r="U206" i="219"/>
  <c r="V206" i="219"/>
  <c r="W206" i="219"/>
  <c r="X206" i="219"/>
  <c r="Q138" i="219"/>
  <c r="R138" i="219"/>
  <c r="S138" i="219"/>
  <c r="T138" i="219"/>
  <c r="U138" i="219"/>
  <c r="V138" i="219"/>
  <c r="W138" i="219"/>
  <c r="X138" i="219"/>
  <c r="Q139" i="219"/>
  <c r="R139" i="219"/>
  <c r="S139" i="219"/>
  <c r="T139" i="219"/>
  <c r="U139" i="219"/>
  <c r="V139" i="219"/>
  <c r="W139" i="219"/>
  <c r="X139" i="219"/>
  <c r="Q140" i="219"/>
  <c r="R140" i="219"/>
  <c r="S140" i="219"/>
  <c r="T140" i="219"/>
  <c r="U140" i="219"/>
  <c r="V140" i="219"/>
  <c r="W140" i="219"/>
  <c r="X140" i="219"/>
  <c r="Q141" i="219"/>
  <c r="R141" i="219"/>
  <c r="S141" i="219"/>
  <c r="T141" i="219"/>
  <c r="U141" i="219"/>
  <c r="V141" i="219"/>
  <c r="W141" i="219"/>
  <c r="X141" i="219"/>
  <c r="Q142" i="219"/>
  <c r="R142" i="219"/>
  <c r="S142" i="219"/>
  <c r="T142" i="219"/>
  <c r="U142" i="219"/>
  <c r="V142" i="219"/>
  <c r="W142" i="219"/>
  <c r="X142" i="219"/>
  <c r="Q143" i="219"/>
  <c r="R143" i="219"/>
  <c r="S143" i="219"/>
  <c r="T143" i="219"/>
  <c r="U143" i="219"/>
  <c r="V143" i="219"/>
  <c r="W143" i="219"/>
  <c r="X143" i="219"/>
  <c r="Q144" i="219"/>
  <c r="R144" i="219"/>
  <c r="S144" i="219"/>
  <c r="T144" i="219"/>
  <c r="U144" i="219"/>
  <c r="V144" i="219"/>
  <c r="W144" i="219"/>
  <c r="X144" i="219"/>
  <c r="Q145" i="219"/>
  <c r="R145" i="219"/>
  <c r="S145" i="219"/>
  <c r="T145" i="219"/>
  <c r="U145" i="219"/>
  <c r="V145" i="219"/>
  <c r="W145" i="219"/>
  <c r="X145" i="219"/>
  <c r="Q146" i="219"/>
  <c r="R146" i="219"/>
  <c r="S146" i="219"/>
  <c r="T146" i="219"/>
  <c r="U146" i="219"/>
  <c r="V146" i="219"/>
  <c r="W146" i="219"/>
  <c r="X146" i="219"/>
  <c r="Q147" i="219"/>
  <c r="R147" i="219"/>
  <c r="S147" i="219"/>
  <c r="T147" i="219"/>
  <c r="U147" i="219"/>
  <c r="V147" i="219"/>
  <c r="W147" i="219"/>
  <c r="X147" i="219"/>
  <c r="Q148" i="219"/>
  <c r="R148" i="219"/>
  <c r="S148" i="219"/>
  <c r="T148" i="219"/>
  <c r="U148" i="219"/>
  <c r="V148" i="219"/>
  <c r="W148" i="219"/>
  <c r="X148" i="219"/>
  <c r="Q149" i="219"/>
  <c r="R149" i="219"/>
  <c r="S149" i="219"/>
  <c r="T149" i="219"/>
  <c r="U149" i="219"/>
  <c r="V149" i="219"/>
  <c r="W149" i="219"/>
  <c r="X149" i="219"/>
  <c r="Q150" i="219"/>
  <c r="R150" i="219"/>
  <c r="S150" i="219"/>
  <c r="T150" i="219"/>
  <c r="U150" i="219"/>
  <c r="V150" i="219"/>
  <c r="W150" i="219"/>
  <c r="X150" i="219"/>
  <c r="Q151" i="219"/>
  <c r="R151" i="219"/>
  <c r="S151" i="219"/>
  <c r="T151" i="219"/>
  <c r="U151" i="219"/>
  <c r="V151" i="219"/>
  <c r="W151" i="219"/>
  <c r="X151" i="219"/>
  <c r="Q152" i="219"/>
  <c r="R152" i="219"/>
  <c r="S152" i="219"/>
  <c r="T152" i="219"/>
  <c r="U152" i="219"/>
  <c r="V152" i="219"/>
  <c r="W152" i="219"/>
  <c r="X152" i="219"/>
  <c r="Q153" i="219"/>
  <c r="R153" i="219"/>
  <c r="S153" i="219"/>
  <c r="T153" i="219"/>
  <c r="U153" i="219"/>
  <c r="V153" i="219"/>
  <c r="W153" i="219"/>
  <c r="X153" i="219"/>
  <c r="Q154" i="219"/>
  <c r="R154" i="219"/>
  <c r="S154" i="219"/>
  <c r="T154" i="219"/>
  <c r="U154" i="219"/>
  <c r="V154" i="219"/>
  <c r="W154" i="219"/>
  <c r="X154" i="219"/>
  <c r="Q155" i="219"/>
  <c r="R155" i="219"/>
  <c r="S155" i="219"/>
  <c r="T155" i="219"/>
  <c r="U155" i="219"/>
  <c r="V155" i="219"/>
  <c r="W155" i="219"/>
  <c r="X155" i="219"/>
  <c r="Q156" i="219"/>
  <c r="R156" i="219"/>
  <c r="S156" i="219"/>
  <c r="T156" i="219"/>
  <c r="U156" i="219"/>
  <c r="V156" i="219"/>
  <c r="W156" i="219"/>
  <c r="X156" i="219"/>
  <c r="Q157" i="219"/>
  <c r="R157" i="219"/>
  <c r="S157" i="219"/>
  <c r="T157" i="219"/>
  <c r="U157" i="219"/>
  <c r="V157" i="219"/>
  <c r="W157" i="219"/>
  <c r="X157" i="219"/>
  <c r="Q158" i="219"/>
  <c r="R158" i="219"/>
  <c r="S158" i="219"/>
  <c r="T158" i="219"/>
  <c r="U158" i="219"/>
  <c r="V158" i="219"/>
  <c r="W158" i="219"/>
  <c r="X158" i="219"/>
  <c r="Q159" i="219"/>
  <c r="R159" i="219"/>
  <c r="S159" i="219"/>
  <c r="T159" i="219"/>
  <c r="U159" i="219"/>
  <c r="V159" i="219"/>
  <c r="W159" i="219"/>
  <c r="X159" i="219"/>
  <c r="Q160" i="219"/>
  <c r="R160" i="219"/>
  <c r="S160" i="219"/>
  <c r="T160" i="219"/>
  <c r="U160" i="219"/>
  <c r="V160" i="219"/>
  <c r="W160" i="219"/>
  <c r="X160" i="219"/>
  <c r="Q161" i="219"/>
  <c r="R161" i="219"/>
  <c r="S161" i="219"/>
  <c r="T161" i="219"/>
  <c r="U161" i="219"/>
  <c r="V161" i="219"/>
  <c r="W161" i="219"/>
  <c r="X161" i="219"/>
  <c r="Q162" i="219"/>
  <c r="R162" i="219"/>
  <c r="S162" i="219"/>
  <c r="T162" i="219"/>
  <c r="U162" i="219"/>
  <c r="V162" i="219"/>
  <c r="W162" i="219"/>
  <c r="X162" i="219"/>
  <c r="Q163" i="219"/>
  <c r="R163" i="219"/>
  <c r="S163" i="219"/>
  <c r="T163" i="219"/>
  <c r="U163" i="219"/>
  <c r="V163" i="219"/>
  <c r="W163" i="219"/>
  <c r="X163" i="219"/>
  <c r="Q164" i="219"/>
  <c r="R164" i="219"/>
  <c r="S164" i="219"/>
  <c r="T164" i="219"/>
  <c r="U164" i="219"/>
  <c r="V164" i="219"/>
  <c r="W164" i="219"/>
  <c r="X164" i="219"/>
  <c r="Q165" i="219"/>
  <c r="R165" i="219"/>
  <c r="S165" i="219"/>
  <c r="T165" i="219"/>
  <c r="U165" i="219"/>
  <c r="V165" i="219"/>
  <c r="W165" i="219"/>
  <c r="X165" i="219"/>
  <c r="Q166" i="219"/>
  <c r="R166" i="219"/>
  <c r="S166" i="219"/>
  <c r="T166" i="219"/>
  <c r="U166" i="219"/>
  <c r="V166" i="219"/>
  <c r="W166" i="219"/>
  <c r="X166" i="219"/>
  <c r="Q167" i="219"/>
  <c r="R167" i="219"/>
  <c r="S167" i="219"/>
  <c r="T167" i="219"/>
  <c r="U167" i="219"/>
  <c r="V167" i="219"/>
  <c r="W167" i="219"/>
  <c r="X167" i="219"/>
  <c r="Q168" i="219"/>
  <c r="R168" i="219"/>
  <c r="S168" i="219"/>
  <c r="T168" i="219"/>
  <c r="U168" i="219"/>
  <c r="V168" i="219"/>
  <c r="W168" i="219"/>
  <c r="X168" i="219"/>
  <c r="Q169" i="219"/>
  <c r="R169" i="219"/>
  <c r="S169" i="219"/>
  <c r="T169" i="219"/>
  <c r="U169" i="219"/>
  <c r="V169" i="219"/>
  <c r="W169" i="219"/>
  <c r="X169" i="219"/>
  <c r="Q170" i="219"/>
  <c r="R170" i="219"/>
  <c r="S170" i="219"/>
  <c r="T170" i="219"/>
  <c r="U170" i="219"/>
  <c r="V170" i="219"/>
  <c r="W170" i="219"/>
  <c r="X170" i="219"/>
  <c r="Q137" i="219"/>
  <c r="R137" i="219"/>
  <c r="S137" i="219"/>
  <c r="T137" i="219"/>
  <c r="X137" i="219"/>
  <c r="W137" i="219"/>
  <c r="V137" i="219"/>
  <c r="U137" i="219"/>
  <c r="K146" i="219"/>
  <c r="J146" i="219"/>
  <c r="I146" i="219"/>
  <c r="H146" i="219"/>
  <c r="G146" i="219"/>
  <c r="F146" i="219"/>
  <c r="E146" i="219"/>
  <c r="D146" i="219"/>
  <c r="K205" i="219"/>
  <c r="J205" i="219"/>
  <c r="I205" i="219"/>
  <c r="H205" i="219"/>
  <c r="G205" i="219"/>
  <c r="F205" i="219"/>
  <c r="E205" i="219"/>
  <c r="D205" i="219"/>
  <c r="K138" i="219"/>
  <c r="J138" i="219"/>
  <c r="I138" i="219"/>
  <c r="H138" i="219"/>
  <c r="G138" i="219"/>
  <c r="F138" i="219"/>
  <c r="E138" i="219"/>
  <c r="D138" i="219"/>
  <c r="K137" i="219"/>
  <c r="J137" i="219"/>
  <c r="I137" i="219"/>
  <c r="H137" i="219"/>
  <c r="G137" i="219"/>
  <c r="F137" i="219"/>
  <c r="E137" i="219"/>
  <c r="D137" i="219"/>
  <c r="K144" i="219"/>
  <c r="J144" i="219"/>
  <c r="I144" i="219"/>
  <c r="H144" i="219"/>
  <c r="G144" i="219"/>
  <c r="F144" i="219"/>
  <c r="E144" i="219"/>
  <c r="D144" i="219"/>
  <c r="K196" i="219"/>
  <c r="J196" i="219"/>
  <c r="I196" i="219"/>
  <c r="H196" i="219"/>
  <c r="G196" i="219"/>
  <c r="F196" i="219"/>
  <c r="E196" i="219"/>
  <c r="D196" i="219"/>
  <c r="K168" i="219"/>
  <c r="J168" i="219"/>
  <c r="I168" i="219"/>
  <c r="H168" i="219"/>
  <c r="G168" i="219"/>
  <c r="F168" i="219"/>
  <c r="E168" i="219"/>
  <c r="D168" i="219"/>
  <c r="K161" i="219"/>
  <c r="J161" i="219"/>
  <c r="I161" i="219"/>
  <c r="H161" i="219"/>
  <c r="G161" i="219"/>
  <c r="F161" i="219"/>
  <c r="E161" i="219"/>
  <c r="D161" i="219"/>
  <c r="K194" i="219"/>
  <c r="J194" i="219"/>
  <c r="I194" i="219"/>
  <c r="H194" i="219"/>
  <c r="G194" i="219"/>
  <c r="F194" i="219"/>
  <c r="E194" i="219"/>
  <c r="D194" i="219"/>
  <c r="K193" i="219"/>
  <c r="J193" i="219"/>
  <c r="I193" i="219"/>
  <c r="H193" i="219"/>
  <c r="G193" i="219"/>
  <c r="F193" i="219"/>
  <c r="E193" i="219"/>
  <c r="D193" i="219"/>
  <c r="K206" i="219"/>
  <c r="J206" i="219"/>
  <c r="I206" i="219"/>
  <c r="H206" i="219"/>
  <c r="G206" i="219"/>
  <c r="F206" i="219"/>
  <c r="E206" i="219"/>
  <c r="D206" i="219"/>
  <c r="X128" i="219"/>
  <c r="W128" i="219"/>
  <c r="V128" i="219"/>
  <c r="U128" i="219"/>
  <c r="T128" i="219"/>
  <c r="S128" i="219"/>
  <c r="R128" i="219"/>
  <c r="Q128" i="219"/>
  <c r="X104" i="219"/>
  <c r="W104" i="219"/>
  <c r="V104" i="219"/>
  <c r="U104" i="219"/>
  <c r="T104" i="219"/>
  <c r="S104" i="219"/>
  <c r="R104" i="219"/>
  <c r="Q104" i="219"/>
  <c r="X84" i="219"/>
  <c r="W84" i="219"/>
  <c r="V84" i="219"/>
  <c r="U84" i="219"/>
  <c r="T84" i="219"/>
  <c r="S84" i="219"/>
  <c r="R84" i="219"/>
  <c r="Q84" i="219"/>
  <c r="X78" i="219"/>
  <c r="W78" i="219"/>
  <c r="V78" i="219"/>
  <c r="U78" i="219"/>
  <c r="T78" i="219"/>
  <c r="S78" i="219"/>
  <c r="R78" i="219"/>
  <c r="Q78" i="219"/>
  <c r="X77" i="219"/>
  <c r="W77" i="219"/>
  <c r="V77" i="219"/>
  <c r="U77" i="219"/>
  <c r="T77" i="219"/>
  <c r="S77" i="219"/>
  <c r="R77" i="219"/>
  <c r="Q77" i="219"/>
  <c r="T38" i="219"/>
  <c r="T29" i="219"/>
  <c r="T30" i="219"/>
  <c r="T31" i="219"/>
  <c r="T32" i="219"/>
  <c r="T33" i="219"/>
  <c r="T34" i="219"/>
  <c r="T35" i="219"/>
  <c r="T36" i="219"/>
  <c r="T37" i="219"/>
  <c r="T39" i="219"/>
  <c r="T28" i="219"/>
  <c r="T27" i="219"/>
  <c r="Q38" i="219"/>
  <c r="X71" i="219"/>
  <c r="W71" i="219"/>
  <c r="V71" i="219"/>
  <c r="U71" i="219"/>
  <c r="T71" i="219"/>
  <c r="S71" i="219"/>
  <c r="R71" i="219"/>
  <c r="Q71" i="219"/>
  <c r="K71" i="219"/>
  <c r="J71" i="219"/>
  <c r="I71" i="219"/>
  <c r="H71" i="219"/>
  <c r="G71" i="219"/>
  <c r="F71" i="219"/>
  <c r="E71" i="219"/>
  <c r="D71" i="219"/>
  <c r="X66" i="219"/>
  <c r="W66" i="219"/>
  <c r="V66" i="219"/>
  <c r="U66" i="219"/>
  <c r="T66" i="219"/>
  <c r="S66" i="219"/>
  <c r="R66" i="219"/>
  <c r="Q66" i="219"/>
  <c r="K66" i="219"/>
  <c r="J66" i="219"/>
  <c r="I66" i="219"/>
  <c r="H66" i="219"/>
  <c r="G66" i="219"/>
  <c r="F66" i="219"/>
  <c r="E66" i="219"/>
  <c r="D66" i="219"/>
  <c r="X45" i="219"/>
  <c r="W45" i="219"/>
  <c r="V45" i="219"/>
  <c r="U45" i="219"/>
  <c r="T45" i="219"/>
  <c r="S45" i="219"/>
  <c r="R45" i="219"/>
  <c r="Q45" i="219"/>
  <c r="K45" i="219"/>
  <c r="J45" i="219"/>
  <c r="I45" i="219"/>
  <c r="H45" i="219"/>
  <c r="G45" i="219"/>
  <c r="F45" i="219"/>
  <c r="E45" i="219"/>
  <c r="D45" i="219"/>
  <c r="X41" i="219"/>
  <c r="W41" i="219"/>
  <c r="V41" i="219"/>
  <c r="U41" i="219"/>
  <c r="T41" i="219"/>
  <c r="S41" i="219"/>
  <c r="R41" i="219"/>
  <c r="Q41" i="219"/>
  <c r="K41" i="219"/>
  <c r="J41" i="219"/>
  <c r="I41" i="219"/>
  <c r="H41" i="219"/>
  <c r="G41" i="219"/>
  <c r="F41" i="219"/>
  <c r="E41" i="219"/>
  <c r="D41" i="219"/>
  <c r="P23" i="219"/>
  <c r="I23" i="219"/>
  <c r="Z23" i="219"/>
  <c r="X23" i="219"/>
  <c r="W23" i="219"/>
  <c r="V23" i="219"/>
  <c r="T23" i="219"/>
  <c r="S23" i="219"/>
  <c r="R23" i="219"/>
  <c r="Q23" i="219"/>
  <c r="O23" i="219"/>
  <c r="N23" i="219"/>
  <c r="L23" i="219"/>
  <c r="J23" i="219"/>
  <c r="A25" i="221" s="1"/>
  <c r="A27" i="221" s="1"/>
  <c r="H23" i="219"/>
  <c r="F23" i="219"/>
  <c r="E23" i="219"/>
  <c r="D23" i="219"/>
  <c r="B23" i="219"/>
  <c r="B25" i="221" s="1"/>
  <c r="B27" i="221" s="1"/>
  <c r="Z7" i="219"/>
  <c r="Z8" i="219"/>
  <c r="Z9" i="219"/>
  <c r="Z10" i="219"/>
  <c r="Z11" i="219"/>
  <c r="Z12" i="219"/>
  <c r="Z13" i="219"/>
  <c r="Z14" i="219"/>
  <c r="X7" i="219"/>
  <c r="X8" i="219"/>
  <c r="X9" i="219"/>
  <c r="X10" i="219"/>
  <c r="X11" i="219"/>
  <c r="X12" i="219"/>
  <c r="X13" i="219"/>
  <c r="X14" i="219"/>
  <c r="V7" i="219"/>
  <c r="W7" i="219"/>
  <c r="V8" i="219"/>
  <c r="W8" i="219"/>
  <c r="V9" i="219"/>
  <c r="W9" i="219"/>
  <c r="V10" i="219"/>
  <c r="W10" i="219"/>
  <c r="V11" i="219"/>
  <c r="W11" i="219"/>
  <c r="V12" i="219"/>
  <c r="W12" i="219"/>
  <c r="V13" i="219"/>
  <c r="W13" i="219"/>
  <c r="V14" i="219"/>
  <c r="W14" i="219"/>
  <c r="T7" i="219"/>
  <c r="T8" i="219"/>
  <c r="T9" i="219"/>
  <c r="T10" i="219"/>
  <c r="T11" i="219"/>
  <c r="T12" i="219"/>
  <c r="T13" i="219"/>
  <c r="T14" i="219"/>
  <c r="N7" i="219"/>
  <c r="O7" i="219"/>
  <c r="P7" i="219"/>
  <c r="Q7" i="219"/>
  <c r="R7" i="219"/>
  <c r="S7" i="219"/>
  <c r="N8" i="219"/>
  <c r="O8" i="219"/>
  <c r="P8" i="219"/>
  <c r="Q8" i="219"/>
  <c r="R8" i="219"/>
  <c r="S8" i="219"/>
  <c r="N9" i="219"/>
  <c r="O9" i="219"/>
  <c r="P9" i="219"/>
  <c r="Q9" i="219"/>
  <c r="R9" i="219"/>
  <c r="S9" i="219"/>
  <c r="N10" i="219"/>
  <c r="O10" i="219"/>
  <c r="P10" i="219"/>
  <c r="Q10" i="219"/>
  <c r="R10" i="219"/>
  <c r="S10" i="219"/>
  <c r="N11" i="219"/>
  <c r="O11" i="219"/>
  <c r="P11" i="219"/>
  <c r="Q11" i="219"/>
  <c r="R11" i="219"/>
  <c r="S11" i="219"/>
  <c r="N12" i="219"/>
  <c r="O12" i="219"/>
  <c r="P12" i="219"/>
  <c r="Q12" i="219"/>
  <c r="R12" i="219"/>
  <c r="S12" i="219"/>
  <c r="N13" i="219"/>
  <c r="O13" i="219"/>
  <c r="P13" i="219"/>
  <c r="Q13" i="219"/>
  <c r="R13" i="219"/>
  <c r="S13" i="219"/>
  <c r="N14" i="219"/>
  <c r="O14" i="219"/>
  <c r="P14" i="219"/>
  <c r="Q14" i="219"/>
  <c r="R14" i="219"/>
  <c r="S14" i="219"/>
  <c r="L7" i="219"/>
  <c r="L8" i="219"/>
  <c r="L9" i="219"/>
  <c r="L10" i="219"/>
  <c r="L11" i="219"/>
  <c r="L12" i="219"/>
  <c r="L13" i="219"/>
  <c r="L14" i="219"/>
  <c r="J7" i="219"/>
  <c r="J8" i="219"/>
  <c r="A20" i="221" s="1"/>
  <c r="J9" i="219"/>
  <c r="A21" i="221" s="1"/>
  <c r="A22" i="221" s="1"/>
  <c r="J10" i="219"/>
  <c r="A23" i="221" s="1"/>
  <c r="A24" i="221" s="1"/>
  <c r="J11" i="219"/>
  <c r="A28" i="221" s="1"/>
  <c r="A30" i="221" s="1"/>
  <c r="J12" i="219"/>
  <c r="A31" i="221" s="1"/>
  <c r="A32" i="221" s="1"/>
  <c r="J13" i="219"/>
  <c r="A33" i="221" s="1"/>
  <c r="A35" i="221" s="1"/>
  <c r="J14" i="219"/>
  <c r="A36" i="221" s="1"/>
  <c r="A38" i="221" s="1"/>
  <c r="H7" i="219"/>
  <c r="I7" i="219"/>
  <c r="H8" i="219"/>
  <c r="I8" i="219"/>
  <c r="H9" i="219"/>
  <c r="I9" i="219"/>
  <c r="H10" i="219"/>
  <c r="I10" i="219"/>
  <c r="H11" i="219"/>
  <c r="I11" i="219"/>
  <c r="H12" i="219"/>
  <c r="I12" i="219"/>
  <c r="H13" i="219"/>
  <c r="I13" i="219"/>
  <c r="H14" i="219"/>
  <c r="I14" i="219"/>
  <c r="F7" i="219"/>
  <c r="F8" i="219"/>
  <c r="F9" i="219"/>
  <c r="F10" i="219"/>
  <c r="F11" i="219"/>
  <c r="F12" i="219"/>
  <c r="F13" i="219"/>
  <c r="F14" i="219"/>
  <c r="D7" i="219"/>
  <c r="E7" i="219"/>
  <c r="D8" i="219"/>
  <c r="E8" i="219"/>
  <c r="D9" i="219"/>
  <c r="E9" i="219"/>
  <c r="D10" i="219"/>
  <c r="E10" i="219"/>
  <c r="D11" i="219"/>
  <c r="E11" i="219"/>
  <c r="D12" i="219"/>
  <c r="E12" i="219"/>
  <c r="D13" i="219"/>
  <c r="E13" i="219"/>
  <c r="D14" i="219"/>
  <c r="E14" i="219"/>
  <c r="B14" i="219"/>
  <c r="B36" i="221" s="1"/>
  <c r="B38" i="221" s="1"/>
  <c r="B13" i="219"/>
  <c r="B33" i="221" s="1"/>
  <c r="B35" i="221" s="1"/>
  <c r="B12" i="219"/>
  <c r="B31" i="221" s="1"/>
  <c r="B32" i="221" s="1"/>
  <c r="B7" i="219"/>
  <c r="B19" i="221" s="1"/>
  <c r="B8" i="219"/>
  <c r="B20" i="221" s="1"/>
  <c r="B9" i="219"/>
  <c r="B21" i="221" s="1"/>
  <c r="B22" i="221" s="1"/>
  <c r="B10" i="219"/>
  <c r="B23" i="221" s="1"/>
  <c r="B24" i="221" s="1"/>
  <c r="B11" i="219"/>
  <c r="B28" i="221" s="1"/>
  <c r="B30" i="221" s="1"/>
  <c r="Z6" i="219"/>
  <c r="X6" i="219"/>
  <c r="W6" i="219"/>
  <c r="V6" i="219"/>
  <c r="T6" i="219"/>
  <c r="S6" i="219"/>
  <c r="R6" i="219"/>
  <c r="Q6" i="219"/>
  <c r="P6" i="219"/>
  <c r="O6" i="219"/>
  <c r="N6" i="219"/>
  <c r="L6" i="219"/>
  <c r="J6" i="219"/>
  <c r="A18" i="221" s="1"/>
  <c r="I6" i="219"/>
  <c r="H6" i="219"/>
  <c r="F6" i="219"/>
  <c r="E6" i="219"/>
  <c r="D6" i="219"/>
  <c r="B6" i="219"/>
  <c r="B18" i="221" s="1"/>
  <c r="Z22" i="219"/>
  <c r="X22" i="219"/>
  <c r="W22" i="219"/>
  <c r="V22" i="219"/>
  <c r="T22" i="219"/>
  <c r="S22" i="219"/>
  <c r="R22" i="219"/>
  <c r="Q22" i="219"/>
  <c r="P22" i="219"/>
  <c r="O22" i="219"/>
  <c r="N22" i="219"/>
  <c r="L22" i="219"/>
  <c r="J22" i="219"/>
  <c r="A14" i="221" s="1"/>
  <c r="A15" i="221" s="1"/>
  <c r="I22" i="219"/>
  <c r="H22" i="219"/>
  <c r="F22" i="219"/>
  <c r="E22" i="219"/>
  <c r="D22" i="219"/>
  <c r="B22" i="219"/>
  <c r="B14" i="221" s="1"/>
  <c r="B15" i="221" s="1"/>
  <c r="Z17" i="219"/>
  <c r="Z18" i="219"/>
  <c r="Z19" i="219"/>
  <c r="Z20" i="219"/>
  <c r="X17" i="219"/>
  <c r="X18" i="219"/>
  <c r="X19" i="219"/>
  <c r="X20" i="219"/>
  <c r="V17" i="219"/>
  <c r="W17" i="219"/>
  <c r="V18" i="219"/>
  <c r="W18" i="219"/>
  <c r="V19" i="219"/>
  <c r="W19" i="219"/>
  <c r="V20" i="219"/>
  <c r="W20" i="219"/>
  <c r="T17" i="219"/>
  <c r="T18" i="219"/>
  <c r="T19" i="219"/>
  <c r="T20" i="219"/>
  <c r="O17" i="219"/>
  <c r="P17" i="219"/>
  <c r="Q17" i="219"/>
  <c r="R17" i="219"/>
  <c r="S17" i="219"/>
  <c r="O18" i="219"/>
  <c r="P18" i="219"/>
  <c r="Q18" i="219"/>
  <c r="R18" i="219"/>
  <c r="S18" i="219"/>
  <c r="O19" i="219"/>
  <c r="P19" i="219"/>
  <c r="Q19" i="219"/>
  <c r="R19" i="219"/>
  <c r="S19" i="219"/>
  <c r="O20" i="219"/>
  <c r="P20" i="219"/>
  <c r="Q20" i="219"/>
  <c r="R20" i="219"/>
  <c r="S20" i="219"/>
  <c r="N17" i="219"/>
  <c r="N18" i="219"/>
  <c r="N19" i="219"/>
  <c r="N20" i="219"/>
  <c r="L17" i="219"/>
  <c r="L18" i="219"/>
  <c r="L19" i="219"/>
  <c r="L20" i="219"/>
  <c r="J17" i="219"/>
  <c r="A4" i="221" s="1"/>
  <c r="A5" i="221" s="1"/>
  <c r="J18" i="219"/>
  <c r="A7" i="221" s="1"/>
  <c r="A10" i="221" s="1"/>
  <c r="J19" i="219"/>
  <c r="A11" i="221" s="1"/>
  <c r="A12" i="221" s="1"/>
  <c r="J20" i="219"/>
  <c r="A16" i="221" s="1"/>
  <c r="A17" i="221" s="1"/>
  <c r="H17" i="219"/>
  <c r="I17" i="219"/>
  <c r="H18" i="219"/>
  <c r="I18" i="219"/>
  <c r="H19" i="219"/>
  <c r="I19" i="219"/>
  <c r="H20" i="219"/>
  <c r="I20" i="219"/>
  <c r="F17" i="219"/>
  <c r="F18" i="219"/>
  <c r="F19" i="219"/>
  <c r="F20" i="219"/>
  <c r="D17" i="219"/>
  <c r="E17" i="219"/>
  <c r="D18" i="219"/>
  <c r="E18" i="219"/>
  <c r="D19" i="219"/>
  <c r="E19" i="219"/>
  <c r="D20" i="219"/>
  <c r="E20" i="219"/>
  <c r="B20" i="219"/>
  <c r="B16" i="221" s="1"/>
  <c r="B17" i="221" s="1"/>
  <c r="B17" i="219"/>
  <c r="B18" i="219"/>
  <c r="B7" i="221" s="1"/>
  <c r="B10" i="221" s="1"/>
  <c r="B19" i="219"/>
  <c r="B11" i="221" s="1"/>
  <c r="B13" i="221" s="1"/>
  <c r="W16" i="219"/>
  <c r="Z16" i="219"/>
  <c r="X16" i="219"/>
  <c r="V16" i="219"/>
  <c r="T16" i="219"/>
  <c r="S16" i="219"/>
  <c r="R16" i="219"/>
  <c r="Q16" i="219"/>
  <c r="P16" i="219"/>
  <c r="O16" i="219"/>
  <c r="N16" i="219"/>
  <c r="L16" i="219"/>
  <c r="J16" i="219"/>
  <c r="A2" i="221" s="1"/>
  <c r="A3" i="221" s="1"/>
  <c r="I16" i="219"/>
  <c r="H16" i="219"/>
  <c r="F16" i="219"/>
  <c r="E16" i="219"/>
  <c r="D16" i="219"/>
  <c r="B16" i="219"/>
  <c r="B2" i="221" s="1"/>
  <c r="B3" i="221" s="1"/>
  <c r="Y205" i="219" l="1"/>
  <c r="Y198" i="219"/>
  <c r="Y203" i="219"/>
  <c r="Y196" i="219"/>
  <c r="Y201" i="219"/>
  <c r="Y199" i="219"/>
  <c r="Y204" i="219"/>
  <c r="Y197" i="219"/>
  <c r="Y202" i="219"/>
  <c r="Y195" i="219"/>
  <c r="Y200" i="219"/>
  <c r="B12" i="221"/>
  <c r="A26" i="221"/>
  <c r="A13" i="221"/>
  <c r="B34" i="221"/>
  <c r="B8" i="221"/>
  <c r="A34" i="221"/>
  <c r="A9" i="221"/>
  <c r="A29" i="221"/>
  <c r="B37" i="221"/>
  <c r="B26" i="221"/>
  <c r="B9" i="221"/>
  <c r="B29" i="221"/>
  <c r="A37" i="221"/>
  <c r="A8" i="221"/>
  <c r="A6" i="221"/>
  <c r="Y169" i="219"/>
  <c r="Y161" i="219"/>
  <c r="Y167" i="219"/>
  <c r="Y155" i="219"/>
  <c r="Y162" i="219"/>
  <c r="Y154" i="219"/>
  <c r="Y137" i="219"/>
  <c r="Y146" i="219"/>
  <c r="Y158" i="219"/>
  <c r="Y142" i="219"/>
  <c r="Y145" i="219"/>
  <c r="Y151" i="219"/>
  <c r="Y144" i="219"/>
  <c r="Y165" i="219"/>
  <c r="Y156" i="219"/>
  <c r="Y141" i="219"/>
  <c r="Y148" i="219"/>
  <c r="Y149" i="219"/>
  <c r="Y153" i="219"/>
  <c r="Y152" i="219"/>
  <c r="Y157" i="219"/>
  <c r="Y160" i="219"/>
  <c r="Y164" i="219"/>
  <c r="Y139" i="219"/>
  <c r="Y138" i="219"/>
  <c r="Y140" i="219"/>
  <c r="Y147" i="219"/>
  <c r="Y159" i="219"/>
  <c r="Y143" i="219"/>
  <c r="Y150" i="219"/>
  <c r="Y166" i="219"/>
  <c r="Y168" i="219"/>
  <c r="Y163" i="219"/>
  <c r="L146" i="219"/>
  <c r="L205" i="219"/>
  <c r="L138" i="219"/>
  <c r="L137" i="219"/>
  <c r="L144" i="219"/>
  <c r="L196" i="219"/>
  <c r="L168" i="219"/>
  <c r="L161" i="219"/>
  <c r="Y194" i="219"/>
  <c r="L194" i="219"/>
  <c r="Y193" i="219"/>
  <c r="L193" i="219"/>
  <c r="Y206" i="219"/>
  <c r="L206" i="219"/>
  <c r="Y128" i="219"/>
  <c r="Y104" i="219"/>
  <c r="Y84" i="219"/>
  <c r="Y78" i="219"/>
  <c r="Y77" i="219"/>
  <c r="Y71" i="219"/>
  <c r="L71" i="219"/>
  <c r="Y66" i="219"/>
  <c r="L66" i="219"/>
  <c r="Y45" i="219"/>
  <c r="L45" i="219"/>
  <c r="Y41" i="219"/>
  <c r="L41" i="219"/>
  <c r="A392" i="203"/>
  <c r="B259" i="219" s="1"/>
  <c r="A391" i="203"/>
  <c r="B258" i="219" s="1"/>
  <c r="A390" i="203"/>
  <c r="B257" i="219" s="1"/>
  <c r="A389" i="203"/>
  <c r="B256" i="219" s="1"/>
  <c r="A388" i="203"/>
  <c r="B255" i="219" s="1"/>
  <c r="A387" i="203"/>
  <c r="B254" i="219" s="1"/>
  <c r="A386" i="203"/>
  <c r="B253" i="219" s="1"/>
  <c r="A385" i="203"/>
  <c r="B252" i="219" s="1"/>
  <c r="A384" i="203"/>
  <c r="B251" i="219" s="1"/>
  <c r="A383" i="203"/>
  <c r="B250" i="219" s="1"/>
  <c r="A382" i="203"/>
  <c r="B249" i="219" s="1"/>
  <c r="A381" i="203"/>
  <c r="B248" i="219" s="1"/>
  <c r="A380" i="203"/>
  <c r="B247" i="219" s="1"/>
  <c r="A379" i="203"/>
  <c r="B246" i="219" s="1"/>
  <c r="A378" i="203"/>
  <c r="B245" i="219" s="1"/>
  <c r="A377" i="203"/>
  <c r="B244" i="219" s="1"/>
  <c r="A376" i="203"/>
  <c r="B243" i="219" s="1"/>
  <c r="A375" i="203"/>
  <c r="B242" i="219" s="1"/>
  <c r="A374" i="203"/>
  <c r="B241" i="219" s="1"/>
  <c r="A373" i="203"/>
  <c r="B240" i="219" s="1"/>
  <c r="A372" i="203"/>
  <c r="B239" i="219" s="1"/>
  <c r="A371" i="203"/>
  <c r="B238" i="219" s="1"/>
  <c r="A370" i="203"/>
  <c r="B237" i="219" s="1"/>
  <c r="A369" i="203"/>
  <c r="B236" i="219" s="1"/>
  <c r="A368" i="203"/>
  <c r="B235" i="219" s="1"/>
  <c r="A367" i="203"/>
  <c r="B234" i="219" s="1"/>
  <c r="A366" i="203"/>
  <c r="B233" i="219" s="1"/>
  <c r="A365" i="203"/>
  <c r="B232" i="219" s="1"/>
  <c r="A364" i="203"/>
  <c r="B231" i="219" s="1"/>
  <c r="A363" i="203"/>
  <c r="B230" i="219" s="1"/>
  <c r="A361" i="203"/>
  <c r="B228" i="219" s="1"/>
  <c r="A358" i="203"/>
  <c r="B225" i="219" s="1"/>
  <c r="A355" i="203"/>
  <c r="A352" i="203"/>
  <c r="A360" i="203"/>
  <c r="B227" i="219" s="1"/>
  <c r="A357" i="203"/>
  <c r="B224" i="219" s="1"/>
  <c r="A354" i="203"/>
  <c r="A351" i="203"/>
  <c r="B268" i="219"/>
  <c r="B267" i="219"/>
  <c r="A349" i="203"/>
  <c r="A348" i="203"/>
  <c r="A346" i="203"/>
  <c r="A345" i="203"/>
  <c r="B272" i="219"/>
  <c r="B269" i="219"/>
  <c r="B266" i="219"/>
  <c r="B263" i="219"/>
  <c r="B260" i="219"/>
  <c r="X209" i="219"/>
  <c r="W209" i="219"/>
  <c r="V209" i="219"/>
  <c r="U209" i="219"/>
  <c r="T209" i="219"/>
  <c r="S209" i="219"/>
  <c r="R209" i="219"/>
  <c r="Q209" i="219"/>
  <c r="K209" i="219"/>
  <c r="J209" i="219"/>
  <c r="I209" i="219"/>
  <c r="H209" i="219"/>
  <c r="G209" i="219"/>
  <c r="F209" i="219"/>
  <c r="E209" i="219"/>
  <c r="D209" i="219"/>
  <c r="X208" i="219"/>
  <c r="W208" i="219"/>
  <c r="V208" i="219"/>
  <c r="U208" i="219"/>
  <c r="T208" i="219"/>
  <c r="S208" i="219"/>
  <c r="R208" i="219"/>
  <c r="Q208" i="219"/>
  <c r="K208" i="219"/>
  <c r="J208" i="219"/>
  <c r="I208" i="219"/>
  <c r="H208" i="219"/>
  <c r="G208" i="219"/>
  <c r="F208" i="219"/>
  <c r="E208" i="219"/>
  <c r="D208" i="219"/>
  <c r="X207" i="219"/>
  <c r="W207" i="219"/>
  <c r="V207" i="219"/>
  <c r="U207" i="219"/>
  <c r="T207" i="219"/>
  <c r="S207" i="219"/>
  <c r="R207" i="219"/>
  <c r="Q207" i="219"/>
  <c r="K207" i="219"/>
  <c r="J207" i="219"/>
  <c r="I207" i="219"/>
  <c r="H207" i="219"/>
  <c r="G207" i="219"/>
  <c r="F207" i="219"/>
  <c r="E207" i="219"/>
  <c r="D207" i="219"/>
  <c r="K204" i="219"/>
  <c r="J204" i="219"/>
  <c r="I204" i="219"/>
  <c r="H204" i="219"/>
  <c r="G204" i="219"/>
  <c r="F204" i="219"/>
  <c r="E204" i="219"/>
  <c r="D204" i="219"/>
  <c r="K203" i="219"/>
  <c r="J203" i="219"/>
  <c r="I203" i="219"/>
  <c r="H203" i="219"/>
  <c r="G203" i="219"/>
  <c r="F203" i="219"/>
  <c r="E203" i="219"/>
  <c r="D203" i="219"/>
  <c r="K202" i="219"/>
  <c r="J202" i="219"/>
  <c r="I202" i="219"/>
  <c r="H202" i="219"/>
  <c r="G202" i="219"/>
  <c r="F202" i="219"/>
  <c r="E202" i="219"/>
  <c r="D202" i="219"/>
  <c r="K201" i="219"/>
  <c r="J201" i="219"/>
  <c r="I201" i="219"/>
  <c r="H201" i="219"/>
  <c r="G201" i="219"/>
  <c r="F201" i="219"/>
  <c r="E201" i="219"/>
  <c r="D201" i="219"/>
  <c r="K200" i="219"/>
  <c r="J200" i="219"/>
  <c r="I200" i="219"/>
  <c r="H200" i="219"/>
  <c r="G200" i="219"/>
  <c r="F200" i="219"/>
  <c r="E200" i="219"/>
  <c r="D200" i="219"/>
  <c r="K199" i="219"/>
  <c r="J199" i="219"/>
  <c r="I199" i="219"/>
  <c r="H199" i="219"/>
  <c r="G199" i="219"/>
  <c r="F199" i="219"/>
  <c r="E199" i="219"/>
  <c r="D199" i="219"/>
  <c r="K198" i="219"/>
  <c r="J198" i="219"/>
  <c r="I198" i="219"/>
  <c r="H198" i="219"/>
  <c r="G198" i="219"/>
  <c r="F198" i="219"/>
  <c r="E198" i="219"/>
  <c r="D198" i="219"/>
  <c r="K197" i="219"/>
  <c r="J197" i="219"/>
  <c r="I197" i="219"/>
  <c r="H197" i="219"/>
  <c r="G197" i="219"/>
  <c r="F197" i="219"/>
  <c r="E197" i="219"/>
  <c r="D197" i="219"/>
  <c r="K195" i="219"/>
  <c r="J195" i="219"/>
  <c r="I195" i="219"/>
  <c r="H195" i="219"/>
  <c r="G195" i="219"/>
  <c r="F195" i="219"/>
  <c r="E195" i="219"/>
  <c r="D195" i="219"/>
  <c r="K192" i="219"/>
  <c r="J192" i="219"/>
  <c r="I192" i="219"/>
  <c r="H192" i="219"/>
  <c r="G192" i="219"/>
  <c r="F192" i="219"/>
  <c r="E192" i="219"/>
  <c r="D192" i="219"/>
  <c r="K191" i="219"/>
  <c r="J191" i="219"/>
  <c r="I191" i="219"/>
  <c r="H191" i="219"/>
  <c r="G191" i="219"/>
  <c r="F191" i="219"/>
  <c r="E191" i="219"/>
  <c r="D191" i="219"/>
  <c r="K190" i="219"/>
  <c r="J190" i="219"/>
  <c r="I190" i="219"/>
  <c r="H190" i="219"/>
  <c r="G190" i="219"/>
  <c r="F190" i="219"/>
  <c r="E190" i="219"/>
  <c r="D190" i="219"/>
  <c r="K189" i="219"/>
  <c r="J189" i="219"/>
  <c r="I189" i="219"/>
  <c r="H189" i="219"/>
  <c r="G189" i="219"/>
  <c r="F189" i="219"/>
  <c r="E189" i="219"/>
  <c r="D189" i="219"/>
  <c r="K188" i="219"/>
  <c r="J188" i="219"/>
  <c r="I188" i="219"/>
  <c r="H188" i="219"/>
  <c r="G188" i="219"/>
  <c r="F188" i="219"/>
  <c r="E188" i="219"/>
  <c r="D188" i="219"/>
  <c r="K187" i="219"/>
  <c r="J187" i="219"/>
  <c r="I187" i="219"/>
  <c r="H187" i="219"/>
  <c r="G187" i="219"/>
  <c r="F187" i="219"/>
  <c r="E187" i="219"/>
  <c r="D187" i="219"/>
  <c r="K186" i="219"/>
  <c r="J186" i="219"/>
  <c r="I186" i="219"/>
  <c r="H186" i="219"/>
  <c r="G186" i="219"/>
  <c r="F186" i="219"/>
  <c r="E186" i="219"/>
  <c r="D186" i="219"/>
  <c r="K185" i="219"/>
  <c r="J185" i="219"/>
  <c r="I185" i="219"/>
  <c r="H185" i="219"/>
  <c r="G185" i="219"/>
  <c r="F185" i="219"/>
  <c r="E185" i="219"/>
  <c r="D185" i="219"/>
  <c r="K184" i="219"/>
  <c r="J184" i="219"/>
  <c r="I184" i="219"/>
  <c r="H184" i="219"/>
  <c r="G184" i="219"/>
  <c r="F184" i="219"/>
  <c r="E184" i="219"/>
  <c r="D184" i="219"/>
  <c r="K183" i="219"/>
  <c r="J183" i="219"/>
  <c r="I183" i="219"/>
  <c r="H183" i="219"/>
  <c r="G183" i="219"/>
  <c r="F183" i="219"/>
  <c r="E183" i="219"/>
  <c r="D183" i="219"/>
  <c r="K182" i="219"/>
  <c r="J182" i="219"/>
  <c r="I182" i="219"/>
  <c r="H182" i="219"/>
  <c r="G182" i="219"/>
  <c r="F182" i="219"/>
  <c r="E182" i="219"/>
  <c r="D182" i="219"/>
  <c r="K181" i="219"/>
  <c r="J181" i="219"/>
  <c r="I181" i="219"/>
  <c r="H181" i="219"/>
  <c r="G181" i="219"/>
  <c r="F181" i="219"/>
  <c r="E181" i="219"/>
  <c r="D181" i="219"/>
  <c r="K180" i="219"/>
  <c r="J180" i="219"/>
  <c r="I180" i="219"/>
  <c r="H180" i="219"/>
  <c r="G180" i="219"/>
  <c r="F180" i="219"/>
  <c r="E180" i="219"/>
  <c r="D180" i="219"/>
  <c r="K179" i="219"/>
  <c r="J179" i="219"/>
  <c r="I179" i="219"/>
  <c r="H179" i="219"/>
  <c r="G179" i="219"/>
  <c r="F179" i="219"/>
  <c r="E179" i="219"/>
  <c r="D179" i="219"/>
  <c r="K178" i="219"/>
  <c r="J178" i="219"/>
  <c r="I178" i="219"/>
  <c r="H178" i="219"/>
  <c r="G178" i="219"/>
  <c r="F178" i="219"/>
  <c r="E178" i="219"/>
  <c r="D178" i="219"/>
  <c r="K177" i="219"/>
  <c r="J177" i="219"/>
  <c r="I177" i="219"/>
  <c r="H177" i="219"/>
  <c r="G177" i="219"/>
  <c r="F177" i="219"/>
  <c r="E177" i="219"/>
  <c r="D177" i="219"/>
  <c r="K176" i="219"/>
  <c r="J176" i="219"/>
  <c r="I176" i="219"/>
  <c r="H176" i="219"/>
  <c r="G176" i="219"/>
  <c r="F176" i="219"/>
  <c r="E176" i="219"/>
  <c r="D176" i="219"/>
  <c r="K175" i="219"/>
  <c r="J175" i="219"/>
  <c r="I175" i="219"/>
  <c r="H175" i="219"/>
  <c r="G175" i="219"/>
  <c r="F175" i="219"/>
  <c r="E175" i="219"/>
  <c r="D175" i="219"/>
  <c r="K174" i="219"/>
  <c r="J174" i="219"/>
  <c r="I174" i="219"/>
  <c r="H174" i="219"/>
  <c r="G174" i="219"/>
  <c r="F174" i="219"/>
  <c r="E174" i="219"/>
  <c r="D174" i="219"/>
  <c r="K173" i="219"/>
  <c r="J173" i="219"/>
  <c r="I173" i="219"/>
  <c r="H173" i="219"/>
  <c r="G173" i="219"/>
  <c r="F173" i="219"/>
  <c r="E173" i="219"/>
  <c r="D173" i="219"/>
  <c r="K172" i="219"/>
  <c r="J172" i="219"/>
  <c r="I172" i="219"/>
  <c r="H172" i="219"/>
  <c r="G172" i="219"/>
  <c r="F172" i="219"/>
  <c r="E172" i="219"/>
  <c r="D172" i="219"/>
  <c r="K171" i="219"/>
  <c r="J171" i="219"/>
  <c r="I171" i="219"/>
  <c r="H171" i="219"/>
  <c r="G171" i="219"/>
  <c r="F171" i="219"/>
  <c r="E171" i="219"/>
  <c r="D171" i="219"/>
  <c r="K170" i="219"/>
  <c r="J170" i="219"/>
  <c r="I170" i="219"/>
  <c r="H170" i="219"/>
  <c r="G170" i="219"/>
  <c r="F170" i="219"/>
  <c r="E170" i="219"/>
  <c r="D170" i="219"/>
  <c r="K169" i="219"/>
  <c r="J169" i="219"/>
  <c r="I169" i="219"/>
  <c r="H169" i="219"/>
  <c r="G169" i="219"/>
  <c r="F169" i="219"/>
  <c r="E169" i="219"/>
  <c r="D169" i="219"/>
  <c r="K167" i="219"/>
  <c r="J167" i="219"/>
  <c r="I167" i="219"/>
  <c r="H167" i="219"/>
  <c r="G167" i="219"/>
  <c r="F167" i="219"/>
  <c r="E167" i="219"/>
  <c r="D167" i="219"/>
  <c r="K166" i="219"/>
  <c r="J166" i="219"/>
  <c r="I166" i="219"/>
  <c r="H166" i="219"/>
  <c r="G166" i="219"/>
  <c r="F166" i="219"/>
  <c r="E166" i="219"/>
  <c r="D166" i="219"/>
  <c r="K165" i="219"/>
  <c r="J165" i="219"/>
  <c r="I165" i="219"/>
  <c r="H165" i="219"/>
  <c r="G165" i="219"/>
  <c r="F165" i="219"/>
  <c r="E165" i="219"/>
  <c r="D165" i="219"/>
  <c r="K164" i="219"/>
  <c r="J164" i="219"/>
  <c r="I164" i="219"/>
  <c r="H164" i="219"/>
  <c r="G164" i="219"/>
  <c r="F164" i="219"/>
  <c r="E164" i="219"/>
  <c r="D164" i="219"/>
  <c r="K163" i="219"/>
  <c r="J163" i="219"/>
  <c r="I163" i="219"/>
  <c r="H163" i="219"/>
  <c r="G163" i="219"/>
  <c r="F163" i="219"/>
  <c r="E163" i="219"/>
  <c r="D163" i="219"/>
  <c r="K162" i="219"/>
  <c r="J162" i="219"/>
  <c r="I162" i="219"/>
  <c r="H162" i="219"/>
  <c r="G162" i="219"/>
  <c r="F162" i="219"/>
  <c r="E162" i="219"/>
  <c r="D162" i="219"/>
  <c r="K160" i="219"/>
  <c r="J160" i="219"/>
  <c r="I160" i="219"/>
  <c r="H160" i="219"/>
  <c r="G160" i="219"/>
  <c r="F160" i="219"/>
  <c r="E160" i="219"/>
  <c r="D160" i="219"/>
  <c r="K159" i="219"/>
  <c r="J159" i="219"/>
  <c r="I159" i="219"/>
  <c r="H159" i="219"/>
  <c r="G159" i="219"/>
  <c r="F159" i="219"/>
  <c r="E159" i="219"/>
  <c r="D159" i="219"/>
  <c r="K158" i="219"/>
  <c r="J158" i="219"/>
  <c r="I158" i="219"/>
  <c r="H158" i="219"/>
  <c r="G158" i="219"/>
  <c r="F158" i="219"/>
  <c r="E158" i="219"/>
  <c r="D158" i="219"/>
  <c r="K157" i="219"/>
  <c r="J157" i="219"/>
  <c r="I157" i="219"/>
  <c r="H157" i="219"/>
  <c r="G157" i="219"/>
  <c r="F157" i="219"/>
  <c r="E157" i="219"/>
  <c r="D157" i="219"/>
  <c r="K156" i="219"/>
  <c r="J156" i="219"/>
  <c r="I156" i="219"/>
  <c r="H156" i="219"/>
  <c r="G156" i="219"/>
  <c r="F156" i="219"/>
  <c r="E156" i="219"/>
  <c r="D156" i="219"/>
  <c r="K155" i="219"/>
  <c r="J155" i="219"/>
  <c r="I155" i="219"/>
  <c r="H155" i="219"/>
  <c r="G155" i="219"/>
  <c r="F155" i="219"/>
  <c r="E155" i="219"/>
  <c r="D155" i="219"/>
  <c r="K154" i="219"/>
  <c r="J154" i="219"/>
  <c r="I154" i="219"/>
  <c r="H154" i="219"/>
  <c r="G154" i="219"/>
  <c r="F154" i="219"/>
  <c r="E154" i="219"/>
  <c r="D154" i="219"/>
  <c r="K153" i="219"/>
  <c r="J153" i="219"/>
  <c r="I153" i="219"/>
  <c r="H153" i="219"/>
  <c r="G153" i="219"/>
  <c r="F153" i="219"/>
  <c r="E153" i="219"/>
  <c r="D153" i="219"/>
  <c r="K152" i="219"/>
  <c r="J152" i="219"/>
  <c r="I152" i="219"/>
  <c r="H152" i="219"/>
  <c r="G152" i="219"/>
  <c r="F152" i="219"/>
  <c r="E152" i="219"/>
  <c r="D152" i="219"/>
  <c r="K151" i="219"/>
  <c r="J151" i="219"/>
  <c r="I151" i="219"/>
  <c r="H151" i="219"/>
  <c r="G151" i="219"/>
  <c r="F151" i="219"/>
  <c r="E151" i="219"/>
  <c r="D151" i="219"/>
  <c r="K150" i="219"/>
  <c r="J150" i="219"/>
  <c r="I150" i="219"/>
  <c r="H150" i="219"/>
  <c r="G150" i="219"/>
  <c r="F150" i="219"/>
  <c r="E150" i="219"/>
  <c r="D150" i="219"/>
  <c r="K149" i="219"/>
  <c r="J149" i="219"/>
  <c r="I149" i="219"/>
  <c r="H149" i="219"/>
  <c r="G149" i="219"/>
  <c r="F149" i="219"/>
  <c r="E149" i="219"/>
  <c r="D149" i="219"/>
  <c r="K148" i="219"/>
  <c r="J148" i="219"/>
  <c r="I148" i="219"/>
  <c r="H148" i="219"/>
  <c r="G148" i="219"/>
  <c r="F148" i="219"/>
  <c r="E148" i="219"/>
  <c r="D148" i="219"/>
  <c r="K147" i="219"/>
  <c r="J147" i="219"/>
  <c r="I147" i="219"/>
  <c r="H147" i="219"/>
  <c r="G147" i="219"/>
  <c r="F147" i="219"/>
  <c r="E147" i="219"/>
  <c r="D147" i="219"/>
  <c r="K145" i="219"/>
  <c r="J145" i="219"/>
  <c r="I145" i="219"/>
  <c r="H145" i="219"/>
  <c r="G145" i="219"/>
  <c r="F145" i="219"/>
  <c r="E145" i="219"/>
  <c r="D145" i="219"/>
  <c r="K143" i="219"/>
  <c r="J143" i="219"/>
  <c r="I143" i="219"/>
  <c r="H143" i="219"/>
  <c r="G143" i="219"/>
  <c r="F143" i="219"/>
  <c r="E143" i="219"/>
  <c r="D143" i="219"/>
  <c r="K142" i="219"/>
  <c r="J142" i="219"/>
  <c r="I142" i="219"/>
  <c r="H142" i="219"/>
  <c r="G142" i="219"/>
  <c r="F142" i="219"/>
  <c r="E142" i="219"/>
  <c r="D142" i="219"/>
  <c r="K141" i="219"/>
  <c r="J141" i="219"/>
  <c r="I141" i="219"/>
  <c r="H141" i="219"/>
  <c r="G141" i="219"/>
  <c r="F141" i="219"/>
  <c r="E141" i="219"/>
  <c r="D141" i="219"/>
  <c r="K140" i="219"/>
  <c r="J140" i="219"/>
  <c r="I140" i="219"/>
  <c r="H140" i="219"/>
  <c r="G140" i="219"/>
  <c r="F140" i="219"/>
  <c r="E140" i="219"/>
  <c r="D140" i="219"/>
  <c r="K139" i="219"/>
  <c r="J139" i="219"/>
  <c r="I139" i="219"/>
  <c r="H139" i="219"/>
  <c r="G139" i="219"/>
  <c r="F139" i="219"/>
  <c r="E139" i="219"/>
  <c r="D139" i="219"/>
  <c r="X136" i="219"/>
  <c r="W136" i="219"/>
  <c r="V136" i="219"/>
  <c r="U136" i="219"/>
  <c r="T136" i="219"/>
  <c r="S136" i="219"/>
  <c r="R136" i="219"/>
  <c r="Q136" i="219"/>
  <c r="K136" i="219"/>
  <c r="J136" i="219"/>
  <c r="I136" i="219"/>
  <c r="H136" i="219"/>
  <c r="G136" i="219"/>
  <c r="F136" i="219"/>
  <c r="E136" i="219"/>
  <c r="D136" i="219"/>
  <c r="X135" i="219"/>
  <c r="W135" i="219"/>
  <c r="V135" i="219"/>
  <c r="U135" i="219"/>
  <c r="T135" i="219"/>
  <c r="S135" i="219"/>
  <c r="R135" i="219"/>
  <c r="Q135" i="219"/>
  <c r="K135" i="219"/>
  <c r="J135" i="219"/>
  <c r="I135" i="219"/>
  <c r="H135" i="219"/>
  <c r="G135" i="219"/>
  <c r="F135" i="219"/>
  <c r="E135" i="219"/>
  <c r="D135" i="219"/>
  <c r="X132" i="219"/>
  <c r="W132" i="219"/>
  <c r="V132" i="219"/>
  <c r="U132" i="219"/>
  <c r="T132" i="219"/>
  <c r="S132" i="219"/>
  <c r="R132" i="219"/>
  <c r="Q132" i="219"/>
  <c r="X131" i="219"/>
  <c r="W131" i="219"/>
  <c r="V131" i="219"/>
  <c r="U131" i="219"/>
  <c r="T131" i="219"/>
  <c r="S131" i="219"/>
  <c r="R131" i="219"/>
  <c r="Q131" i="219"/>
  <c r="X130" i="219"/>
  <c r="W130" i="219"/>
  <c r="V130" i="219"/>
  <c r="U130" i="219"/>
  <c r="T130" i="219"/>
  <c r="S130" i="219"/>
  <c r="R130" i="219"/>
  <c r="Q130" i="219"/>
  <c r="X129" i="219"/>
  <c r="W129" i="219"/>
  <c r="V129" i="219"/>
  <c r="U129" i="219"/>
  <c r="T129" i="219"/>
  <c r="S129" i="219"/>
  <c r="R129" i="219"/>
  <c r="Q129" i="219"/>
  <c r="X127" i="219"/>
  <c r="W127" i="219"/>
  <c r="V127" i="219"/>
  <c r="U127" i="219"/>
  <c r="T127" i="219"/>
  <c r="S127" i="219"/>
  <c r="R127" i="219"/>
  <c r="Q127" i="219"/>
  <c r="X126" i="219"/>
  <c r="W126" i="219"/>
  <c r="V126" i="219"/>
  <c r="U126" i="219"/>
  <c r="T126" i="219"/>
  <c r="S126" i="219"/>
  <c r="R126" i="219"/>
  <c r="Q126" i="219"/>
  <c r="X125" i="219"/>
  <c r="W125" i="219"/>
  <c r="V125" i="219"/>
  <c r="U125" i="219"/>
  <c r="T125" i="219"/>
  <c r="S125" i="219"/>
  <c r="R125" i="219"/>
  <c r="Q125" i="219"/>
  <c r="X124" i="219"/>
  <c r="W124" i="219"/>
  <c r="V124" i="219"/>
  <c r="U124" i="219"/>
  <c r="T124" i="219"/>
  <c r="S124" i="219"/>
  <c r="R124" i="219"/>
  <c r="Q124" i="219"/>
  <c r="X123" i="219"/>
  <c r="W123" i="219"/>
  <c r="V123" i="219"/>
  <c r="U123" i="219"/>
  <c r="T123" i="219"/>
  <c r="S123" i="219"/>
  <c r="R123" i="219"/>
  <c r="Q123" i="219"/>
  <c r="X122" i="219"/>
  <c r="W122" i="219"/>
  <c r="V122" i="219"/>
  <c r="U122" i="219"/>
  <c r="T122" i="219"/>
  <c r="S122" i="219"/>
  <c r="R122" i="219"/>
  <c r="Q122" i="219"/>
  <c r="X121" i="219"/>
  <c r="W121" i="219"/>
  <c r="V121" i="219"/>
  <c r="U121" i="219"/>
  <c r="T121" i="219"/>
  <c r="S121" i="219"/>
  <c r="R121" i="219"/>
  <c r="Q121" i="219"/>
  <c r="X120" i="219"/>
  <c r="W120" i="219"/>
  <c r="V120" i="219"/>
  <c r="U120" i="219"/>
  <c r="T120" i="219"/>
  <c r="S120" i="219"/>
  <c r="R120" i="219"/>
  <c r="Q120" i="219"/>
  <c r="X119" i="219"/>
  <c r="W119" i="219"/>
  <c r="V119" i="219"/>
  <c r="U119" i="219"/>
  <c r="T119" i="219"/>
  <c r="S119" i="219"/>
  <c r="R119" i="219"/>
  <c r="Q119" i="219"/>
  <c r="X118" i="219"/>
  <c r="W118" i="219"/>
  <c r="V118" i="219"/>
  <c r="U118" i="219"/>
  <c r="T118" i="219"/>
  <c r="S118" i="219"/>
  <c r="R118" i="219"/>
  <c r="Q118" i="219"/>
  <c r="X117" i="219"/>
  <c r="W117" i="219"/>
  <c r="V117" i="219"/>
  <c r="U117" i="219"/>
  <c r="T117" i="219"/>
  <c r="S117" i="219"/>
  <c r="R117" i="219"/>
  <c r="Q117" i="219"/>
  <c r="X116" i="219"/>
  <c r="W116" i="219"/>
  <c r="V116" i="219"/>
  <c r="U116" i="219"/>
  <c r="T116" i="219"/>
  <c r="S116" i="219"/>
  <c r="R116" i="219"/>
  <c r="Q116" i="219"/>
  <c r="X115" i="219"/>
  <c r="W115" i="219"/>
  <c r="V115" i="219"/>
  <c r="U115" i="219"/>
  <c r="T115" i="219"/>
  <c r="S115" i="219"/>
  <c r="R115" i="219"/>
  <c r="Q115" i="219"/>
  <c r="X114" i="219"/>
  <c r="W114" i="219"/>
  <c r="V114" i="219"/>
  <c r="U114" i="219"/>
  <c r="T114" i="219"/>
  <c r="S114" i="219"/>
  <c r="R114" i="219"/>
  <c r="Q114" i="219"/>
  <c r="X113" i="219"/>
  <c r="W113" i="219"/>
  <c r="V113" i="219"/>
  <c r="U113" i="219"/>
  <c r="T113" i="219"/>
  <c r="S113" i="219"/>
  <c r="R113" i="219"/>
  <c r="Q113" i="219"/>
  <c r="X112" i="219"/>
  <c r="W112" i="219"/>
  <c r="V112" i="219"/>
  <c r="U112" i="219"/>
  <c r="T112" i="219"/>
  <c r="S112" i="219"/>
  <c r="R112" i="219"/>
  <c r="Q112" i="219"/>
  <c r="K112" i="219"/>
  <c r="J112" i="219"/>
  <c r="I112" i="219"/>
  <c r="H112" i="219"/>
  <c r="G112" i="219"/>
  <c r="F112" i="219"/>
  <c r="E112" i="219"/>
  <c r="D112" i="219"/>
  <c r="X111" i="219"/>
  <c r="W111" i="219"/>
  <c r="V111" i="219"/>
  <c r="U111" i="219"/>
  <c r="T111" i="219"/>
  <c r="S111" i="219"/>
  <c r="R111" i="219"/>
  <c r="Q111" i="219"/>
  <c r="X110" i="219"/>
  <c r="W110" i="219"/>
  <c r="V110" i="219"/>
  <c r="U110" i="219"/>
  <c r="T110" i="219"/>
  <c r="S110" i="219"/>
  <c r="R110" i="219"/>
  <c r="Q110" i="219"/>
  <c r="X109" i="219"/>
  <c r="W109" i="219"/>
  <c r="V109" i="219"/>
  <c r="U109" i="219"/>
  <c r="T109" i="219"/>
  <c r="S109" i="219"/>
  <c r="R109" i="219"/>
  <c r="Q109" i="219"/>
  <c r="X108" i="219"/>
  <c r="W108" i="219"/>
  <c r="V108" i="219"/>
  <c r="U108" i="219"/>
  <c r="T108" i="219"/>
  <c r="S108" i="219"/>
  <c r="R108" i="219"/>
  <c r="Q108" i="219"/>
  <c r="X107" i="219"/>
  <c r="W107" i="219"/>
  <c r="V107" i="219"/>
  <c r="U107" i="219"/>
  <c r="T107" i="219"/>
  <c r="S107" i="219"/>
  <c r="R107" i="219"/>
  <c r="Q107" i="219"/>
  <c r="X106" i="219"/>
  <c r="W106" i="219"/>
  <c r="V106" i="219"/>
  <c r="U106" i="219"/>
  <c r="T106" i="219"/>
  <c r="S106" i="219"/>
  <c r="R106" i="219"/>
  <c r="Q106" i="219"/>
  <c r="X105" i="219"/>
  <c r="W105" i="219"/>
  <c r="V105" i="219"/>
  <c r="U105" i="219"/>
  <c r="T105" i="219"/>
  <c r="S105" i="219"/>
  <c r="R105" i="219"/>
  <c r="Q105" i="219"/>
  <c r="X103" i="219"/>
  <c r="W103" i="219"/>
  <c r="V103" i="219"/>
  <c r="U103" i="219"/>
  <c r="T103" i="219"/>
  <c r="S103" i="219"/>
  <c r="R103" i="219"/>
  <c r="Q103" i="219"/>
  <c r="X102" i="219"/>
  <c r="W102" i="219"/>
  <c r="V102" i="219"/>
  <c r="U102" i="219"/>
  <c r="T102" i="219"/>
  <c r="S102" i="219"/>
  <c r="R102" i="219"/>
  <c r="Q102" i="219"/>
  <c r="X101" i="219"/>
  <c r="W101" i="219"/>
  <c r="V101" i="219"/>
  <c r="U101" i="219"/>
  <c r="T101" i="219"/>
  <c r="S101" i="219"/>
  <c r="R101" i="219"/>
  <c r="Q101" i="219"/>
  <c r="X100" i="219"/>
  <c r="W100" i="219"/>
  <c r="V100" i="219"/>
  <c r="U100" i="219"/>
  <c r="T100" i="219"/>
  <c r="S100" i="219"/>
  <c r="R100" i="219"/>
  <c r="Q100" i="219"/>
  <c r="X99" i="219"/>
  <c r="W99" i="219"/>
  <c r="V99" i="219"/>
  <c r="U99" i="219"/>
  <c r="T99" i="219"/>
  <c r="S99" i="219"/>
  <c r="R99" i="219"/>
  <c r="Q99" i="219"/>
  <c r="X98" i="219"/>
  <c r="W98" i="219"/>
  <c r="V98" i="219"/>
  <c r="U98" i="219"/>
  <c r="T98" i="219"/>
  <c r="S98" i="219"/>
  <c r="R98" i="219"/>
  <c r="Q98" i="219"/>
  <c r="X97" i="219"/>
  <c r="W97" i="219"/>
  <c r="V97" i="219"/>
  <c r="U97" i="219"/>
  <c r="T97" i="219"/>
  <c r="S97" i="219"/>
  <c r="R97" i="219"/>
  <c r="Q97" i="219"/>
  <c r="X96" i="219"/>
  <c r="W96" i="219"/>
  <c r="V96" i="219"/>
  <c r="U96" i="219"/>
  <c r="T96" i="219"/>
  <c r="S96" i="219"/>
  <c r="R96" i="219"/>
  <c r="Q96" i="219"/>
  <c r="X95" i="219"/>
  <c r="W95" i="219"/>
  <c r="V95" i="219"/>
  <c r="U95" i="219"/>
  <c r="T95" i="219"/>
  <c r="S95" i="219"/>
  <c r="R95" i="219"/>
  <c r="Q95" i="219"/>
  <c r="X94" i="219"/>
  <c r="W94" i="219"/>
  <c r="V94" i="219"/>
  <c r="U94" i="219"/>
  <c r="T94" i="219"/>
  <c r="S94" i="219"/>
  <c r="R94" i="219"/>
  <c r="Q94" i="219"/>
  <c r="X93" i="219"/>
  <c r="W93" i="219"/>
  <c r="V93" i="219"/>
  <c r="U93" i="219"/>
  <c r="T93" i="219"/>
  <c r="S93" i="219"/>
  <c r="R93" i="219"/>
  <c r="Q93" i="219"/>
  <c r="X92" i="219"/>
  <c r="W92" i="219"/>
  <c r="V92" i="219"/>
  <c r="U92" i="219"/>
  <c r="T92" i="219"/>
  <c r="S92" i="219"/>
  <c r="R92" i="219"/>
  <c r="Q92" i="219"/>
  <c r="K92" i="219"/>
  <c r="J92" i="219"/>
  <c r="I92" i="219"/>
  <c r="H92" i="219"/>
  <c r="G92" i="219"/>
  <c r="F92" i="219"/>
  <c r="E92" i="219"/>
  <c r="D92" i="219"/>
  <c r="X91" i="219"/>
  <c r="W91" i="219"/>
  <c r="V91" i="219"/>
  <c r="U91" i="219"/>
  <c r="T91" i="219"/>
  <c r="S91" i="219"/>
  <c r="R91" i="219"/>
  <c r="Q91" i="219"/>
  <c r="X90" i="219"/>
  <c r="W90" i="219"/>
  <c r="V90" i="219"/>
  <c r="U90" i="219"/>
  <c r="T90" i="219"/>
  <c r="S90" i="219"/>
  <c r="R90" i="219"/>
  <c r="Q90" i="219"/>
  <c r="X89" i="219"/>
  <c r="W89" i="219"/>
  <c r="V89" i="219"/>
  <c r="U89" i="219"/>
  <c r="T89" i="219"/>
  <c r="S89" i="219"/>
  <c r="R89" i="219"/>
  <c r="Q89" i="219"/>
  <c r="X88" i="219"/>
  <c r="W88" i="219"/>
  <c r="V88" i="219"/>
  <c r="U88" i="219"/>
  <c r="T88" i="219"/>
  <c r="S88" i="219"/>
  <c r="R88" i="219"/>
  <c r="Q88" i="219"/>
  <c r="X87" i="219"/>
  <c r="W87" i="219"/>
  <c r="V87" i="219"/>
  <c r="U87" i="219"/>
  <c r="T87" i="219"/>
  <c r="S87" i="219"/>
  <c r="R87" i="219"/>
  <c r="Q87" i="219"/>
  <c r="X86" i="219"/>
  <c r="W86" i="219"/>
  <c r="V86" i="219"/>
  <c r="U86" i="219"/>
  <c r="T86" i="219"/>
  <c r="S86" i="219"/>
  <c r="R86" i="219"/>
  <c r="Q86" i="219"/>
  <c r="X85" i="219"/>
  <c r="W85" i="219"/>
  <c r="V85" i="219"/>
  <c r="U85" i="219"/>
  <c r="T85" i="219"/>
  <c r="S85" i="219"/>
  <c r="R85" i="219"/>
  <c r="Q85" i="219"/>
  <c r="X83" i="219"/>
  <c r="W83" i="219"/>
  <c r="V83" i="219"/>
  <c r="U83" i="219"/>
  <c r="T83" i="219"/>
  <c r="S83" i="219"/>
  <c r="R83" i="219"/>
  <c r="Q83" i="219"/>
  <c r="X82" i="219"/>
  <c r="W82" i="219"/>
  <c r="V82" i="219"/>
  <c r="U82" i="219"/>
  <c r="T82" i="219"/>
  <c r="S82" i="219"/>
  <c r="R82" i="219"/>
  <c r="Q82" i="219"/>
  <c r="X81" i="219"/>
  <c r="W81" i="219"/>
  <c r="V81" i="219"/>
  <c r="U81" i="219"/>
  <c r="T81" i="219"/>
  <c r="S81" i="219"/>
  <c r="R81" i="219"/>
  <c r="Q81" i="219"/>
  <c r="X80" i="219"/>
  <c r="W80" i="219"/>
  <c r="V80" i="219"/>
  <c r="U80" i="219"/>
  <c r="T80" i="219"/>
  <c r="S80" i="219"/>
  <c r="R80" i="219"/>
  <c r="Q80" i="219"/>
  <c r="X79" i="219"/>
  <c r="W79" i="219"/>
  <c r="V79" i="219"/>
  <c r="U79" i="219"/>
  <c r="T79" i="219"/>
  <c r="S79" i="219"/>
  <c r="R79" i="219"/>
  <c r="Q79" i="219"/>
  <c r="X76" i="219"/>
  <c r="W76" i="219"/>
  <c r="V76" i="219"/>
  <c r="U76" i="219"/>
  <c r="T76" i="219"/>
  <c r="S76" i="219"/>
  <c r="R76" i="219"/>
  <c r="Q76" i="219"/>
  <c r="K76" i="219"/>
  <c r="J76" i="219"/>
  <c r="I76" i="219"/>
  <c r="H76" i="219"/>
  <c r="G76" i="219"/>
  <c r="F76" i="219"/>
  <c r="E76" i="219"/>
  <c r="D76" i="219"/>
  <c r="X73" i="219"/>
  <c r="W73" i="219"/>
  <c r="V73" i="219"/>
  <c r="U73" i="219"/>
  <c r="T73" i="219"/>
  <c r="S73" i="219"/>
  <c r="R73" i="219"/>
  <c r="Q73" i="219"/>
  <c r="K73" i="219"/>
  <c r="J73" i="219"/>
  <c r="I73" i="219"/>
  <c r="H73" i="219"/>
  <c r="G73" i="219"/>
  <c r="F73" i="219"/>
  <c r="E73" i="219"/>
  <c r="D73" i="219"/>
  <c r="X72" i="219"/>
  <c r="W72" i="219"/>
  <c r="V72" i="219"/>
  <c r="U72" i="219"/>
  <c r="T72" i="219"/>
  <c r="S72" i="219"/>
  <c r="R72" i="219"/>
  <c r="Q72" i="219"/>
  <c r="K72" i="219"/>
  <c r="J72" i="219"/>
  <c r="I72" i="219"/>
  <c r="H72" i="219"/>
  <c r="G72" i="219"/>
  <c r="F72" i="219"/>
  <c r="E72" i="219"/>
  <c r="D72" i="219"/>
  <c r="X70" i="219"/>
  <c r="W70" i="219"/>
  <c r="V70" i="219"/>
  <c r="U70" i="219"/>
  <c r="T70" i="219"/>
  <c r="S70" i="219"/>
  <c r="R70" i="219"/>
  <c r="Q70" i="219"/>
  <c r="K70" i="219"/>
  <c r="J70" i="219"/>
  <c r="I70" i="219"/>
  <c r="H70" i="219"/>
  <c r="G70" i="219"/>
  <c r="F70" i="219"/>
  <c r="E70" i="219"/>
  <c r="D70" i="219"/>
  <c r="X69" i="219"/>
  <c r="W69" i="219"/>
  <c r="V69" i="219"/>
  <c r="U69" i="219"/>
  <c r="T69" i="219"/>
  <c r="S69" i="219"/>
  <c r="R69" i="219"/>
  <c r="Q69" i="219"/>
  <c r="K69" i="219"/>
  <c r="J69" i="219"/>
  <c r="I69" i="219"/>
  <c r="H69" i="219"/>
  <c r="G69" i="219"/>
  <c r="F69" i="219"/>
  <c r="E69" i="219"/>
  <c r="D69" i="219"/>
  <c r="X68" i="219"/>
  <c r="W68" i="219"/>
  <c r="V68" i="219"/>
  <c r="U68" i="219"/>
  <c r="T68" i="219"/>
  <c r="S68" i="219"/>
  <c r="R68" i="219"/>
  <c r="Q68" i="219"/>
  <c r="K68" i="219"/>
  <c r="J68" i="219"/>
  <c r="I68" i="219"/>
  <c r="H68" i="219"/>
  <c r="G68" i="219"/>
  <c r="F68" i="219"/>
  <c r="E68" i="219"/>
  <c r="D68" i="219"/>
  <c r="X67" i="219"/>
  <c r="W67" i="219"/>
  <c r="V67" i="219"/>
  <c r="U67" i="219"/>
  <c r="T67" i="219"/>
  <c r="S67" i="219"/>
  <c r="R67" i="219"/>
  <c r="Q67" i="219"/>
  <c r="K67" i="219"/>
  <c r="J67" i="219"/>
  <c r="I67" i="219"/>
  <c r="H67" i="219"/>
  <c r="G67" i="219"/>
  <c r="F67" i="219"/>
  <c r="E67" i="219"/>
  <c r="D67" i="219"/>
  <c r="X65" i="219"/>
  <c r="W65" i="219"/>
  <c r="V65" i="219"/>
  <c r="U65" i="219"/>
  <c r="T65" i="219"/>
  <c r="S65" i="219"/>
  <c r="R65" i="219"/>
  <c r="Q65" i="219"/>
  <c r="K65" i="219"/>
  <c r="J65" i="219"/>
  <c r="I65" i="219"/>
  <c r="H65" i="219"/>
  <c r="G65" i="219"/>
  <c r="F65" i="219"/>
  <c r="E65" i="219"/>
  <c r="D65" i="219"/>
  <c r="X64" i="219"/>
  <c r="W64" i="219"/>
  <c r="V64" i="219"/>
  <c r="U64" i="219"/>
  <c r="T64" i="219"/>
  <c r="S64" i="219"/>
  <c r="R64" i="219"/>
  <c r="Q64" i="219"/>
  <c r="K64" i="219"/>
  <c r="J64" i="219"/>
  <c r="I64" i="219"/>
  <c r="H64" i="219"/>
  <c r="G64" i="219"/>
  <c r="F64" i="219"/>
  <c r="E64" i="219"/>
  <c r="D64" i="219"/>
  <c r="X63" i="219"/>
  <c r="W63" i="219"/>
  <c r="V63" i="219"/>
  <c r="U63" i="219"/>
  <c r="T63" i="219"/>
  <c r="S63" i="219"/>
  <c r="R63" i="219"/>
  <c r="Q63" i="219"/>
  <c r="K63" i="219"/>
  <c r="J63" i="219"/>
  <c r="I63" i="219"/>
  <c r="H63" i="219"/>
  <c r="G63" i="219"/>
  <c r="F63" i="219"/>
  <c r="E63" i="219"/>
  <c r="D63" i="219"/>
  <c r="X62" i="219"/>
  <c r="W62" i="219"/>
  <c r="V62" i="219"/>
  <c r="U62" i="219"/>
  <c r="T62" i="219"/>
  <c r="S62" i="219"/>
  <c r="R62" i="219"/>
  <c r="Q62" i="219"/>
  <c r="K62" i="219"/>
  <c r="J62" i="219"/>
  <c r="I62" i="219"/>
  <c r="H62" i="219"/>
  <c r="G62" i="219"/>
  <c r="F62" i="219"/>
  <c r="E62" i="219"/>
  <c r="D62" i="219"/>
  <c r="X61" i="219"/>
  <c r="W61" i="219"/>
  <c r="V61" i="219"/>
  <c r="U61" i="219"/>
  <c r="T61" i="219"/>
  <c r="S61" i="219"/>
  <c r="R61" i="219"/>
  <c r="Q61" i="219"/>
  <c r="K61" i="219"/>
  <c r="J61" i="219"/>
  <c r="I61" i="219"/>
  <c r="H61" i="219"/>
  <c r="G61" i="219"/>
  <c r="F61" i="219"/>
  <c r="E61" i="219"/>
  <c r="D61" i="219"/>
  <c r="X60" i="219"/>
  <c r="W60" i="219"/>
  <c r="V60" i="219"/>
  <c r="U60" i="219"/>
  <c r="T60" i="219"/>
  <c r="S60" i="219"/>
  <c r="R60" i="219"/>
  <c r="Q60" i="219"/>
  <c r="K60" i="219"/>
  <c r="J60" i="219"/>
  <c r="I60" i="219"/>
  <c r="H60" i="219"/>
  <c r="G60" i="219"/>
  <c r="F60" i="219"/>
  <c r="E60" i="219"/>
  <c r="D60" i="219"/>
  <c r="X59" i="219"/>
  <c r="W59" i="219"/>
  <c r="V59" i="219"/>
  <c r="U59" i="219"/>
  <c r="T59" i="219"/>
  <c r="S59" i="219"/>
  <c r="R59" i="219"/>
  <c r="Q59" i="219"/>
  <c r="K59" i="219"/>
  <c r="J59" i="219"/>
  <c r="I59" i="219"/>
  <c r="H59" i="219"/>
  <c r="G59" i="219"/>
  <c r="F59" i="219"/>
  <c r="E59" i="219"/>
  <c r="D59" i="219"/>
  <c r="X58" i="219"/>
  <c r="W58" i="219"/>
  <c r="V58" i="219"/>
  <c r="U58" i="219"/>
  <c r="T58" i="219"/>
  <c r="S58" i="219"/>
  <c r="R58" i="219"/>
  <c r="Q58" i="219"/>
  <c r="K58" i="219"/>
  <c r="J58" i="219"/>
  <c r="I58" i="219"/>
  <c r="H58" i="219"/>
  <c r="G58" i="219"/>
  <c r="F58" i="219"/>
  <c r="E58" i="219"/>
  <c r="D58" i="219"/>
  <c r="X57" i="219"/>
  <c r="W57" i="219"/>
  <c r="V57" i="219"/>
  <c r="U57" i="219"/>
  <c r="T57" i="219"/>
  <c r="S57" i="219"/>
  <c r="R57" i="219"/>
  <c r="Q57" i="219"/>
  <c r="K57" i="219"/>
  <c r="J57" i="219"/>
  <c r="I57" i="219"/>
  <c r="H57" i="219"/>
  <c r="G57" i="219"/>
  <c r="F57" i="219"/>
  <c r="E57" i="219"/>
  <c r="D57" i="219"/>
  <c r="X56" i="219"/>
  <c r="W56" i="219"/>
  <c r="V56" i="219"/>
  <c r="U56" i="219"/>
  <c r="T56" i="219"/>
  <c r="S56" i="219"/>
  <c r="R56" i="219"/>
  <c r="Q56" i="219"/>
  <c r="K56" i="219"/>
  <c r="J56" i="219"/>
  <c r="I56" i="219"/>
  <c r="H56" i="219"/>
  <c r="G56" i="219"/>
  <c r="F56" i="219"/>
  <c r="E56" i="219"/>
  <c r="D56" i="219"/>
  <c r="X55" i="219"/>
  <c r="W55" i="219"/>
  <c r="V55" i="219"/>
  <c r="U55" i="219"/>
  <c r="T55" i="219"/>
  <c r="S55" i="219"/>
  <c r="R55" i="219"/>
  <c r="Q55" i="219"/>
  <c r="K55" i="219"/>
  <c r="J55" i="219"/>
  <c r="I55" i="219"/>
  <c r="H55" i="219"/>
  <c r="G55" i="219"/>
  <c r="F55" i="219"/>
  <c r="E55" i="219"/>
  <c r="D55" i="219"/>
  <c r="X54" i="219"/>
  <c r="W54" i="219"/>
  <c r="V54" i="219"/>
  <c r="U54" i="219"/>
  <c r="T54" i="219"/>
  <c r="S54" i="219"/>
  <c r="R54" i="219"/>
  <c r="Q54" i="219"/>
  <c r="K54" i="219"/>
  <c r="J54" i="219"/>
  <c r="I54" i="219"/>
  <c r="H54" i="219"/>
  <c r="G54" i="219"/>
  <c r="F54" i="219"/>
  <c r="E54" i="219"/>
  <c r="D54" i="219"/>
  <c r="X53" i="219"/>
  <c r="W53" i="219"/>
  <c r="V53" i="219"/>
  <c r="U53" i="219"/>
  <c r="T53" i="219"/>
  <c r="S53" i="219"/>
  <c r="R53" i="219"/>
  <c r="Q53" i="219"/>
  <c r="K53" i="219"/>
  <c r="J53" i="219"/>
  <c r="I53" i="219"/>
  <c r="H53" i="219"/>
  <c r="G53" i="219"/>
  <c r="F53" i="219"/>
  <c r="E53" i="219"/>
  <c r="D53" i="219"/>
  <c r="X52" i="219"/>
  <c r="W52" i="219"/>
  <c r="V52" i="219"/>
  <c r="U52" i="219"/>
  <c r="T52" i="219"/>
  <c r="S52" i="219"/>
  <c r="R52" i="219"/>
  <c r="Q52" i="219"/>
  <c r="K52" i="219"/>
  <c r="J52" i="219"/>
  <c r="I52" i="219"/>
  <c r="H52" i="219"/>
  <c r="G52" i="219"/>
  <c r="F52" i="219"/>
  <c r="E52" i="219"/>
  <c r="D52" i="219"/>
  <c r="X51" i="219"/>
  <c r="W51" i="219"/>
  <c r="V51" i="219"/>
  <c r="U51" i="219"/>
  <c r="T51" i="219"/>
  <c r="S51" i="219"/>
  <c r="R51" i="219"/>
  <c r="Q51" i="219"/>
  <c r="K51" i="219"/>
  <c r="J51" i="219"/>
  <c r="I51" i="219"/>
  <c r="H51" i="219"/>
  <c r="G51" i="219"/>
  <c r="F51" i="219"/>
  <c r="E51" i="219"/>
  <c r="D51" i="219"/>
  <c r="X50" i="219"/>
  <c r="W50" i="219"/>
  <c r="V50" i="219"/>
  <c r="U50" i="219"/>
  <c r="T50" i="219"/>
  <c r="S50" i="219"/>
  <c r="R50" i="219"/>
  <c r="Q50" i="219"/>
  <c r="K50" i="219"/>
  <c r="J50" i="219"/>
  <c r="I50" i="219"/>
  <c r="H50" i="219"/>
  <c r="G50" i="219"/>
  <c r="F50" i="219"/>
  <c r="E50" i="219"/>
  <c r="D50" i="219"/>
  <c r="X49" i="219"/>
  <c r="W49" i="219"/>
  <c r="V49" i="219"/>
  <c r="U49" i="219"/>
  <c r="T49" i="219"/>
  <c r="S49" i="219"/>
  <c r="R49" i="219"/>
  <c r="Q49" i="219"/>
  <c r="K49" i="219"/>
  <c r="J49" i="219"/>
  <c r="I49" i="219"/>
  <c r="H49" i="219"/>
  <c r="G49" i="219"/>
  <c r="F49" i="219"/>
  <c r="E49" i="219"/>
  <c r="D49" i="219"/>
  <c r="X48" i="219"/>
  <c r="W48" i="219"/>
  <c r="V48" i="219"/>
  <c r="U48" i="219"/>
  <c r="T48" i="219"/>
  <c r="S48" i="219"/>
  <c r="R48" i="219"/>
  <c r="Q48" i="219"/>
  <c r="K48" i="219"/>
  <c r="J48" i="219"/>
  <c r="I48" i="219"/>
  <c r="H48" i="219"/>
  <c r="G48" i="219"/>
  <c r="F48" i="219"/>
  <c r="E48" i="219"/>
  <c r="D48" i="219"/>
  <c r="X47" i="219"/>
  <c r="W47" i="219"/>
  <c r="V47" i="219"/>
  <c r="U47" i="219"/>
  <c r="T47" i="219"/>
  <c r="S47" i="219"/>
  <c r="R47" i="219"/>
  <c r="Q47" i="219"/>
  <c r="K47" i="219"/>
  <c r="J47" i="219"/>
  <c r="I47" i="219"/>
  <c r="H47" i="219"/>
  <c r="G47" i="219"/>
  <c r="F47" i="219"/>
  <c r="E47" i="219"/>
  <c r="D47" i="219"/>
  <c r="X46" i="219"/>
  <c r="W46" i="219"/>
  <c r="V46" i="219"/>
  <c r="U46" i="219"/>
  <c r="T46" i="219"/>
  <c r="S46" i="219"/>
  <c r="R46" i="219"/>
  <c r="Q46" i="219"/>
  <c r="K46" i="219"/>
  <c r="J46" i="219"/>
  <c r="I46" i="219"/>
  <c r="H46" i="219"/>
  <c r="G46" i="219"/>
  <c r="F46" i="219"/>
  <c r="E46" i="219"/>
  <c r="D46" i="219"/>
  <c r="X44" i="219"/>
  <c r="W44" i="219"/>
  <c r="V44" i="219"/>
  <c r="U44" i="219"/>
  <c r="T44" i="219"/>
  <c r="S44" i="219"/>
  <c r="R44" i="219"/>
  <c r="Q44" i="219"/>
  <c r="K44" i="219"/>
  <c r="J44" i="219"/>
  <c r="I44" i="219"/>
  <c r="H44" i="219"/>
  <c r="G44" i="219"/>
  <c r="F44" i="219"/>
  <c r="E44" i="219"/>
  <c r="D44" i="219"/>
  <c r="X43" i="219"/>
  <c r="W43" i="219"/>
  <c r="V43" i="219"/>
  <c r="U43" i="219"/>
  <c r="T43" i="219"/>
  <c r="S43" i="219"/>
  <c r="R43" i="219"/>
  <c r="Q43" i="219"/>
  <c r="K43" i="219"/>
  <c r="J43" i="219"/>
  <c r="I43" i="219"/>
  <c r="H43" i="219"/>
  <c r="G43" i="219"/>
  <c r="F43" i="219"/>
  <c r="E43" i="219"/>
  <c r="D43" i="219"/>
  <c r="X42" i="219"/>
  <c r="W42" i="219"/>
  <c r="V42" i="219"/>
  <c r="U42" i="219"/>
  <c r="T42" i="219"/>
  <c r="S42" i="219"/>
  <c r="R42" i="219"/>
  <c r="Q42" i="219"/>
  <c r="K42" i="219"/>
  <c r="J42" i="219"/>
  <c r="I42" i="219"/>
  <c r="H42" i="219"/>
  <c r="G42" i="219"/>
  <c r="F42" i="219"/>
  <c r="E42" i="219"/>
  <c r="D42" i="219"/>
  <c r="X40" i="219"/>
  <c r="W40" i="219"/>
  <c r="V40" i="219"/>
  <c r="U40" i="219"/>
  <c r="T40" i="219"/>
  <c r="S40" i="219"/>
  <c r="R40" i="219"/>
  <c r="Q40" i="219"/>
  <c r="K40" i="219"/>
  <c r="J40" i="219"/>
  <c r="I40" i="219"/>
  <c r="H40" i="219"/>
  <c r="G40" i="219"/>
  <c r="F40" i="219"/>
  <c r="E40" i="219"/>
  <c r="D40" i="219"/>
  <c r="X39" i="219"/>
  <c r="W39" i="219"/>
  <c r="V39" i="219"/>
  <c r="U39" i="219"/>
  <c r="S39" i="219"/>
  <c r="R39" i="219"/>
  <c r="Q39" i="219"/>
  <c r="K39" i="219"/>
  <c r="J39" i="219"/>
  <c r="I39" i="219"/>
  <c r="H39" i="219"/>
  <c r="G39" i="219"/>
  <c r="F39" i="219"/>
  <c r="E39" i="219"/>
  <c r="D39" i="219"/>
  <c r="X38" i="219"/>
  <c r="W38" i="219"/>
  <c r="V38" i="219"/>
  <c r="U38" i="219"/>
  <c r="S38" i="219"/>
  <c r="R38" i="219"/>
  <c r="K38" i="219"/>
  <c r="J38" i="219"/>
  <c r="I38" i="219"/>
  <c r="H38" i="219"/>
  <c r="G38" i="219"/>
  <c r="F38" i="219"/>
  <c r="E38" i="219"/>
  <c r="D38" i="219"/>
  <c r="X37" i="219"/>
  <c r="W37" i="219"/>
  <c r="V37" i="219"/>
  <c r="U37" i="219"/>
  <c r="S37" i="219"/>
  <c r="R37" i="219"/>
  <c r="Q37" i="219"/>
  <c r="K37" i="219"/>
  <c r="J37" i="219"/>
  <c r="I37" i="219"/>
  <c r="H37" i="219"/>
  <c r="G37" i="219"/>
  <c r="F37" i="219"/>
  <c r="E37" i="219"/>
  <c r="D37" i="219"/>
  <c r="X36" i="219"/>
  <c r="W36" i="219"/>
  <c r="V36" i="219"/>
  <c r="U36" i="219"/>
  <c r="S36" i="219"/>
  <c r="R36" i="219"/>
  <c r="Q36" i="219"/>
  <c r="K36" i="219"/>
  <c r="J36" i="219"/>
  <c r="I36" i="219"/>
  <c r="H36" i="219"/>
  <c r="G36" i="219"/>
  <c r="F36" i="219"/>
  <c r="E36" i="219"/>
  <c r="D36" i="219"/>
  <c r="X35" i="219"/>
  <c r="W35" i="219"/>
  <c r="V35" i="219"/>
  <c r="U35" i="219"/>
  <c r="S35" i="219"/>
  <c r="R35" i="219"/>
  <c r="Q35" i="219"/>
  <c r="K35" i="219"/>
  <c r="J35" i="219"/>
  <c r="I35" i="219"/>
  <c r="H35" i="219"/>
  <c r="G35" i="219"/>
  <c r="F35" i="219"/>
  <c r="E35" i="219"/>
  <c r="D35" i="219"/>
  <c r="X34" i="219"/>
  <c r="W34" i="219"/>
  <c r="V34" i="219"/>
  <c r="U34" i="219"/>
  <c r="S34" i="219"/>
  <c r="R34" i="219"/>
  <c r="Q34" i="219"/>
  <c r="K34" i="219"/>
  <c r="J34" i="219"/>
  <c r="I34" i="219"/>
  <c r="H34" i="219"/>
  <c r="G34" i="219"/>
  <c r="F34" i="219"/>
  <c r="E34" i="219"/>
  <c r="D34" i="219"/>
  <c r="X33" i="219"/>
  <c r="W33" i="219"/>
  <c r="V33" i="219"/>
  <c r="U33" i="219"/>
  <c r="S33" i="219"/>
  <c r="R33" i="219"/>
  <c r="Q33" i="219"/>
  <c r="K33" i="219"/>
  <c r="J33" i="219"/>
  <c r="I33" i="219"/>
  <c r="H33" i="219"/>
  <c r="G33" i="219"/>
  <c r="F33" i="219"/>
  <c r="E33" i="219"/>
  <c r="D33" i="219"/>
  <c r="X32" i="219"/>
  <c r="W32" i="219"/>
  <c r="V32" i="219"/>
  <c r="U32" i="219"/>
  <c r="S32" i="219"/>
  <c r="R32" i="219"/>
  <c r="Q32" i="219"/>
  <c r="K32" i="219"/>
  <c r="J32" i="219"/>
  <c r="I32" i="219"/>
  <c r="H32" i="219"/>
  <c r="G32" i="219"/>
  <c r="F32" i="219"/>
  <c r="E32" i="219"/>
  <c r="D32" i="219"/>
  <c r="X31" i="219"/>
  <c r="W31" i="219"/>
  <c r="V31" i="219"/>
  <c r="U31" i="219"/>
  <c r="S31" i="219"/>
  <c r="R31" i="219"/>
  <c r="Q31" i="219"/>
  <c r="K31" i="219"/>
  <c r="J31" i="219"/>
  <c r="I31" i="219"/>
  <c r="H31" i="219"/>
  <c r="G31" i="219"/>
  <c r="F31" i="219"/>
  <c r="E31" i="219"/>
  <c r="D31" i="219"/>
  <c r="X30" i="219"/>
  <c r="W30" i="219"/>
  <c r="V30" i="219"/>
  <c r="U30" i="219"/>
  <c r="S30" i="219"/>
  <c r="R30" i="219"/>
  <c r="Q30" i="219"/>
  <c r="K30" i="219"/>
  <c r="J30" i="219"/>
  <c r="I30" i="219"/>
  <c r="H30" i="219"/>
  <c r="G30" i="219"/>
  <c r="F30" i="219"/>
  <c r="E30" i="219"/>
  <c r="D30" i="219"/>
  <c r="X29" i="219"/>
  <c r="W29" i="219"/>
  <c r="V29" i="219"/>
  <c r="U29" i="219"/>
  <c r="S29" i="219"/>
  <c r="R29" i="219"/>
  <c r="Q29" i="219"/>
  <c r="K29" i="219"/>
  <c r="J29" i="219"/>
  <c r="I29" i="219"/>
  <c r="H29" i="219"/>
  <c r="G29" i="219"/>
  <c r="F29" i="219"/>
  <c r="E29" i="219"/>
  <c r="D29" i="219"/>
  <c r="X28" i="219"/>
  <c r="W28" i="219"/>
  <c r="V28" i="219"/>
  <c r="U28" i="219"/>
  <c r="S28" i="219"/>
  <c r="R28" i="219"/>
  <c r="Q28" i="219"/>
  <c r="K28" i="219"/>
  <c r="J28" i="219"/>
  <c r="I28" i="219"/>
  <c r="H28" i="219"/>
  <c r="G28" i="219"/>
  <c r="F28" i="219"/>
  <c r="E28" i="219"/>
  <c r="D28" i="219"/>
  <c r="X27" i="219"/>
  <c r="W27" i="219"/>
  <c r="V27" i="219"/>
  <c r="U27" i="219"/>
  <c r="S27" i="219"/>
  <c r="R27" i="219"/>
  <c r="Q27" i="219"/>
  <c r="K27" i="219"/>
  <c r="J27" i="219"/>
  <c r="I27" i="219"/>
  <c r="H27" i="219"/>
  <c r="G27" i="219"/>
  <c r="F27" i="219"/>
  <c r="E27" i="219"/>
  <c r="D27" i="219"/>
  <c r="B251" i="218"/>
  <c r="B249" i="218"/>
  <c r="B248" i="218"/>
  <c r="B247" i="218"/>
  <c r="B246" i="218"/>
  <c r="B245" i="218"/>
  <c r="B244" i="218"/>
  <c r="B243" i="218"/>
  <c r="B242" i="218"/>
  <c r="B241" i="218"/>
  <c r="B239" i="218"/>
  <c r="Q156" i="218"/>
  <c r="R156" i="218"/>
  <c r="S156" i="218"/>
  <c r="T156" i="218"/>
  <c r="U156" i="218"/>
  <c r="V156" i="218"/>
  <c r="W156" i="218"/>
  <c r="X156" i="218"/>
  <c r="X155" i="218"/>
  <c r="W155" i="218"/>
  <c r="V155" i="218"/>
  <c r="U155" i="218"/>
  <c r="T155" i="218"/>
  <c r="S155" i="218"/>
  <c r="R155" i="218"/>
  <c r="Q155" i="218"/>
  <c r="X185" i="218"/>
  <c r="W185" i="218"/>
  <c r="V185" i="218"/>
  <c r="U185" i="218"/>
  <c r="T185" i="218"/>
  <c r="S185" i="218"/>
  <c r="R185" i="218"/>
  <c r="Q185" i="218"/>
  <c r="K185" i="218"/>
  <c r="J185" i="218"/>
  <c r="I185" i="218"/>
  <c r="H185" i="218"/>
  <c r="G185" i="218"/>
  <c r="F185" i="218"/>
  <c r="E185" i="218"/>
  <c r="D185" i="218"/>
  <c r="X127" i="218"/>
  <c r="W127" i="218"/>
  <c r="V127" i="218"/>
  <c r="U127" i="218"/>
  <c r="T127" i="218"/>
  <c r="S127" i="218"/>
  <c r="R127" i="218"/>
  <c r="Q127" i="218"/>
  <c r="K127" i="218"/>
  <c r="J127" i="218"/>
  <c r="I127" i="218"/>
  <c r="H127" i="218"/>
  <c r="G127" i="218"/>
  <c r="F127" i="218"/>
  <c r="E127" i="218"/>
  <c r="D127" i="218"/>
  <c r="X136" i="218"/>
  <c r="W136" i="218"/>
  <c r="V136" i="218"/>
  <c r="U136" i="218"/>
  <c r="T136" i="218"/>
  <c r="S136" i="218"/>
  <c r="R136" i="218"/>
  <c r="Q136" i="218"/>
  <c r="K136" i="218"/>
  <c r="J136" i="218"/>
  <c r="I136" i="218"/>
  <c r="H136" i="218"/>
  <c r="G136" i="218"/>
  <c r="F136" i="218"/>
  <c r="E136" i="218"/>
  <c r="D136" i="218"/>
  <c r="X142" i="218"/>
  <c r="W142" i="218"/>
  <c r="V142" i="218"/>
  <c r="U142" i="218"/>
  <c r="T142" i="218"/>
  <c r="S142" i="218"/>
  <c r="R142" i="218"/>
  <c r="Q142" i="218"/>
  <c r="K142" i="218"/>
  <c r="J142" i="218"/>
  <c r="I142" i="218"/>
  <c r="H142" i="218"/>
  <c r="G142" i="218"/>
  <c r="F142" i="218"/>
  <c r="E142" i="218"/>
  <c r="D142" i="218"/>
  <c r="X182" i="218"/>
  <c r="W182" i="218"/>
  <c r="V182" i="218"/>
  <c r="U182" i="218"/>
  <c r="T182" i="218"/>
  <c r="S182" i="218"/>
  <c r="R182" i="218"/>
  <c r="Q182" i="218"/>
  <c r="K182" i="218"/>
  <c r="J182" i="218"/>
  <c r="I182" i="218"/>
  <c r="H182" i="218"/>
  <c r="G182" i="218"/>
  <c r="F182" i="218"/>
  <c r="E182" i="218"/>
  <c r="D182" i="218"/>
  <c r="X181" i="218"/>
  <c r="W181" i="218"/>
  <c r="V181" i="218"/>
  <c r="U181" i="218"/>
  <c r="T181" i="218"/>
  <c r="S181" i="218"/>
  <c r="R181" i="218"/>
  <c r="Q181" i="218"/>
  <c r="K181" i="218"/>
  <c r="J181" i="218"/>
  <c r="I181" i="218"/>
  <c r="H181" i="218"/>
  <c r="G181" i="218"/>
  <c r="F181" i="218"/>
  <c r="E181" i="218"/>
  <c r="D181" i="218"/>
  <c r="X184" i="218"/>
  <c r="W184" i="218"/>
  <c r="V184" i="218"/>
  <c r="U184" i="218"/>
  <c r="T184" i="218"/>
  <c r="S184" i="218"/>
  <c r="R184" i="218"/>
  <c r="Q184" i="218"/>
  <c r="K184" i="218"/>
  <c r="J184" i="218"/>
  <c r="I184" i="218"/>
  <c r="H184" i="218"/>
  <c r="G184" i="218"/>
  <c r="F184" i="218"/>
  <c r="E184" i="218"/>
  <c r="D184" i="218"/>
  <c r="D159" i="218"/>
  <c r="E159" i="218"/>
  <c r="F159" i="218"/>
  <c r="G159" i="218"/>
  <c r="H159" i="218"/>
  <c r="I159" i="218"/>
  <c r="J159" i="218"/>
  <c r="K159" i="218"/>
  <c r="X159" i="218"/>
  <c r="W159" i="218"/>
  <c r="V159" i="218"/>
  <c r="U159" i="218"/>
  <c r="T159" i="218"/>
  <c r="S159" i="218"/>
  <c r="R159" i="218"/>
  <c r="Q159" i="218"/>
  <c r="X171" i="218"/>
  <c r="W171" i="218"/>
  <c r="V171" i="218"/>
  <c r="U171" i="218"/>
  <c r="T171" i="218"/>
  <c r="S171" i="218"/>
  <c r="R171" i="218"/>
  <c r="Q171" i="218"/>
  <c r="K171" i="218"/>
  <c r="J171" i="218"/>
  <c r="I171" i="218"/>
  <c r="H171" i="218"/>
  <c r="G171" i="218"/>
  <c r="F171" i="218"/>
  <c r="E171" i="218"/>
  <c r="D171" i="218"/>
  <c r="X170" i="218"/>
  <c r="W170" i="218"/>
  <c r="V170" i="218"/>
  <c r="U170" i="218"/>
  <c r="T170" i="218"/>
  <c r="S170" i="218"/>
  <c r="R170" i="218"/>
  <c r="Q170" i="218"/>
  <c r="K170" i="218"/>
  <c r="J170" i="218"/>
  <c r="I170" i="218"/>
  <c r="H170" i="218"/>
  <c r="G170" i="218"/>
  <c r="F170" i="218"/>
  <c r="E170" i="218"/>
  <c r="D170" i="218"/>
  <c r="X120" i="218"/>
  <c r="W120" i="218"/>
  <c r="V120" i="218"/>
  <c r="U120" i="218"/>
  <c r="T120" i="218"/>
  <c r="S120" i="218"/>
  <c r="R120" i="218"/>
  <c r="Q120" i="218"/>
  <c r="X113" i="218"/>
  <c r="W113" i="218"/>
  <c r="V113" i="218"/>
  <c r="U113" i="218"/>
  <c r="T113" i="218"/>
  <c r="S113" i="218"/>
  <c r="R113" i="218"/>
  <c r="Q113" i="218"/>
  <c r="X92" i="218"/>
  <c r="W92" i="218"/>
  <c r="V92" i="218"/>
  <c r="U92" i="218"/>
  <c r="T92" i="218"/>
  <c r="S92" i="218"/>
  <c r="R92" i="218"/>
  <c r="Q92" i="218"/>
  <c r="X87" i="218"/>
  <c r="W87" i="218"/>
  <c r="V87" i="218"/>
  <c r="U87" i="218"/>
  <c r="T87" i="218"/>
  <c r="S87" i="218"/>
  <c r="R87" i="218"/>
  <c r="Q87" i="218"/>
  <c r="X79" i="218"/>
  <c r="W79" i="218"/>
  <c r="V79" i="218"/>
  <c r="U79" i="218"/>
  <c r="T79" i="218"/>
  <c r="S79" i="218"/>
  <c r="R79" i="218"/>
  <c r="Q79" i="218"/>
  <c r="X78" i="218"/>
  <c r="W78" i="218"/>
  <c r="V78" i="218"/>
  <c r="U78" i="218"/>
  <c r="T78" i="218"/>
  <c r="S78" i="218"/>
  <c r="R78" i="218"/>
  <c r="Q78" i="218"/>
  <c r="X122" i="218"/>
  <c r="W122" i="218"/>
  <c r="V122" i="218"/>
  <c r="U122" i="218"/>
  <c r="T122" i="218"/>
  <c r="S122" i="218"/>
  <c r="R122" i="218"/>
  <c r="Q122" i="218"/>
  <c r="X59" i="218"/>
  <c r="W59" i="218"/>
  <c r="V59" i="218"/>
  <c r="U59" i="218"/>
  <c r="T59" i="218"/>
  <c r="S59" i="218"/>
  <c r="R59" i="218"/>
  <c r="Q59" i="218"/>
  <c r="X49" i="218"/>
  <c r="W49" i="218"/>
  <c r="V49" i="218"/>
  <c r="U49" i="218"/>
  <c r="T49" i="218"/>
  <c r="S49" i="218"/>
  <c r="R49" i="218"/>
  <c r="Q49" i="218"/>
  <c r="X48" i="218"/>
  <c r="W48" i="218"/>
  <c r="V48" i="218"/>
  <c r="U48" i="218"/>
  <c r="T48" i="218"/>
  <c r="S48" i="218"/>
  <c r="R48" i="218"/>
  <c r="Q48" i="218"/>
  <c r="X47" i="218"/>
  <c r="W47" i="218"/>
  <c r="V47" i="218"/>
  <c r="U47" i="218"/>
  <c r="T47" i="218"/>
  <c r="S47" i="218"/>
  <c r="R47" i="218"/>
  <c r="Q47" i="218"/>
  <c r="X46" i="218"/>
  <c r="W46" i="218"/>
  <c r="V46" i="218"/>
  <c r="U46" i="218"/>
  <c r="T46" i="218"/>
  <c r="S46" i="218"/>
  <c r="R46" i="218"/>
  <c r="Q46" i="218"/>
  <c r="X45" i="218"/>
  <c r="W45" i="218"/>
  <c r="V45" i="218"/>
  <c r="U45" i="218"/>
  <c r="T45" i="218"/>
  <c r="S45" i="218"/>
  <c r="R45" i="218"/>
  <c r="Q45" i="218"/>
  <c r="X44" i="218"/>
  <c r="W44" i="218"/>
  <c r="V44" i="218"/>
  <c r="U44" i="218"/>
  <c r="T44" i="218"/>
  <c r="S44" i="218"/>
  <c r="R44" i="218"/>
  <c r="Q44" i="218"/>
  <c r="X43" i="218"/>
  <c r="W43" i="218"/>
  <c r="V43" i="218"/>
  <c r="U43" i="218"/>
  <c r="T43" i="218"/>
  <c r="S43" i="218"/>
  <c r="R43" i="218"/>
  <c r="Q43" i="218"/>
  <c r="X42" i="218"/>
  <c r="W42" i="218"/>
  <c r="V42" i="218"/>
  <c r="U42" i="218"/>
  <c r="T42" i="218"/>
  <c r="S42" i="218"/>
  <c r="R42" i="218"/>
  <c r="Q42" i="218"/>
  <c r="X41" i="218"/>
  <c r="W41" i="218"/>
  <c r="V41" i="218"/>
  <c r="U41" i="218"/>
  <c r="T41" i="218"/>
  <c r="S41" i="218"/>
  <c r="R41" i="218"/>
  <c r="Q41" i="218"/>
  <c r="Q50" i="218"/>
  <c r="R50" i="218"/>
  <c r="S50" i="218"/>
  <c r="T50" i="218"/>
  <c r="U50" i="218"/>
  <c r="V50" i="218"/>
  <c r="W50" i="218"/>
  <c r="X50" i="218"/>
  <c r="X40" i="218"/>
  <c r="W40" i="218"/>
  <c r="V40" i="218"/>
  <c r="U40" i="218"/>
  <c r="T40" i="218"/>
  <c r="S40" i="218"/>
  <c r="R40" i="218"/>
  <c r="Q40" i="218"/>
  <c r="X39" i="218"/>
  <c r="W39" i="218"/>
  <c r="V39" i="218"/>
  <c r="U39" i="218"/>
  <c r="T39" i="218"/>
  <c r="S39" i="218"/>
  <c r="R39" i="218"/>
  <c r="Q39" i="218"/>
  <c r="X38" i="218"/>
  <c r="W38" i="218"/>
  <c r="V38" i="218"/>
  <c r="U38" i="218"/>
  <c r="T38" i="218"/>
  <c r="S38" i="218"/>
  <c r="R38" i="218"/>
  <c r="Q38" i="218"/>
  <c r="Q29" i="218"/>
  <c r="R29" i="218"/>
  <c r="S29" i="218"/>
  <c r="T29" i="218"/>
  <c r="U29" i="218"/>
  <c r="V29" i="218"/>
  <c r="W29" i="218"/>
  <c r="X29" i="218"/>
  <c r="D59" i="218"/>
  <c r="E59" i="218"/>
  <c r="F59" i="218"/>
  <c r="G59" i="218"/>
  <c r="H59" i="218"/>
  <c r="I59" i="218"/>
  <c r="J59" i="218"/>
  <c r="K59" i="218"/>
  <c r="D38" i="218"/>
  <c r="E38" i="218"/>
  <c r="F38" i="218"/>
  <c r="G38" i="218"/>
  <c r="H38" i="218"/>
  <c r="I38" i="218"/>
  <c r="J38" i="218"/>
  <c r="K38" i="218"/>
  <c r="D29" i="218"/>
  <c r="E29" i="218"/>
  <c r="F29" i="218"/>
  <c r="G29" i="218"/>
  <c r="H29" i="218"/>
  <c r="I29" i="218"/>
  <c r="J29" i="218"/>
  <c r="K29" i="218"/>
  <c r="J42" i="218"/>
  <c r="G42" i="218"/>
  <c r="F42" i="218"/>
  <c r="F68" i="218"/>
  <c r="E42" i="218"/>
  <c r="D67" i="218"/>
  <c r="D42" i="218"/>
  <c r="H42" i="218"/>
  <c r="I42" i="218"/>
  <c r="K42" i="218"/>
  <c r="Z18" i="218"/>
  <c r="Z19" i="218"/>
  <c r="Z17" i="218"/>
  <c r="X18" i="218"/>
  <c r="X19" i="218"/>
  <c r="X17" i="218"/>
  <c r="W18" i="218"/>
  <c r="W19" i="218"/>
  <c r="W17" i="218"/>
  <c r="V18" i="218"/>
  <c r="V19" i="218"/>
  <c r="V17" i="218"/>
  <c r="T18" i="218"/>
  <c r="T19" i="218"/>
  <c r="T17" i="218"/>
  <c r="S18" i="218"/>
  <c r="S19" i="218"/>
  <c r="S17" i="218"/>
  <c r="R18" i="218"/>
  <c r="R19" i="218"/>
  <c r="R17" i="218"/>
  <c r="Q18" i="218"/>
  <c r="Q19" i="218"/>
  <c r="Q17" i="218"/>
  <c r="P18" i="218"/>
  <c r="P19" i="218"/>
  <c r="P17" i="218"/>
  <c r="O18" i="218"/>
  <c r="O19" i="218"/>
  <c r="O17" i="218"/>
  <c r="N18" i="218"/>
  <c r="N19" i="218"/>
  <c r="N17" i="218"/>
  <c r="L18" i="218"/>
  <c r="L19" i="218"/>
  <c r="L17" i="218"/>
  <c r="J18" i="218"/>
  <c r="J19" i="218"/>
  <c r="J17" i="218"/>
  <c r="I18" i="218"/>
  <c r="I19" i="218"/>
  <c r="I17" i="218"/>
  <c r="H18" i="218"/>
  <c r="H19" i="218"/>
  <c r="H17" i="218"/>
  <c r="F18" i="218"/>
  <c r="F19" i="218"/>
  <c r="F17" i="218"/>
  <c r="E18" i="218"/>
  <c r="E19" i="218"/>
  <c r="E17" i="218"/>
  <c r="D19" i="218"/>
  <c r="D18" i="218"/>
  <c r="D17" i="218"/>
  <c r="B18" i="218"/>
  <c r="B19" i="218"/>
  <c r="B17" i="218"/>
  <c r="B22" i="218"/>
  <c r="D22" i="218"/>
  <c r="E22" i="218"/>
  <c r="F22" i="218"/>
  <c r="H22" i="218"/>
  <c r="I22" i="218"/>
  <c r="J22" i="218"/>
  <c r="L22" i="218"/>
  <c r="N22" i="218"/>
  <c r="O22" i="218"/>
  <c r="P22" i="218"/>
  <c r="Q22" i="218"/>
  <c r="R22" i="218"/>
  <c r="S22" i="218"/>
  <c r="T22" i="218"/>
  <c r="V22" i="218"/>
  <c r="W22" i="218"/>
  <c r="X22" i="218"/>
  <c r="B271" i="219" l="1"/>
  <c r="B219" i="219"/>
  <c r="B274" i="219"/>
  <c r="B222" i="219"/>
  <c r="B240" i="218"/>
  <c r="B212" i="219"/>
  <c r="B262" i="219"/>
  <c r="B213" i="219"/>
  <c r="B264" i="219"/>
  <c r="B215" i="219"/>
  <c r="B4" i="221" s="1"/>
  <c r="B265" i="219"/>
  <c r="B216" i="219"/>
  <c r="B270" i="219"/>
  <c r="B218" i="219"/>
  <c r="B273" i="219"/>
  <c r="B221" i="219"/>
  <c r="B250" i="218"/>
  <c r="B252" i="218"/>
  <c r="B253" i="218"/>
  <c r="B261" i="219"/>
  <c r="L200" i="219"/>
  <c r="L177" i="219"/>
  <c r="I210" i="219"/>
  <c r="H133" i="219"/>
  <c r="E133" i="219"/>
  <c r="Y31" i="219"/>
  <c r="Y38" i="219"/>
  <c r="Y32" i="219"/>
  <c r="L204" i="219"/>
  <c r="Y177" i="219"/>
  <c r="Y191" i="219"/>
  <c r="L198" i="219"/>
  <c r="Y170" i="219"/>
  <c r="Y184" i="219"/>
  <c r="Y185" i="219"/>
  <c r="L189" i="219"/>
  <c r="Y207" i="219"/>
  <c r="L145" i="219"/>
  <c r="L176" i="219"/>
  <c r="Y179" i="219"/>
  <c r="L183" i="219"/>
  <c r="L147" i="219"/>
  <c r="L190" i="219"/>
  <c r="L209" i="219"/>
  <c r="F133" i="219"/>
  <c r="I133" i="219"/>
  <c r="Y96" i="219"/>
  <c r="Y119" i="219"/>
  <c r="Y79" i="219"/>
  <c r="Y82" i="219"/>
  <c r="L28" i="219"/>
  <c r="L58" i="219"/>
  <c r="L61" i="219"/>
  <c r="L70" i="219"/>
  <c r="Y103" i="219"/>
  <c r="Y111" i="219"/>
  <c r="Y117" i="219"/>
  <c r="Y76" i="219"/>
  <c r="Y88" i="219"/>
  <c r="L92" i="219"/>
  <c r="Y62" i="219"/>
  <c r="Y67" i="219"/>
  <c r="Y70" i="219"/>
  <c r="Y87" i="219"/>
  <c r="Y63" i="219"/>
  <c r="L65" i="219"/>
  <c r="Y89" i="219"/>
  <c r="Y55" i="219"/>
  <c r="Y43" i="219"/>
  <c r="Y48" i="219"/>
  <c r="Y51" i="219"/>
  <c r="L62" i="219"/>
  <c r="Y136" i="219"/>
  <c r="S74" i="219"/>
  <c r="Y39" i="219"/>
  <c r="V74" i="219"/>
  <c r="L33" i="219"/>
  <c r="L40" i="219"/>
  <c r="L49" i="219"/>
  <c r="L56" i="219"/>
  <c r="L112" i="219"/>
  <c r="Y120" i="219"/>
  <c r="Y125" i="219"/>
  <c r="Y127" i="219"/>
  <c r="F210" i="219"/>
  <c r="L136" i="219"/>
  <c r="Y30" i="219"/>
  <c r="Y109" i="219"/>
  <c r="G210" i="219"/>
  <c r="Y37" i="219"/>
  <c r="Y46" i="219"/>
  <c r="Y53" i="219"/>
  <c r="Y97" i="219"/>
  <c r="Y122" i="219"/>
  <c r="Y130" i="219"/>
  <c r="H210" i="219"/>
  <c r="L139" i="219"/>
  <c r="L38" i="219"/>
  <c r="Y49" i="219"/>
  <c r="L59" i="219"/>
  <c r="T133" i="219"/>
  <c r="Y102" i="219"/>
  <c r="Y106" i="219"/>
  <c r="T210" i="219"/>
  <c r="L150" i="219"/>
  <c r="L171" i="219"/>
  <c r="L184" i="219"/>
  <c r="L195" i="219"/>
  <c r="L32" i="219"/>
  <c r="L39" i="219"/>
  <c r="H74" i="219"/>
  <c r="K74" i="219"/>
  <c r="Y28" i="219"/>
  <c r="L47" i="219"/>
  <c r="Y56" i="219"/>
  <c r="Y69" i="219"/>
  <c r="L73" i="219"/>
  <c r="Y73" i="219"/>
  <c r="U133" i="219"/>
  <c r="Y94" i="219"/>
  <c r="Y99" i="219"/>
  <c r="Y118" i="219"/>
  <c r="Y123" i="219"/>
  <c r="Y131" i="219"/>
  <c r="U210" i="219"/>
  <c r="L157" i="219"/>
  <c r="Y175" i="219"/>
  <c r="Y180" i="219"/>
  <c r="Y181" i="219"/>
  <c r="L199" i="219"/>
  <c r="D74" i="219"/>
  <c r="G74" i="219"/>
  <c r="L34" i="219"/>
  <c r="L48" i="219"/>
  <c r="T74" i="219"/>
  <c r="U74" i="219"/>
  <c r="Y35" i="219"/>
  <c r="L54" i="219"/>
  <c r="V133" i="219"/>
  <c r="Y83" i="219"/>
  <c r="V210" i="219"/>
  <c r="L142" i="219"/>
  <c r="L156" i="219"/>
  <c r="L165" i="219"/>
  <c r="L178" i="219"/>
  <c r="L191" i="219"/>
  <c r="L203" i="219"/>
  <c r="L67" i="219"/>
  <c r="L76" i="219"/>
  <c r="Y85" i="219"/>
  <c r="Y90" i="219"/>
  <c r="Y113" i="219"/>
  <c r="D210" i="219"/>
  <c r="W210" i="219"/>
  <c r="L151" i="219"/>
  <c r="L164" i="219"/>
  <c r="L173" i="219"/>
  <c r="Y182" i="219"/>
  <c r="Y187" i="219"/>
  <c r="Y188" i="219"/>
  <c r="L208" i="219"/>
  <c r="X133" i="219"/>
  <c r="Y114" i="219"/>
  <c r="E210" i="219"/>
  <c r="X210" i="219"/>
  <c r="L158" i="219"/>
  <c r="L172" i="219"/>
  <c r="Y173" i="219"/>
  <c r="L185" i="219"/>
  <c r="L166" i="219"/>
  <c r="L180" i="219"/>
  <c r="Y189" i="219"/>
  <c r="L201" i="219"/>
  <c r="Y58" i="219"/>
  <c r="G133" i="219"/>
  <c r="Y92" i="219"/>
  <c r="Y129" i="219"/>
  <c r="L153" i="219"/>
  <c r="L174" i="219"/>
  <c r="Y176" i="219"/>
  <c r="L179" i="219"/>
  <c r="L192" i="219"/>
  <c r="W74" i="219"/>
  <c r="Y34" i="219"/>
  <c r="L69" i="219"/>
  <c r="Y72" i="219"/>
  <c r="Y81" i="219"/>
  <c r="Y93" i="219"/>
  <c r="Y98" i="219"/>
  <c r="L160" i="219"/>
  <c r="Y171" i="219"/>
  <c r="L187" i="219"/>
  <c r="L53" i="219"/>
  <c r="Y36" i="219"/>
  <c r="Y107" i="219"/>
  <c r="L154" i="219"/>
  <c r="L167" i="219"/>
  <c r="L169" i="219"/>
  <c r="L175" i="219"/>
  <c r="L181" i="219"/>
  <c r="Y183" i="219"/>
  <c r="L186" i="219"/>
  <c r="L202" i="219"/>
  <c r="X74" i="219"/>
  <c r="F74" i="219"/>
  <c r="I74" i="219"/>
  <c r="L29" i="219"/>
  <c r="L43" i="219"/>
  <c r="Y44" i="219"/>
  <c r="Y47" i="219"/>
  <c r="L50" i="219"/>
  <c r="L55" i="219"/>
  <c r="L57" i="219"/>
  <c r="Y57" i="219"/>
  <c r="L60" i="219"/>
  <c r="Y65" i="219"/>
  <c r="J133" i="219"/>
  <c r="Y95" i="219"/>
  <c r="Y100" i="219"/>
  <c r="Y101" i="219"/>
  <c r="Y108" i="219"/>
  <c r="Y112" i="219"/>
  <c r="Y124" i="219"/>
  <c r="Y132" i="219"/>
  <c r="J210" i="219"/>
  <c r="L162" i="219"/>
  <c r="Y172" i="219"/>
  <c r="Y178" i="219"/>
  <c r="L182" i="219"/>
  <c r="L197" i="219"/>
  <c r="L36" i="219"/>
  <c r="Y52" i="219"/>
  <c r="Y54" i="219"/>
  <c r="Y60" i="219"/>
  <c r="L63" i="219"/>
  <c r="K133" i="219"/>
  <c r="K210" i="219"/>
  <c r="L143" i="219"/>
  <c r="L170" i="219"/>
  <c r="L188" i="219"/>
  <c r="Y190" i="219"/>
  <c r="Y208" i="219"/>
  <c r="E74" i="219"/>
  <c r="L46" i="219"/>
  <c r="Y42" i="219"/>
  <c r="L42" i="219"/>
  <c r="Y50" i="219"/>
  <c r="L35" i="219"/>
  <c r="L44" i="219"/>
  <c r="Q133" i="219"/>
  <c r="Y86" i="219"/>
  <c r="Y91" i="219"/>
  <c r="Y110" i="219"/>
  <c r="Y126" i="219"/>
  <c r="Y135" i="219"/>
  <c r="L140" i="219"/>
  <c r="L152" i="219"/>
  <c r="L37" i="219"/>
  <c r="Y29" i="219"/>
  <c r="Q74" i="219"/>
  <c r="Y33" i="219"/>
  <c r="L52" i="219"/>
  <c r="Y59" i="219"/>
  <c r="Y61" i="219"/>
  <c r="L64" i="219"/>
  <c r="Y64" i="219"/>
  <c r="L68" i="219"/>
  <c r="R133" i="219"/>
  <c r="Y115" i="219"/>
  <c r="R210" i="219"/>
  <c r="L148" i="219"/>
  <c r="L149" i="219"/>
  <c r="L155" i="219"/>
  <c r="L159" i="219"/>
  <c r="L30" i="219"/>
  <c r="J74" i="219"/>
  <c r="R74" i="219"/>
  <c r="L31" i="219"/>
  <c r="Y40" i="219"/>
  <c r="L51" i="219"/>
  <c r="Y68" i="219"/>
  <c r="L72" i="219"/>
  <c r="S133" i="219"/>
  <c r="Y80" i="219"/>
  <c r="Y105" i="219"/>
  <c r="Y116" i="219"/>
  <c r="Y121" i="219"/>
  <c r="S210" i="219"/>
  <c r="L141" i="219"/>
  <c r="L163" i="219"/>
  <c r="Y174" i="219"/>
  <c r="Y186" i="219"/>
  <c r="Y192" i="219"/>
  <c r="L207" i="219"/>
  <c r="Y209" i="219"/>
  <c r="D133" i="219"/>
  <c r="L135" i="219"/>
  <c r="W133" i="219"/>
  <c r="L27" i="219"/>
  <c r="Y27" i="219"/>
  <c r="Q210" i="219"/>
  <c r="Y155" i="218"/>
  <c r="Y156" i="218"/>
  <c r="Y185" i="218"/>
  <c r="L185" i="218"/>
  <c r="Y127" i="218"/>
  <c r="L127" i="218"/>
  <c r="Y136" i="218"/>
  <c r="L136" i="218"/>
  <c r="Y142" i="218"/>
  <c r="L142" i="218"/>
  <c r="Y182" i="218"/>
  <c r="L182" i="218"/>
  <c r="Y181" i="218"/>
  <c r="L181" i="218"/>
  <c r="Y184" i="218"/>
  <c r="L184" i="218"/>
  <c r="Y159" i="218"/>
  <c r="L159" i="218"/>
  <c r="Y171" i="218"/>
  <c r="L171" i="218"/>
  <c r="Y170" i="218"/>
  <c r="L170" i="218"/>
  <c r="Y120" i="218"/>
  <c r="Y113" i="218"/>
  <c r="Y92" i="218"/>
  <c r="Y87" i="218"/>
  <c r="Y79" i="218"/>
  <c r="Y78" i="218"/>
  <c r="Y122" i="218"/>
  <c r="Y59" i="218"/>
  <c r="Y44" i="218"/>
  <c r="Y48" i="218"/>
  <c r="Y39" i="218"/>
  <c r="Y45" i="218"/>
  <c r="Y43" i="218"/>
  <c r="Y49" i="218"/>
  <c r="Y40" i="218"/>
  <c r="Y42" i="218"/>
  <c r="Y46" i="218"/>
  <c r="Y47" i="218"/>
  <c r="Y41" i="218"/>
  <c r="Y38" i="218"/>
  <c r="Y50" i="218"/>
  <c r="Y29" i="218"/>
  <c r="L59" i="218"/>
  <c r="L38" i="218"/>
  <c r="L29" i="218"/>
  <c r="L42" i="218"/>
  <c r="B6" i="221" l="1"/>
  <c r="B5" i="221"/>
  <c r="L133" i="219"/>
  <c r="M112" i="219" s="1"/>
  <c r="Y210" i="219"/>
  <c r="Y133" i="219"/>
  <c r="Y74" i="219"/>
  <c r="Z71" i="219" s="1" a="1"/>
  <c r="Z71" i="219" s="1"/>
  <c r="L74" i="219"/>
  <c r="L210" i="219"/>
  <c r="M146" i="219" s="1" a="1"/>
  <c r="M146" i="219" s="1"/>
  <c r="A343" i="203"/>
  <c r="B238" i="218" s="1"/>
  <c r="A342" i="203"/>
  <c r="B237" i="218" s="1"/>
  <c r="A341" i="203"/>
  <c r="B236" i="218" s="1"/>
  <c r="A340" i="203"/>
  <c r="B235" i="218" s="1"/>
  <c r="A339" i="203"/>
  <c r="B234" i="218" s="1"/>
  <c r="A338" i="203"/>
  <c r="B233" i="218" s="1"/>
  <c r="A337" i="203"/>
  <c r="B232" i="218" s="1"/>
  <c r="A336" i="203"/>
  <c r="B231" i="218" s="1"/>
  <c r="A335" i="203"/>
  <c r="B230" i="218" s="1"/>
  <c r="A334" i="203"/>
  <c r="B229" i="218" s="1"/>
  <c r="A333" i="203"/>
  <c r="B228" i="218" s="1"/>
  <c r="A332" i="203"/>
  <c r="B227" i="218" s="1"/>
  <c r="A331" i="203"/>
  <c r="B226" i="218" s="1"/>
  <c r="A330" i="203"/>
  <c r="B225" i="218" s="1"/>
  <c r="A329" i="203"/>
  <c r="B224" i="218" s="1"/>
  <c r="Z195" i="219" l="1" a="1"/>
  <c r="Z195" i="219" s="1"/>
  <c r="Z200" i="219" a="1"/>
  <c r="Z200" i="219" s="1"/>
  <c r="Z205" i="219" a="1"/>
  <c r="Z205" i="219" s="1"/>
  <c r="Z196" i="219" a="1"/>
  <c r="Z196" i="219" s="1"/>
  <c r="Z201" i="219" a="1"/>
  <c r="Z201" i="219" s="1"/>
  <c r="Z197" i="219" a="1"/>
  <c r="Z197" i="219" s="1"/>
  <c r="Z202" i="219" a="1"/>
  <c r="Z202" i="219" s="1"/>
  <c r="Z198" i="219" a="1"/>
  <c r="Z198" i="219" s="1"/>
  <c r="Z203" i="219" a="1"/>
  <c r="Z203" i="219" s="1"/>
  <c r="Z199" i="219" a="1"/>
  <c r="Z199" i="219" s="1"/>
  <c r="Z204" i="219" a="1"/>
  <c r="Z204" i="219" s="1"/>
  <c r="Z165" i="219" a="1"/>
  <c r="Z165" i="219" s="1"/>
  <c r="Z164" i="219" a="1"/>
  <c r="Z164" i="219" s="1"/>
  <c r="Z167" i="219" a="1"/>
  <c r="Z167" i="219" s="1"/>
  <c r="Z169" i="219" a="1"/>
  <c r="Z169" i="219" s="1"/>
  <c r="Z166" i="219" a="1"/>
  <c r="Z166" i="219" s="1"/>
  <c r="Z168" i="219" a="1"/>
  <c r="Z168" i="219" s="1"/>
  <c r="Z158" i="219" a="1"/>
  <c r="Z158" i="219" s="1"/>
  <c r="Z159" i="219" a="1"/>
  <c r="Z159" i="219" s="1"/>
  <c r="Z161" i="219" a="1"/>
  <c r="Z161" i="219" s="1"/>
  <c r="Z160" i="219" a="1"/>
  <c r="Z160" i="219" s="1"/>
  <c r="Z163" i="219" a="1"/>
  <c r="Z163" i="219" s="1"/>
  <c r="Z162" i="219" a="1"/>
  <c r="Z162" i="219" s="1"/>
  <c r="Z155" i="219" a="1"/>
  <c r="Z155" i="219" s="1"/>
  <c r="Z144" i="219" a="1"/>
  <c r="Z144" i="219" s="1"/>
  <c r="Z156" i="219" a="1"/>
  <c r="Z156" i="219" s="1"/>
  <c r="Z154" i="219" a="1"/>
  <c r="Z154" i="219" s="1"/>
  <c r="Z146" i="219" a="1"/>
  <c r="Z146" i="219" s="1"/>
  <c r="Z147" i="219" a="1"/>
  <c r="Z147" i="219" s="1"/>
  <c r="Z150" i="219" a="1"/>
  <c r="Z150" i="219" s="1"/>
  <c r="Z157" i="219" a="1"/>
  <c r="Z157" i="219" s="1"/>
  <c r="Z149" i="219" a="1"/>
  <c r="Z149" i="219" s="1"/>
  <c r="Z148" i="219" a="1"/>
  <c r="Z148" i="219" s="1"/>
  <c r="Z153" i="219" a="1"/>
  <c r="Z153" i="219" s="1"/>
  <c r="Z143" i="219" a="1"/>
  <c r="Z143" i="219" s="1"/>
  <c r="Z152" i="219" a="1"/>
  <c r="Z152" i="219" s="1"/>
  <c r="Z142" i="219" a="1"/>
  <c r="Z142" i="219" s="1"/>
  <c r="Z145" i="219" a="1"/>
  <c r="Z145" i="219" s="1"/>
  <c r="Z151" i="219" a="1"/>
  <c r="Z151" i="219" s="1"/>
  <c r="Z137" i="219" a="1"/>
  <c r="Z137" i="219" s="1"/>
  <c r="Z141" i="219" a="1"/>
  <c r="Z141" i="219" s="1"/>
  <c r="Z139" i="219" a="1"/>
  <c r="Z139" i="219" s="1"/>
  <c r="Z140" i="219" a="1"/>
  <c r="Z140" i="219" s="1"/>
  <c r="Z138" i="219" a="1"/>
  <c r="Z138" i="219" s="1"/>
  <c r="M205" i="219" a="1"/>
  <c r="M205" i="219" s="1"/>
  <c r="M137" i="219" a="1"/>
  <c r="M137" i="219" s="1"/>
  <c r="M138" i="219" a="1"/>
  <c r="M138" i="219" s="1"/>
  <c r="M196" i="219" a="1"/>
  <c r="M196" i="219" s="1"/>
  <c r="M144" i="219" a="1"/>
  <c r="M144" i="219" s="1"/>
  <c r="M161" i="219" a="1"/>
  <c r="M161" i="219" s="1"/>
  <c r="M168" i="219" a="1"/>
  <c r="M168" i="219" s="1"/>
  <c r="M193" i="219" a="1"/>
  <c r="M193" i="219" s="1"/>
  <c r="M194" i="219" a="1"/>
  <c r="M194" i="219" s="1"/>
  <c r="Z193" i="219" a="1"/>
  <c r="Z193" i="219" s="1"/>
  <c r="Z194" i="219" a="1"/>
  <c r="Z194" i="219" s="1"/>
  <c r="M135" i="219" a="1"/>
  <c r="M135" i="219" s="1"/>
  <c r="M206" i="219" a="1"/>
  <c r="M206" i="219" s="1"/>
  <c r="Z206" i="219" a="1"/>
  <c r="Z206" i="219" s="1"/>
  <c r="Z104" i="219" a="1"/>
  <c r="Z104" i="219" s="1"/>
  <c r="Z128" i="219" a="1"/>
  <c r="Z128" i="219" s="1"/>
  <c r="Z78" i="219" a="1"/>
  <c r="Z78" i="219" s="1"/>
  <c r="Z84" i="219" a="1"/>
  <c r="Z84" i="219" s="1"/>
  <c r="Z96" i="219" a="1"/>
  <c r="Z96" i="219" s="1"/>
  <c r="Z77" i="219" a="1"/>
  <c r="Z77" i="219" s="1"/>
  <c r="M66" i="219" a="1"/>
  <c r="M66" i="219" s="1"/>
  <c r="M71" i="219" a="1"/>
  <c r="M71" i="219" s="1"/>
  <c r="Z45" i="219" a="1"/>
  <c r="Z45" i="219" s="1"/>
  <c r="Z66" i="219" a="1"/>
  <c r="Z66" i="219" s="1"/>
  <c r="M41" i="219" a="1"/>
  <c r="M41" i="219" s="1"/>
  <c r="M45" i="219" a="1"/>
  <c r="M45" i="219" s="1"/>
  <c r="Z27" i="219" a="1"/>
  <c r="Z27" i="219" s="1"/>
  <c r="Z41" i="219" a="1"/>
  <c r="Z41" i="219" s="1"/>
  <c r="Z208" i="219" a="1"/>
  <c r="Z208" i="219" s="1"/>
  <c r="M76" i="219" a="1"/>
  <c r="M76" i="219" s="1"/>
  <c r="M92" i="219"/>
  <c r="Z177" i="219" a="1"/>
  <c r="Z177" i="219" s="1"/>
  <c r="Z207" i="219" a="1"/>
  <c r="Z207" i="219" s="1"/>
  <c r="Z178" i="219" a="1"/>
  <c r="Z178" i="219" s="1"/>
  <c r="Z171" i="219" a="1"/>
  <c r="Z171" i="219" s="1"/>
  <c r="Z185" i="219" a="1"/>
  <c r="Z185" i="219" s="1"/>
  <c r="Z209" i="219" a="1"/>
  <c r="Z209" i="219" s="1"/>
  <c r="Z183" i="219" a="1"/>
  <c r="Z183" i="219" s="1"/>
  <c r="Z190" i="219" a="1"/>
  <c r="Z190" i="219" s="1"/>
  <c r="Z188" i="219" a="1"/>
  <c r="Z188" i="219" s="1"/>
  <c r="Z98" i="219" a="1"/>
  <c r="Z98" i="219" s="1"/>
  <c r="Z87" i="219" a="1"/>
  <c r="Z87" i="219" s="1"/>
  <c r="Z88" i="219" a="1"/>
  <c r="Z88" i="219" s="1"/>
  <c r="Z83" i="219" a="1"/>
  <c r="Z83" i="219" s="1"/>
  <c r="Z102" i="219" a="1"/>
  <c r="Z102" i="219" s="1"/>
  <c r="Z99" i="219" a="1"/>
  <c r="Z99" i="219" s="1"/>
  <c r="Z80" i="219" a="1"/>
  <c r="Z80" i="219" s="1"/>
  <c r="Z119" i="219" a="1"/>
  <c r="Z119" i="219" s="1"/>
  <c r="Z117" i="219" a="1"/>
  <c r="Z117" i="219" s="1"/>
  <c r="Z90" i="219" a="1"/>
  <c r="Z90" i="219" s="1"/>
  <c r="Z108" i="219" a="1"/>
  <c r="Z108" i="219" s="1"/>
  <c r="Z192" i="219" a="1"/>
  <c r="Z192" i="219" s="1"/>
  <c r="Z182" i="219" a="1"/>
  <c r="Z182" i="219" s="1"/>
  <c r="Z131" i="219" a="1"/>
  <c r="Z131" i="219" s="1"/>
  <c r="Z127" i="219" a="1"/>
  <c r="Z127" i="219" s="1"/>
  <c r="Z175" i="219" a="1"/>
  <c r="Z175" i="219" s="1"/>
  <c r="Z187" i="219" a="1"/>
  <c r="Z187" i="219" s="1"/>
  <c r="Z115" i="219" a="1"/>
  <c r="Z115" i="219" s="1"/>
  <c r="Z125" i="219" a="1"/>
  <c r="Z125" i="219" s="1"/>
  <c r="Z179" i="219" a="1"/>
  <c r="Z179" i="219" s="1"/>
  <c r="Z176" i="219" a="1"/>
  <c r="Z176" i="219" s="1"/>
  <c r="Z135" i="219" a="1"/>
  <c r="Z135" i="219" s="1"/>
  <c r="Z93" i="219" a="1"/>
  <c r="Z93" i="219" s="1"/>
  <c r="Z95" i="219" a="1"/>
  <c r="Z95" i="219" s="1"/>
  <c r="Z89" i="219" a="1"/>
  <c r="Z89" i="219" s="1"/>
  <c r="Z136" i="219" a="1"/>
  <c r="Z136" i="219" s="1"/>
  <c r="Z121" i="219" a="1"/>
  <c r="Z121" i="219" s="1"/>
  <c r="Z81" i="219" a="1"/>
  <c r="Z81" i="219" s="1"/>
  <c r="Z86" i="219" a="1"/>
  <c r="Z86" i="219" s="1"/>
  <c r="Z100" i="219" a="1"/>
  <c r="Z100" i="219" s="1"/>
  <c r="Z91" i="219" a="1"/>
  <c r="Z91" i="219" s="1"/>
  <c r="Z132" i="219" a="1"/>
  <c r="Z132" i="219" s="1"/>
  <c r="Z114" i="219" a="1"/>
  <c r="Z114" i="219" s="1"/>
  <c r="Z85" i="219" a="1"/>
  <c r="Z85" i="219" s="1"/>
  <c r="Z76" i="219" a="1"/>
  <c r="Z76" i="219" s="1"/>
  <c r="Z92" i="219" a="1"/>
  <c r="Z92" i="219" s="1"/>
  <c r="Z123" i="219" a="1"/>
  <c r="Z123" i="219" s="1"/>
  <c r="Z106" i="219" a="1"/>
  <c r="Z106" i="219" s="1"/>
  <c r="Z130" i="219" a="1"/>
  <c r="Z130" i="219" s="1"/>
  <c r="Z79" i="219" a="1"/>
  <c r="Z79" i="219" s="1"/>
  <c r="Z94" i="219" a="1"/>
  <c r="Z94" i="219" s="1"/>
  <c r="Z116" i="219" a="1"/>
  <c r="Z116" i="219" s="1"/>
  <c r="Z111" i="219" a="1"/>
  <c r="Z111" i="219" s="1"/>
  <c r="Z105" i="219" a="1"/>
  <c r="Z105" i="219" s="1"/>
  <c r="Z170" i="219" a="1"/>
  <c r="Z170" i="219" s="1"/>
  <c r="Z126" i="219" a="1"/>
  <c r="Z126" i="219" s="1"/>
  <c r="Z109" i="219" a="1"/>
  <c r="Z109" i="219" s="1"/>
  <c r="Z122" i="219" a="1"/>
  <c r="Z122" i="219" s="1"/>
  <c r="Z191" i="219" a="1"/>
  <c r="Z191" i="219" s="1"/>
  <c r="Z184" i="219" a="1"/>
  <c r="Z184" i="219" s="1"/>
  <c r="Z124" i="219" a="1"/>
  <c r="Z124" i="219" s="1"/>
  <c r="Z110" i="219" a="1"/>
  <c r="Z110" i="219" s="1"/>
  <c r="Z101" i="219" a="1"/>
  <c r="Z101" i="219" s="1"/>
  <c r="Z174" i="219" a="1"/>
  <c r="Z174" i="219" s="1"/>
  <c r="Z172" i="219" a="1"/>
  <c r="Z172" i="219" s="1"/>
  <c r="Z107" i="219" a="1"/>
  <c r="Z107" i="219" s="1"/>
  <c r="Z112" i="219" a="1"/>
  <c r="Z112" i="219" s="1"/>
  <c r="Z113" i="219" a="1"/>
  <c r="Z113" i="219" s="1"/>
  <c r="Z181" i="219" a="1"/>
  <c r="Z181" i="219" s="1"/>
  <c r="Z186" i="219" a="1"/>
  <c r="Z186" i="219" s="1"/>
  <c r="Z129" i="219" a="1"/>
  <c r="Z129" i="219" s="1"/>
  <c r="Z82" i="219" a="1"/>
  <c r="Z82" i="219" s="1"/>
  <c r="Z103" i="219" a="1"/>
  <c r="Z103" i="219" s="1"/>
  <c r="Z173" i="219" a="1"/>
  <c r="Z173" i="219" s="1"/>
  <c r="Z120" i="219" a="1"/>
  <c r="Z120" i="219" s="1"/>
  <c r="Z118" i="219" a="1"/>
  <c r="Z118" i="219" s="1"/>
  <c r="Z97" i="219" a="1"/>
  <c r="Z97" i="219" s="1"/>
  <c r="Z189" i="219" a="1"/>
  <c r="Z189" i="219" s="1"/>
  <c r="Z180" i="219" a="1"/>
  <c r="Z180" i="219" s="1"/>
  <c r="M28" i="219" a="1"/>
  <c r="M28" i="219" s="1"/>
  <c r="M65" i="219" a="1"/>
  <c r="M65" i="219" s="1"/>
  <c r="M58" i="219" a="1"/>
  <c r="M58" i="219" s="1"/>
  <c r="M38" i="219" a="1"/>
  <c r="M38" i="219" s="1"/>
  <c r="M30" i="219" a="1"/>
  <c r="M30" i="219" s="1"/>
  <c r="M43" i="219" a="1"/>
  <c r="M43" i="219" s="1"/>
  <c r="M63" i="219" a="1"/>
  <c r="M63" i="219" s="1"/>
  <c r="M69" i="219" a="1"/>
  <c r="M69" i="219" s="1"/>
  <c r="M55" i="219" a="1"/>
  <c r="M55" i="219" s="1"/>
  <c r="M64" i="219" a="1"/>
  <c r="M64" i="219" s="1"/>
  <c r="M33" i="219" a="1"/>
  <c r="M33" i="219" s="1"/>
  <c r="M57" i="219" a="1"/>
  <c r="M57" i="219" s="1"/>
  <c r="M54" i="219" a="1"/>
  <c r="M54" i="219" s="1"/>
  <c r="M37" i="219" a="1"/>
  <c r="M37" i="219" s="1"/>
  <c r="M32" i="219" a="1"/>
  <c r="M32" i="219" s="1"/>
  <c r="M52" i="219" a="1"/>
  <c r="M52" i="219" s="1"/>
  <c r="M40" i="219" a="1"/>
  <c r="M40" i="219" s="1"/>
  <c r="M60" i="219" a="1"/>
  <c r="M60" i="219" s="1"/>
  <c r="M31" i="219" a="1"/>
  <c r="M31" i="219" s="1"/>
  <c r="M47" i="219" a="1"/>
  <c r="M47" i="219" s="1"/>
  <c r="M46" i="219" a="1"/>
  <c r="M46" i="219" s="1"/>
  <c r="M59" i="219" a="1"/>
  <c r="M59" i="219" s="1"/>
  <c r="M61" i="219" a="1"/>
  <c r="M61" i="219" s="1"/>
  <c r="M62" i="219" a="1"/>
  <c r="M62" i="219" s="1"/>
  <c r="M53" i="219" a="1"/>
  <c r="M53" i="219" s="1"/>
  <c r="M56" i="219" a="1"/>
  <c r="M56" i="219" s="1"/>
  <c r="M50" i="219" a="1"/>
  <c r="M50" i="219" s="1"/>
  <c r="M67" i="219" a="1"/>
  <c r="M67" i="219" s="1"/>
  <c r="M68" i="219" a="1"/>
  <c r="M68" i="219" s="1"/>
  <c r="M42" i="219" a="1"/>
  <c r="M42" i="219" s="1"/>
  <c r="M35" i="219" a="1"/>
  <c r="M35" i="219" s="1"/>
  <c r="M51" i="219" a="1"/>
  <c r="M51" i="219" s="1"/>
  <c r="M49" i="219" a="1"/>
  <c r="M49" i="219" s="1"/>
  <c r="M73" i="219" a="1"/>
  <c r="M73" i="219" s="1"/>
  <c r="M36" i="219" a="1"/>
  <c r="M36" i="219" s="1"/>
  <c r="M34" i="219" a="1"/>
  <c r="M34" i="219" s="1"/>
  <c r="M39" i="219" a="1"/>
  <c r="M39" i="219" s="1"/>
  <c r="M29" i="219" a="1"/>
  <c r="M29" i="219" s="1"/>
  <c r="M44" i="219" a="1"/>
  <c r="M44" i="219" s="1"/>
  <c r="M70" i="219" a="1"/>
  <c r="M70" i="219" s="1"/>
  <c r="M72" i="219" a="1"/>
  <c r="M72" i="219" s="1"/>
  <c r="M48" i="219" a="1"/>
  <c r="M48" i="219" s="1"/>
  <c r="M27" i="219" a="1"/>
  <c r="M27" i="219" s="1"/>
  <c r="Z42" i="219" a="1"/>
  <c r="Z42" i="219" s="1"/>
  <c r="Z51" i="219" a="1"/>
  <c r="Z51" i="219" s="1"/>
  <c r="Z57" i="219" a="1"/>
  <c r="Z57" i="219" s="1"/>
  <c r="Z28" i="219" a="1"/>
  <c r="Z28" i="219" s="1"/>
  <c r="Z34" i="219" a="1"/>
  <c r="Z34" i="219" s="1"/>
  <c r="Z36" i="219" a="1"/>
  <c r="Z36" i="219" s="1"/>
  <c r="Z70" i="219" a="1"/>
  <c r="Z70" i="219" s="1"/>
  <c r="Z48" i="219" a="1"/>
  <c r="Z48" i="219" s="1"/>
  <c r="Z37" i="219" a="1"/>
  <c r="Z37" i="219" s="1"/>
  <c r="Z38" i="219" a="1"/>
  <c r="Z38" i="219" s="1"/>
  <c r="Z39" i="219" a="1"/>
  <c r="Z39" i="219" s="1"/>
  <c r="Z46" i="219" a="1"/>
  <c r="Z46" i="219" s="1"/>
  <c r="Z44" i="219" a="1"/>
  <c r="Z44" i="219" s="1"/>
  <c r="Z33" i="219" a="1"/>
  <c r="Z33" i="219" s="1"/>
  <c r="Z63" i="219" a="1"/>
  <c r="Z63" i="219" s="1"/>
  <c r="Z67" i="219" a="1"/>
  <c r="Z67" i="219" s="1"/>
  <c r="Z47" i="219" a="1"/>
  <c r="Z47" i="219" s="1"/>
  <c r="Z59" i="219" a="1"/>
  <c r="Z59" i="219" s="1"/>
  <c r="Z61" i="219" a="1"/>
  <c r="Z61" i="219" s="1"/>
  <c r="Z43" i="219" a="1"/>
  <c r="Z43" i="219" s="1"/>
  <c r="Z35" i="219" a="1"/>
  <c r="Z35" i="219" s="1"/>
  <c r="Z30" i="219" a="1"/>
  <c r="Z30" i="219" s="1"/>
  <c r="Z72" i="219" a="1"/>
  <c r="Z72" i="219" s="1"/>
  <c r="Z64" i="219" a="1"/>
  <c r="Z64" i="219" s="1"/>
  <c r="Z62" i="219" a="1"/>
  <c r="Z62" i="219" s="1"/>
  <c r="Z40" i="219" a="1"/>
  <c r="Z40" i="219" s="1"/>
  <c r="Z56" i="219" a="1"/>
  <c r="Z56" i="219" s="1"/>
  <c r="Z32" i="219" a="1"/>
  <c r="Z32" i="219" s="1"/>
  <c r="Z65" i="219" a="1"/>
  <c r="Z65" i="219" s="1"/>
  <c r="Z69" i="219" a="1"/>
  <c r="Z69" i="219" s="1"/>
  <c r="Z50" i="219" a="1"/>
  <c r="Z50" i="219" s="1"/>
  <c r="Z53" i="219" a="1"/>
  <c r="Z53" i="219" s="1"/>
  <c r="Z73" i="219" a="1"/>
  <c r="Z73" i="219" s="1"/>
  <c r="Z52" i="219" a="1"/>
  <c r="Z52" i="219" s="1"/>
  <c r="Z29" i="219" a="1"/>
  <c r="Z29" i="219" s="1"/>
  <c r="Z54" i="219" a="1"/>
  <c r="Z54" i="219" s="1"/>
  <c r="Z31" i="219" a="1"/>
  <c r="Z31" i="219" s="1"/>
  <c r="Z60" i="219" a="1"/>
  <c r="Z60" i="219" s="1"/>
  <c r="Z55" i="219" a="1"/>
  <c r="Z55" i="219" s="1"/>
  <c r="Z58" i="219" a="1"/>
  <c r="Z58" i="219" s="1"/>
  <c r="Z68" i="219" a="1"/>
  <c r="Z68" i="219" s="1"/>
  <c r="Z49" i="219" a="1"/>
  <c r="Z49" i="219" s="1"/>
  <c r="M178" i="219" a="1"/>
  <c r="M178" i="219" s="1"/>
  <c r="M208" i="219" a="1"/>
  <c r="M208" i="219" s="1"/>
  <c r="M136" i="219" a="1"/>
  <c r="M136" i="219" s="1"/>
  <c r="M147" i="219" a="1"/>
  <c r="M147" i="219" s="1"/>
  <c r="M172" i="219" a="1"/>
  <c r="M172" i="219" s="1"/>
  <c r="M154" i="219" a="1"/>
  <c r="M154" i="219" s="1"/>
  <c r="M195" i="219" a="1"/>
  <c r="M195" i="219" s="1"/>
  <c r="M187" i="219" a="1"/>
  <c r="M187" i="219" s="1"/>
  <c r="M140" i="219" a="1"/>
  <c r="M140" i="219" s="1"/>
  <c r="M180" i="219" a="1"/>
  <c r="M180" i="219" s="1"/>
  <c r="M174" i="219" a="1"/>
  <c r="M174" i="219" s="1"/>
  <c r="M190" i="219" a="1"/>
  <c r="M190" i="219" s="1"/>
  <c r="M188" i="219" a="1"/>
  <c r="M188" i="219" s="1"/>
  <c r="M209" i="219" a="1"/>
  <c r="M209" i="219" s="1"/>
  <c r="M184" i="219" a="1"/>
  <c r="M184" i="219" s="1"/>
  <c r="M183" i="219" a="1"/>
  <c r="M183" i="219" s="1"/>
  <c r="M169" i="219" a="1"/>
  <c r="M169" i="219" s="1"/>
  <c r="M152" i="219" a="1"/>
  <c r="M152" i="219" s="1"/>
  <c r="M179" i="219" a="1"/>
  <c r="M179" i="219" s="1"/>
  <c r="M200" i="219" a="1"/>
  <c r="M200" i="219" s="1"/>
  <c r="M192" i="219" a="1"/>
  <c r="M192" i="219" s="1"/>
  <c r="M181" i="219" a="1"/>
  <c r="M181" i="219" s="1"/>
  <c r="M182" i="219" a="1"/>
  <c r="M182" i="219" s="1"/>
  <c r="M185" i="219" a="1"/>
  <c r="M185" i="219" s="1"/>
  <c r="M142" i="219" a="1"/>
  <c r="M142" i="219" s="1"/>
  <c r="M151" i="219" a="1"/>
  <c r="M151" i="219" s="1"/>
  <c r="M150" i="219" a="1"/>
  <c r="M150" i="219" s="1"/>
  <c r="M164" i="219" a="1"/>
  <c r="M164" i="219" s="1"/>
  <c r="M143" i="219" a="1"/>
  <c r="M143" i="219" s="1"/>
  <c r="M159" i="219" a="1"/>
  <c r="M159" i="219" s="1"/>
  <c r="M171" i="219" a="1"/>
  <c r="M171" i="219" s="1"/>
  <c r="M191" i="219" a="1"/>
  <c r="M191" i="219" s="1"/>
  <c r="M145" i="219" a="1"/>
  <c r="M145" i="219" s="1"/>
  <c r="M160" i="219" a="1"/>
  <c r="M160" i="219" s="1"/>
  <c r="M203" i="219" a="1"/>
  <c r="M203" i="219" s="1"/>
  <c r="M153" i="219" a="1"/>
  <c r="M153" i="219" s="1"/>
  <c r="M141" i="219" a="1"/>
  <c r="M141" i="219" s="1"/>
  <c r="M166" i="219" a="1"/>
  <c r="M166" i="219" s="1"/>
  <c r="M170" i="219" a="1"/>
  <c r="M170" i="219" s="1"/>
  <c r="M177" i="219" a="1"/>
  <c r="M177" i="219" s="1"/>
  <c r="M167" i="219" a="1"/>
  <c r="M167" i="219" s="1"/>
  <c r="M162" i="219" a="1"/>
  <c r="M162" i="219" s="1"/>
  <c r="M163" i="219" a="1"/>
  <c r="M163" i="219" s="1"/>
  <c r="M157" i="219" a="1"/>
  <c r="M157" i="219" s="1"/>
  <c r="M158" i="219" a="1"/>
  <c r="M158" i="219" s="1"/>
  <c r="M175" i="219" a="1"/>
  <c r="M175" i="219" s="1"/>
  <c r="M139" i="219" a="1"/>
  <c r="M139" i="219" s="1"/>
  <c r="M201" i="219" a="1"/>
  <c r="M201" i="219" s="1"/>
  <c r="M197" i="219" a="1"/>
  <c r="M197" i="219" s="1"/>
  <c r="M156" i="219" a="1"/>
  <c r="M156" i="219" s="1"/>
  <c r="M165" i="219" a="1"/>
  <c r="M165" i="219" s="1"/>
  <c r="M176" i="219" a="1"/>
  <c r="M176" i="219" s="1"/>
  <c r="M189" i="219" a="1"/>
  <c r="M189" i="219" s="1"/>
  <c r="M173" i="219" a="1"/>
  <c r="M173" i="219" s="1"/>
  <c r="M186" i="219" a="1"/>
  <c r="M186" i="219" s="1"/>
  <c r="M198" i="219" a="1"/>
  <c r="M198" i="219" s="1"/>
  <c r="M204" i="219" a="1"/>
  <c r="M204" i="219" s="1"/>
  <c r="M202" i="219" a="1"/>
  <c r="M202" i="219" s="1"/>
  <c r="M148" i="219" a="1"/>
  <c r="M148" i="219" s="1"/>
  <c r="M149" i="219" a="1"/>
  <c r="M149" i="219" s="1"/>
  <c r="M207" i="219" a="1"/>
  <c r="M207" i="219" s="1"/>
  <c r="M155" i="219" a="1"/>
  <c r="M155" i="219" s="1"/>
  <c r="M199" i="219" a="1"/>
  <c r="M199" i="219" s="1"/>
  <c r="X7" i="218"/>
  <c r="X8" i="218"/>
  <c r="X9" i="218"/>
  <c r="X10" i="218"/>
  <c r="X11" i="218"/>
  <c r="X12" i="218"/>
  <c r="X13" i="218"/>
  <c r="X21" i="218"/>
  <c r="X14" i="218"/>
  <c r="X15" i="218"/>
  <c r="X6" i="218"/>
  <c r="W7" i="218"/>
  <c r="W8" i="218"/>
  <c r="W9" i="218"/>
  <c r="W10" i="218"/>
  <c r="W11" i="218"/>
  <c r="W12" i="218"/>
  <c r="W13" i="218"/>
  <c r="W21" i="218"/>
  <c r="W14" i="218"/>
  <c r="W15" i="218"/>
  <c r="W6" i="218"/>
  <c r="V7" i="218"/>
  <c r="V8" i="218"/>
  <c r="V9" i="218"/>
  <c r="V10" i="218"/>
  <c r="V11" i="218"/>
  <c r="V12" i="218"/>
  <c r="V13" i="218"/>
  <c r="V21" i="218"/>
  <c r="V14" i="218"/>
  <c r="V15" i="218"/>
  <c r="V6" i="218"/>
  <c r="T7" i="218"/>
  <c r="T8" i="218"/>
  <c r="T9" i="218"/>
  <c r="T10" i="218"/>
  <c r="T11" i="218"/>
  <c r="T12" i="218"/>
  <c r="T13" i="218"/>
  <c r="T21" i="218"/>
  <c r="T14" i="218"/>
  <c r="T15" i="218"/>
  <c r="T6" i="218"/>
  <c r="S7" i="218"/>
  <c r="S8" i="218"/>
  <c r="S9" i="218"/>
  <c r="S10" i="218"/>
  <c r="S11" i="218"/>
  <c r="S12" i="218"/>
  <c r="S13" i="218"/>
  <c r="S21" i="218"/>
  <c r="S14" i="218"/>
  <c r="S15" i="218"/>
  <c r="S6" i="218"/>
  <c r="R7" i="218"/>
  <c r="R8" i="218"/>
  <c r="R9" i="218"/>
  <c r="R10" i="218"/>
  <c r="R11" i="218"/>
  <c r="R12" i="218"/>
  <c r="R13" i="218"/>
  <c r="R21" i="218"/>
  <c r="R14" i="218"/>
  <c r="R15" i="218"/>
  <c r="R6" i="218"/>
  <c r="Q7" i="218"/>
  <c r="Q8" i="218"/>
  <c r="Q9" i="218"/>
  <c r="Q10" i="218"/>
  <c r="Q11" i="218"/>
  <c r="Q12" i="218"/>
  <c r="Q13" i="218"/>
  <c r="Q21" i="218"/>
  <c r="Q14" i="218"/>
  <c r="Q15" i="218"/>
  <c r="Q6" i="218"/>
  <c r="P7" i="218"/>
  <c r="P8" i="218"/>
  <c r="P9" i="218"/>
  <c r="P10" i="218"/>
  <c r="P11" i="218"/>
  <c r="P12" i="218"/>
  <c r="P13" i="218"/>
  <c r="P21" i="218"/>
  <c r="P14" i="218"/>
  <c r="P15" i="218"/>
  <c r="P6" i="218"/>
  <c r="M133" i="219" l="1"/>
  <c r="Z133" i="219"/>
  <c r="Z210" i="219"/>
  <c r="Z74" i="219"/>
  <c r="M210" i="219"/>
  <c r="M74" i="219"/>
  <c r="O6" i="218"/>
  <c r="O7" i="218"/>
  <c r="O8" i="218"/>
  <c r="O9" i="218"/>
  <c r="O10" i="218"/>
  <c r="O11" i="218"/>
  <c r="O12" i="218"/>
  <c r="O13" i="218"/>
  <c r="O21" i="218"/>
  <c r="O14" i="218"/>
  <c r="O15" i="218"/>
  <c r="N7" i="218"/>
  <c r="N8" i="218"/>
  <c r="N9" i="218"/>
  <c r="N10" i="218"/>
  <c r="N11" i="218"/>
  <c r="N12" i="218"/>
  <c r="N13" i="218"/>
  <c r="N21" i="218"/>
  <c r="N14" i="218"/>
  <c r="N15" i="218"/>
  <c r="N6" i="218"/>
  <c r="L7" i="218"/>
  <c r="L8" i="218"/>
  <c r="L9" i="218"/>
  <c r="L10" i="218"/>
  <c r="L11" i="218"/>
  <c r="L12" i="218"/>
  <c r="L13" i="218"/>
  <c r="L21" i="218"/>
  <c r="L14" i="218"/>
  <c r="L15" i="218"/>
  <c r="L6" i="218"/>
  <c r="J7" i="218"/>
  <c r="J8" i="218"/>
  <c r="J9" i="218"/>
  <c r="J10" i="218"/>
  <c r="J11" i="218"/>
  <c r="J12" i="218"/>
  <c r="J13" i="218"/>
  <c r="J21" i="218"/>
  <c r="J14" i="218"/>
  <c r="J15" i="218"/>
  <c r="J6" i="218"/>
  <c r="I7" i="218"/>
  <c r="I8" i="218"/>
  <c r="I9" i="218"/>
  <c r="I10" i="218"/>
  <c r="I11" i="218"/>
  <c r="I12" i="218"/>
  <c r="I13" i="218"/>
  <c r="I21" i="218"/>
  <c r="I14" i="218"/>
  <c r="I15" i="218"/>
  <c r="I6" i="218"/>
  <c r="H7" i="218"/>
  <c r="H8" i="218"/>
  <c r="H9" i="218"/>
  <c r="H10" i="218"/>
  <c r="H11" i="218"/>
  <c r="H12" i="218"/>
  <c r="H13" i="218"/>
  <c r="H21" i="218"/>
  <c r="H14" i="218"/>
  <c r="H15" i="218"/>
  <c r="H6" i="218"/>
  <c r="F7" i="218"/>
  <c r="F8" i="218"/>
  <c r="F9" i="218"/>
  <c r="F10" i="218"/>
  <c r="F11" i="218"/>
  <c r="F12" i="218"/>
  <c r="F13" i="218"/>
  <c r="F21" i="218"/>
  <c r="F14" i="218"/>
  <c r="F15" i="218"/>
  <c r="F6" i="218"/>
  <c r="E7" i="218"/>
  <c r="E8" i="218"/>
  <c r="E9" i="218"/>
  <c r="E10" i="218"/>
  <c r="E11" i="218"/>
  <c r="E12" i="218"/>
  <c r="E13" i="218"/>
  <c r="E21" i="218"/>
  <c r="E14" i="218"/>
  <c r="E15" i="218"/>
  <c r="E6" i="218"/>
  <c r="D7" i="218"/>
  <c r="D8" i="218"/>
  <c r="D9" i="218"/>
  <c r="D10" i="218"/>
  <c r="D11" i="218"/>
  <c r="D12" i="218"/>
  <c r="D13" i="218"/>
  <c r="D21" i="218"/>
  <c r="D14" i="218"/>
  <c r="D15" i="218"/>
  <c r="D6" i="218"/>
  <c r="B10" i="218"/>
  <c r="B11" i="218"/>
  <c r="B12" i="218"/>
  <c r="B13" i="218"/>
  <c r="B15" i="218"/>
  <c r="B14" i="218"/>
  <c r="B21" i="218"/>
  <c r="B9" i="218"/>
  <c r="B8" i="218"/>
  <c r="B7" i="218"/>
  <c r="B6" i="218"/>
  <c r="A328" i="203"/>
  <c r="B223" i="218" s="1"/>
  <c r="A327" i="203"/>
  <c r="B222" i="218" s="1"/>
  <c r="A326" i="203"/>
  <c r="B221" i="218" s="1"/>
  <c r="A325" i="203"/>
  <c r="B220" i="218" s="1"/>
  <c r="A324" i="203"/>
  <c r="B219" i="218" s="1"/>
  <c r="A323" i="203"/>
  <c r="B218" i="218" s="1"/>
  <c r="A322" i="203"/>
  <c r="B217" i="218" s="1"/>
  <c r="A321" i="203"/>
  <c r="B216" i="218" s="1"/>
  <c r="A320" i="203"/>
  <c r="B215" i="218" s="1"/>
  <c r="A319" i="203"/>
  <c r="B214" i="218" s="1"/>
  <c r="A318" i="203"/>
  <c r="B213" i="218" s="1"/>
  <c r="A317" i="203"/>
  <c r="B212" i="218" s="1"/>
  <c r="A316" i="203"/>
  <c r="B211" i="218" s="1"/>
  <c r="A315" i="203"/>
  <c r="B210" i="218" s="1"/>
  <c r="A314" i="203"/>
  <c r="B209" i="218" s="1"/>
  <c r="A313" i="203"/>
  <c r="B208" i="218" s="1"/>
  <c r="A312" i="203"/>
  <c r="B207" i="218" s="1"/>
  <c r="A311" i="203"/>
  <c r="B206" i="218" s="1"/>
  <c r="A310" i="203"/>
  <c r="B205" i="218" s="1"/>
  <c r="A309" i="203"/>
  <c r="B204" i="218" s="1"/>
  <c r="A308" i="203"/>
  <c r="B203" i="218" s="1"/>
  <c r="A307" i="203"/>
  <c r="B202" i="218" s="1"/>
  <c r="A306" i="203"/>
  <c r="B201" i="218" s="1"/>
  <c r="A305" i="203"/>
  <c r="B200" i="218" s="1"/>
  <c r="A304" i="203"/>
  <c r="B199" i="218" s="1"/>
  <c r="A303" i="203"/>
  <c r="B198" i="218" s="1"/>
  <c r="A302" i="203"/>
  <c r="B197" i="218" s="1"/>
  <c r="A301" i="203"/>
  <c r="B196" i="218" s="1"/>
  <c r="A300" i="203"/>
  <c r="B195" i="218" s="1"/>
  <c r="A299" i="203"/>
  <c r="B194" i="218" s="1"/>
  <c r="A298" i="203"/>
  <c r="B193" i="218" s="1"/>
  <c r="A297" i="203"/>
  <c r="B192" i="218" s="1"/>
  <c r="A296" i="203"/>
  <c r="B191" i="218" s="1"/>
  <c r="A294" i="203"/>
  <c r="A293" i="203"/>
  <c r="A292" i="203"/>
  <c r="Q164" i="217" l="1"/>
  <c r="R164" i="217"/>
  <c r="S164" i="217"/>
  <c r="T164" i="217"/>
  <c r="U164" i="217"/>
  <c r="V164" i="217"/>
  <c r="W164" i="217"/>
  <c r="X164" i="217"/>
  <c r="Q165" i="217"/>
  <c r="R165" i="217"/>
  <c r="S165" i="217"/>
  <c r="T165" i="217"/>
  <c r="U165" i="217"/>
  <c r="V165" i="217"/>
  <c r="W165" i="217"/>
  <c r="X165" i="217"/>
  <c r="Q166" i="217"/>
  <c r="R166" i="217"/>
  <c r="S166" i="217"/>
  <c r="T166" i="217"/>
  <c r="U166" i="217"/>
  <c r="V166" i="217"/>
  <c r="W166" i="217"/>
  <c r="X166" i="217"/>
  <c r="Q167" i="217"/>
  <c r="R167" i="217"/>
  <c r="S167" i="217"/>
  <c r="T167" i="217"/>
  <c r="U167" i="217"/>
  <c r="V167" i="217"/>
  <c r="W167" i="217"/>
  <c r="X167" i="217"/>
  <c r="Q168" i="217"/>
  <c r="R168" i="217"/>
  <c r="S168" i="217"/>
  <c r="T168" i="217"/>
  <c r="U168" i="217"/>
  <c r="V168" i="217"/>
  <c r="W168" i="217"/>
  <c r="X168" i="217"/>
  <c r="Q169" i="217"/>
  <c r="R169" i="217"/>
  <c r="S169" i="217"/>
  <c r="T169" i="217"/>
  <c r="U169" i="217"/>
  <c r="V169" i="217"/>
  <c r="W169" i="217"/>
  <c r="X169" i="217"/>
  <c r="Q170" i="217"/>
  <c r="R170" i="217"/>
  <c r="S170" i="217"/>
  <c r="T170" i="217"/>
  <c r="U170" i="217"/>
  <c r="V170" i="217"/>
  <c r="W170" i="217"/>
  <c r="X170" i="217"/>
  <c r="Q171" i="217"/>
  <c r="R171" i="217"/>
  <c r="S171" i="217"/>
  <c r="T171" i="217"/>
  <c r="U171" i="217"/>
  <c r="V171" i="217"/>
  <c r="W171" i="217"/>
  <c r="X171" i="217"/>
  <c r="Q172" i="217"/>
  <c r="R172" i="217"/>
  <c r="S172" i="217"/>
  <c r="T172" i="217"/>
  <c r="U172" i="217"/>
  <c r="V172" i="217"/>
  <c r="W172" i="217"/>
  <c r="X172" i="217"/>
  <c r="Q173" i="217"/>
  <c r="R173" i="217"/>
  <c r="S173" i="217"/>
  <c r="T173" i="217"/>
  <c r="U173" i="217"/>
  <c r="V173" i="217"/>
  <c r="W173" i="217"/>
  <c r="X173" i="217"/>
  <c r="Q174" i="217"/>
  <c r="R174" i="217"/>
  <c r="S174" i="217"/>
  <c r="T174" i="217"/>
  <c r="U174" i="217"/>
  <c r="V174" i="217"/>
  <c r="W174" i="217"/>
  <c r="X174" i="217"/>
  <c r="Q130" i="217"/>
  <c r="R130" i="217"/>
  <c r="S130" i="217"/>
  <c r="T130" i="217"/>
  <c r="U130" i="217"/>
  <c r="V130" i="217"/>
  <c r="W130" i="217"/>
  <c r="X130" i="217"/>
  <c r="Q131" i="217"/>
  <c r="R131" i="217"/>
  <c r="S131" i="217"/>
  <c r="T131" i="217"/>
  <c r="U131" i="217"/>
  <c r="V131" i="217"/>
  <c r="W131" i="217"/>
  <c r="X131" i="217"/>
  <c r="Q132" i="217"/>
  <c r="R132" i="217"/>
  <c r="S132" i="217"/>
  <c r="T132" i="217"/>
  <c r="U132" i="217"/>
  <c r="V132" i="217"/>
  <c r="W132" i="217"/>
  <c r="X132" i="217"/>
  <c r="Q133" i="217"/>
  <c r="R133" i="217"/>
  <c r="S133" i="217"/>
  <c r="T133" i="217"/>
  <c r="U133" i="217"/>
  <c r="V133" i="217"/>
  <c r="W133" i="217"/>
  <c r="X133" i="217"/>
  <c r="Q134" i="217"/>
  <c r="R134" i="217"/>
  <c r="S134" i="217"/>
  <c r="T134" i="217"/>
  <c r="U134" i="217"/>
  <c r="V134" i="217"/>
  <c r="W134" i="217"/>
  <c r="X134" i="217"/>
  <c r="Q135" i="217"/>
  <c r="R135" i="217"/>
  <c r="S135" i="217"/>
  <c r="T135" i="217"/>
  <c r="U135" i="217"/>
  <c r="V135" i="217"/>
  <c r="W135" i="217"/>
  <c r="X135" i="217"/>
  <c r="Q136" i="217"/>
  <c r="R136" i="217"/>
  <c r="S136" i="217"/>
  <c r="T136" i="217"/>
  <c r="U136" i="217"/>
  <c r="V136" i="217"/>
  <c r="W136" i="217"/>
  <c r="X136" i="217"/>
  <c r="Q137" i="217"/>
  <c r="R137" i="217"/>
  <c r="S137" i="217"/>
  <c r="T137" i="217"/>
  <c r="U137" i="217"/>
  <c r="V137" i="217"/>
  <c r="W137" i="217"/>
  <c r="X137" i="217"/>
  <c r="Q138" i="217"/>
  <c r="R138" i="217"/>
  <c r="S138" i="217"/>
  <c r="T138" i="217"/>
  <c r="U138" i="217"/>
  <c r="V138" i="217"/>
  <c r="W138" i="217"/>
  <c r="X138" i="217"/>
  <c r="Q139" i="217"/>
  <c r="R139" i="217"/>
  <c r="S139" i="217"/>
  <c r="T139" i="217"/>
  <c r="U139" i="217"/>
  <c r="V139" i="217"/>
  <c r="W139" i="217"/>
  <c r="X139" i="217"/>
  <c r="Q140" i="217"/>
  <c r="R140" i="217"/>
  <c r="S140" i="217"/>
  <c r="T140" i="217"/>
  <c r="U140" i="217"/>
  <c r="V140" i="217"/>
  <c r="W140" i="217"/>
  <c r="X140" i="217"/>
  <c r="Q141" i="217"/>
  <c r="R141" i="217"/>
  <c r="S141" i="217"/>
  <c r="T141" i="217"/>
  <c r="U141" i="217"/>
  <c r="V141" i="217"/>
  <c r="W141" i="217"/>
  <c r="X141" i="217"/>
  <c r="Q142" i="217"/>
  <c r="R142" i="217"/>
  <c r="S142" i="217"/>
  <c r="T142" i="217"/>
  <c r="U142" i="217"/>
  <c r="V142" i="217"/>
  <c r="W142" i="217"/>
  <c r="X142" i="217"/>
  <c r="Q143" i="217"/>
  <c r="R143" i="217"/>
  <c r="S143" i="217"/>
  <c r="T143" i="217"/>
  <c r="U143" i="217"/>
  <c r="V143" i="217"/>
  <c r="W143" i="217"/>
  <c r="X143" i="217"/>
  <c r="Q144" i="217"/>
  <c r="R144" i="217"/>
  <c r="S144" i="217"/>
  <c r="T144" i="217"/>
  <c r="U144" i="217"/>
  <c r="V144" i="217"/>
  <c r="W144" i="217"/>
  <c r="X144" i="217"/>
  <c r="Q145" i="217"/>
  <c r="R145" i="217"/>
  <c r="S145" i="217"/>
  <c r="T145" i="217"/>
  <c r="U145" i="217"/>
  <c r="V145" i="217"/>
  <c r="W145" i="217"/>
  <c r="X145" i="217"/>
  <c r="Q146" i="217"/>
  <c r="R146" i="217"/>
  <c r="S146" i="217"/>
  <c r="T146" i="217"/>
  <c r="U146" i="217"/>
  <c r="V146" i="217"/>
  <c r="W146" i="217"/>
  <c r="X146" i="217"/>
  <c r="Q147" i="217"/>
  <c r="R147" i="217"/>
  <c r="S147" i="217"/>
  <c r="T147" i="217"/>
  <c r="U147" i="217"/>
  <c r="V147" i="217"/>
  <c r="W147" i="217"/>
  <c r="X147" i="217"/>
  <c r="Q148" i="217"/>
  <c r="R148" i="217"/>
  <c r="S148" i="217"/>
  <c r="T148" i="217"/>
  <c r="U148" i="217"/>
  <c r="V148" i="217"/>
  <c r="W148" i="217"/>
  <c r="X148" i="217"/>
  <c r="Q149" i="217"/>
  <c r="R149" i="217"/>
  <c r="S149" i="217"/>
  <c r="T149" i="217"/>
  <c r="U149" i="217"/>
  <c r="V149" i="217"/>
  <c r="W149" i="217"/>
  <c r="X149" i="217"/>
  <c r="Q150" i="217"/>
  <c r="R150" i="217"/>
  <c r="S150" i="217"/>
  <c r="T150" i="217"/>
  <c r="U150" i="217"/>
  <c r="V150" i="217"/>
  <c r="W150" i="217"/>
  <c r="X150" i="217"/>
  <c r="Q151" i="217"/>
  <c r="R151" i="217"/>
  <c r="S151" i="217"/>
  <c r="T151" i="217"/>
  <c r="U151" i="217"/>
  <c r="V151" i="217"/>
  <c r="W151" i="217"/>
  <c r="X151" i="217"/>
  <c r="X129" i="217"/>
  <c r="W129" i="217"/>
  <c r="V129" i="217"/>
  <c r="U129" i="217"/>
  <c r="T129" i="217"/>
  <c r="S129" i="217"/>
  <c r="R129" i="217"/>
  <c r="Q129" i="217"/>
  <c r="D174" i="217"/>
  <c r="E174" i="217"/>
  <c r="F174" i="217"/>
  <c r="G174" i="217"/>
  <c r="H174" i="217"/>
  <c r="I174" i="217"/>
  <c r="J174" i="217"/>
  <c r="K174" i="217"/>
  <c r="D164" i="217"/>
  <c r="E164" i="217"/>
  <c r="F164" i="217"/>
  <c r="G164" i="217"/>
  <c r="H164" i="217"/>
  <c r="I164" i="217"/>
  <c r="J164" i="217"/>
  <c r="K164" i="217"/>
  <c r="D150" i="217"/>
  <c r="E150" i="217"/>
  <c r="F150" i="217"/>
  <c r="G150" i="217"/>
  <c r="H150" i="217"/>
  <c r="I150" i="217"/>
  <c r="J150" i="217"/>
  <c r="K150" i="217"/>
  <c r="D140" i="217"/>
  <c r="E140" i="217"/>
  <c r="F140" i="217"/>
  <c r="G140" i="217"/>
  <c r="H140" i="217"/>
  <c r="I140" i="217"/>
  <c r="J140" i="217"/>
  <c r="K140" i="217"/>
  <c r="D129" i="217"/>
  <c r="E129" i="217"/>
  <c r="F129" i="217"/>
  <c r="G129" i="217"/>
  <c r="H129" i="217"/>
  <c r="I129" i="217"/>
  <c r="J129" i="217"/>
  <c r="K129" i="217"/>
  <c r="D173" i="217"/>
  <c r="E173" i="217"/>
  <c r="F173" i="217"/>
  <c r="G173" i="217"/>
  <c r="H173" i="217"/>
  <c r="I173" i="217"/>
  <c r="J173" i="217"/>
  <c r="K173" i="217"/>
  <c r="Q91" i="217"/>
  <c r="R91" i="217"/>
  <c r="S91" i="217"/>
  <c r="T91" i="217"/>
  <c r="U91" i="217"/>
  <c r="V91" i="217"/>
  <c r="W91" i="217"/>
  <c r="X91" i="217"/>
  <c r="Q84" i="217"/>
  <c r="R84" i="217"/>
  <c r="S84" i="217"/>
  <c r="T84" i="217"/>
  <c r="U84" i="217"/>
  <c r="V84" i="217"/>
  <c r="W84" i="217"/>
  <c r="X84" i="217"/>
  <c r="Q74" i="217"/>
  <c r="R74" i="217"/>
  <c r="S74" i="217"/>
  <c r="T74" i="217"/>
  <c r="U74" i="217"/>
  <c r="V74" i="217"/>
  <c r="W74" i="217"/>
  <c r="X74" i="217"/>
  <c r="Q82" i="217"/>
  <c r="R82" i="217"/>
  <c r="S82" i="217"/>
  <c r="T82" i="217"/>
  <c r="U82" i="217"/>
  <c r="V82" i="217"/>
  <c r="W82" i="217"/>
  <c r="X82" i="217"/>
  <c r="Q61" i="217"/>
  <c r="R61" i="217"/>
  <c r="S61" i="217"/>
  <c r="T61" i="217"/>
  <c r="U61" i="217"/>
  <c r="V61" i="217"/>
  <c r="W61" i="217"/>
  <c r="X61" i="217"/>
  <c r="Q54" i="217"/>
  <c r="R54" i="217"/>
  <c r="S54" i="217"/>
  <c r="T54" i="217"/>
  <c r="U54" i="217"/>
  <c r="V54" i="217"/>
  <c r="W54" i="217"/>
  <c r="X54" i="217"/>
  <c r="X42" i="217"/>
  <c r="W42" i="217"/>
  <c r="V42" i="217"/>
  <c r="U42" i="217"/>
  <c r="T42" i="217"/>
  <c r="S42" i="217"/>
  <c r="R42" i="217"/>
  <c r="Q42" i="217"/>
  <c r="X41" i="217"/>
  <c r="W41" i="217"/>
  <c r="V41" i="217"/>
  <c r="U41" i="217"/>
  <c r="T41" i="217"/>
  <c r="S41" i="217"/>
  <c r="R41" i="217"/>
  <c r="Q41" i="217"/>
  <c r="X40" i="217"/>
  <c r="W40" i="217"/>
  <c r="V40" i="217"/>
  <c r="U40" i="217"/>
  <c r="T40" i="217"/>
  <c r="S40" i="217"/>
  <c r="R40" i="217"/>
  <c r="Q40" i="217"/>
  <c r="X39" i="217"/>
  <c r="W39" i="217"/>
  <c r="V39" i="217"/>
  <c r="U39" i="217"/>
  <c r="T39" i="217"/>
  <c r="S39" i="217"/>
  <c r="R39" i="217"/>
  <c r="Q39" i="217"/>
  <c r="X38" i="217"/>
  <c r="W38" i="217"/>
  <c r="V38" i="217"/>
  <c r="U38" i="217"/>
  <c r="T38" i="217"/>
  <c r="S38" i="217"/>
  <c r="R38" i="217"/>
  <c r="Q38" i="217"/>
  <c r="X37" i="217"/>
  <c r="W37" i="217"/>
  <c r="V37" i="217"/>
  <c r="U37" i="217"/>
  <c r="T37" i="217"/>
  <c r="S37" i="217"/>
  <c r="R37" i="217"/>
  <c r="Q37" i="217"/>
  <c r="X36" i="217"/>
  <c r="W36" i="217"/>
  <c r="V36" i="217"/>
  <c r="U36" i="217"/>
  <c r="T36" i="217"/>
  <c r="S36" i="217"/>
  <c r="R36" i="217"/>
  <c r="Q36" i="217"/>
  <c r="X35" i="217"/>
  <c r="W35" i="217"/>
  <c r="V35" i="217"/>
  <c r="U35" i="217"/>
  <c r="T35" i="217"/>
  <c r="S35" i="217"/>
  <c r="R35" i="217"/>
  <c r="Q35" i="217"/>
  <c r="X34" i="217"/>
  <c r="W34" i="217"/>
  <c r="V34" i="217"/>
  <c r="U34" i="217"/>
  <c r="T34" i="217"/>
  <c r="S34" i="217"/>
  <c r="R34" i="217"/>
  <c r="Q34" i="217"/>
  <c r="X33" i="217"/>
  <c r="W33" i="217"/>
  <c r="V33" i="217"/>
  <c r="U33" i="217"/>
  <c r="T33" i="217"/>
  <c r="S33" i="217"/>
  <c r="R33" i="217"/>
  <c r="Q33" i="217"/>
  <c r="X32" i="217"/>
  <c r="W32" i="217"/>
  <c r="V32" i="217"/>
  <c r="U32" i="217"/>
  <c r="T32" i="217"/>
  <c r="S32" i="217"/>
  <c r="R32" i="217"/>
  <c r="Q32" i="217"/>
  <c r="X31" i="217"/>
  <c r="W31" i="217"/>
  <c r="V31" i="217"/>
  <c r="U31" i="217"/>
  <c r="T31" i="217"/>
  <c r="S31" i="217"/>
  <c r="R31" i="217"/>
  <c r="Q31" i="217"/>
  <c r="X30" i="217"/>
  <c r="W30" i="217"/>
  <c r="V30" i="217"/>
  <c r="U30" i="217"/>
  <c r="T30" i="217"/>
  <c r="S30" i="217"/>
  <c r="R30" i="217"/>
  <c r="Q30" i="217"/>
  <c r="X29" i="217"/>
  <c r="W29" i="217"/>
  <c r="V29" i="217"/>
  <c r="U29" i="217"/>
  <c r="T29" i="217"/>
  <c r="S29" i="217"/>
  <c r="R29" i="217"/>
  <c r="Q29" i="217"/>
  <c r="X28" i="217"/>
  <c r="W28" i="217"/>
  <c r="V28" i="217"/>
  <c r="U28" i="217"/>
  <c r="T28" i="217"/>
  <c r="S28" i="217"/>
  <c r="R28" i="217"/>
  <c r="Q28" i="217"/>
  <c r="X27" i="217"/>
  <c r="W27" i="217"/>
  <c r="V27" i="217"/>
  <c r="U27" i="217"/>
  <c r="T27" i="217"/>
  <c r="S27" i="217"/>
  <c r="R27" i="217"/>
  <c r="Q27" i="217"/>
  <c r="X26" i="217"/>
  <c r="W26" i="217"/>
  <c r="V26" i="217"/>
  <c r="U26" i="217"/>
  <c r="T26" i="217"/>
  <c r="S26" i="217"/>
  <c r="R26" i="217"/>
  <c r="Q26" i="217"/>
  <c r="X25" i="217"/>
  <c r="W25" i="217"/>
  <c r="V25" i="217"/>
  <c r="U25" i="217"/>
  <c r="T25" i="217"/>
  <c r="S25" i="217"/>
  <c r="R25" i="217"/>
  <c r="Q25" i="217"/>
  <c r="X24" i="217"/>
  <c r="W24" i="217"/>
  <c r="V24" i="217"/>
  <c r="U24" i="217"/>
  <c r="T24" i="217"/>
  <c r="S24" i="217"/>
  <c r="R24" i="217"/>
  <c r="Q24" i="217"/>
  <c r="J26" i="217"/>
  <c r="D26" i="217"/>
  <c r="E26" i="217"/>
  <c r="F26" i="217"/>
  <c r="G26" i="217"/>
  <c r="H26" i="217"/>
  <c r="I26" i="217"/>
  <c r="K26" i="217"/>
  <c r="D36" i="217"/>
  <c r="E36" i="217"/>
  <c r="F36" i="217"/>
  <c r="G36" i="217"/>
  <c r="H36" i="217"/>
  <c r="I36" i="217"/>
  <c r="J36" i="217"/>
  <c r="K36" i="217"/>
  <c r="D25" i="217"/>
  <c r="E25" i="217"/>
  <c r="F25" i="217"/>
  <c r="G25" i="217"/>
  <c r="H25" i="217"/>
  <c r="I25" i="217"/>
  <c r="J25" i="217"/>
  <c r="K25" i="217"/>
  <c r="D21" i="217"/>
  <c r="E21" i="217"/>
  <c r="F21" i="217"/>
  <c r="G21" i="217"/>
  <c r="H21" i="217"/>
  <c r="I21" i="217"/>
  <c r="J21" i="217"/>
  <c r="K21" i="217"/>
  <c r="D61" i="217"/>
  <c r="E61" i="217"/>
  <c r="F61" i="217"/>
  <c r="G61" i="217"/>
  <c r="H61" i="217"/>
  <c r="I61" i="217"/>
  <c r="J61" i="217"/>
  <c r="K61" i="217"/>
  <c r="D34" i="217"/>
  <c r="E34" i="217"/>
  <c r="F34" i="217"/>
  <c r="G34" i="217"/>
  <c r="H34" i="217"/>
  <c r="I34" i="217"/>
  <c r="J34" i="217"/>
  <c r="K34" i="217"/>
  <c r="D54" i="217"/>
  <c r="E54" i="217"/>
  <c r="F54" i="217"/>
  <c r="G54" i="217"/>
  <c r="H54" i="217"/>
  <c r="I54" i="217"/>
  <c r="J54" i="217"/>
  <c r="K54" i="217"/>
  <c r="Z18" i="217"/>
  <c r="X18" i="217"/>
  <c r="W18" i="217"/>
  <c r="V18" i="217"/>
  <c r="T18" i="217"/>
  <c r="S18" i="217"/>
  <c r="R18" i="217"/>
  <c r="P18" i="217"/>
  <c r="Q18" i="217"/>
  <c r="O18" i="217"/>
  <c r="N18" i="217"/>
  <c r="L18" i="217"/>
  <c r="J18" i="217"/>
  <c r="I18" i="217"/>
  <c r="H18" i="217"/>
  <c r="B206" i="217" s="1"/>
  <c r="F18" i="217"/>
  <c r="E18" i="217"/>
  <c r="D18" i="217"/>
  <c r="B205" i="217" s="1"/>
  <c r="B18" i="217"/>
  <c r="B204" i="217" s="1"/>
  <c r="Z12" i="217"/>
  <c r="Z13" i="217"/>
  <c r="Z14" i="217"/>
  <c r="Z11" i="217"/>
  <c r="Z7" i="217"/>
  <c r="Z8" i="217"/>
  <c r="Z9" i="217"/>
  <c r="Z6" i="217"/>
  <c r="X12" i="217"/>
  <c r="X13" i="217"/>
  <c r="X14" i="217"/>
  <c r="X11" i="217"/>
  <c r="X7" i="217"/>
  <c r="X8" i="217"/>
  <c r="X9" i="217"/>
  <c r="X6" i="217"/>
  <c r="V12" i="217"/>
  <c r="W12" i="217"/>
  <c r="V13" i="217"/>
  <c r="W13" i="217"/>
  <c r="V14" i="217"/>
  <c r="W14" i="217"/>
  <c r="W11" i="217"/>
  <c r="V11" i="217"/>
  <c r="V7" i="217"/>
  <c r="W7" i="217"/>
  <c r="V8" i="217"/>
  <c r="W8" i="217"/>
  <c r="V9" i="217"/>
  <c r="W9" i="217"/>
  <c r="W6" i="217"/>
  <c r="V6" i="217"/>
  <c r="T12" i="217"/>
  <c r="T13" i="217"/>
  <c r="T14" i="217"/>
  <c r="T11" i="217"/>
  <c r="T7" i="217"/>
  <c r="T8" i="217"/>
  <c r="T9" i="217"/>
  <c r="T6" i="217"/>
  <c r="Q12" i="217"/>
  <c r="R12" i="217"/>
  <c r="S12" i="217"/>
  <c r="Q13" i="217"/>
  <c r="R13" i="217"/>
  <c r="S13" i="217"/>
  <c r="Q14" i="217"/>
  <c r="R14" i="217"/>
  <c r="S14" i="217"/>
  <c r="S11" i="217"/>
  <c r="R11" i="217"/>
  <c r="Q11" i="217"/>
  <c r="Q7" i="217"/>
  <c r="R7" i="217"/>
  <c r="S7" i="217"/>
  <c r="Q8" i="217"/>
  <c r="R8" i="217"/>
  <c r="S8" i="217"/>
  <c r="Q9" i="217"/>
  <c r="R9" i="217"/>
  <c r="S9" i="217"/>
  <c r="S6" i="217"/>
  <c r="R6" i="217"/>
  <c r="Q6" i="217"/>
  <c r="P12" i="217"/>
  <c r="P13" i="217"/>
  <c r="P14" i="217"/>
  <c r="P11" i="217"/>
  <c r="P7" i="217"/>
  <c r="P8" i="217"/>
  <c r="P9" i="217"/>
  <c r="P6" i="217"/>
  <c r="O12" i="217"/>
  <c r="O13" i="217"/>
  <c r="O14" i="217"/>
  <c r="O11" i="217"/>
  <c r="O7" i="217"/>
  <c r="O8" i="217"/>
  <c r="O9" i="217"/>
  <c r="O6" i="217"/>
  <c r="N12" i="217"/>
  <c r="N13" i="217"/>
  <c r="N14" i="217"/>
  <c r="N11" i="217"/>
  <c r="N7" i="217"/>
  <c r="N8" i="217"/>
  <c r="N9" i="217"/>
  <c r="N6" i="217"/>
  <c r="L12" i="217"/>
  <c r="L13" i="217"/>
  <c r="L14" i="217"/>
  <c r="L11" i="217"/>
  <c r="L7" i="217"/>
  <c r="L8" i="217"/>
  <c r="L9" i="217"/>
  <c r="L6" i="217"/>
  <c r="J12" i="217"/>
  <c r="J13" i="217"/>
  <c r="J14" i="217"/>
  <c r="J11" i="217"/>
  <c r="J7" i="217"/>
  <c r="J8" i="217"/>
  <c r="J9" i="217"/>
  <c r="J6" i="217"/>
  <c r="I12" i="217"/>
  <c r="I13" i="217"/>
  <c r="I14" i="217"/>
  <c r="I11" i="217"/>
  <c r="I7" i="217"/>
  <c r="I8" i="217"/>
  <c r="I9" i="217"/>
  <c r="I6" i="217"/>
  <c r="H12" i="217"/>
  <c r="H13" i="217"/>
  <c r="H14" i="217"/>
  <c r="H11" i="217"/>
  <c r="H7" i="217"/>
  <c r="H8" i="217"/>
  <c r="H9" i="217"/>
  <c r="H6" i="217"/>
  <c r="F12" i="217"/>
  <c r="F13" i="217"/>
  <c r="F14" i="217"/>
  <c r="F11" i="217"/>
  <c r="F7" i="217"/>
  <c r="F8" i="217"/>
  <c r="F9" i="217"/>
  <c r="F6" i="217"/>
  <c r="E12" i="217"/>
  <c r="E13" i="217"/>
  <c r="E14" i="217"/>
  <c r="E11" i="217"/>
  <c r="E7" i="217"/>
  <c r="E8" i="217"/>
  <c r="E9" i="217"/>
  <c r="E6" i="217"/>
  <c r="D12" i="217"/>
  <c r="D13" i="217"/>
  <c r="D14" i="217"/>
  <c r="D11" i="217"/>
  <c r="D7" i="217"/>
  <c r="D8" i="217"/>
  <c r="D9" i="217"/>
  <c r="D6" i="217"/>
  <c r="B12" i="217"/>
  <c r="B13" i="217"/>
  <c r="B14" i="217"/>
  <c r="B11" i="217"/>
  <c r="B7" i="217"/>
  <c r="B8" i="217"/>
  <c r="B9" i="217"/>
  <c r="B6" i="217"/>
  <c r="X188" i="218"/>
  <c r="W188" i="218"/>
  <c r="V188" i="218"/>
  <c r="U188" i="218"/>
  <c r="T188" i="218"/>
  <c r="S188" i="218"/>
  <c r="R188" i="218"/>
  <c r="Q188" i="218"/>
  <c r="K188" i="218"/>
  <c r="J188" i="218"/>
  <c r="I188" i="218"/>
  <c r="H188" i="218"/>
  <c r="G188" i="218"/>
  <c r="F188" i="218"/>
  <c r="E188" i="218"/>
  <c r="D188" i="218"/>
  <c r="X187" i="218"/>
  <c r="W187" i="218"/>
  <c r="V187" i="218"/>
  <c r="U187" i="218"/>
  <c r="T187" i="218"/>
  <c r="S187" i="218"/>
  <c r="R187" i="218"/>
  <c r="Q187" i="218"/>
  <c r="K187" i="218"/>
  <c r="J187" i="218"/>
  <c r="I187" i="218"/>
  <c r="H187" i="218"/>
  <c r="G187" i="218"/>
  <c r="F187" i="218"/>
  <c r="E187" i="218"/>
  <c r="D187" i="218"/>
  <c r="X186" i="218"/>
  <c r="W186" i="218"/>
  <c r="V186" i="218"/>
  <c r="U186" i="218"/>
  <c r="T186" i="218"/>
  <c r="S186" i="218"/>
  <c r="R186" i="218"/>
  <c r="Q186" i="218"/>
  <c r="K186" i="218"/>
  <c r="J186" i="218"/>
  <c r="I186" i="218"/>
  <c r="H186" i="218"/>
  <c r="G186" i="218"/>
  <c r="F186" i="218"/>
  <c r="E186" i="218"/>
  <c r="D186" i="218"/>
  <c r="X183" i="218"/>
  <c r="W183" i="218"/>
  <c r="V183" i="218"/>
  <c r="U183" i="218"/>
  <c r="T183" i="218"/>
  <c r="S183" i="218"/>
  <c r="R183" i="218"/>
  <c r="Q183" i="218"/>
  <c r="K183" i="218"/>
  <c r="J183" i="218"/>
  <c r="I183" i="218"/>
  <c r="H183" i="218"/>
  <c r="G183" i="218"/>
  <c r="F183" i="218"/>
  <c r="E183" i="218"/>
  <c r="D183" i="218"/>
  <c r="X180" i="218"/>
  <c r="W180" i="218"/>
  <c r="V180" i="218"/>
  <c r="U180" i="218"/>
  <c r="T180" i="218"/>
  <c r="S180" i="218"/>
  <c r="R180" i="218"/>
  <c r="Q180" i="218"/>
  <c r="K180" i="218"/>
  <c r="J180" i="218"/>
  <c r="I180" i="218"/>
  <c r="H180" i="218"/>
  <c r="G180" i="218"/>
  <c r="F180" i="218"/>
  <c r="E180" i="218"/>
  <c r="D180" i="218"/>
  <c r="X179" i="218"/>
  <c r="W179" i="218"/>
  <c r="V179" i="218"/>
  <c r="U179" i="218"/>
  <c r="T179" i="218"/>
  <c r="S179" i="218"/>
  <c r="R179" i="218"/>
  <c r="Q179" i="218"/>
  <c r="K179" i="218"/>
  <c r="J179" i="218"/>
  <c r="I179" i="218"/>
  <c r="H179" i="218"/>
  <c r="G179" i="218"/>
  <c r="F179" i="218"/>
  <c r="E179" i="218"/>
  <c r="D179" i="218"/>
  <c r="X178" i="218"/>
  <c r="W178" i="218"/>
  <c r="V178" i="218"/>
  <c r="U178" i="218"/>
  <c r="T178" i="218"/>
  <c r="S178" i="218"/>
  <c r="R178" i="218"/>
  <c r="Q178" i="218"/>
  <c r="K178" i="218"/>
  <c r="J178" i="218"/>
  <c r="I178" i="218"/>
  <c r="H178" i="218"/>
  <c r="G178" i="218"/>
  <c r="F178" i="218"/>
  <c r="E178" i="218"/>
  <c r="D178" i="218"/>
  <c r="X177" i="218"/>
  <c r="W177" i="218"/>
  <c r="V177" i="218"/>
  <c r="U177" i="218"/>
  <c r="T177" i="218"/>
  <c r="S177" i="218"/>
  <c r="R177" i="218"/>
  <c r="Q177" i="218"/>
  <c r="K177" i="218"/>
  <c r="J177" i="218"/>
  <c r="I177" i="218"/>
  <c r="H177" i="218"/>
  <c r="G177" i="218"/>
  <c r="F177" i="218"/>
  <c r="E177" i="218"/>
  <c r="D177" i="218"/>
  <c r="X176" i="218"/>
  <c r="W176" i="218"/>
  <c r="V176" i="218"/>
  <c r="U176" i="218"/>
  <c r="T176" i="218"/>
  <c r="S176" i="218"/>
  <c r="R176" i="218"/>
  <c r="Q176" i="218"/>
  <c r="K176" i="218"/>
  <c r="J176" i="218"/>
  <c r="I176" i="218"/>
  <c r="H176" i="218"/>
  <c r="G176" i="218"/>
  <c r="F176" i="218"/>
  <c r="E176" i="218"/>
  <c r="D176" i="218"/>
  <c r="X175" i="218"/>
  <c r="W175" i="218"/>
  <c r="V175" i="218"/>
  <c r="U175" i="218"/>
  <c r="T175" i="218"/>
  <c r="S175" i="218"/>
  <c r="R175" i="218"/>
  <c r="Q175" i="218"/>
  <c r="K175" i="218"/>
  <c r="J175" i="218"/>
  <c r="I175" i="218"/>
  <c r="H175" i="218"/>
  <c r="G175" i="218"/>
  <c r="F175" i="218"/>
  <c r="E175" i="218"/>
  <c r="D175" i="218"/>
  <c r="X174" i="218"/>
  <c r="W174" i="218"/>
  <c r="V174" i="218"/>
  <c r="U174" i="218"/>
  <c r="T174" i="218"/>
  <c r="S174" i="218"/>
  <c r="R174" i="218"/>
  <c r="Q174" i="218"/>
  <c r="K174" i="218"/>
  <c r="J174" i="218"/>
  <c r="I174" i="218"/>
  <c r="H174" i="218"/>
  <c r="G174" i="218"/>
  <c r="F174" i="218"/>
  <c r="E174" i="218"/>
  <c r="D174" i="218"/>
  <c r="X173" i="218"/>
  <c r="W173" i="218"/>
  <c r="V173" i="218"/>
  <c r="U173" i="218"/>
  <c r="T173" i="218"/>
  <c r="S173" i="218"/>
  <c r="R173" i="218"/>
  <c r="Q173" i="218"/>
  <c r="K173" i="218"/>
  <c r="J173" i="218"/>
  <c r="I173" i="218"/>
  <c r="H173" i="218"/>
  <c r="G173" i="218"/>
  <c r="F173" i="218"/>
  <c r="E173" i="218"/>
  <c r="D173" i="218"/>
  <c r="X172" i="218"/>
  <c r="W172" i="218"/>
  <c r="V172" i="218"/>
  <c r="U172" i="218"/>
  <c r="T172" i="218"/>
  <c r="S172" i="218"/>
  <c r="R172" i="218"/>
  <c r="Q172" i="218"/>
  <c r="K172" i="218"/>
  <c r="J172" i="218"/>
  <c r="I172" i="218"/>
  <c r="H172" i="218"/>
  <c r="G172" i="218"/>
  <c r="F172" i="218"/>
  <c r="E172" i="218"/>
  <c r="D172" i="218"/>
  <c r="X169" i="218"/>
  <c r="W169" i="218"/>
  <c r="V169" i="218"/>
  <c r="U169" i="218"/>
  <c r="T169" i="218"/>
  <c r="S169" i="218"/>
  <c r="R169" i="218"/>
  <c r="Q169" i="218"/>
  <c r="K169" i="218"/>
  <c r="J169" i="218"/>
  <c r="I169" i="218"/>
  <c r="H169" i="218"/>
  <c r="G169" i="218"/>
  <c r="F169" i="218"/>
  <c r="E169" i="218"/>
  <c r="D169" i="218"/>
  <c r="X168" i="218"/>
  <c r="W168" i="218"/>
  <c r="V168" i="218"/>
  <c r="U168" i="218"/>
  <c r="T168" i="218"/>
  <c r="S168" i="218"/>
  <c r="R168" i="218"/>
  <c r="Q168" i="218"/>
  <c r="K168" i="218"/>
  <c r="J168" i="218"/>
  <c r="I168" i="218"/>
  <c r="H168" i="218"/>
  <c r="G168" i="218"/>
  <c r="F168" i="218"/>
  <c r="E168" i="218"/>
  <c r="D168" i="218"/>
  <c r="X167" i="218"/>
  <c r="W167" i="218"/>
  <c r="V167" i="218"/>
  <c r="U167" i="218"/>
  <c r="T167" i="218"/>
  <c r="S167" i="218"/>
  <c r="R167" i="218"/>
  <c r="Q167" i="218"/>
  <c r="K167" i="218"/>
  <c r="J167" i="218"/>
  <c r="I167" i="218"/>
  <c r="H167" i="218"/>
  <c r="G167" i="218"/>
  <c r="F167" i="218"/>
  <c r="E167" i="218"/>
  <c r="D167" i="218"/>
  <c r="X166" i="218"/>
  <c r="W166" i="218"/>
  <c r="V166" i="218"/>
  <c r="U166" i="218"/>
  <c r="T166" i="218"/>
  <c r="S166" i="218"/>
  <c r="R166" i="218"/>
  <c r="Q166" i="218"/>
  <c r="K166" i="218"/>
  <c r="J166" i="218"/>
  <c r="I166" i="218"/>
  <c r="H166" i="218"/>
  <c r="G166" i="218"/>
  <c r="F166" i="218"/>
  <c r="E166" i="218"/>
  <c r="D166" i="218"/>
  <c r="X165" i="218"/>
  <c r="W165" i="218"/>
  <c r="V165" i="218"/>
  <c r="U165" i="218"/>
  <c r="T165" i="218"/>
  <c r="S165" i="218"/>
  <c r="R165" i="218"/>
  <c r="Q165" i="218"/>
  <c r="K165" i="218"/>
  <c r="J165" i="218"/>
  <c r="I165" i="218"/>
  <c r="H165" i="218"/>
  <c r="G165" i="218"/>
  <c r="F165" i="218"/>
  <c r="E165" i="218"/>
  <c r="D165" i="218"/>
  <c r="X164" i="218"/>
  <c r="W164" i="218"/>
  <c r="V164" i="218"/>
  <c r="U164" i="218"/>
  <c r="T164" i="218"/>
  <c r="S164" i="218"/>
  <c r="R164" i="218"/>
  <c r="Q164" i="218"/>
  <c r="K164" i="218"/>
  <c r="J164" i="218"/>
  <c r="I164" i="218"/>
  <c r="H164" i="218"/>
  <c r="G164" i="218"/>
  <c r="F164" i="218"/>
  <c r="E164" i="218"/>
  <c r="D164" i="218"/>
  <c r="X163" i="218"/>
  <c r="W163" i="218"/>
  <c r="V163" i="218"/>
  <c r="U163" i="218"/>
  <c r="T163" i="218"/>
  <c r="S163" i="218"/>
  <c r="R163" i="218"/>
  <c r="Q163" i="218"/>
  <c r="K163" i="218"/>
  <c r="J163" i="218"/>
  <c r="I163" i="218"/>
  <c r="H163" i="218"/>
  <c r="G163" i="218"/>
  <c r="F163" i="218"/>
  <c r="E163" i="218"/>
  <c r="D163" i="218"/>
  <c r="X162" i="218"/>
  <c r="W162" i="218"/>
  <c r="V162" i="218"/>
  <c r="U162" i="218"/>
  <c r="T162" i="218"/>
  <c r="S162" i="218"/>
  <c r="R162" i="218"/>
  <c r="Q162" i="218"/>
  <c r="K162" i="218"/>
  <c r="J162" i="218"/>
  <c r="I162" i="218"/>
  <c r="H162" i="218"/>
  <c r="G162" i="218"/>
  <c r="F162" i="218"/>
  <c r="E162" i="218"/>
  <c r="D162" i="218"/>
  <c r="X161" i="218"/>
  <c r="W161" i="218"/>
  <c r="V161" i="218"/>
  <c r="U161" i="218"/>
  <c r="T161" i="218"/>
  <c r="S161" i="218"/>
  <c r="R161" i="218"/>
  <c r="Q161" i="218"/>
  <c r="K161" i="218"/>
  <c r="J161" i="218"/>
  <c r="I161" i="218"/>
  <c r="H161" i="218"/>
  <c r="G161" i="218"/>
  <c r="F161" i="218"/>
  <c r="E161" i="218"/>
  <c r="D161" i="218"/>
  <c r="X160" i="218"/>
  <c r="W160" i="218"/>
  <c r="V160" i="218"/>
  <c r="U160" i="218"/>
  <c r="T160" i="218"/>
  <c r="S160" i="218"/>
  <c r="R160" i="218"/>
  <c r="Q160" i="218"/>
  <c r="K160" i="218"/>
  <c r="J160" i="218"/>
  <c r="I160" i="218"/>
  <c r="H160" i="218"/>
  <c r="G160" i="218"/>
  <c r="F160" i="218"/>
  <c r="E160" i="218"/>
  <c r="D160" i="218"/>
  <c r="X158" i="218"/>
  <c r="W158" i="218"/>
  <c r="V158" i="218"/>
  <c r="U158" i="218"/>
  <c r="T158" i="218"/>
  <c r="S158" i="218"/>
  <c r="R158" i="218"/>
  <c r="Q158" i="218"/>
  <c r="K158" i="218"/>
  <c r="J158" i="218"/>
  <c r="I158" i="218"/>
  <c r="H158" i="218"/>
  <c r="G158" i="218"/>
  <c r="F158" i="218"/>
  <c r="E158" i="218"/>
  <c r="D158" i="218"/>
  <c r="X157" i="218"/>
  <c r="W157" i="218"/>
  <c r="V157" i="218"/>
  <c r="U157" i="218"/>
  <c r="T157" i="218"/>
  <c r="S157" i="218"/>
  <c r="R157" i="218"/>
  <c r="Q157" i="218"/>
  <c r="K157" i="218"/>
  <c r="J157" i="218"/>
  <c r="I157" i="218"/>
  <c r="H157" i="218"/>
  <c r="G157" i="218"/>
  <c r="F157" i="218"/>
  <c r="E157" i="218"/>
  <c r="D157" i="218"/>
  <c r="K156" i="218"/>
  <c r="J156" i="218"/>
  <c r="I156" i="218"/>
  <c r="H156" i="218"/>
  <c r="G156" i="218"/>
  <c r="F156" i="218"/>
  <c r="E156" i="218"/>
  <c r="D156" i="218"/>
  <c r="K155" i="218"/>
  <c r="J155" i="218"/>
  <c r="I155" i="218"/>
  <c r="H155" i="218"/>
  <c r="G155" i="218"/>
  <c r="F155" i="218"/>
  <c r="E155" i="218"/>
  <c r="D155" i="218"/>
  <c r="X154" i="218"/>
  <c r="W154" i="218"/>
  <c r="V154" i="218"/>
  <c r="U154" i="218"/>
  <c r="T154" i="218"/>
  <c r="S154" i="218"/>
  <c r="R154" i="218"/>
  <c r="Q154" i="218"/>
  <c r="K154" i="218"/>
  <c r="J154" i="218"/>
  <c r="I154" i="218"/>
  <c r="H154" i="218"/>
  <c r="G154" i="218"/>
  <c r="F154" i="218"/>
  <c r="E154" i="218"/>
  <c r="D154" i="218"/>
  <c r="X153" i="218"/>
  <c r="W153" i="218"/>
  <c r="V153" i="218"/>
  <c r="U153" i="218"/>
  <c r="T153" i="218"/>
  <c r="S153" i="218"/>
  <c r="R153" i="218"/>
  <c r="Q153" i="218"/>
  <c r="K153" i="218"/>
  <c r="J153" i="218"/>
  <c r="I153" i="218"/>
  <c r="H153" i="218"/>
  <c r="G153" i="218"/>
  <c r="F153" i="218"/>
  <c r="E153" i="218"/>
  <c r="D153" i="218"/>
  <c r="X152" i="218"/>
  <c r="W152" i="218"/>
  <c r="V152" i="218"/>
  <c r="U152" i="218"/>
  <c r="T152" i="218"/>
  <c r="S152" i="218"/>
  <c r="R152" i="218"/>
  <c r="Q152" i="218"/>
  <c r="K152" i="218"/>
  <c r="J152" i="218"/>
  <c r="I152" i="218"/>
  <c r="H152" i="218"/>
  <c r="G152" i="218"/>
  <c r="F152" i="218"/>
  <c r="E152" i="218"/>
  <c r="D152" i="218"/>
  <c r="X151" i="218"/>
  <c r="W151" i="218"/>
  <c r="V151" i="218"/>
  <c r="U151" i="218"/>
  <c r="T151" i="218"/>
  <c r="S151" i="218"/>
  <c r="R151" i="218"/>
  <c r="Q151" i="218"/>
  <c r="K151" i="218"/>
  <c r="J151" i="218"/>
  <c r="I151" i="218"/>
  <c r="H151" i="218"/>
  <c r="G151" i="218"/>
  <c r="F151" i="218"/>
  <c r="E151" i="218"/>
  <c r="D151" i="218"/>
  <c r="X150" i="218"/>
  <c r="W150" i="218"/>
  <c r="V150" i="218"/>
  <c r="U150" i="218"/>
  <c r="T150" i="218"/>
  <c r="S150" i="218"/>
  <c r="R150" i="218"/>
  <c r="Q150" i="218"/>
  <c r="K150" i="218"/>
  <c r="J150" i="218"/>
  <c r="I150" i="218"/>
  <c r="H150" i="218"/>
  <c r="G150" i="218"/>
  <c r="F150" i="218"/>
  <c r="E150" i="218"/>
  <c r="D150" i="218"/>
  <c r="X149" i="218"/>
  <c r="W149" i="218"/>
  <c r="V149" i="218"/>
  <c r="U149" i="218"/>
  <c r="T149" i="218"/>
  <c r="S149" i="218"/>
  <c r="R149" i="218"/>
  <c r="Q149" i="218"/>
  <c r="K149" i="218"/>
  <c r="J149" i="218"/>
  <c r="I149" i="218"/>
  <c r="H149" i="218"/>
  <c r="G149" i="218"/>
  <c r="F149" i="218"/>
  <c r="E149" i="218"/>
  <c r="D149" i="218"/>
  <c r="X148" i="218"/>
  <c r="W148" i="218"/>
  <c r="V148" i="218"/>
  <c r="U148" i="218"/>
  <c r="T148" i="218"/>
  <c r="S148" i="218"/>
  <c r="R148" i="218"/>
  <c r="Q148" i="218"/>
  <c r="K148" i="218"/>
  <c r="J148" i="218"/>
  <c r="I148" i="218"/>
  <c r="H148" i="218"/>
  <c r="G148" i="218"/>
  <c r="F148" i="218"/>
  <c r="E148" i="218"/>
  <c r="D148" i="218"/>
  <c r="X147" i="218"/>
  <c r="W147" i="218"/>
  <c r="V147" i="218"/>
  <c r="U147" i="218"/>
  <c r="T147" i="218"/>
  <c r="S147" i="218"/>
  <c r="R147" i="218"/>
  <c r="Q147" i="218"/>
  <c r="K147" i="218"/>
  <c r="J147" i="218"/>
  <c r="I147" i="218"/>
  <c r="H147" i="218"/>
  <c r="G147" i="218"/>
  <c r="F147" i="218"/>
  <c r="E147" i="218"/>
  <c r="D147" i="218"/>
  <c r="X146" i="218"/>
  <c r="W146" i="218"/>
  <c r="V146" i="218"/>
  <c r="U146" i="218"/>
  <c r="T146" i="218"/>
  <c r="S146" i="218"/>
  <c r="R146" i="218"/>
  <c r="Q146" i="218"/>
  <c r="K146" i="218"/>
  <c r="J146" i="218"/>
  <c r="I146" i="218"/>
  <c r="H146" i="218"/>
  <c r="G146" i="218"/>
  <c r="F146" i="218"/>
  <c r="E146" i="218"/>
  <c r="D146" i="218"/>
  <c r="X145" i="218"/>
  <c r="W145" i="218"/>
  <c r="V145" i="218"/>
  <c r="U145" i="218"/>
  <c r="T145" i="218"/>
  <c r="S145" i="218"/>
  <c r="R145" i="218"/>
  <c r="Q145" i="218"/>
  <c r="K145" i="218"/>
  <c r="J145" i="218"/>
  <c r="I145" i="218"/>
  <c r="H145" i="218"/>
  <c r="G145" i="218"/>
  <c r="F145" i="218"/>
  <c r="E145" i="218"/>
  <c r="D145" i="218"/>
  <c r="X144" i="218"/>
  <c r="W144" i="218"/>
  <c r="V144" i="218"/>
  <c r="U144" i="218"/>
  <c r="T144" i="218"/>
  <c r="S144" i="218"/>
  <c r="R144" i="218"/>
  <c r="Q144" i="218"/>
  <c r="K144" i="218"/>
  <c r="J144" i="218"/>
  <c r="I144" i="218"/>
  <c r="H144" i="218"/>
  <c r="G144" i="218"/>
  <c r="F144" i="218"/>
  <c r="E144" i="218"/>
  <c r="D144" i="218"/>
  <c r="X143" i="218"/>
  <c r="W143" i="218"/>
  <c r="V143" i="218"/>
  <c r="U143" i="218"/>
  <c r="T143" i="218"/>
  <c r="S143" i="218"/>
  <c r="R143" i="218"/>
  <c r="Q143" i="218"/>
  <c r="K143" i="218"/>
  <c r="J143" i="218"/>
  <c r="I143" i="218"/>
  <c r="H143" i="218"/>
  <c r="G143" i="218"/>
  <c r="F143" i="218"/>
  <c r="E143" i="218"/>
  <c r="D143" i="218"/>
  <c r="X141" i="218"/>
  <c r="W141" i="218"/>
  <c r="V141" i="218"/>
  <c r="U141" i="218"/>
  <c r="T141" i="218"/>
  <c r="S141" i="218"/>
  <c r="R141" i="218"/>
  <c r="Q141" i="218"/>
  <c r="K141" i="218"/>
  <c r="J141" i="218"/>
  <c r="I141" i="218"/>
  <c r="H141" i="218"/>
  <c r="G141" i="218"/>
  <c r="F141" i="218"/>
  <c r="E141" i="218"/>
  <c r="D141" i="218"/>
  <c r="X140" i="218"/>
  <c r="W140" i="218"/>
  <c r="V140" i="218"/>
  <c r="U140" i="218"/>
  <c r="T140" i="218"/>
  <c r="S140" i="218"/>
  <c r="R140" i="218"/>
  <c r="Q140" i="218"/>
  <c r="K140" i="218"/>
  <c r="J140" i="218"/>
  <c r="I140" i="218"/>
  <c r="H140" i="218"/>
  <c r="G140" i="218"/>
  <c r="F140" i="218"/>
  <c r="E140" i="218"/>
  <c r="D140" i="218"/>
  <c r="X139" i="218"/>
  <c r="W139" i="218"/>
  <c r="V139" i="218"/>
  <c r="U139" i="218"/>
  <c r="T139" i="218"/>
  <c r="S139" i="218"/>
  <c r="R139" i="218"/>
  <c r="Q139" i="218"/>
  <c r="K139" i="218"/>
  <c r="J139" i="218"/>
  <c r="I139" i="218"/>
  <c r="H139" i="218"/>
  <c r="G139" i="218"/>
  <c r="F139" i="218"/>
  <c r="E139" i="218"/>
  <c r="D139" i="218"/>
  <c r="X138" i="218"/>
  <c r="W138" i="218"/>
  <c r="V138" i="218"/>
  <c r="U138" i="218"/>
  <c r="T138" i="218"/>
  <c r="S138" i="218"/>
  <c r="R138" i="218"/>
  <c r="Q138" i="218"/>
  <c r="K138" i="218"/>
  <c r="J138" i="218"/>
  <c r="I138" i="218"/>
  <c r="H138" i="218"/>
  <c r="G138" i="218"/>
  <c r="F138" i="218"/>
  <c r="E138" i="218"/>
  <c r="D138" i="218"/>
  <c r="X137" i="218"/>
  <c r="W137" i="218"/>
  <c r="V137" i="218"/>
  <c r="U137" i="218"/>
  <c r="T137" i="218"/>
  <c r="S137" i="218"/>
  <c r="R137" i="218"/>
  <c r="Q137" i="218"/>
  <c r="K137" i="218"/>
  <c r="J137" i="218"/>
  <c r="I137" i="218"/>
  <c r="H137" i="218"/>
  <c r="G137" i="218"/>
  <c r="F137" i="218"/>
  <c r="E137" i="218"/>
  <c r="D137" i="218"/>
  <c r="X135" i="218"/>
  <c r="W135" i="218"/>
  <c r="V135" i="218"/>
  <c r="U135" i="218"/>
  <c r="T135" i="218"/>
  <c r="S135" i="218"/>
  <c r="R135" i="218"/>
  <c r="Q135" i="218"/>
  <c r="K135" i="218"/>
  <c r="J135" i="218"/>
  <c r="I135" i="218"/>
  <c r="H135" i="218"/>
  <c r="G135" i="218"/>
  <c r="F135" i="218"/>
  <c r="E135" i="218"/>
  <c r="D135" i="218"/>
  <c r="X134" i="218"/>
  <c r="W134" i="218"/>
  <c r="V134" i="218"/>
  <c r="U134" i="218"/>
  <c r="T134" i="218"/>
  <c r="S134" i="218"/>
  <c r="R134" i="218"/>
  <c r="Q134" i="218"/>
  <c r="K134" i="218"/>
  <c r="J134" i="218"/>
  <c r="I134" i="218"/>
  <c r="H134" i="218"/>
  <c r="G134" i="218"/>
  <c r="F134" i="218"/>
  <c r="E134" i="218"/>
  <c r="D134" i="218"/>
  <c r="X133" i="218"/>
  <c r="W133" i="218"/>
  <c r="V133" i="218"/>
  <c r="U133" i="218"/>
  <c r="T133" i="218"/>
  <c r="S133" i="218"/>
  <c r="R133" i="218"/>
  <c r="Q133" i="218"/>
  <c r="K133" i="218"/>
  <c r="J133" i="218"/>
  <c r="I133" i="218"/>
  <c r="H133" i="218"/>
  <c r="G133" i="218"/>
  <c r="F133" i="218"/>
  <c r="E133" i="218"/>
  <c r="D133" i="218"/>
  <c r="X132" i="218"/>
  <c r="W132" i="218"/>
  <c r="V132" i="218"/>
  <c r="U132" i="218"/>
  <c r="T132" i="218"/>
  <c r="S132" i="218"/>
  <c r="R132" i="218"/>
  <c r="Q132" i="218"/>
  <c r="K132" i="218"/>
  <c r="J132" i="218"/>
  <c r="I132" i="218"/>
  <c r="H132" i="218"/>
  <c r="G132" i="218"/>
  <c r="F132" i="218"/>
  <c r="E132" i="218"/>
  <c r="D132" i="218"/>
  <c r="X131" i="218"/>
  <c r="W131" i="218"/>
  <c r="V131" i="218"/>
  <c r="U131" i="218"/>
  <c r="T131" i="218"/>
  <c r="S131" i="218"/>
  <c r="R131" i="218"/>
  <c r="Q131" i="218"/>
  <c r="K131" i="218"/>
  <c r="J131" i="218"/>
  <c r="I131" i="218"/>
  <c r="H131" i="218"/>
  <c r="G131" i="218"/>
  <c r="F131" i="218"/>
  <c r="E131" i="218"/>
  <c r="D131" i="218"/>
  <c r="X130" i="218"/>
  <c r="W130" i="218"/>
  <c r="V130" i="218"/>
  <c r="U130" i="218"/>
  <c r="T130" i="218"/>
  <c r="S130" i="218"/>
  <c r="R130" i="218"/>
  <c r="Q130" i="218"/>
  <c r="K130" i="218"/>
  <c r="J130" i="218"/>
  <c r="I130" i="218"/>
  <c r="H130" i="218"/>
  <c r="G130" i="218"/>
  <c r="F130" i="218"/>
  <c r="E130" i="218"/>
  <c r="D130" i="218"/>
  <c r="X129" i="218"/>
  <c r="W129" i="218"/>
  <c r="V129" i="218"/>
  <c r="U129" i="218"/>
  <c r="T129" i="218"/>
  <c r="S129" i="218"/>
  <c r="R129" i="218"/>
  <c r="Q129" i="218"/>
  <c r="K129" i="218"/>
  <c r="J129" i="218"/>
  <c r="I129" i="218"/>
  <c r="H129" i="218"/>
  <c r="G129" i="218"/>
  <c r="F129" i="218"/>
  <c r="E129" i="218"/>
  <c r="D129" i="218"/>
  <c r="X128" i="218"/>
  <c r="W128" i="218"/>
  <c r="V128" i="218"/>
  <c r="U128" i="218"/>
  <c r="T128" i="218"/>
  <c r="S128" i="218"/>
  <c r="R128" i="218"/>
  <c r="Q128" i="218"/>
  <c r="K128" i="218"/>
  <c r="J128" i="218"/>
  <c r="I128" i="218"/>
  <c r="H128" i="218"/>
  <c r="G128" i="218"/>
  <c r="F128" i="218"/>
  <c r="E128" i="218"/>
  <c r="D128" i="218"/>
  <c r="X126" i="218"/>
  <c r="W126" i="218"/>
  <c r="V126" i="218"/>
  <c r="U126" i="218"/>
  <c r="T126" i="218"/>
  <c r="S126" i="218"/>
  <c r="R126" i="218"/>
  <c r="Q126" i="218"/>
  <c r="K126" i="218"/>
  <c r="J126" i="218"/>
  <c r="I126" i="218"/>
  <c r="H126" i="218"/>
  <c r="G126" i="218"/>
  <c r="F126" i="218"/>
  <c r="E126" i="218"/>
  <c r="D126" i="218"/>
  <c r="X125" i="218"/>
  <c r="W125" i="218"/>
  <c r="V125" i="218"/>
  <c r="U125" i="218"/>
  <c r="T125" i="218"/>
  <c r="S125" i="218"/>
  <c r="R125" i="218"/>
  <c r="Q125" i="218"/>
  <c r="K125" i="218"/>
  <c r="J125" i="218"/>
  <c r="I125" i="218"/>
  <c r="H125" i="218"/>
  <c r="G125" i="218"/>
  <c r="F125" i="218"/>
  <c r="E125" i="218"/>
  <c r="D125" i="218"/>
  <c r="X121" i="218"/>
  <c r="W121" i="218"/>
  <c r="V121" i="218"/>
  <c r="U121" i="218"/>
  <c r="T121" i="218"/>
  <c r="S121" i="218"/>
  <c r="R121" i="218"/>
  <c r="Q121" i="218"/>
  <c r="X119" i="218"/>
  <c r="W119" i="218"/>
  <c r="V119" i="218"/>
  <c r="U119" i="218"/>
  <c r="T119" i="218"/>
  <c r="S119" i="218"/>
  <c r="R119" i="218"/>
  <c r="Q119" i="218"/>
  <c r="X118" i="218"/>
  <c r="W118" i="218"/>
  <c r="V118" i="218"/>
  <c r="U118" i="218"/>
  <c r="T118" i="218"/>
  <c r="S118" i="218"/>
  <c r="R118" i="218"/>
  <c r="Q118" i="218"/>
  <c r="X117" i="218"/>
  <c r="W117" i="218"/>
  <c r="V117" i="218"/>
  <c r="U117" i="218"/>
  <c r="T117" i="218"/>
  <c r="S117" i="218"/>
  <c r="R117" i="218"/>
  <c r="Q117" i="218"/>
  <c r="X116" i="218"/>
  <c r="W116" i="218"/>
  <c r="V116" i="218"/>
  <c r="U116" i="218"/>
  <c r="T116" i="218"/>
  <c r="S116" i="218"/>
  <c r="R116" i="218"/>
  <c r="Q116" i="218"/>
  <c r="X115" i="218"/>
  <c r="W115" i="218"/>
  <c r="V115" i="218"/>
  <c r="U115" i="218"/>
  <c r="T115" i="218"/>
  <c r="S115" i="218"/>
  <c r="R115" i="218"/>
  <c r="Q115" i="218"/>
  <c r="X114" i="218"/>
  <c r="W114" i="218"/>
  <c r="V114" i="218"/>
  <c r="U114" i="218"/>
  <c r="T114" i="218"/>
  <c r="S114" i="218"/>
  <c r="R114" i="218"/>
  <c r="Q114" i="218"/>
  <c r="X112" i="218"/>
  <c r="W112" i="218"/>
  <c r="V112" i="218"/>
  <c r="U112" i="218"/>
  <c r="T112" i="218"/>
  <c r="S112" i="218"/>
  <c r="R112" i="218"/>
  <c r="Q112" i="218"/>
  <c r="X111" i="218"/>
  <c r="W111" i="218"/>
  <c r="V111" i="218"/>
  <c r="U111" i="218"/>
  <c r="T111" i="218"/>
  <c r="S111" i="218"/>
  <c r="R111" i="218"/>
  <c r="Q111" i="218"/>
  <c r="X110" i="218"/>
  <c r="W110" i="218"/>
  <c r="V110" i="218"/>
  <c r="U110" i="218"/>
  <c r="T110" i="218"/>
  <c r="S110" i="218"/>
  <c r="R110" i="218"/>
  <c r="Q110" i="218"/>
  <c r="X109" i="218"/>
  <c r="W109" i="218"/>
  <c r="V109" i="218"/>
  <c r="U109" i="218"/>
  <c r="T109" i="218"/>
  <c r="S109" i="218"/>
  <c r="R109" i="218"/>
  <c r="Q109" i="218"/>
  <c r="X108" i="218"/>
  <c r="W108" i="218"/>
  <c r="V108" i="218"/>
  <c r="U108" i="218"/>
  <c r="T108" i="218"/>
  <c r="S108" i="218"/>
  <c r="R108" i="218"/>
  <c r="Q108" i="218"/>
  <c r="X107" i="218"/>
  <c r="W107" i="218"/>
  <c r="V107" i="218"/>
  <c r="U107" i="218"/>
  <c r="T107" i="218"/>
  <c r="S107" i="218"/>
  <c r="R107" i="218"/>
  <c r="Q107" i="218"/>
  <c r="X106" i="218"/>
  <c r="W106" i="218"/>
  <c r="V106" i="218"/>
  <c r="U106" i="218"/>
  <c r="T106" i="218"/>
  <c r="S106" i="218"/>
  <c r="R106" i="218"/>
  <c r="Q106" i="218"/>
  <c r="X105" i="218"/>
  <c r="W105" i="218"/>
  <c r="V105" i="218"/>
  <c r="U105" i="218"/>
  <c r="T105" i="218"/>
  <c r="S105" i="218"/>
  <c r="R105" i="218"/>
  <c r="Q105" i="218"/>
  <c r="X104" i="218"/>
  <c r="W104" i="218"/>
  <c r="V104" i="218"/>
  <c r="U104" i="218"/>
  <c r="T104" i="218"/>
  <c r="S104" i="218"/>
  <c r="R104" i="218"/>
  <c r="Q104" i="218"/>
  <c r="X103" i="218"/>
  <c r="W103" i="218"/>
  <c r="V103" i="218"/>
  <c r="U103" i="218"/>
  <c r="T103" i="218"/>
  <c r="S103" i="218"/>
  <c r="R103" i="218"/>
  <c r="Q103" i="218"/>
  <c r="K103" i="218"/>
  <c r="J103" i="218"/>
  <c r="I103" i="218"/>
  <c r="H103" i="218"/>
  <c r="G103" i="218"/>
  <c r="F103" i="218"/>
  <c r="E103" i="218"/>
  <c r="D103" i="218"/>
  <c r="X102" i="218"/>
  <c r="W102" i="218"/>
  <c r="V102" i="218"/>
  <c r="U102" i="218"/>
  <c r="T102" i="218"/>
  <c r="S102" i="218"/>
  <c r="R102" i="218"/>
  <c r="Q102" i="218"/>
  <c r="X101" i="218"/>
  <c r="W101" i="218"/>
  <c r="V101" i="218"/>
  <c r="U101" i="218"/>
  <c r="T101" i="218"/>
  <c r="S101" i="218"/>
  <c r="R101" i="218"/>
  <c r="Q101" i="218"/>
  <c r="X100" i="218"/>
  <c r="W100" i="218"/>
  <c r="V100" i="218"/>
  <c r="U100" i="218"/>
  <c r="T100" i="218"/>
  <c r="S100" i="218"/>
  <c r="R100" i="218"/>
  <c r="Q100" i="218"/>
  <c r="X99" i="218"/>
  <c r="W99" i="218"/>
  <c r="V99" i="218"/>
  <c r="U99" i="218"/>
  <c r="T99" i="218"/>
  <c r="S99" i="218"/>
  <c r="R99" i="218"/>
  <c r="Q99" i="218"/>
  <c r="X98" i="218"/>
  <c r="W98" i="218"/>
  <c r="V98" i="218"/>
  <c r="U98" i="218"/>
  <c r="T98" i="218"/>
  <c r="S98" i="218"/>
  <c r="R98" i="218"/>
  <c r="Q98" i="218"/>
  <c r="X97" i="218"/>
  <c r="W97" i="218"/>
  <c r="V97" i="218"/>
  <c r="U97" i="218"/>
  <c r="T97" i="218"/>
  <c r="S97" i="218"/>
  <c r="R97" i="218"/>
  <c r="Q97" i="218"/>
  <c r="X96" i="218"/>
  <c r="W96" i="218"/>
  <c r="V96" i="218"/>
  <c r="U96" i="218"/>
  <c r="T96" i="218"/>
  <c r="S96" i="218"/>
  <c r="R96" i="218"/>
  <c r="Q96" i="218"/>
  <c r="X95" i="218"/>
  <c r="W95" i="218"/>
  <c r="V95" i="218"/>
  <c r="U95" i="218"/>
  <c r="T95" i="218"/>
  <c r="S95" i="218"/>
  <c r="R95" i="218"/>
  <c r="Q95" i="218"/>
  <c r="X94" i="218"/>
  <c r="W94" i="218"/>
  <c r="V94" i="218"/>
  <c r="U94" i="218"/>
  <c r="T94" i="218"/>
  <c r="S94" i="218"/>
  <c r="R94" i="218"/>
  <c r="Q94" i="218"/>
  <c r="X93" i="218"/>
  <c r="W93" i="218"/>
  <c r="V93" i="218"/>
  <c r="U93" i="218"/>
  <c r="T93" i="218"/>
  <c r="S93" i="218"/>
  <c r="R93" i="218"/>
  <c r="Q93" i="218"/>
  <c r="X91" i="218"/>
  <c r="W91" i="218"/>
  <c r="V91" i="218"/>
  <c r="U91" i="218"/>
  <c r="T91" i="218"/>
  <c r="S91" i="218"/>
  <c r="R91" i="218"/>
  <c r="Q91" i="218"/>
  <c r="X90" i="218"/>
  <c r="W90" i="218"/>
  <c r="V90" i="218"/>
  <c r="U90" i="218"/>
  <c r="T90" i="218"/>
  <c r="S90" i="218"/>
  <c r="R90" i="218"/>
  <c r="Q90" i="218"/>
  <c r="X89" i="218"/>
  <c r="W89" i="218"/>
  <c r="V89" i="218"/>
  <c r="U89" i="218"/>
  <c r="T89" i="218"/>
  <c r="S89" i="218"/>
  <c r="R89" i="218"/>
  <c r="Q89" i="218"/>
  <c r="X88" i="218"/>
  <c r="W88" i="218"/>
  <c r="V88" i="218"/>
  <c r="U88" i="218"/>
  <c r="T88" i="218"/>
  <c r="S88" i="218"/>
  <c r="R88" i="218"/>
  <c r="Q88" i="218"/>
  <c r="X86" i="218"/>
  <c r="W86" i="218"/>
  <c r="V86" i="218"/>
  <c r="U86" i="218"/>
  <c r="T86" i="218"/>
  <c r="S86" i="218"/>
  <c r="R86" i="218"/>
  <c r="Q86" i="218"/>
  <c r="X85" i="218"/>
  <c r="W85" i="218"/>
  <c r="V85" i="218"/>
  <c r="U85" i="218"/>
  <c r="T85" i="218"/>
  <c r="S85" i="218"/>
  <c r="R85" i="218"/>
  <c r="Q85" i="218"/>
  <c r="X84" i="218"/>
  <c r="W84" i="218"/>
  <c r="V84" i="218"/>
  <c r="U84" i="218"/>
  <c r="T84" i="218"/>
  <c r="S84" i="218"/>
  <c r="R84" i="218"/>
  <c r="Q84" i="218"/>
  <c r="K84" i="218"/>
  <c r="J84" i="218"/>
  <c r="I84" i="218"/>
  <c r="H84" i="218"/>
  <c r="G84" i="218"/>
  <c r="F84" i="218"/>
  <c r="E84" i="218"/>
  <c r="D84" i="218"/>
  <c r="X83" i="218"/>
  <c r="W83" i="218"/>
  <c r="V83" i="218"/>
  <c r="U83" i="218"/>
  <c r="T83" i="218"/>
  <c r="S83" i="218"/>
  <c r="R83" i="218"/>
  <c r="Q83" i="218"/>
  <c r="X82" i="218"/>
  <c r="W82" i="218"/>
  <c r="V82" i="218"/>
  <c r="U82" i="218"/>
  <c r="T82" i="218"/>
  <c r="S82" i="218"/>
  <c r="R82" i="218"/>
  <c r="Q82" i="218"/>
  <c r="X81" i="218"/>
  <c r="W81" i="218"/>
  <c r="V81" i="218"/>
  <c r="U81" i="218"/>
  <c r="T81" i="218"/>
  <c r="S81" i="218"/>
  <c r="R81" i="218"/>
  <c r="Q81" i="218"/>
  <c r="X80" i="218"/>
  <c r="W80" i="218"/>
  <c r="V80" i="218"/>
  <c r="U80" i="218"/>
  <c r="T80" i="218"/>
  <c r="S80" i="218"/>
  <c r="R80" i="218"/>
  <c r="Q80" i="218"/>
  <c r="X77" i="218"/>
  <c r="W77" i="218"/>
  <c r="V77" i="218"/>
  <c r="U77" i="218"/>
  <c r="T77" i="218"/>
  <c r="S77" i="218"/>
  <c r="R77" i="218"/>
  <c r="Q77" i="218"/>
  <c r="X76" i="218"/>
  <c r="W76" i="218"/>
  <c r="V76" i="218"/>
  <c r="U76" i="218"/>
  <c r="T76" i="218"/>
  <c r="S76" i="218"/>
  <c r="R76" i="218"/>
  <c r="Q76" i="218"/>
  <c r="X75" i="218"/>
  <c r="W75" i="218"/>
  <c r="V75" i="218"/>
  <c r="U75" i="218"/>
  <c r="T75" i="218"/>
  <c r="S75" i="218"/>
  <c r="R75" i="218"/>
  <c r="Q75" i="218"/>
  <c r="X74" i="218"/>
  <c r="W74" i="218"/>
  <c r="V74" i="218"/>
  <c r="U74" i="218"/>
  <c r="T74" i="218"/>
  <c r="S74" i="218"/>
  <c r="R74" i="218"/>
  <c r="Q74" i="218"/>
  <c r="X73" i="218"/>
  <c r="W73" i="218"/>
  <c r="V73" i="218"/>
  <c r="U73" i="218"/>
  <c r="T73" i="218"/>
  <c r="S73" i="218"/>
  <c r="R73" i="218"/>
  <c r="Q73" i="218"/>
  <c r="X72" i="218"/>
  <c r="W72" i="218"/>
  <c r="V72" i="218"/>
  <c r="U72" i="218"/>
  <c r="T72" i="218"/>
  <c r="S72" i="218"/>
  <c r="R72" i="218"/>
  <c r="Q72" i="218"/>
  <c r="X71" i="218"/>
  <c r="W71" i="218"/>
  <c r="V71" i="218"/>
  <c r="U71" i="218"/>
  <c r="T71" i="218"/>
  <c r="S71" i="218"/>
  <c r="R71" i="218"/>
  <c r="Q71" i="218"/>
  <c r="K71" i="218"/>
  <c r="J71" i="218"/>
  <c r="I71" i="218"/>
  <c r="H71" i="218"/>
  <c r="G71" i="218"/>
  <c r="F71" i="218"/>
  <c r="E71" i="218"/>
  <c r="D71" i="218"/>
  <c r="X68" i="218"/>
  <c r="W68" i="218"/>
  <c r="V68" i="218"/>
  <c r="U68" i="218"/>
  <c r="T68" i="218"/>
  <c r="S68" i="218"/>
  <c r="R68" i="218"/>
  <c r="Q68" i="218"/>
  <c r="K68" i="218"/>
  <c r="J68" i="218"/>
  <c r="I68" i="218"/>
  <c r="H68" i="218"/>
  <c r="G68" i="218"/>
  <c r="E68" i="218"/>
  <c r="D68" i="218"/>
  <c r="X67" i="218"/>
  <c r="W67" i="218"/>
  <c r="V67" i="218"/>
  <c r="U67" i="218"/>
  <c r="T67" i="218"/>
  <c r="S67" i="218"/>
  <c r="R67" i="218"/>
  <c r="Q67" i="218"/>
  <c r="K67" i="218"/>
  <c r="J67" i="218"/>
  <c r="I67" i="218"/>
  <c r="H67" i="218"/>
  <c r="G67" i="218"/>
  <c r="F67" i="218"/>
  <c r="E67" i="218"/>
  <c r="X66" i="218"/>
  <c r="W66" i="218"/>
  <c r="V66" i="218"/>
  <c r="U66" i="218"/>
  <c r="T66" i="218"/>
  <c r="S66" i="218"/>
  <c r="R66" i="218"/>
  <c r="Q66" i="218"/>
  <c r="K66" i="218"/>
  <c r="J66" i="218"/>
  <c r="I66" i="218"/>
  <c r="H66" i="218"/>
  <c r="G66" i="218"/>
  <c r="F66" i="218"/>
  <c r="E66" i="218"/>
  <c r="D66" i="218"/>
  <c r="X65" i="218"/>
  <c r="W65" i="218"/>
  <c r="V65" i="218"/>
  <c r="U65" i="218"/>
  <c r="T65" i="218"/>
  <c r="S65" i="218"/>
  <c r="R65" i="218"/>
  <c r="Q65" i="218"/>
  <c r="K65" i="218"/>
  <c r="J65" i="218"/>
  <c r="I65" i="218"/>
  <c r="H65" i="218"/>
  <c r="G65" i="218"/>
  <c r="F65" i="218"/>
  <c r="E65" i="218"/>
  <c r="D65" i="218"/>
  <c r="X64" i="218"/>
  <c r="W64" i="218"/>
  <c r="V64" i="218"/>
  <c r="U64" i="218"/>
  <c r="T64" i="218"/>
  <c r="S64" i="218"/>
  <c r="R64" i="218"/>
  <c r="Q64" i="218"/>
  <c r="K64" i="218"/>
  <c r="J64" i="218"/>
  <c r="I64" i="218"/>
  <c r="H64" i="218"/>
  <c r="G64" i="218"/>
  <c r="F64" i="218"/>
  <c r="E64" i="218"/>
  <c r="D64" i="218"/>
  <c r="X63" i="218"/>
  <c r="W63" i="218"/>
  <c r="V63" i="218"/>
  <c r="U63" i="218"/>
  <c r="T63" i="218"/>
  <c r="S63" i="218"/>
  <c r="R63" i="218"/>
  <c r="Q63" i="218"/>
  <c r="K63" i="218"/>
  <c r="J63" i="218"/>
  <c r="I63" i="218"/>
  <c r="H63" i="218"/>
  <c r="G63" i="218"/>
  <c r="F63" i="218"/>
  <c r="E63" i="218"/>
  <c r="D63" i="218"/>
  <c r="X62" i="218"/>
  <c r="W62" i="218"/>
  <c r="V62" i="218"/>
  <c r="U62" i="218"/>
  <c r="T62" i="218"/>
  <c r="S62" i="218"/>
  <c r="R62" i="218"/>
  <c r="Q62" i="218"/>
  <c r="K62" i="218"/>
  <c r="J62" i="218"/>
  <c r="I62" i="218"/>
  <c r="H62" i="218"/>
  <c r="G62" i="218"/>
  <c r="F62" i="218"/>
  <c r="E62" i="218"/>
  <c r="D62" i="218"/>
  <c r="X61" i="218"/>
  <c r="W61" i="218"/>
  <c r="V61" i="218"/>
  <c r="U61" i="218"/>
  <c r="T61" i="218"/>
  <c r="S61" i="218"/>
  <c r="R61" i="218"/>
  <c r="Q61" i="218"/>
  <c r="K61" i="218"/>
  <c r="J61" i="218"/>
  <c r="I61" i="218"/>
  <c r="H61" i="218"/>
  <c r="G61" i="218"/>
  <c r="F61" i="218"/>
  <c r="E61" i="218"/>
  <c r="D61" i="218"/>
  <c r="X60" i="218"/>
  <c r="W60" i="218"/>
  <c r="V60" i="218"/>
  <c r="U60" i="218"/>
  <c r="T60" i="218"/>
  <c r="S60" i="218"/>
  <c r="R60" i="218"/>
  <c r="Q60" i="218"/>
  <c r="K60" i="218"/>
  <c r="J60" i="218"/>
  <c r="I60" i="218"/>
  <c r="H60" i="218"/>
  <c r="G60" i="218"/>
  <c r="F60" i="218"/>
  <c r="E60" i="218"/>
  <c r="D60" i="218"/>
  <c r="X58" i="218"/>
  <c r="W58" i="218"/>
  <c r="V58" i="218"/>
  <c r="U58" i="218"/>
  <c r="T58" i="218"/>
  <c r="S58" i="218"/>
  <c r="R58" i="218"/>
  <c r="Q58" i="218"/>
  <c r="K58" i="218"/>
  <c r="J58" i="218"/>
  <c r="I58" i="218"/>
  <c r="H58" i="218"/>
  <c r="G58" i="218"/>
  <c r="F58" i="218"/>
  <c r="E58" i="218"/>
  <c r="D58" i="218"/>
  <c r="X57" i="218"/>
  <c r="W57" i="218"/>
  <c r="V57" i="218"/>
  <c r="U57" i="218"/>
  <c r="T57" i="218"/>
  <c r="S57" i="218"/>
  <c r="R57" i="218"/>
  <c r="Q57" i="218"/>
  <c r="K57" i="218"/>
  <c r="J57" i="218"/>
  <c r="I57" i="218"/>
  <c r="H57" i="218"/>
  <c r="G57" i="218"/>
  <c r="F57" i="218"/>
  <c r="E57" i="218"/>
  <c r="D57" i="218"/>
  <c r="X56" i="218"/>
  <c r="W56" i="218"/>
  <c r="V56" i="218"/>
  <c r="U56" i="218"/>
  <c r="T56" i="218"/>
  <c r="S56" i="218"/>
  <c r="R56" i="218"/>
  <c r="Q56" i="218"/>
  <c r="K56" i="218"/>
  <c r="J56" i="218"/>
  <c r="I56" i="218"/>
  <c r="H56" i="218"/>
  <c r="G56" i="218"/>
  <c r="F56" i="218"/>
  <c r="E56" i="218"/>
  <c r="D56" i="218"/>
  <c r="X55" i="218"/>
  <c r="W55" i="218"/>
  <c r="V55" i="218"/>
  <c r="U55" i="218"/>
  <c r="T55" i="218"/>
  <c r="S55" i="218"/>
  <c r="R55" i="218"/>
  <c r="Q55" i="218"/>
  <c r="K55" i="218"/>
  <c r="J55" i="218"/>
  <c r="I55" i="218"/>
  <c r="H55" i="218"/>
  <c r="G55" i="218"/>
  <c r="F55" i="218"/>
  <c r="E55" i="218"/>
  <c r="D55" i="218"/>
  <c r="X54" i="218"/>
  <c r="W54" i="218"/>
  <c r="V54" i="218"/>
  <c r="U54" i="218"/>
  <c r="T54" i="218"/>
  <c r="S54" i="218"/>
  <c r="R54" i="218"/>
  <c r="Q54" i="218"/>
  <c r="K54" i="218"/>
  <c r="J54" i="218"/>
  <c r="I54" i="218"/>
  <c r="H54" i="218"/>
  <c r="G54" i="218"/>
  <c r="F54" i="218"/>
  <c r="E54" i="218"/>
  <c r="D54" i="218"/>
  <c r="X53" i="218"/>
  <c r="W53" i="218"/>
  <c r="V53" i="218"/>
  <c r="U53" i="218"/>
  <c r="T53" i="218"/>
  <c r="S53" i="218"/>
  <c r="R53" i="218"/>
  <c r="Q53" i="218"/>
  <c r="K53" i="218"/>
  <c r="J53" i="218"/>
  <c r="I53" i="218"/>
  <c r="H53" i="218"/>
  <c r="G53" i="218"/>
  <c r="F53" i="218"/>
  <c r="E53" i="218"/>
  <c r="D53" i="218"/>
  <c r="X52" i="218"/>
  <c r="W52" i="218"/>
  <c r="V52" i="218"/>
  <c r="U52" i="218"/>
  <c r="T52" i="218"/>
  <c r="S52" i="218"/>
  <c r="R52" i="218"/>
  <c r="Q52" i="218"/>
  <c r="K52" i="218"/>
  <c r="J52" i="218"/>
  <c r="I52" i="218"/>
  <c r="H52" i="218"/>
  <c r="G52" i="218"/>
  <c r="F52" i="218"/>
  <c r="E52" i="218"/>
  <c r="D52" i="218"/>
  <c r="X51" i="218"/>
  <c r="W51" i="218"/>
  <c r="V51" i="218"/>
  <c r="U51" i="218"/>
  <c r="T51" i="218"/>
  <c r="S51" i="218"/>
  <c r="R51" i="218"/>
  <c r="Q51" i="218"/>
  <c r="K51" i="218"/>
  <c r="J51" i="218"/>
  <c r="I51" i="218"/>
  <c r="H51" i="218"/>
  <c r="G51" i="218"/>
  <c r="F51" i="218"/>
  <c r="E51" i="218"/>
  <c r="D51" i="218"/>
  <c r="K50" i="218"/>
  <c r="J50" i="218"/>
  <c r="I50" i="218"/>
  <c r="H50" i="218"/>
  <c r="G50" i="218"/>
  <c r="F50" i="218"/>
  <c r="E50" i="218"/>
  <c r="D50" i="218"/>
  <c r="K49" i="218"/>
  <c r="J49" i="218"/>
  <c r="I49" i="218"/>
  <c r="H49" i="218"/>
  <c r="G49" i="218"/>
  <c r="F49" i="218"/>
  <c r="E49" i="218"/>
  <c r="D49" i="218"/>
  <c r="K48" i="218"/>
  <c r="J48" i="218"/>
  <c r="I48" i="218"/>
  <c r="H48" i="218"/>
  <c r="G48" i="218"/>
  <c r="F48" i="218"/>
  <c r="E48" i="218"/>
  <c r="D48" i="218"/>
  <c r="K47" i="218"/>
  <c r="J47" i="218"/>
  <c r="I47" i="218"/>
  <c r="H47" i="218"/>
  <c r="G47" i="218"/>
  <c r="F47" i="218"/>
  <c r="E47" i="218"/>
  <c r="D47" i="218"/>
  <c r="K46" i="218"/>
  <c r="J46" i="218"/>
  <c r="I46" i="218"/>
  <c r="H46" i="218"/>
  <c r="G46" i="218"/>
  <c r="F46" i="218"/>
  <c r="E46" i="218"/>
  <c r="D46" i="218"/>
  <c r="K45" i="218"/>
  <c r="J45" i="218"/>
  <c r="I45" i="218"/>
  <c r="H45" i="218"/>
  <c r="G45" i="218"/>
  <c r="F45" i="218"/>
  <c r="E45" i="218"/>
  <c r="D45" i="218"/>
  <c r="K44" i="218"/>
  <c r="J44" i="218"/>
  <c r="I44" i="218"/>
  <c r="H44" i="218"/>
  <c r="G44" i="218"/>
  <c r="F44" i="218"/>
  <c r="E44" i="218"/>
  <c r="D44" i="218"/>
  <c r="K43" i="218"/>
  <c r="J43" i="218"/>
  <c r="I43" i="218"/>
  <c r="H43" i="218"/>
  <c r="G43" i="218"/>
  <c r="F43" i="218"/>
  <c r="E43" i="218"/>
  <c r="D43" i="218"/>
  <c r="K41" i="218"/>
  <c r="J41" i="218"/>
  <c r="I41" i="218"/>
  <c r="H41" i="218"/>
  <c r="G41" i="218"/>
  <c r="F41" i="218"/>
  <c r="E41" i="218"/>
  <c r="D41" i="218"/>
  <c r="K40" i="218"/>
  <c r="J40" i="218"/>
  <c r="I40" i="218"/>
  <c r="H40" i="218"/>
  <c r="G40" i="218"/>
  <c r="F40" i="218"/>
  <c r="E40" i="218"/>
  <c r="D40" i="218"/>
  <c r="K39" i="218"/>
  <c r="J39" i="218"/>
  <c r="I39" i="218"/>
  <c r="H39" i="218"/>
  <c r="G39" i="218"/>
  <c r="F39" i="218"/>
  <c r="E39" i="218"/>
  <c r="D39" i="218"/>
  <c r="X37" i="218"/>
  <c r="W37" i="218"/>
  <c r="V37" i="218"/>
  <c r="U37" i="218"/>
  <c r="T37" i="218"/>
  <c r="S37" i="218"/>
  <c r="R37" i="218"/>
  <c r="Q37" i="218"/>
  <c r="K37" i="218"/>
  <c r="J37" i="218"/>
  <c r="I37" i="218"/>
  <c r="H37" i="218"/>
  <c r="G37" i="218"/>
  <c r="F37" i="218"/>
  <c r="E37" i="218"/>
  <c r="D37" i="218"/>
  <c r="X36" i="218"/>
  <c r="W36" i="218"/>
  <c r="V36" i="218"/>
  <c r="U36" i="218"/>
  <c r="T36" i="218"/>
  <c r="S36" i="218"/>
  <c r="R36" i="218"/>
  <c r="Q36" i="218"/>
  <c r="K36" i="218"/>
  <c r="J36" i="218"/>
  <c r="I36" i="218"/>
  <c r="H36" i="218"/>
  <c r="G36" i="218"/>
  <c r="F36" i="218"/>
  <c r="E36" i="218"/>
  <c r="D36" i="218"/>
  <c r="X35" i="218"/>
  <c r="W35" i="218"/>
  <c r="V35" i="218"/>
  <c r="U35" i="218"/>
  <c r="T35" i="218"/>
  <c r="S35" i="218"/>
  <c r="R35" i="218"/>
  <c r="Q35" i="218"/>
  <c r="K35" i="218"/>
  <c r="J35" i="218"/>
  <c r="I35" i="218"/>
  <c r="H35" i="218"/>
  <c r="G35" i="218"/>
  <c r="F35" i="218"/>
  <c r="E35" i="218"/>
  <c r="D35" i="218"/>
  <c r="X34" i="218"/>
  <c r="W34" i="218"/>
  <c r="V34" i="218"/>
  <c r="U34" i="218"/>
  <c r="T34" i="218"/>
  <c r="S34" i="218"/>
  <c r="R34" i="218"/>
  <c r="Q34" i="218"/>
  <c r="K34" i="218"/>
  <c r="J34" i="218"/>
  <c r="I34" i="218"/>
  <c r="H34" i="218"/>
  <c r="G34" i="218"/>
  <c r="F34" i="218"/>
  <c r="E34" i="218"/>
  <c r="D34" i="218"/>
  <c r="X33" i="218"/>
  <c r="W33" i="218"/>
  <c r="V33" i="218"/>
  <c r="U33" i="218"/>
  <c r="T33" i="218"/>
  <c r="S33" i="218"/>
  <c r="R33" i="218"/>
  <c r="Q33" i="218"/>
  <c r="K33" i="218"/>
  <c r="J33" i="218"/>
  <c r="I33" i="218"/>
  <c r="H33" i="218"/>
  <c r="G33" i="218"/>
  <c r="F33" i="218"/>
  <c r="E33" i="218"/>
  <c r="D33" i="218"/>
  <c r="X32" i="218"/>
  <c r="W32" i="218"/>
  <c r="V32" i="218"/>
  <c r="U32" i="218"/>
  <c r="T32" i="218"/>
  <c r="S32" i="218"/>
  <c r="R32" i="218"/>
  <c r="Q32" i="218"/>
  <c r="K32" i="218"/>
  <c r="J32" i="218"/>
  <c r="I32" i="218"/>
  <c r="H32" i="218"/>
  <c r="G32" i="218"/>
  <c r="F32" i="218"/>
  <c r="E32" i="218"/>
  <c r="D32" i="218"/>
  <c r="X31" i="218"/>
  <c r="W31" i="218"/>
  <c r="V31" i="218"/>
  <c r="U31" i="218"/>
  <c r="T31" i="218"/>
  <c r="S31" i="218"/>
  <c r="R31" i="218"/>
  <c r="Q31" i="218"/>
  <c r="K31" i="218"/>
  <c r="J31" i="218"/>
  <c r="I31" i="218"/>
  <c r="H31" i="218"/>
  <c r="G31" i="218"/>
  <c r="F31" i="218"/>
  <c r="E31" i="218"/>
  <c r="D31" i="218"/>
  <c r="X30" i="218"/>
  <c r="W30" i="218"/>
  <c r="V30" i="218"/>
  <c r="U30" i="218"/>
  <c r="T30" i="218"/>
  <c r="S30" i="218"/>
  <c r="R30" i="218"/>
  <c r="Q30" i="218"/>
  <c r="K30" i="218"/>
  <c r="J30" i="218"/>
  <c r="I30" i="218"/>
  <c r="H30" i="218"/>
  <c r="G30" i="218"/>
  <c r="F30" i="218"/>
  <c r="E30" i="218"/>
  <c r="D30" i="218"/>
  <c r="X28" i="218"/>
  <c r="W28" i="218"/>
  <c r="V28" i="218"/>
  <c r="U28" i="218"/>
  <c r="T28" i="218"/>
  <c r="S28" i="218"/>
  <c r="R28" i="218"/>
  <c r="Q28" i="218"/>
  <c r="K28" i="218"/>
  <c r="J28" i="218"/>
  <c r="I28" i="218"/>
  <c r="H28" i="218"/>
  <c r="G28" i="218"/>
  <c r="F28" i="218"/>
  <c r="E28" i="218"/>
  <c r="D28" i="218"/>
  <c r="X27" i="218"/>
  <c r="W27" i="218"/>
  <c r="V27" i="218"/>
  <c r="U27" i="218"/>
  <c r="T27" i="218"/>
  <c r="S27" i="218"/>
  <c r="R27" i="218"/>
  <c r="Q27" i="218"/>
  <c r="K27" i="218"/>
  <c r="J27" i="218"/>
  <c r="I27" i="218"/>
  <c r="H27" i="218"/>
  <c r="G27" i="218"/>
  <c r="F27" i="218"/>
  <c r="E27" i="218"/>
  <c r="D27" i="218"/>
  <c r="X26" i="218"/>
  <c r="W26" i="218"/>
  <c r="V26" i="218"/>
  <c r="U26" i="218"/>
  <c r="T26" i="218"/>
  <c r="S26" i="218"/>
  <c r="R26" i="218"/>
  <c r="Q26" i="218"/>
  <c r="K26" i="218"/>
  <c r="J26" i="218"/>
  <c r="I26" i="218"/>
  <c r="H26" i="218"/>
  <c r="G26" i="218"/>
  <c r="F26" i="218"/>
  <c r="E26" i="218"/>
  <c r="D26" i="218"/>
  <c r="Y81" i="218" l="1"/>
  <c r="Y164" i="217"/>
  <c r="Y165" i="217"/>
  <c r="Y168" i="217"/>
  <c r="Y173" i="217"/>
  <c r="Y174" i="217"/>
  <c r="Y171" i="217"/>
  <c r="Y167" i="217"/>
  <c r="Y172" i="217"/>
  <c r="Y170" i="217"/>
  <c r="Y169" i="217"/>
  <c r="Y166" i="217"/>
  <c r="Y136" i="217"/>
  <c r="Y132" i="217"/>
  <c r="Y137" i="217"/>
  <c r="Y129" i="217"/>
  <c r="Y151" i="217"/>
  <c r="Y138" i="217"/>
  <c r="Y146" i="217"/>
  <c r="Y149" i="217"/>
  <c r="Y150" i="217"/>
  <c r="Y143" i="217"/>
  <c r="Y140" i="217"/>
  <c r="Y133" i="217"/>
  <c r="Y145" i="217"/>
  <c r="Y141" i="217"/>
  <c r="Y139" i="217"/>
  <c r="Y144" i="217"/>
  <c r="Y134" i="217"/>
  <c r="Y148" i="217"/>
  <c r="Y131" i="217"/>
  <c r="Y135" i="217"/>
  <c r="Y142" i="217"/>
  <c r="Y147" i="217"/>
  <c r="Y130" i="217"/>
  <c r="L174" i="217"/>
  <c r="L164" i="217"/>
  <c r="L150" i="217"/>
  <c r="L140" i="217"/>
  <c r="L129" i="217"/>
  <c r="L173" i="217"/>
  <c r="Y91" i="217"/>
  <c r="Y84" i="217"/>
  <c r="F123" i="218"/>
  <c r="Y148" i="218"/>
  <c r="Y163" i="218"/>
  <c r="R189" i="218"/>
  <c r="K123" i="218"/>
  <c r="Y145" i="218"/>
  <c r="Y146" i="218"/>
  <c r="Y174" i="218"/>
  <c r="Y172" i="218"/>
  <c r="Y179" i="218"/>
  <c r="Q189" i="218"/>
  <c r="Y158" i="218"/>
  <c r="J123" i="218"/>
  <c r="Y74" i="217"/>
  <c r="Y30" i="217"/>
  <c r="Y82" i="217"/>
  <c r="Y54" i="217"/>
  <c r="Y31" i="217"/>
  <c r="Y28" i="217"/>
  <c r="Y37" i="217"/>
  <c r="Y61" i="217"/>
  <c r="Y26" i="217"/>
  <c r="Y25" i="217"/>
  <c r="Y36" i="217"/>
  <c r="Y34" i="217"/>
  <c r="Y39" i="217"/>
  <c r="Y33" i="217"/>
  <c r="Y32" i="217"/>
  <c r="Y24" i="217"/>
  <c r="Y29" i="217"/>
  <c r="Y40" i="217"/>
  <c r="Y41" i="217"/>
  <c r="Y42" i="217"/>
  <c r="Y38" i="217"/>
  <c r="Y35" i="217"/>
  <c r="Y27" i="217"/>
  <c r="L26" i="217"/>
  <c r="L36" i="217"/>
  <c r="L25" i="217"/>
  <c r="L21" i="217"/>
  <c r="L61" i="217"/>
  <c r="L34" i="217"/>
  <c r="L54" i="217"/>
  <c r="Y74" i="218"/>
  <c r="Y130" i="218"/>
  <c r="Y132" i="218"/>
  <c r="Y140" i="218"/>
  <c r="L54" i="218"/>
  <c r="L62" i="218"/>
  <c r="Y118" i="218"/>
  <c r="Y114" i="218"/>
  <c r="Y75" i="218"/>
  <c r="Y108" i="218"/>
  <c r="Y103" i="218"/>
  <c r="Y107" i="218"/>
  <c r="Y67" i="218"/>
  <c r="Y57" i="218"/>
  <c r="Y65" i="218"/>
  <c r="Y51" i="218"/>
  <c r="Y58" i="218"/>
  <c r="L65" i="218"/>
  <c r="L48" i="218"/>
  <c r="L55" i="218"/>
  <c r="L63" i="218"/>
  <c r="L41" i="218"/>
  <c r="L49" i="218"/>
  <c r="L33" i="218"/>
  <c r="Y62" i="218"/>
  <c r="Y86" i="218"/>
  <c r="Y95" i="218"/>
  <c r="D123" i="218"/>
  <c r="S123" i="218"/>
  <c r="T123" i="218"/>
  <c r="Y82" i="218"/>
  <c r="L61" i="218"/>
  <c r="D69" i="218"/>
  <c r="W69" i="218"/>
  <c r="Y30" i="218"/>
  <c r="Y37" i="218"/>
  <c r="Y34" i="218"/>
  <c r="Y90" i="218"/>
  <c r="Y100" i="218"/>
  <c r="L27" i="218"/>
  <c r="L35" i="218"/>
  <c r="Y84" i="218"/>
  <c r="Y106" i="218"/>
  <c r="L158" i="218"/>
  <c r="L164" i="218"/>
  <c r="L151" i="218"/>
  <c r="K189" i="218"/>
  <c r="L175" i="218"/>
  <c r="L186" i="218"/>
  <c r="L166" i="218"/>
  <c r="L176" i="218"/>
  <c r="L141" i="218"/>
  <c r="L146" i="218"/>
  <c r="L143" i="218"/>
  <c r="L135" i="218"/>
  <c r="L128" i="218"/>
  <c r="L144" i="218"/>
  <c r="K69" i="218"/>
  <c r="H123" i="218"/>
  <c r="Y94" i="218"/>
  <c r="Y110" i="218"/>
  <c r="Y119" i="218"/>
  <c r="D189" i="218"/>
  <c r="W189" i="218"/>
  <c r="L132" i="218"/>
  <c r="L139" i="218"/>
  <c r="Y141" i="218"/>
  <c r="Y154" i="218"/>
  <c r="L156" i="218"/>
  <c r="Y175" i="218"/>
  <c r="L179" i="218"/>
  <c r="L34" i="218"/>
  <c r="Q69" i="218"/>
  <c r="S69" i="218"/>
  <c r="L50" i="218"/>
  <c r="L52" i="218"/>
  <c r="L58" i="218"/>
  <c r="I123" i="218"/>
  <c r="Y105" i="218"/>
  <c r="E189" i="218"/>
  <c r="X189" i="218"/>
  <c r="Y126" i="218"/>
  <c r="L152" i="218"/>
  <c r="L165" i="218"/>
  <c r="Y167" i="218"/>
  <c r="L168" i="218"/>
  <c r="L26" i="218"/>
  <c r="Y26" i="218"/>
  <c r="L31" i="218"/>
  <c r="L30" i="218"/>
  <c r="L39" i="218"/>
  <c r="Y52" i="218"/>
  <c r="Y55" i="218"/>
  <c r="Y68" i="218"/>
  <c r="Y83" i="218"/>
  <c r="Y88" i="218"/>
  <c r="Y89" i="218"/>
  <c r="Y101" i="218"/>
  <c r="F189" i="218"/>
  <c r="L126" i="218"/>
  <c r="Y129" i="218"/>
  <c r="L130" i="218"/>
  <c r="Y135" i="218"/>
  <c r="L140" i="218"/>
  <c r="Y143" i="218"/>
  <c r="Y149" i="218"/>
  <c r="Y162" i="218"/>
  <c r="Y168" i="218"/>
  <c r="L173" i="218"/>
  <c r="Y186" i="218"/>
  <c r="L68" i="218"/>
  <c r="R69" i="218"/>
  <c r="H69" i="218"/>
  <c r="T69" i="218"/>
  <c r="L46" i="218"/>
  <c r="U69" i="218"/>
  <c r="Y27" i="218"/>
  <c r="L47" i="218"/>
  <c r="Y54" i="218"/>
  <c r="L60" i="218"/>
  <c r="L66" i="218"/>
  <c r="Y76" i="218"/>
  <c r="Y99" i="218"/>
  <c r="G189" i="218"/>
  <c r="L147" i="218"/>
  <c r="L160" i="218"/>
  <c r="L174" i="218"/>
  <c r="V123" i="218"/>
  <c r="Y31" i="218"/>
  <c r="G69" i="218"/>
  <c r="L37" i="218"/>
  <c r="V69" i="218"/>
  <c r="Y32" i="218"/>
  <c r="Y35" i="218"/>
  <c r="L53" i="218"/>
  <c r="Y56" i="218"/>
  <c r="L57" i="218"/>
  <c r="Y60" i="218"/>
  <c r="Y63" i="218"/>
  <c r="Y71" i="218"/>
  <c r="Y121" i="218"/>
  <c r="H189" i="218"/>
  <c r="Y134" i="218"/>
  <c r="Y177" i="218"/>
  <c r="Y183" i="218"/>
  <c r="Y187" i="218"/>
  <c r="L188" i="218"/>
  <c r="L67" i="218"/>
  <c r="R123" i="218"/>
  <c r="Y98" i="218"/>
  <c r="L103" i="218"/>
  <c r="Y115" i="218"/>
  <c r="I189" i="218"/>
  <c r="L134" i="218"/>
  <c r="Y137" i="218"/>
  <c r="L138" i="218"/>
  <c r="Y144" i="218"/>
  <c r="L148" i="218"/>
  <c r="L154" i="218"/>
  <c r="Y169" i="218"/>
  <c r="Y176" i="218"/>
  <c r="L183" i="218"/>
  <c r="Y93" i="218"/>
  <c r="Y96" i="218"/>
  <c r="Y109" i="218"/>
  <c r="J189" i="218"/>
  <c r="Y131" i="218"/>
  <c r="L133" i="218"/>
  <c r="Y138" i="218"/>
  <c r="Y157" i="218"/>
  <c r="L167" i="218"/>
  <c r="Y178" i="218"/>
  <c r="L180" i="218"/>
  <c r="L129" i="218"/>
  <c r="Y151" i="218"/>
  <c r="L155" i="218"/>
  <c r="L162" i="218"/>
  <c r="Y164" i="218"/>
  <c r="U123" i="218"/>
  <c r="Y111" i="218"/>
  <c r="Y112" i="218"/>
  <c r="Y117" i="218"/>
  <c r="Y139" i="218"/>
  <c r="L149" i="218"/>
  <c r="Y150" i="218"/>
  <c r="Y173" i="218"/>
  <c r="Y188" i="218"/>
  <c r="E69" i="218"/>
  <c r="Y64" i="218"/>
  <c r="L56" i="218"/>
  <c r="L84" i="218"/>
  <c r="Y102" i="218"/>
  <c r="S189" i="218"/>
  <c r="L137" i="218"/>
  <c r="L150" i="218"/>
  <c r="Y152" i="218"/>
  <c r="L153" i="218"/>
  <c r="L169" i="218"/>
  <c r="L177" i="218"/>
  <c r="L187" i="218"/>
  <c r="L32" i="218"/>
  <c r="J69" i="218"/>
  <c r="L28" i="218"/>
  <c r="Y28" i="218"/>
  <c r="L40" i="218"/>
  <c r="L44" i="218"/>
  <c r="Y53" i="218"/>
  <c r="Y66" i="218"/>
  <c r="E123" i="218"/>
  <c r="Y73" i="218"/>
  <c r="Y97" i="218"/>
  <c r="Y104" i="218"/>
  <c r="Y133" i="218"/>
  <c r="Y153" i="218"/>
  <c r="L163" i="218"/>
  <c r="Y180" i="218"/>
  <c r="X69" i="218"/>
  <c r="L36" i="218"/>
  <c r="Y36" i="218"/>
  <c r="L64" i="218"/>
  <c r="Y72" i="218"/>
  <c r="W123" i="218"/>
  <c r="Y77" i="218"/>
  <c r="X123" i="218"/>
  <c r="Y91" i="218"/>
  <c r="U189" i="218"/>
  <c r="L131" i="218"/>
  <c r="Y147" i="218"/>
  <c r="L157" i="218"/>
  <c r="Y160" i="218"/>
  <c r="L161" i="218"/>
  <c r="Y165" i="218"/>
  <c r="Y166" i="218"/>
  <c r="L172" i="218"/>
  <c r="L178" i="218"/>
  <c r="I69" i="218"/>
  <c r="Y33" i="218"/>
  <c r="L43" i="218"/>
  <c r="L45" i="218"/>
  <c r="L51" i="218"/>
  <c r="Y61" i="218"/>
  <c r="L71" i="218"/>
  <c r="Y85" i="218"/>
  <c r="Y116" i="218"/>
  <c r="G123" i="218"/>
  <c r="V189" i="218"/>
  <c r="T189" i="218"/>
  <c r="Y128" i="218"/>
  <c r="L145" i="218"/>
  <c r="Y161" i="218"/>
  <c r="Q123" i="218"/>
  <c r="Y125" i="218"/>
  <c r="L125" i="218"/>
  <c r="F69" i="218"/>
  <c r="Y80" i="218"/>
  <c r="L189" i="218" l="1"/>
  <c r="Y189" i="218"/>
  <c r="Y123" i="218"/>
  <c r="Z120" i="218" s="1" a="1"/>
  <c r="Z120" i="218" s="1"/>
  <c r="L123" i="218"/>
  <c r="M103" i="218" s="1"/>
  <c r="L69" i="218"/>
  <c r="M59" i="218" s="1" a="1"/>
  <c r="M59" i="218" s="1"/>
  <c r="Y69" i="218"/>
  <c r="Z59" i="218" s="1" a="1"/>
  <c r="Z59" i="218" s="1"/>
  <c r="Z185" i="218" l="1" a="1"/>
  <c r="Z185" i="218" s="1"/>
  <c r="Z156" i="218" a="1"/>
  <c r="Z156" i="218" s="1"/>
  <c r="M127" i="218" a="1"/>
  <c r="M127" i="218" s="1"/>
  <c r="M185" i="218" a="1"/>
  <c r="M185" i="218" s="1"/>
  <c r="Z136" i="218" a="1"/>
  <c r="Z136" i="218" s="1"/>
  <c r="Z127" i="218" a="1"/>
  <c r="Z127" i="218" s="1"/>
  <c r="M142" i="218" a="1"/>
  <c r="M142" i="218" s="1"/>
  <c r="M136" i="218" a="1"/>
  <c r="M136" i="218" s="1"/>
  <c r="Z182" i="218" a="1"/>
  <c r="Z182" i="218" s="1"/>
  <c r="Z142" i="218" a="1"/>
  <c r="Z142" i="218" s="1"/>
  <c r="M181" i="218" a="1"/>
  <c r="M181" i="218" s="1"/>
  <c r="M182" i="218" a="1"/>
  <c r="M182" i="218" s="1"/>
  <c r="Z184" i="218" a="1"/>
  <c r="Z184" i="218" s="1"/>
  <c r="Z181" i="218" a="1"/>
  <c r="Z181" i="218" s="1"/>
  <c r="M159" i="218" a="1"/>
  <c r="M159" i="218" s="1"/>
  <c r="M184" i="218" a="1"/>
  <c r="M184" i="218" s="1"/>
  <c r="Z171" i="218" a="1"/>
  <c r="Z171" i="218" s="1"/>
  <c r="Z159" i="218" a="1"/>
  <c r="Z159" i="218" s="1"/>
  <c r="M171" i="218" a="1"/>
  <c r="M171" i="218" s="1"/>
  <c r="Z125" i="218" a="1"/>
  <c r="Z125" i="218" s="1"/>
  <c r="Z170" i="218" a="1"/>
  <c r="Z170" i="218" s="1"/>
  <c r="M125" i="218" a="1"/>
  <c r="M125" i="218" s="1"/>
  <c r="M170" i="218" a="1"/>
  <c r="M170" i="218" s="1"/>
  <c r="Z92" i="218" a="1"/>
  <c r="Z92" i="218" s="1"/>
  <c r="Z113" i="218" a="1"/>
  <c r="Z113" i="218" s="1"/>
  <c r="Z79" i="218" a="1"/>
  <c r="Z79" i="218" s="1"/>
  <c r="Z87" i="218" a="1"/>
  <c r="Z87" i="218" s="1"/>
  <c r="Z122" i="218" a="1"/>
  <c r="Z122" i="218" s="1"/>
  <c r="Z78" i="218" a="1"/>
  <c r="Z78" i="218" s="1"/>
  <c r="Z48" i="218" a="1"/>
  <c r="Z48" i="218" s="1"/>
  <c r="Z45" i="218" a="1"/>
  <c r="Z45" i="218" s="1"/>
  <c r="Z46" i="218" a="1"/>
  <c r="Z46" i="218" s="1"/>
  <c r="Z43" i="218" a="1"/>
  <c r="Z43" i="218" s="1"/>
  <c r="Z49" i="218" a="1"/>
  <c r="Z49" i="218" s="1"/>
  <c r="Z44" i="218" a="1"/>
  <c r="Z44" i="218" s="1"/>
  <c r="Z42" i="218" a="1"/>
  <c r="Z42" i="218" s="1"/>
  <c r="Z41" i="218" a="1"/>
  <c r="Z41" i="218" s="1"/>
  <c r="Z47" i="218" a="1"/>
  <c r="Z47" i="218" s="1"/>
  <c r="Z50" i="218" a="1"/>
  <c r="Z50" i="218" s="1"/>
  <c r="Z38" i="218" a="1"/>
  <c r="Z38" i="218" s="1"/>
  <c r="Z39" i="218" a="1"/>
  <c r="Z39" i="218" s="1"/>
  <c r="Z40" i="218" a="1"/>
  <c r="Z40" i="218" s="1"/>
  <c r="Z29" i="218" a="1"/>
  <c r="Z29" i="218" s="1"/>
  <c r="M29" i="218" a="1"/>
  <c r="M29" i="218" s="1"/>
  <c r="M38" i="218" a="1"/>
  <c r="M38" i="218" s="1"/>
  <c r="M45" i="218" a="1"/>
  <c r="M45" i="218" s="1"/>
  <c r="M42" i="218" a="1"/>
  <c r="M42" i="218" s="1"/>
  <c r="M27" i="218" a="1"/>
  <c r="M27" i="218" s="1"/>
  <c r="M52" i="218" a="1"/>
  <c r="M52" i="218" s="1"/>
  <c r="M71" i="218" a="1"/>
  <c r="M71" i="218" s="1"/>
  <c r="Z55" i="218" a="1"/>
  <c r="Z55" i="218" s="1"/>
  <c r="Z28" i="218" a="1"/>
  <c r="Z28" i="218" s="1"/>
  <c r="Z36" i="218" a="1"/>
  <c r="Z36" i="218" s="1"/>
  <c r="Z61" i="218" a="1"/>
  <c r="Z61" i="218" s="1"/>
  <c r="Z62" i="218" a="1"/>
  <c r="Z62" i="218" s="1"/>
  <c r="Z53" i="218" a="1"/>
  <c r="Z53" i="218" s="1"/>
  <c r="Z52" i="218" a="1"/>
  <c r="Z52" i="218" s="1"/>
  <c r="Z58" i="218" a="1"/>
  <c r="Z58" i="218" s="1"/>
  <c r="Z51" i="218" a="1"/>
  <c r="Z51" i="218" s="1"/>
  <c r="Z64" i="218" a="1"/>
  <c r="Z64" i="218" s="1"/>
  <c r="Z33" i="218" a="1"/>
  <c r="Z33" i="218" s="1"/>
  <c r="Z68" i="218" a="1"/>
  <c r="Z68" i="218" s="1"/>
  <c r="Z27" i="218" a="1"/>
  <c r="Z27" i="218" s="1"/>
  <c r="Z30" i="218" a="1"/>
  <c r="Z30" i="218" s="1"/>
  <c r="Z56" i="218" a="1"/>
  <c r="Z56" i="218" s="1"/>
  <c r="Z66" i="218" a="1"/>
  <c r="Z66" i="218" s="1"/>
  <c r="Z67" i="218" a="1"/>
  <c r="Z67" i="218" s="1"/>
  <c r="M84" i="218"/>
  <c r="Z54" i="218" a="1"/>
  <c r="Z54" i="218" s="1"/>
  <c r="Z26" i="218" a="1"/>
  <c r="Z26" i="218" s="1"/>
  <c r="Z60" i="218" a="1"/>
  <c r="Z60" i="218" s="1"/>
  <c r="M51" i="218" a="1"/>
  <c r="M51" i="218" s="1"/>
  <c r="M37" i="218" a="1"/>
  <c r="M37" i="218" s="1"/>
  <c r="M49" i="218" a="1"/>
  <c r="M49" i="218" s="1"/>
  <c r="M50" i="218" a="1"/>
  <c r="M50" i="218" s="1"/>
  <c r="M63" i="218" a="1"/>
  <c r="M63" i="218" s="1"/>
  <c r="M48" i="218" a="1"/>
  <c r="M48" i="218" s="1"/>
  <c r="M46" i="218" a="1"/>
  <c r="M46" i="218" s="1"/>
  <c r="M53" i="218" a="1"/>
  <c r="M53" i="218" s="1"/>
  <c r="M57" i="218" a="1"/>
  <c r="M57" i="218" s="1"/>
  <c r="M41" i="218" a="1"/>
  <c r="M41" i="218" s="1"/>
  <c r="M36" i="218" a="1"/>
  <c r="M36" i="218" s="1"/>
  <c r="M67" i="218" a="1"/>
  <c r="M67" i="218" s="1"/>
  <c r="M58" i="218" a="1"/>
  <c r="M58" i="218" s="1"/>
  <c r="M65" i="218" a="1"/>
  <c r="M65" i="218" s="1"/>
  <c r="M32" i="218" a="1"/>
  <c r="M32" i="218" s="1"/>
  <c r="M47" i="218" a="1"/>
  <c r="M47" i="218" s="1"/>
  <c r="M28" i="218" a="1"/>
  <c r="M28" i="218" s="1"/>
  <c r="M34" i="218" a="1"/>
  <c r="M34" i="218" s="1"/>
  <c r="M56" i="218" a="1"/>
  <c r="M56" i="218" s="1"/>
  <c r="M26" i="218" a="1"/>
  <c r="M26" i="218" s="1"/>
  <c r="M35" i="218" a="1"/>
  <c r="M35" i="218" s="1"/>
  <c r="M30" i="218" a="1"/>
  <c r="M30" i="218" s="1"/>
  <c r="M61" i="218" a="1"/>
  <c r="M61" i="218" s="1"/>
  <c r="M66" i="218" a="1"/>
  <c r="M66" i="218" s="1"/>
  <c r="M62" i="218" a="1"/>
  <c r="M62" i="218" s="1"/>
  <c r="M54" i="218" a="1"/>
  <c r="M54" i="218" s="1"/>
  <c r="M60" i="218" a="1"/>
  <c r="M60" i="218" s="1"/>
  <c r="M64" i="218" a="1"/>
  <c r="M64" i="218" s="1"/>
  <c r="M68" i="218" a="1"/>
  <c r="M68" i="218" s="1"/>
  <c r="M44" i="218" a="1"/>
  <c r="M44" i="218" s="1"/>
  <c r="M31" i="218" a="1"/>
  <c r="M31" i="218" s="1"/>
  <c r="M33" i="218" a="1"/>
  <c r="M33" i="218" s="1"/>
  <c r="M55" i="218" a="1"/>
  <c r="M55" i="218" s="1"/>
  <c r="M40" i="218" a="1"/>
  <c r="M40" i="218" s="1"/>
  <c r="M39" i="218" a="1"/>
  <c r="M39" i="218" s="1"/>
  <c r="M43" i="218" a="1"/>
  <c r="M43" i="218" s="1"/>
  <c r="Z63" i="218" a="1"/>
  <c r="Z63" i="218" s="1"/>
  <c r="Z57" i="218" a="1"/>
  <c r="Z57" i="218" s="1"/>
  <c r="Z31" i="218" a="1"/>
  <c r="Z31" i="218" s="1"/>
  <c r="Z37" i="218" a="1"/>
  <c r="Z37" i="218" s="1"/>
  <c r="Z34" i="218" a="1"/>
  <c r="Z34" i="218" s="1"/>
  <c r="Z65" i="218" a="1"/>
  <c r="Z65" i="218" s="1"/>
  <c r="Z32" i="218" a="1"/>
  <c r="Z32" i="218" s="1"/>
  <c r="Z35" i="218" a="1"/>
  <c r="Z35" i="218" s="1"/>
  <c r="Z100" i="218" a="1"/>
  <c r="Z100" i="218" s="1"/>
  <c r="Z74" i="218" a="1"/>
  <c r="Z74" i="218" s="1"/>
  <c r="Z84" i="218" a="1"/>
  <c r="Z84" i="218" s="1"/>
  <c r="Z114" i="218" a="1"/>
  <c r="Z114" i="218" s="1"/>
  <c r="Z90" i="218" a="1"/>
  <c r="Z90" i="218" s="1"/>
  <c r="Z81" i="218" a="1"/>
  <c r="Z81" i="218" s="1"/>
  <c r="Z108" i="218" a="1"/>
  <c r="Z108" i="218" s="1"/>
  <c r="Z85" i="218" a="1"/>
  <c r="Z85" i="218" s="1"/>
  <c r="Z94" i="218" a="1"/>
  <c r="Z94" i="218" s="1"/>
  <c r="Z98" i="218" a="1"/>
  <c r="Z98" i="218" s="1"/>
  <c r="Z93" i="218" a="1"/>
  <c r="Z93" i="218" s="1"/>
  <c r="Z103" i="218" a="1"/>
  <c r="Z103" i="218" s="1"/>
  <c r="Z83" i="218" a="1"/>
  <c r="Z83" i="218" s="1"/>
  <c r="Z96" i="218" a="1"/>
  <c r="Z96" i="218" s="1"/>
  <c r="Z73" i="218" a="1"/>
  <c r="Z73" i="218" s="1"/>
  <c r="Z89" i="218" a="1"/>
  <c r="Z89" i="218" s="1"/>
  <c r="Z71" i="218" a="1"/>
  <c r="Z71" i="218" s="1"/>
  <c r="Z115" i="218" a="1"/>
  <c r="Z115" i="218" s="1"/>
  <c r="Z82" i="218" a="1"/>
  <c r="Z82" i="218" s="1"/>
  <c r="Z97" i="218" a="1"/>
  <c r="Z97" i="218" s="1"/>
  <c r="Z75" i="218" a="1"/>
  <c r="Z75" i="218" s="1"/>
  <c r="Z116" i="218" a="1"/>
  <c r="Z116" i="218" s="1"/>
  <c r="Z119" i="218" a="1"/>
  <c r="Z119" i="218" s="1"/>
  <c r="Z121" i="218" a="1"/>
  <c r="Z121" i="218" s="1"/>
  <c r="Z109" i="218" a="1"/>
  <c r="Z109" i="218" s="1"/>
  <c r="Z107" i="218" a="1"/>
  <c r="Z107" i="218" s="1"/>
  <c r="Z104" i="218" a="1"/>
  <c r="Z104" i="218" s="1"/>
  <c r="Z102" i="218" a="1"/>
  <c r="Z102" i="218" s="1"/>
  <c r="Z88" i="218" a="1"/>
  <c r="Z88" i="218" s="1"/>
  <c r="Z76" i="218" a="1"/>
  <c r="Z76" i="218" s="1"/>
  <c r="Z95" i="218" a="1"/>
  <c r="Z95" i="218" s="1"/>
  <c r="Z106" i="218" a="1"/>
  <c r="Z106" i="218" s="1"/>
  <c r="Z72" i="218" a="1"/>
  <c r="Z72" i="218" s="1"/>
  <c r="Z112" i="218" a="1"/>
  <c r="Z112" i="218" s="1"/>
  <c r="Z91" i="218" a="1"/>
  <c r="Z91" i="218" s="1"/>
  <c r="Z117" i="218" a="1"/>
  <c r="Z117" i="218" s="1"/>
  <c r="Z110" i="218" a="1"/>
  <c r="Z110" i="218" s="1"/>
  <c r="Z101" i="218" a="1"/>
  <c r="Z101" i="218" s="1"/>
  <c r="Z99" i="218" a="1"/>
  <c r="Z99" i="218" s="1"/>
  <c r="Z111" i="218" a="1"/>
  <c r="Z111" i="218" s="1"/>
  <c r="Z77" i="218" a="1"/>
  <c r="Z77" i="218" s="1"/>
  <c r="Z86" i="218" a="1"/>
  <c r="Z86" i="218" s="1"/>
  <c r="Z105" i="218" a="1"/>
  <c r="Z105" i="218" s="1"/>
  <c r="Z118" i="218" a="1"/>
  <c r="Z118" i="218" s="1"/>
  <c r="M186" i="218" a="1"/>
  <c r="M186" i="218" s="1"/>
  <c r="M175" i="218" a="1"/>
  <c r="M175" i="218" s="1"/>
  <c r="M166" i="218" a="1"/>
  <c r="M166" i="218" s="1"/>
  <c r="M158" i="218" a="1"/>
  <c r="M158" i="218" s="1"/>
  <c r="M151" i="218" a="1"/>
  <c r="M151" i="218" s="1"/>
  <c r="M144" i="218" a="1"/>
  <c r="M144" i="218" s="1"/>
  <c r="M135" i="218" a="1"/>
  <c r="M135" i="218" s="1"/>
  <c r="M128" i="218" a="1"/>
  <c r="M128" i="218" s="1"/>
  <c r="M162" i="218" a="1"/>
  <c r="M162" i="218" s="1"/>
  <c r="M149" i="218" a="1"/>
  <c r="M149" i="218" s="1"/>
  <c r="M161" i="218" a="1"/>
  <c r="M161" i="218" s="1"/>
  <c r="M155" i="218" a="1"/>
  <c r="M155" i="218" s="1"/>
  <c r="M141" i="218" a="1"/>
  <c r="M141" i="218" s="1"/>
  <c r="M156" i="218" a="1"/>
  <c r="M156" i="218" s="1"/>
  <c r="M145" i="218" a="1"/>
  <c r="M145" i="218" s="1"/>
  <c r="M140" i="218" a="1"/>
  <c r="M140" i="218" s="1"/>
  <c r="M168" i="218" a="1"/>
  <c r="M168" i="218" s="1"/>
  <c r="M165" i="218" a="1"/>
  <c r="M165" i="218" s="1"/>
  <c r="M172" i="218" a="1"/>
  <c r="M172" i="218" s="1"/>
  <c r="M138" i="218" a="1"/>
  <c r="M138" i="218" s="1"/>
  <c r="M137" i="218" a="1"/>
  <c r="M137" i="218" s="1"/>
  <c r="M126" i="218" a="1"/>
  <c r="M126" i="218" s="1"/>
  <c r="M134" i="218" a="1"/>
  <c r="M134" i="218" s="1"/>
  <c r="M178" i="218" a="1"/>
  <c r="M178" i="218" s="1"/>
  <c r="M133" i="218" a="1"/>
  <c r="M133" i="218" s="1"/>
  <c r="M143" i="218" a="1"/>
  <c r="M143" i="218" s="1"/>
  <c r="M146" i="218" a="1"/>
  <c r="M146" i="218" s="1"/>
  <c r="M150" i="218" a="1"/>
  <c r="M150" i="218" s="1"/>
  <c r="M163" i="218" a="1"/>
  <c r="M163" i="218" s="1"/>
  <c r="M130" i="218" a="1"/>
  <c r="M130" i="218" s="1"/>
  <c r="M167" i="218" a="1"/>
  <c r="M167" i="218" s="1"/>
  <c r="M153" i="218" a="1"/>
  <c r="M153" i="218" s="1"/>
  <c r="M139" i="218" a="1"/>
  <c r="M139" i="218" s="1"/>
  <c r="M169" i="218" a="1"/>
  <c r="M169" i="218" s="1"/>
  <c r="M131" i="218" a="1"/>
  <c r="M131" i="218" s="1"/>
  <c r="M148" i="218" a="1"/>
  <c r="M148" i="218" s="1"/>
  <c r="M164" i="218" a="1"/>
  <c r="M164" i="218" s="1"/>
  <c r="M176" i="218" a="1"/>
  <c r="M176" i="218" s="1"/>
  <c r="M132" i="218" a="1"/>
  <c r="M132" i="218" s="1"/>
  <c r="M147" i="218" a="1"/>
  <c r="M147" i="218" s="1"/>
  <c r="M154" i="218" a="1"/>
  <c r="M154" i="218" s="1"/>
  <c r="M160" i="218" a="1"/>
  <c r="M160" i="218" s="1"/>
  <c r="M129" i="218" a="1"/>
  <c r="M129" i="218" s="1"/>
  <c r="M183" i="218" a="1"/>
  <c r="M183" i="218" s="1"/>
  <c r="M173" i="218" a="1"/>
  <c r="M173" i="218" s="1"/>
  <c r="M174" i="218" a="1"/>
  <c r="M174" i="218" s="1"/>
  <c r="M188" i="218" a="1"/>
  <c r="M188" i="218" s="1"/>
  <c r="M180" i="218" a="1"/>
  <c r="M180" i="218" s="1"/>
  <c r="M177" i="218" a="1"/>
  <c r="M177" i="218" s="1"/>
  <c r="M179" i="218" a="1"/>
  <c r="M179" i="218" s="1"/>
  <c r="M152" i="218" a="1"/>
  <c r="M152" i="218" s="1"/>
  <c r="M187" i="218" a="1"/>
  <c r="M187" i="218" s="1"/>
  <c r="M157" i="218" a="1"/>
  <c r="M157" i="218" s="1"/>
  <c r="Z130" i="218" a="1"/>
  <c r="Z130" i="218" s="1"/>
  <c r="Z179" i="218" a="1"/>
  <c r="Z179" i="218" s="1"/>
  <c r="Z164" i="218" a="1"/>
  <c r="Z164" i="218" s="1"/>
  <c r="Z126" i="218" a="1"/>
  <c r="Z126" i="218" s="1"/>
  <c r="Z150" i="218" a="1"/>
  <c r="Z150" i="218" s="1"/>
  <c r="Z165" i="218" a="1"/>
  <c r="Z165" i="218" s="1"/>
  <c r="Z167" i="218" a="1"/>
  <c r="Z167" i="218" s="1"/>
  <c r="Z138" i="218" a="1"/>
  <c r="Z138" i="218" s="1"/>
  <c r="Z131" i="218" a="1"/>
  <c r="Z131" i="218" s="1"/>
  <c r="Z153" i="218" a="1"/>
  <c r="Z153" i="218" s="1"/>
  <c r="Z161" i="218" a="1"/>
  <c r="Z161" i="218" s="1"/>
  <c r="Z155" i="218" a="1"/>
  <c r="Z155" i="218" s="1"/>
  <c r="Z166" i="218" a="1"/>
  <c r="Z166" i="218" s="1"/>
  <c r="Z158" i="218" a="1"/>
  <c r="Z158" i="218" s="1"/>
  <c r="Z140" i="218" a="1"/>
  <c r="Z140" i="218" s="1"/>
  <c r="Z187" i="218" a="1"/>
  <c r="Z187" i="218" s="1"/>
  <c r="Z146" i="218" a="1"/>
  <c r="Z146" i="218" s="1"/>
  <c r="Z160" i="218" a="1"/>
  <c r="Z160" i="218" s="1"/>
  <c r="Z173" i="218" a="1"/>
  <c r="Z173" i="218" s="1"/>
  <c r="Z154" i="218" a="1"/>
  <c r="Z154" i="218" s="1"/>
  <c r="Z128" i="218" a="1"/>
  <c r="Z128" i="218" s="1"/>
  <c r="Z141" i="218" a="1"/>
  <c r="Z141" i="218" s="1"/>
  <c r="Z135" i="218" a="1"/>
  <c r="Z135" i="218" s="1"/>
  <c r="Z134" i="218" a="1"/>
  <c r="Z134" i="218" s="1"/>
  <c r="Z137" i="218" a="1"/>
  <c r="Z137" i="218" s="1"/>
  <c r="Z188" i="218" a="1"/>
  <c r="Z188" i="218" s="1"/>
  <c r="Z133" i="218" a="1"/>
  <c r="Z133" i="218" s="1"/>
  <c r="Z145" i="218" a="1"/>
  <c r="Z145" i="218" s="1"/>
  <c r="Z139" i="218" a="1"/>
  <c r="Z139" i="218" s="1"/>
  <c r="Z175" i="218" a="1"/>
  <c r="Z175" i="218" s="1"/>
  <c r="Z168" i="218" a="1"/>
  <c r="Z168" i="218" s="1"/>
  <c r="Z144" i="218" a="1"/>
  <c r="Z144" i="218" s="1"/>
  <c r="Z157" i="218" a="1"/>
  <c r="Z157" i="218" s="1"/>
  <c r="Z152" i="218" a="1"/>
  <c r="Z152" i="218" s="1"/>
  <c r="Z183" i="218" a="1"/>
  <c r="Z183" i="218" s="1"/>
  <c r="Z149" i="218" a="1"/>
  <c r="Z149" i="218" s="1"/>
  <c r="Z148" i="218" a="1"/>
  <c r="Z148" i="218" s="1"/>
  <c r="Z186" i="218" a="1"/>
  <c r="Z186" i="218" s="1"/>
  <c r="Z177" i="218" a="1"/>
  <c r="Z177" i="218" s="1"/>
  <c r="Z129" i="218" a="1"/>
  <c r="Z129" i="218" s="1"/>
  <c r="Z163" i="218" a="1"/>
  <c r="Z163" i="218" s="1"/>
  <c r="Z180" i="218" a="1"/>
  <c r="Z180" i="218" s="1"/>
  <c r="Z132" i="218" a="1"/>
  <c r="Z132" i="218" s="1"/>
  <c r="Z174" i="218" a="1"/>
  <c r="Z174" i="218" s="1"/>
  <c r="Z169" i="218" a="1"/>
  <c r="Z169" i="218" s="1"/>
  <c r="Z178" i="218" a="1"/>
  <c r="Z178" i="218" s="1"/>
  <c r="Z172" i="218" a="1"/>
  <c r="Z172" i="218" s="1"/>
  <c r="Z143" i="218" a="1"/>
  <c r="Z143" i="218" s="1"/>
  <c r="Z176" i="218" a="1"/>
  <c r="Z176" i="218" s="1"/>
  <c r="Z151" i="218" a="1"/>
  <c r="Z151" i="218" s="1"/>
  <c r="Z147" i="218" a="1"/>
  <c r="Z147" i="218" s="1"/>
  <c r="Z162" i="218" a="1"/>
  <c r="Z162" i="218" s="1"/>
  <c r="Z80" i="218" a="1"/>
  <c r="Z80" i="218" s="1"/>
  <c r="Z123" i="218" l="1"/>
  <c r="M123" i="218"/>
  <c r="Z69" i="218"/>
  <c r="M69" i="218"/>
  <c r="Z189" i="218"/>
  <c r="M189" i="218"/>
  <c r="A291" i="203" l="1"/>
  <c r="B203" i="217" s="1"/>
  <c r="A290" i="203"/>
  <c r="B202" i="217" s="1"/>
  <c r="A289" i="203"/>
  <c r="B201" i="217" s="1"/>
  <c r="A288" i="203"/>
  <c r="B200" i="217" s="1"/>
  <c r="A287" i="203"/>
  <c r="B199" i="217" s="1"/>
  <c r="A286" i="203"/>
  <c r="B198" i="217" s="1"/>
  <c r="A285" i="203"/>
  <c r="B197" i="217" s="1"/>
  <c r="A284" i="203"/>
  <c r="B196" i="217" s="1"/>
  <c r="A283" i="203"/>
  <c r="B195" i="217" s="1"/>
  <c r="A282" i="203"/>
  <c r="B194" i="217" s="1"/>
  <c r="A281" i="203"/>
  <c r="B193" i="217" s="1"/>
  <c r="A280" i="203"/>
  <c r="B192" i="217" s="1"/>
  <c r="A279" i="203"/>
  <c r="B191" i="217" s="1"/>
  <c r="A278" i="203"/>
  <c r="B190" i="217" s="1"/>
  <c r="A277" i="203"/>
  <c r="B189" i="217" s="1"/>
  <c r="A276" i="203"/>
  <c r="B188" i="217" s="1"/>
  <c r="A275" i="203"/>
  <c r="B187" i="217" s="1"/>
  <c r="A274" i="203"/>
  <c r="B186" i="217" s="1"/>
  <c r="A273" i="203"/>
  <c r="B185" i="217" s="1"/>
  <c r="A272" i="203"/>
  <c r="B184" i="217" s="1"/>
  <c r="A271" i="203"/>
  <c r="B183" i="217" s="1"/>
  <c r="A270" i="203" l="1"/>
  <c r="B182" i="217" s="1"/>
  <c r="A269" i="203"/>
  <c r="B181" i="217" s="1"/>
  <c r="A268" i="203"/>
  <c r="B180" i="217" s="1"/>
  <c r="X177" i="217" l="1"/>
  <c r="W177" i="217"/>
  <c r="V177" i="217"/>
  <c r="U177" i="217"/>
  <c r="T177" i="217"/>
  <c r="S177" i="217"/>
  <c r="R177" i="217"/>
  <c r="Q177" i="217"/>
  <c r="K177" i="217"/>
  <c r="J177" i="217"/>
  <c r="I177" i="217"/>
  <c r="H177" i="217"/>
  <c r="G177" i="217"/>
  <c r="F177" i="217"/>
  <c r="E177" i="217"/>
  <c r="D177" i="217"/>
  <c r="X176" i="217"/>
  <c r="W176" i="217"/>
  <c r="V176" i="217"/>
  <c r="U176" i="217"/>
  <c r="T176" i="217"/>
  <c r="S176" i="217"/>
  <c r="R176" i="217"/>
  <c r="Q176" i="217"/>
  <c r="K176" i="217"/>
  <c r="J176" i="217"/>
  <c r="I176" i="217"/>
  <c r="H176" i="217"/>
  <c r="G176" i="217"/>
  <c r="F176" i="217"/>
  <c r="E176" i="217"/>
  <c r="D176" i="217"/>
  <c r="X175" i="217"/>
  <c r="W175" i="217"/>
  <c r="V175" i="217"/>
  <c r="U175" i="217"/>
  <c r="T175" i="217"/>
  <c r="S175" i="217"/>
  <c r="R175" i="217"/>
  <c r="Q175" i="217"/>
  <c r="K175" i="217"/>
  <c r="J175" i="217"/>
  <c r="I175" i="217"/>
  <c r="H175" i="217"/>
  <c r="G175" i="217"/>
  <c r="F175" i="217"/>
  <c r="E175" i="217"/>
  <c r="D175" i="217"/>
  <c r="K172" i="217"/>
  <c r="J172" i="217"/>
  <c r="I172" i="217"/>
  <c r="H172" i="217"/>
  <c r="G172" i="217"/>
  <c r="F172" i="217"/>
  <c r="E172" i="217"/>
  <c r="D172" i="217"/>
  <c r="K171" i="217"/>
  <c r="J171" i="217"/>
  <c r="I171" i="217"/>
  <c r="H171" i="217"/>
  <c r="G171" i="217"/>
  <c r="F171" i="217"/>
  <c r="E171" i="217"/>
  <c r="D171" i="217"/>
  <c r="K170" i="217"/>
  <c r="J170" i="217"/>
  <c r="I170" i="217"/>
  <c r="H170" i="217"/>
  <c r="G170" i="217"/>
  <c r="F170" i="217"/>
  <c r="E170" i="217"/>
  <c r="D170" i="217"/>
  <c r="K169" i="217"/>
  <c r="J169" i="217"/>
  <c r="I169" i="217"/>
  <c r="H169" i="217"/>
  <c r="G169" i="217"/>
  <c r="F169" i="217"/>
  <c r="E169" i="217"/>
  <c r="D169" i="217"/>
  <c r="K168" i="217"/>
  <c r="J168" i="217"/>
  <c r="I168" i="217"/>
  <c r="H168" i="217"/>
  <c r="G168" i="217"/>
  <c r="F168" i="217"/>
  <c r="E168" i="217"/>
  <c r="D168" i="217"/>
  <c r="K167" i="217"/>
  <c r="J167" i="217"/>
  <c r="I167" i="217"/>
  <c r="H167" i="217"/>
  <c r="G167" i="217"/>
  <c r="F167" i="217"/>
  <c r="E167" i="217"/>
  <c r="D167" i="217"/>
  <c r="K166" i="217"/>
  <c r="J166" i="217"/>
  <c r="I166" i="217"/>
  <c r="H166" i="217"/>
  <c r="G166" i="217"/>
  <c r="F166" i="217"/>
  <c r="E166" i="217"/>
  <c r="D166" i="217"/>
  <c r="K165" i="217"/>
  <c r="J165" i="217"/>
  <c r="I165" i="217"/>
  <c r="H165" i="217"/>
  <c r="G165" i="217"/>
  <c r="F165" i="217"/>
  <c r="E165" i="217"/>
  <c r="D165" i="217"/>
  <c r="X163" i="217"/>
  <c r="W163" i="217"/>
  <c r="V163" i="217"/>
  <c r="U163" i="217"/>
  <c r="T163" i="217"/>
  <c r="S163" i="217"/>
  <c r="R163" i="217"/>
  <c r="Q163" i="217"/>
  <c r="K163" i="217"/>
  <c r="J163" i="217"/>
  <c r="I163" i="217"/>
  <c r="H163" i="217"/>
  <c r="G163" i="217"/>
  <c r="F163" i="217"/>
  <c r="E163" i="217"/>
  <c r="D163" i="217"/>
  <c r="X162" i="217"/>
  <c r="W162" i="217"/>
  <c r="V162" i="217"/>
  <c r="U162" i="217"/>
  <c r="T162" i="217"/>
  <c r="S162" i="217"/>
  <c r="R162" i="217"/>
  <c r="Q162" i="217"/>
  <c r="K162" i="217"/>
  <c r="J162" i="217"/>
  <c r="I162" i="217"/>
  <c r="H162" i="217"/>
  <c r="G162" i="217"/>
  <c r="F162" i="217"/>
  <c r="E162" i="217"/>
  <c r="D162" i="217"/>
  <c r="X161" i="217"/>
  <c r="W161" i="217"/>
  <c r="V161" i="217"/>
  <c r="U161" i="217"/>
  <c r="T161" i="217"/>
  <c r="S161" i="217"/>
  <c r="R161" i="217"/>
  <c r="Q161" i="217"/>
  <c r="K161" i="217"/>
  <c r="J161" i="217"/>
  <c r="I161" i="217"/>
  <c r="H161" i="217"/>
  <c r="G161" i="217"/>
  <c r="F161" i="217"/>
  <c r="E161" i="217"/>
  <c r="D161" i="217"/>
  <c r="X160" i="217"/>
  <c r="W160" i="217"/>
  <c r="V160" i="217"/>
  <c r="U160" i="217"/>
  <c r="T160" i="217"/>
  <c r="S160" i="217"/>
  <c r="R160" i="217"/>
  <c r="Q160" i="217"/>
  <c r="K160" i="217"/>
  <c r="J160" i="217"/>
  <c r="I160" i="217"/>
  <c r="H160" i="217"/>
  <c r="G160" i="217"/>
  <c r="F160" i="217"/>
  <c r="E160" i="217"/>
  <c r="D160" i="217"/>
  <c r="X159" i="217"/>
  <c r="W159" i="217"/>
  <c r="V159" i="217"/>
  <c r="U159" i="217"/>
  <c r="T159" i="217"/>
  <c r="S159" i="217"/>
  <c r="R159" i="217"/>
  <c r="Q159" i="217"/>
  <c r="K159" i="217"/>
  <c r="J159" i="217"/>
  <c r="I159" i="217"/>
  <c r="H159" i="217"/>
  <c r="G159" i="217"/>
  <c r="F159" i="217"/>
  <c r="E159" i="217"/>
  <c r="D159" i="217"/>
  <c r="X158" i="217"/>
  <c r="W158" i="217"/>
  <c r="V158" i="217"/>
  <c r="U158" i="217"/>
  <c r="T158" i="217"/>
  <c r="S158" i="217"/>
  <c r="R158" i="217"/>
  <c r="Q158" i="217"/>
  <c r="K158" i="217"/>
  <c r="J158" i="217"/>
  <c r="I158" i="217"/>
  <c r="H158" i="217"/>
  <c r="G158" i="217"/>
  <c r="F158" i="217"/>
  <c r="E158" i="217"/>
  <c r="D158" i="217"/>
  <c r="X157" i="217"/>
  <c r="W157" i="217"/>
  <c r="V157" i="217"/>
  <c r="U157" i="217"/>
  <c r="T157" i="217"/>
  <c r="S157" i="217"/>
  <c r="R157" i="217"/>
  <c r="Q157" i="217"/>
  <c r="K157" i="217"/>
  <c r="J157" i="217"/>
  <c r="I157" i="217"/>
  <c r="H157" i="217"/>
  <c r="G157" i="217"/>
  <c r="F157" i="217"/>
  <c r="E157" i="217"/>
  <c r="D157" i="217"/>
  <c r="X156" i="217"/>
  <c r="W156" i="217"/>
  <c r="V156" i="217"/>
  <c r="U156" i="217"/>
  <c r="T156" i="217"/>
  <c r="S156" i="217"/>
  <c r="R156" i="217"/>
  <c r="Q156" i="217"/>
  <c r="K156" i="217"/>
  <c r="J156" i="217"/>
  <c r="I156" i="217"/>
  <c r="H156" i="217"/>
  <c r="G156" i="217"/>
  <c r="F156" i="217"/>
  <c r="E156" i="217"/>
  <c r="D156" i="217"/>
  <c r="X155" i="217"/>
  <c r="W155" i="217"/>
  <c r="V155" i="217"/>
  <c r="U155" i="217"/>
  <c r="T155" i="217"/>
  <c r="S155" i="217"/>
  <c r="R155" i="217"/>
  <c r="Q155" i="217"/>
  <c r="K155" i="217"/>
  <c r="J155" i="217"/>
  <c r="I155" i="217"/>
  <c r="H155" i="217"/>
  <c r="G155" i="217"/>
  <c r="F155" i="217"/>
  <c r="E155" i="217"/>
  <c r="D155" i="217"/>
  <c r="X154" i="217"/>
  <c r="W154" i="217"/>
  <c r="V154" i="217"/>
  <c r="U154" i="217"/>
  <c r="T154" i="217"/>
  <c r="S154" i="217"/>
  <c r="R154" i="217"/>
  <c r="Q154" i="217"/>
  <c r="K154" i="217"/>
  <c r="J154" i="217"/>
  <c r="I154" i="217"/>
  <c r="H154" i="217"/>
  <c r="G154" i="217"/>
  <c r="F154" i="217"/>
  <c r="E154" i="217"/>
  <c r="D154" i="217"/>
  <c r="X153" i="217"/>
  <c r="W153" i="217"/>
  <c r="V153" i="217"/>
  <c r="U153" i="217"/>
  <c r="T153" i="217"/>
  <c r="S153" i="217"/>
  <c r="R153" i="217"/>
  <c r="Q153" i="217"/>
  <c r="K153" i="217"/>
  <c r="J153" i="217"/>
  <c r="I153" i="217"/>
  <c r="H153" i="217"/>
  <c r="G153" i="217"/>
  <c r="F153" i="217"/>
  <c r="E153" i="217"/>
  <c r="D153" i="217"/>
  <c r="X152" i="217"/>
  <c r="W152" i="217"/>
  <c r="V152" i="217"/>
  <c r="U152" i="217"/>
  <c r="T152" i="217"/>
  <c r="S152" i="217"/>
  <c r="R152" i="217"/>
  <c r="Q152" i="217"/>
  <c r="K152" i="217"/>
  <c r="J152" i="217"/>
  <c r="I152" i="217"/>
  <c r="H152" i="217"/>
  <c r="G152" i="217"/>
  <c r="F152" i="217"/>
  <c r="E152" i="217"/>
  <c r="D152" i="217"/>
  <c r="K151" i="217"/>
  <c r="J151" i="217"/>
  <c r="I151" i="217"/>
  <c r="H151" i="217"/>
  <c r="G151" i="217"/>
  <c r="F151" i="217"/>
  <c r="E151" i="217"/>
  <c r="D151" i="217"/>
  <c r="K149" i="217"/>
  <c r="J149" i="217"/>
  <c r="I149" i="217"/>
  <c r="H149" i="217"/>
  <c r="G149" i="217"/>
  <c r="F149" i="217"/>
  <c r="E149" i="217"/>
  <c r="D149" i="217"/>
  <c r="K148" i="217"/>
  <c r="J148" i="217"/>
  <c r="I148" i="217"/>
  <c r="H148" i="217"/>
  <c r="G148" i="217"/>
  <c r="F148" i="217"/>
  <c r="E148" i="217"/>
  <c r="D148" i="217"/>
  <c r="K147" i="217"/>
  <c r="J147" i="217"/>
  <c r="I147" i="217"/>
  <c r="H147" i="217"/>
  <c r="G147" i="217"/>
  <c r="F147" i="217"/>
  <c r="E147" i="217"/>
  <c r="D147" i="217"/>
  <c r="K146" i="217"/>
  <c r="J146" i="217"/>
  <c r="I146" i="217"/>
  <c r="H146" i="217"/>
  <c r="G146" i="217"/>
  <c r="F146" i="217"/>
  <c r="E146" i="217"/>
  <c r="D146" i="217"/>
  <c r="K145" i="217"/>
  <c r="J145" i="217"/>
  <c r="I145" i="217"/>
  <c r="H145" i="217"/>
  <c r="G145" i="217"/>
  <c r="F145" i="217"/>
  <c r="E145" i="217"/>
  <c r="D145" i="217"/>
  <c r="K144" i="217"/>
  <c r="J144" i="217"/>
  <c r="I144" i="217"/>
  <c r="H144" i="217"/>
  <c r="G144" i="217"/>
  <c r="F144" i="217"/>
  <c r="E144" i="217"/>
  <c r="D144" i="217"/>
  <c r="K143" i="217"/>
  <c r="J143" i="217"/>
  <c r="I143" i="217"/>
  <c r="H143" i="217"/>
  <c r="G143" i="217"/>
  <c r="F143" i="217"/>
  <c r="E143" i="217"/>
  <c r="D143" i="217"/>
  <c r="K142" i="217"/>
  <c r="J142" i="217"/>
  <c r="I142" i="217"/>
  <c r="H142" i="217"/>
  <c r="G142" i="217"/>
  <c r="F142" i="217"/>
  <c r="E142" i="217"/>
  <c r="D142" i="217"/>
  <c r="K141" i="217"/>
  <c r="J141" i="217"/>
  <c r="I141" i="217"/>
  <c r="H141" i="217"/>
  <c r="G141" i="217"/>
  <c r="F141" i="217"/>
  <c r="E141" i="217"/>
  <c r="D141" i="217"/>
  <c r="K139" i="217"/>
  <c r="J139" i="217"/>
  <c r="I139" i="217"/>
  <c r="H139" i="217"/>
  <c r="G139" i="217"/>
  <c r="F139" i="217"/>
  <c r="E139" i="217"/>
  <c r="D139" i="217"/>
  <c r="K138" i="217"/>
  <c r="J138" i="217"/>
  <c r="I138" i="217"/>
  <c r="H138" i="217"/>
  <c r="G138" i="217"/>
  <c r="F138" i="217"/>
  <c r="E138" i="217"/>
  <c r="D138" i="217"/>
  <c r="K137" i="217"/>
  <c r="J137" i="217"/>
  <c r="I137" i="217"/>
  <c r="H137" i="217"/>
  <c r="G137" i="217"/>
  <c r="F137" i="217"/>
  <c r="E137" i="217"/>
  <c r="D137" i="217"/>
  <c r="K136" i="217"/>
  <c r="J136" i="217"/>
  <c r="I136" i="217"/>
  <c r="H136" i="217"/>
  <c r="G136" i="217"/>
  <c r="F136" i="217"/>
  <c r="E136" i="217"/>
  <c r="D136" i="217"/>
  <c r="K135" i="217"/>
  <c r="J135" i="217"/>
  <c r="I135" i="217"/>
  <c r="H135" i="217"/>
  <c r="G135" i="217"/>
  <c r="F135" i="217"/>
  <c r="E135" i="217"/>
  <c r="D135" i="217"/>
  <c r="K134" i="217"/>
  <c r="J134" i="217"/>
  <c r="I134" i="217"/>
  <c r="H134" i="217"/>
  <c r="G134" i="217"/>
  <c r="F134" i="217"/>
  <c r="E134" i="217"/>
  <c r="D134" i="217"/>
  <c r="K133" i="217"/>
  <c r="J133" i="217"/>
  <c r="I133" i="217"/>
  <c r="H133" i="217"/>
  <c r="G133" i="217"/>
  <c r="F133" i="217"/>
  <c r="E133" i="217"/>
  <c r="D133" i="217"/>
  <c r="K132" i="217"/>
  <c r="J132" i="217"/>
  <c r="I132" i="217"/>
  <c r="H132" i="217"/>
  <c r="G132" i="217"/>
  <c r="F132" i="217"/>
  <c r="E132" i="217"/>
  <c r="D132" i="217"/>
  <c r="K131" i="217"/>
  <c r="J131" i="217"/>
  <c r="I131" i="217"/>
  <c r="H131" i="217"/>
  <c r="G131" i="217"/>
  <c r="F131" i="217"/>
  <c r="E131" i="217"/>
  <c r="D131" i="217"/>
  <c r="K130" i="217"/>
  <c r="J130" i="217"/>
  <c r="I130" i="217"/>
  <c r="H130" i="217"/>
  <c r="G130" i="217"/>
  <c r="F130" i="217"/>
  <c r="E130" i="217"/>
  <c r="D130" i="217"/>
  <c r="X128" i="217"/>
  <c r="W128" i="217"/>
  <c r="V128" i="217"/>
  <c r="U128" i="217"/>
  <c r="T128" i="217"/>
  <c r="S128" i="217"/>
  <c r="R128" i="217"/>
  <c r="Q128" i="217"/>
  <c r="K128" i="217"/>
  <c r="J128" i="217"/>
  <c r="I128" i="217"/>
  <c r="H128" i="217"/>
  <c r="G128" i="217"/>
  <c r="F128" i="217"/>
  <c r="E128" i="217"/>
  <c r="D128" i="217"/>
  <c r="X127" i="217"/>
  <c r="W127" i="217"/>
  <c r="V127" i="217"/>
  <c r="U127" i="217"/>
  <c r="T127" i="217"/>
  <c r="S127" i="217"/>
  <c r="R127" i="217"/>
  <c r="Q127" i="217"/>
  <c r="K127" i="217"/>
  <c r="J127" i="217"/>
  <c r="I127" i="217"/>
  <c r="H127" i="217"/>
  <c r="G127" i="217"/>
  <c r="F127" i="217"/>
  <c r="E127" i="217"/>
  <c r="D127" i="217"/>
  <c r="X126" i="217"/>
  <c r="W126" i="217"/>
  <c r="V126" i="217"/>
  <c r="U126" i="217"/>
  <c r="T126" i="217"/>
  <c r="S126" i="217"/>
  <c r="R126" i="217"/>
  <c r="Q126" i="217"/>
  <c r="K126" i="217"/>
  <c r="J126" i="217"/>
  <c r="I126" i="217"/>
  <c r="H126" i="217"/>
  <c r="G126" i="217"/>
  <c r="F126" i="217"/>
  <c r="E126" i="217"/>
  <c r="D126" i="217"/>
  <c r="X125" i="217"/>
  <c r="W125" i="217"/>
  <c r="V125" i="217"/>
  <c r="U125" i="217"/>
  <c r="T125" i="217"/>
  <c r="S125" i="217"/>
  <c r="R125" i="217"/>
  <c r="Q125" i="217"/>
  <c r="K125" i="217"/>
  <c r="J125" i="217"/>
  <c r="I125" i="217"/>
  <c r="H125" i="217"/>
  <c r="G125" i="217"/>
  <c r="F125" i="217"/>
  <c r="E125" i="217"/>
  <c r="D125" i="217"/>
  <c r="X124" i="217"/>
  <c r="W124" i="217"/>
  <c r="V124" i="217"/>
  <c r="U124" i="217"/>
  <c r="T124" i="217"/>
  <c r="S124" i="217"/>
  <c r="R124" i="217"/>
  <c r="Q124" i="217"/>
  <c r="K124" i="217"/>
  <c r="J124" i="217"/>
  <c r="I124" i="217"/>
  <c r="H124" i="217"/>
  <c r="G124" i="217"/>
  <c r="F124" i="217"/>
  <c r="E124" i="217"/>
  <c r="D124" i="217"/>
  <c r="X123" i="217"/>
  <c r="W123" i="217"/>
  <c r="V123" i="217"/>
  <c r="U123" i="217"/>
  <c r="T123" i="217"/>
  <c r="S123" i="217"/>
  <c r="R123" i="217"/>
  <c r="Q123" i="217"/>
  <c r="K123" i="217"/>
  <c r="J123" i="217"/>
  <c r="I123" i="217"/>
  <c r="H123" i="217"/>
  <c r="G123" i="217"/>
  <c r="F123" i="217"/>
  <c r="E123" i="217"/>
  <c r="D123" i="217"/>
  <c r="X122" i="217"/>
  <c r="W122" i="217"/>
  <c r="V122" i="217"/>
  <c r="U122" i="217"/>
  <c r="T122" i="217"/>
  <c r="S122" i="217"/>
  <c r="R122" i="217"/>
  <c r="Q122" i="217"/>
  <c r="K122" i="217"/>
  <c r="J122" i="217"/>
  <c r="I122" i="217"/>
  <c r="H122" i="217"/>
  <c r="G122" i="217"/>
  <c r="F122" i="217"/>
  <c r="E122" i="217"/>
  <c r="D122" i="217"/>
  <c r="X121" i="217"/>
  <c r="W121" i="217"/>
  <c r="V121" i="217"/>
  <c r="U121" i="217"/>
  <c r="T121" i="217"/>
  <c r="S121" i="217"/>
  <c r="R121" i="217"/>
  <c r="Q121" i="217"/>
  <c r="K121" i="217"/>
  <c r="J121" i="217"/>
  <c r="I121" i="217"/>
  <c r="H121" i="217"/>
  <c r="G121" i="217"/>
  <c r="F121" i="217"/>
  <c r="E121" i="217"/>
  <c r="D121" i="217"/>
  <c r="X120" i="217"/>
  <c r="W120" i="217"/>
  <c r="V120" i="217"/>
  <c r="U120" i="217"/>
  <c r="T120" i="217"/>
  <c r="S120" i="217"/>
  <c r="R120" i="217"/>
  <c r="Q120" i="217"/>
  <c r="K120" i="217"/>
  <c r="J120" i="217"/>
  <c r="I120" i="217"/>
  <c r="H120" i="217"/>
  <c r="G120" i="217"/>
  <c r="F120" i="217"/>
  <c r="E120" i="217"/>
  <c r="D120" i="217"/>
  <c r="X119" i="217"/>
  <c r="W119" i="217"/>
  <c r="V119" i="217"/>
  <c r="U119" i="217"/>
  <c r="T119" i="217"/>
  <c r="S119" i="217"/>
  <c r="R119" i="217"/>
  <c r="Q119" i="217"/>
  <c r="K119" i="217"/>
  <c r="J119" i="217"/>
  <c r="I119" i="217"/>
  <c r="H119" i="217"/>
  <c r="G119" i="217"/>
  <c r="F119" i="217"/>
  <c r="E119" i="217"/>
  <c r="D119" i="217"/>
  <c r="X118" i="217"/>
  <c r="W118" i="217"/>
  <c r="V118" i="217"/>
  <c r="U118" i="217"/>
  <c r="T118" i="217"/>
  <c r="S118" i="217"/>
  <c r="R118" i="217"/>
  <c r="Q118" i="217"/>
  <c r="K118" i="217"/>
  <c r="J118" i="217"/>
  <c r="I118" i="217"/>
  <c r="H118" i="217"/>
  <c r="G118" i="217"/>
  <c r="F118" i="217"/>
  <c r="E118" i="217"/>
  <c r="D118" i="217"/>
  <c r="X115" i="217"/>
  <c r="W115" i="217"/>
  <c r="V115" i="217"/>
  <c r="U115" i="217"/>
  <c r="T115" i="217"/>
  <c r="S115" i="217"/>
  <c r="R115" i="217"/>
  <c r="Q115" i="217"/>
  <c r="X114" i="217"/>
  <c r="W114" i="217"/>
  <c r="V114" i="217"/>
  <c r="U114" i="217"/>
  <c r="T114" i="217"/>
  <c r="S114" i="217"/>
  <c r="R114" i="217"/>
  <c r="Q114" i="217"/>
  <c r="X113" i="217"/>
  <c r="W113" i="217"/>
  <c r="V113" i="217"/>
  <c r="U113" i="217"/>
  <c r="T113" i="217"/>
  <c r="S113" i="217"/>
  <c r="R113" i="217"/>
  <c r="Q113" i="217"/>
  <c r="X112" i="217"/>
  <c r="W112" i="217"/>
  <c r="V112" i="217"/>
  <c r="U112" i="217"/>
  <c r="T112" i="217"/>
  <c r="S112" i="217"/>
  <c r="R112" i="217"/>
  <c r="Q112" i="217"/>
  <c r="X111" i="217"/>
  <c r="W111" i="217"/>
  <c r="V111" i="217"/>
  <c r="U111" i="217"/>
  <c r="T111" i="217"/>
  <c r="S111" i="217"/>
  <c r="R111" i="217"/>
  <c r="Q111" i="217"/>
  <c r="X110" i="217"/>
  <c r="W110" i="217"/>
  <c r="V110" i="217"/>
  <c r="U110" i="217"/>
  <c r="T110" i="217"/>
  <c r="S110" i="217"/>
  <c r="R110" i="217"/>
  <c r="Q110" i="217"/>
  <c r="X109" i="217"/>
  <c r="W109" i="217"/>
  <c r="V109" i="217"/>
  <c r="U109" i="217"/>
  <c r="T109" i="217"/>
  <c r="S109" i="217"/>
  <c r="R109" i="217"/>
  <c r="Q109" i="217"/>
  <c r="X108" i="217"/>
  <c r="W108" i="217"/>
  <c r="V108" i="217"/>
  <c r="U108" i="217"/>
  <c r="T108" i="217"/>
  <c r="S108" i="217"/>
  <c r="R108" i="217"/>
  <c r="Q108" i="217"/>
  <c r="X107" i="217"/>
  <c r="W107" i="217"/>
  <c r="V107" i="217"/>
  <c r="U107" i="217"/>
  <c r="T107" i="217"/>
  <c r="S107" i="217"/>
  <c r="R107" i="217"/>
  <c r="Q107" i="217"/>
  <c r="X106" i="217"/>
  <c r="W106" i="217"/>
  <c r="V106" i="217"/>
  <c r="U106" i="217"/>
  <c r="T106" i="217"/>
  <c r="S106" i="217"/>
  <c r="R106" i="217"/>
  <c r="Q106" i="217"/>
  <c r="X105" i="217"/>
  <c r="W105" i="217"/>
  <c r="V105" i="217"/>
  <c r="U105" i="217"/>
  <c r="T105" i="217"/>
  <c r="S105" i="217"/>
  <c r="R105" i="217"/>
  <c r="Q105" i="217"/>
  <c r="X104" i="217"/>
  <c r="W104" i="217"/>
  <c r="V104" i="217"/>
  <c r="U104" i="217"/>
  <c r="T104" i="217"/>
  <c r="S104" i="217"/>
  <c r="R104" i="217"/>
  <c r="Q104" i="217"/>
  <c r="X103" i="217"/>
  <c r="W103" i="217"/>
  <c r="V103" i="217"/>
  <c r="U103" i="217"/>
  <c r="T103" i="217"/>
  <c r="S103" i="217"/>
  <c r="R103" i="217"/>
  <c r="Q103" i="217"/>
  <c r="X102" i="217"/>
  <c r="W102" i="217"/>
  <c r="V102" i="217"/>
  <c r="U102" i="217"/>
  <c r="T102" i="217"/>
  <c r="S102" i="217"/>
  <c r="R102" i="217"/>
  <c r="Q102" i="217"/>
  <c r="X101" i="217"/>
  <c r="W101" i="217"/>
  <c r="V101" i="217"/>
  <c r="U101" i="217"/>
  <c r="T101" i="217"/>
  <c r="S101" i="217"/>
  <c r="R101" i="217"/>
  <c r="Q101" i="217"/>
  <c r="X100" i="217"/>
  <c r="W100" i="217"/>
  <c r="V100" i="217"/>
  <c r="U100" i="217"/>
  <c r="T100" i="217"/>
  <c r="S100" i="217"/>
  <c r="R100" i="217"/>
  <c r="Q100" i="217"/>
  <c r="X99" i="217"/>
  <c r="W99" i="217"/>
  <c r="V99" i="217"/>
  <c r="U99" i="217"/>
  <c r="T99" i="217"/>
  <c r="S99" i="217"/>
  <c r="R99" i="217"/>
  <c r="Q99" i="217"/>
  <c r="K99" i="217"/>
  <c r="J99" i="217"/>
  <c r="I99" i="217"/>
  <c r="H99" i="217"/>
  <c r="G99" i="217"/>
  <c r="F99" i="217"/>
  <c r="E99" i="217"/>
  <c r="D99" i="217"/>
  <c r="X98" i="217"/>
  <c r="W98" i="217"/>
  <c r="V98" i="217"/>
  <c r="U98" i="217"/>
  <c r="T98" i="217"/>
  <c r="S98" i="217"/>
  <c r="R98" i="217"/>
  <c r="Q98" i="217"/>
  <c r="X97" i="217"/>
  <c r="W97" i="217"/>
  <c r="V97" i="217"/>
  <c r="U97" i="217"/>
  <c r="T97" i="217"/>
  <c r="S97" i="217"/>
  <c r="R97" i="217"/>
  <c r="Q97" i="217"/>
  <c r="X96" i="217"/>
  <c r="W96" i="217"/>
  <c r="V96" i="217"/>
  <c r="U96" i="217"/>
  <c r="T96" i="217"/>
  <c r="S96" i="217"/>
  <c r="R96" i="217"/>
  <c r="Q96" i="217"/>
  <c r="X95" i="217"/>
  <c r="W95" i="217"/>
  <c r="V95" i="217"/>
  <c r="U95" i="217"/>
  <c r="T95" i="217"/>
  <c r="S95" i="217"/>
  <c r="R95" i="217"/>
  <c r="Q95" i="217"/>
  <c r="X94" i="217"/>
  <c r="W94" i="217"/>
  <c r="V94" i="217"/>
  <c r="U94" i="217"/>
  <c r="T94" i="217"/>
  <c r="S94" i="217"/>
  <c r="R94" i="217"/>
  <c r="Q94" i="217"/>
  <c r="X93" i="217"/>
  <c r="W93" i="217"/>
  <c r="V93" i="217"/>
  <c r="U93" i="217"/>
  <c r="T93" i="217"/>
  <c r="S93" i="217"/>
  <c r="R93" i="217"/>
  <c r="Q93" i="217"/>
  <c r="X92" i="217"/>
  <c r="W92" i="217"/>
  <c r="V92" i="217"/>
  <c r="U92" i="217"/>
  <c r="T92" i="217"/>
  <c r="S92" i="217"/>
  <c r="R92" i="217"/>
  <c r="Q92" i="217"/>
  <c r="X90" i="217"/>
  <c r="W90" i="217"/>
  <c r="V90" i="217"/>
  <c r="U90" i="217"/>
  <c r="T90" i="217"/>
  <c r="S90" i="217"/>
  <c r="R90" i="217"/>
  <c r="Q90" i="217"/>
  <c r="X89" i="217"/>
  <c r="W89" i="217"/>
  <c r="V89" i="217"/>
  <c r="U89" i="217"/>
  <c r="T89" i="217"/>
  <c r="S89" i="217"/>
  <c r="R89" i="217"/>
  <c r="Q89" i="217"/>
  <c r="X88" i="217"/>
  <c r="W88" i="217"/>
  <c r="V88" i="217"/>
  <c r="U88" i="217"/>
  <c r="T88" i="217"/>
  <c r="S88" i="217"/>
  <c r="R88" i="217"/>
  <c r="Q88" i="217"/>
  <c r="X87" i="217"/>
  <c r="W87" i="217"/>
  <c r="V87" i="217"/>
  <c r="U87" i="217"/>
  <c r="T87" i="217"/>
  <c r="S87" i="217"/>
  <c r="R87" i="217"/>
  <c r="Q87" i="217"/>
  <c r="X86" i="217"/>
  <c r="W86" i="217"/>
  <c r="V86" i="217"/>
  <c r="U86" i="217"/>
  <c r="T86" i="217"/>
  <c r="S86" i="217"/>
  <c r="R86" i="217"/>
  <c r="Q86" i="217"/>
  <c r="X85" i="217"/>
  <c r="W85" i="217"/>
  <c r="V85" i="217"/>
  <c r="U85" i="217"/>
  <c r="T85" i="217"/>
  <c r="S85" i="217"/>
  <c r="R85" i="217"/>
  <c r="Q85" i="217"/>
  <c r="X83" i="217"/>
  <c r="W83" i="217"/>
  <c r="V83" i="217"/>
  <c r="U83" i="217"/>
  <c r="T83" i="217"/>
  <c r="S83" i="217"/>
  <c r="R83" i="217"/>
  <c r="Q83" i="217"/>
  <c r="X81" i="217"/>
  <c r="W81" i="217"/>
  <c r="V81" i="217"/>
  <c r="U81" i="217"/>
  <c r="T81" i="217"/>
  <c r="S81" i="217"/>
  <c r="R81" i="217"/>
  <c r="Q81" i="217"/>
  <c r="X80" i="217"/>
  <c r="W80" i="217"/>
  <c r="V80" i="217"/>
  <c r="U80" i="217"/>
  <c r="T80" i="217"/>
  <c r="S80" i="217"/>
  <c r="R80" i="217"/>
  <c r="Q80" i="217"/>
  <c r="X79" i="217"/>
  <c r="W79" i="217"/>
  <c r="V79" i="217"/>
  <c r="U79" i="217"/>
  <c r="T79" i="217"/>
  <c r="S79" i="217"/>
  <c r="R79" i="217"/>
  <c r="Q79" i="217"/>
  <c r="K79" i="217"/>
  <c r="J79" i="217"/>
  <c r="I79" i="217"/>
  <c r="H79" i="217"/>
  <c r="G79" i="217"/>
  <c r="F79" i="217"/>
  <c r="E79" i="217"/>
  <c r="D79" i="217"/>
  <c r="X78" i="217"/>
  <c r="W78" i="217"/>
  <c r="V78" i="217"/>
  <c r="U78" i="217"/>
  <c r="T78" i="217"/>
  <c r="S78" i="217"/>
  <c r="R78" i="217"/>
  <c r="Q78" i="217"/>
  <c r="X77" i="217"/>
  <c r="W77" i="217"/>
  <c r="V77" i="217"/>
  <c r="U77" i="217"/>
  <c r="T77" i="217"/>
  <c r="S77" i="217"/>
  <c r="R77" i="217"/>
  <c r="Q77" i="217"/>
  <c r="X76" i="217"/>
  <c r="W76" i="217"/>
  <c r="V76" i="217"/>
  <c r="U76" i="217"/>
  <c r="T76" i="217"/>
  <c r="S76" i="217"/>
  <c r="R76" i="217"/>
  <c r="Q76" i="217"/>
  <c r="X75" i="217"/>
  <c r="W75" i="217"/>
  <c r="V75" i="217"/>
  <c r="U75" i="217"/>
  <c r="T75" i="217"/>
  <c r="S75" i="217"/>
  <c r="R75" i="217"/>
  <c r="Q75" i="217"/>
  <c r="X73" i="217"/>
  <c r="W73" i="217"/>
  <c r="V73" i="217"/>
  <c r="U73" i="217"/>
  <c r="T73" i="217"/>
  <c r="S73" i="217"/>
  <c r="R73" i="217"/>
  <c r="Q73" i="217"/>
  <c r="X72" i="217"/>
  <c r="W72" i="217"/>
  <c r="V72" i="217"/>
  <c r="U72" i="217"/>
  <c r="T72" i="217"/>
  <c r="S72" i="217"/>
  <c r="R72" i="217"/>
  <c r="Q72" i="217"/>
  <c r="X71" i="217"/>
  <c r="W71" i="217"/>
  <c r="V71" i="217"/>
  <c r="U71" i="217"/>
  <c r="T71" i="217"/>
  <c r="S71" i="217"/>
  <c r="R71" i="217"/>
  <c r="Q71" i="217"/>
  <c r="X70" i="217"/>
  <c r="W70" i="217"/>
  <c r="V70" i="217"/>
  <c r="U70" i="217"/>
  <c r="T70" i="217"/>
  <c r="S70" i="217"/>
  <c r="R70" i="217"/>
  <c r="Q70" i="217"/>
  <c r="X69" i="217"/>
  <c r="W69" i="217"/>
  <c r="V69" i="217"/>
  <c r="U69" i="217"/>
  <c r="T69" i="217"/>
  <c r="S69" i="217"/>
  <c r="R69" i="217"/>
  <c r="Q69" i="217"/>
  <c r="X68" i="217"/>
  <c r="W68" i="217"/>
  <c r="V68" i="217"/>
  <c r="U68" i="217"/>
  <c r="T68" i="217"/>
  <c r="S68" i="217"/>
  <c r="R68" i="217"/>
  <c r="Q68" i="217"/>
  <c r="X67" i="217"/>
  <c r="W67" i="217"/>
  <c r="V67" i="217"/>
  <c r="U67" i="217"/>
  <c r="T67" i="217"/>
  <c r="S67" i="217"/>
  <c r="R67" i="217"/>
  <c r="Q67" i="217"/>
  <c r="K67" i="217"/>
  <c r="J67" i="217"/>
  <c r="I67" i="217"/>
  <c r="H67" i="217"/>
  <c r="G67" i="217"/>
  <c r="F67" i="217"/>
  <c r="E67" i="217"/>
  <c r="D67" i="217"/>
  <c r="X64" i="217"/>
  <c r="W64" i="217"/>
  <c r="V64" i="217"/>
  <c r="U64" i="217"/>
  <c r="T64" i="217"/>
  <c r="S64" i="217"/>
  <c r="R64" i="217"/>
  <c r="Q64" i="217"/>
  <c r="K64" i="217"/>
  <c r="J64" i="217"/>
  <c r="I64" i="217"/>
  <c r="H64" i="217"/>
  <c r="G64" i="217"/>
  <c r="F64" i="217"/>
  <c r="E64" i="217"/>
  <c r="D64" i="217"/>
  <c r="X63" i="217"/>
  <c r="W63" i="217"/>
  <c r="V63" i="217"/>
  <c r="U63" i="217"/>
  <c r="T63" i="217"/>
  <c r="S63" i="217"/>
  <c r="R63" i="217"/>
  <c r="Q63" i="217"/>
  <c r="K63" i="217"/>
  <c r="J63" i="217"/>
  <c r="I63" i="217"/>
  <c r="H63" i="217"/>
  <c r="G63" i="217"/>
  <c r="F63" i="217"/>
  <c r="E63" i="217"/>
  <c r="D63" i="217"/>
  <c r="X62" i="217"/>
  <c r="W62" i="217"/>
  <c r="V62" i="217"/>
  <c r="U62" i="217"/>
  <c r="T62" i="217"/>
  <c r="S62" i="217"/>
  <c r="R62" i="217"/>
  <c r="Q62" i="217"/>
  <c r="K62" i="217"/>
  <c r="J62" i="217"/>
  <c r="I62" i="217"/>
  <c r="H62" i="217"/>
  <c r="G62" i="217"/>
  <c r="F62" i="217"/>
  <c r="E62" i="217"/>
  <c r="D62" i="217"/>
  <c r="X60" i="217"/>
  <c r="W60" i="217"/>
  <c r="V60" i="217"/>
  <c r="U60" i="217"/>
  <c r="T60" i="217"/>
  <c r="S60" i="217"/>
  <c r="R60" i="217"/>
  <c r="Q60" i="217"/>
  <c r="K60" i="217"/>
  <c r="J60" i="217"/>
  <c r="I60" i="217"/>
  <c r="H60" i="217"/>
  <c r="G60" i="217"/>
  <c r="F60" i="217"/>
  <c r="E60" i="217"/>
  <c r="D60" i="217"/>
  <c r="X59" i="217"/>
  <c r="W59" i="217"/>
  <c r="V59" i="217"/>
  <c r="U59" i="217"/>
  <c r="T59" i="217"/>
  <c r="S59" i="217"/>
  <c r="R59" i="217"/>
  <c r="Q59" i="217"/>
  <c r="K59" i="217"/>
  <c r="J59" i="217"/>
  <c r="I59" i="217"/>
  <c r="H59" i="217"/>
  <c r="G59" i="217"/>
  <c r="F59" i="217"/>
  <c r="E59" i="217"/>
  <c r="D59" i="217"/>
  <c r="X58" i="217"/>
  <c r="W58" i="217"/>
  <c r="V58" i="217"/>
  <c r="U58" i="217"/>
  <c r="T58" i="217"/>
  <c r="S58" i="217"/>
  <c r="R58" i="217"/>
  <c r="Q58" i="217"/>
  <c r="K58" i="217"/>
  <c r="J58" i="217"/>
  <c r="I58" i="217"/>
  <c r="H58" i="217"/>
  <c r="G58" i="217"/>
  <c r="F58" i="217"/>
  <c r="E58" i="217"/>
  <c r="D58" i="217"/>
  <c r="X57" i="217"/>
  <c r="W57" i="217"/>
  <c r="V57" i="217"/>
  <c r="U57" i="217"/>
  <c r="T57" i="217"/>
  <c r="S57" i="217"/>
  <c r="R57" i="217"/>
  <c r="Q57" i="217"/>
  <c r="K57" i="217"/>
  <c r="J57" i="217"/>
  <c r="I57" i="217"/>
  <c r="H57" i="217"/>
  <c r="G57" i="217"/>
  <c r="F57" i="217"/>
  <c r="E57" i="217"/>
  <c r="D57" i="217"/>
  <c r="X56" i="217"/>
  <c r="W56" i="217"/>
  <c r="V56" i="217"/>
  <c r="U56" i="217"/>
  <c r="T56" i="217"/>
  <c r="S56" i="217"/>
  <c r="R56" i="217"/>
  <c r="Q56" i="217"/>
  <c r="K56" i="217"/>
  <c r="J56" i="217"/>
  <c r="I56" i="217"/>
  <c r="H56" i="217"/>
  <c r="G56" i="217"/>
  <c r="F56" i="217"/>
  <c r="E56" i="217"/>
  <c r="D56" i="217"/>
  <c r="X55" i="217"/>
  <c r="W55" i="217"/>
  <c r="V55" i="217"/>
  <c r="U55" i="217"/>
  <c r="T55" i="217"/>
  <c r="S55" i="217"/>
  <c r="R55" i="217"/>
  <c r="Q55" i="217"/>
  <c r="K55" i="217"/>
  <c r="J55" i="217"/>
  <c r="I55" i="217"/>
  <c r="H55" i="217"/>
  <c r="G55" i="217"/>
  <c r="F55" i="217"/>
  <c r="E55" i="217"/>
  <c r="D55" i="217"/>
  <c r="X53" i="217"/>
  <c r="W53" i="217"/>
  <c r="V53" i="217"/>
  <c r="U53" i="217"/>
  <c r="T53" i="217"/>
  <c r="S53" i="217"/>
  <c r="R53" i="217"/>
  <c r="Q53" i="217"/>
  <c r="K53" i="217"/>
  <c r="J53" i="217"/>
  <c r="I53" i="217"/>
  <c r="H53" i="217"/>
  <c r="G53" i="217"/>
  <c r="F53" i="217"/>
  <c r="E53" i="217"/>
  <c r="D53" i="217"/>
  <c r="X52" i="217"/>
  <c r="W52" i="217"/>
  <c r="V52" i="217"/>
  <c r="U52" i="217"/>
  <c r="T52" i="217"/>
  <c r="S52" i="217"/>
  <c r="R52" i="217"/>
  <c r="Q52" i="217"/>
  <c r="K52" i="217"/>
  <c r="J52" i="217"/>
  <c r="I52" i="217"/>
  <c r="H52" i="217"/>
  <c r="G52" i="217"/>
  <c r="F52" i="217"/>
  <c r="E52" i="217"/>
  <c r="D52" i="217"/>
  <c r="X51" i="217"/>
  <c r="W51" i="217"/>
  <c r="V51" i="217"/>
  <c r="U51" i="217"/>
  <c r="T51" i="217"/>
  <c r="S51" i="217"/>
  <c r="R51" i="217"/>
  <c r="Q51" i="217"/>
  <c r="K51" i="217"/>
  <c r="J51" i="217"/>
  <c r="I51" i="217"/>
  <c r="H51" i="217"/>
  <c r="G51" i="217"/>
  <c r="F51" i="217"/>
  <c r="E51" i="217"/>
  <c r="D51" i="217"/>
  <c r="X50" i="217"/>
  <c r="W50" i="217"/>
  <c r="V50" i="217"/>
  <c r="U50" i="217"/>
  <c r="T50" i="217"/>
  <c r="S50" i="217"/>
  <c r="R50" i="217"/>
  <c r="Q50" i="217"/>
  <c r="K50" i="217"/>
  <c r="J50" i="217"/>
  <c r="I50" i="217"/>
  <c r="H50" i="217"/>
  <c r="G50" i="217"/>
  <c r="F50" i="217"/>
  <c r="E50" i="217"/>
  <c r="D50" i="217"/>
  <c r="X49" i="217"/>
  <c r="W49" i="217"/>
  <c r="V49" i="217"/>
  <c r="U49" i="217"/>
  <c r="T49" i="217"/>
  <c r="S49" i="217"/>
  <c r="R49" i="217"/>
  <c r="Q49" i="217"/>
  <c r="K49" i="217"/>
  <c r="J49" i="217"/>
  <c r="I49" i="217"/>
  <c r="H49" i="217"/>
  <c r="G49" i="217"/>
  <c r="F49" i="217"/>
  <c r="E49" i="217"/>
  <c r="D49" i="217"/>
  <c r="X48" i="217"/>
  <c r="W48" i="217"/>
  <c r="V48" i="217"/>
  <c r="U48" i="217"/>
  <c r="T48" i="217"/>
  <c r="S48" i="217"/>
  <c r="R48" i="217"/>
  <c r="Q48" i="217"/>
  <c r="K48" i="217"/>
  <c r="J48" i="217"/>
  <c r="I48" i="217"/>
  <c r="H48" i="217"/>
  <c r="G48" i="217"/>
  <c r="F48" i="217"/>
  <c r="E48" i="217"/>
  <c r="D48" i="217"/>
  <c r="X47" i="217"/>
  <c r="W47" i="217"/>
  <c r="V47" i="217"/>
  <c r="U47" i="217"/>
  <c r="T47" i="217"/>
  <c r="S47" i="217"/>
  <c r="R47" i="217"/>
  <c r="Q47" i="217"/>
  <c r="K47" i="217"/>
  <c r="J47" i="217"/>
  <c r="I47" i="217"/>
  <c r="H47" i="217"/>
  <c r="G47" i="217"/>
  <c r="F47" i="217"/>
  <c r="E47" i="217"/>
  <c r="D47" i="217"/>
  <c r="X46" i="217"/>
  <c r="W46" i="217"/>
  <c r="V46" i="217"/>
  <c r="U46" i="217"/>
  <c r="T46" i="217"/>
  <c r="S46" i="217"/>
  <c r="R46" i="217"/>
  <c r="Q46" i="217"/>
  <c r="K46" i="217"/>
  <c r="J46" i="217"/>
  <c r="I46" i="217"/>
  <c r="H46" i="217"/>
  <c r="G46" i="217"/>
  <c r="F46" i="217"/>
  <c r="E46" i="217"/>
  <c r="D46" i="217"/>
  <c r="X45" i="217"/>
  <c r="W45" i="217"/>
  <c r="V45" i="217"/>
  <c r="U45" i="217"/>
  <c r="T45" i="217"/>
  <c r="S45" i="217"/>
  <c r="R45" i="217"/>
  <c r="Q45" i="217"/>
  <c r="K45" i="217"/>
  <c r="J45" i="217"/>
  <c r="I45" i="217"/>
  <c r="H45" i="217"/>
  <c r="G45" i="217"/>
  <c r="F45" i="217"/>
  <c r="E45" i="217"/>
  <c r="D45" i="217"/>
  <c r="X44" i="217"/>
  <c r="W44" i="217"/>
  <c r="V44" i="217"/>
  <c r="U44" i="217"/>
  <c r="T44" i="217"/>
  <c r="S44" i="217"/>
  <c r="R44" i="217"/>
  <c r="Q44" i="217"/>
  <c r="K44" i="217"/>
  <c r="J44" i="217"/>
  <c r="I44" i="217"/>
  <c r="H44" i="217"/>
  <c r="G44" i="217"/>
  <c r="F44" i="217"/>
  <c r="E44" i="217"/>
  <c r="D44" i="217"/>
  <c r="X43" i="217"/>
  <c r="W43" i="217"/>
  <c r="V43" i="217"/>
  <c r="U43" i="217"/>
  <c r="T43" i="217"/>
  <c r="S43" i="217"/>
  <c r="R43" i="217"/>
  <c r="Q43" i="217"/>
  <c r="K43" i="217"/>
  <c r="J43" i="217"/>
  <c r="I43" i="217"/>
  <c r="H43" i="217"/>
  <c r="G43" i="217"/>
  <c r="F43" i="217"/>
  <c r="E43" i="217"/>
  <c r="D43" i="217"/>
  <c r="K42" i="217"/>
  <c r="J42" i="217"/>
  <c r="I42" i="217"/>
  <c r="H42" i="217"/>
  <c r="G42" i="217"/>
  <c r="F42" i="217"/>
  <c r="E42" i="217"/>
  <c r="D42" i="217"/>
  <c r="K41" i="217"/>
  <c r="J41" i="217"/>
  <c r="I41" i="217"/>
  <c r="H41" i="217"/>
  <c r="G41" i="217"/>
  <c r="F41" i="217"/>
  <c r="E41" i="217"/>
  <c r="D41" i="217"/>
  <c r="K40" i="217"/>
  <c r="J40" i="217"/>
  <c r="I40" i="217"/>
  <c r="H40" i="217"/>
  <c r="G40" i="217"/>
  <c r="F40" i="217"/>
  <c r="E40" i="217"/>
  <c r="D40" i="217"/>
  <c r="K39" i="217"/>
  <c r="J39" i="217"/>
  <c r="I39" i="217"/>
  <c r="H39" i="217"/>
  <c r="G39" i="217"/>
  <c r="F39" i="217"/>
  <c r="E39" i="217"/>
  <c r="D39" i="217"/>
  <c r="K38" i="217"/>
  <c r="J38" i="217"/>
  <c r="I38" i="217"/>
  <c r="H38" i="217"/>
  <c r="G38" i="217"/>
  <c r="F38" i="217"/>
  <c r="E38" i="217"/>
  <c r="D38" i="217"/>
  <c r="K37" i="217"/>
  <c r="J37" i="217"/>
  <c r="I37" i="217"/>
  <c r="H37" i="217"/>
  <c r="G37" i="217"/>
  <c r="F37" i="217"/>
  <c r="E37" i="217"/>
  <c r="D37" i="217"/>
  <c r="K35" i="217"/>
  <c r="J35" i="217"/>
  <c r="I35" i="217"/>
  <c r="H35" i="217"/>
  <c r="G35" i="217"/>
  <c r="F35" i="217"/>
  <c r="E35" i="217"/>
  <c r="D35" i="217"/>
  <c r="K33" i="217"/>
  <c r="J33" i="217"/>
  <c r="I33" i="217"/>
  <c r="H33" i="217"/>
  <c r="G33" i="217"/>
  <c r="F33" i="217"/>
  <c r="E33" i="217"/>
  <c r="D33" i="217"/>
  <c r="K32" i="217"/>
  <c r="J32" i="217"/>
  <c r="I32" i="217"/>
  <c r="H32" i="217"/>
  <c r="G32" i="217"/>
  <c r="F32" i="217"/>
  <c r="E32" i="217"/>
  <c r="D32" i="217"/>
  <c r="K31" i="217"/>
  <c r="J31" i="217"/>
  <c r="I31" i="217"/>
  <c r="H31" i="217"/>
  <c r="G31" i="217"/>
  <c r="F31" i="217"/>
  <c r="E31" i="217"/>
  <c r="D31" i="217"/>
  <c r="K30" i="217"/>
  <c r="J30" i="217"/>
  <c r="I30" i="217"/>
  <c r="H30" i="217"/>
  <c r="G30" i="217"/>
  <c r="F30" i="217"/>
  <c r="E30" i="217"/>
  <c r="D30" i="217"/>
  <c r="K29" i="217"/>
  <c r="J29" i="217"/>
  <c r="I29" i="217"/>
  <c r="H29" i="217"/>
  <c r="G29" i="217"/>
  <c r="F29" i="217"/>
  <c r="E29" i="217"/>
  <c r="D29" i="217"/>
  <c r="K28" i="217"/>
  <c r="J28" i="217"/>
  <c r="I28" i="217"/>
  <c r="H28" i="217"/>
  <c r="G28" i="217"/>
  <c r="F28" i="217"/>
  <c r="E28" i="217"/>
  <c r="D28" i="217"/>
  <c r="K27" i="217"/>
  <c r="J27" i="217"/>
  <c r="I27" i="217"/>
  <c r="H27" i="217"/>
  <c r="G27" i="217"/>
  <c r="F27" i="217"/>
  <c r="E27" i="217"/>
  <c r="D27" i="217"/>
  <c r="X23" i="217"/>
  <c r="W23" i="217"/>
  <c r="V23" i="217"/>
  <c r="U23" i="217"/>
  <c r="T23" i="217"/>
  <c r="S23" i="217"/>
  <c r="R23" i="217"/>
  <c r="Q23" i="217"/>
  <c r="K24" i="217"/>
  <c r="J24" i="217"/>
  <c r="I24" i="217"/>
  <c r="H24" i="217"/>
  <c r="G24" i="217"/>
  <c r="F24" i="217"/>
  <c r="E24" i="217"/>
  <c r="D24" i="217"/>
  <c r="X22" i="217"/>
  <c r="W22" i="217"/>
  <c r="V22" i="217"/>
  <c r="U22" i="217"/>
  <c r="T22" i="217"/>
  <c r="S22" i="217"/>
  <c r="R22" i="217"/>
  <c r="Q22" i="217"/>
  <c r="K23" i="217"/>
  <c r="J23" i="217"/>
  <c r="I23" i="217"/>
  <c r="H23" i="217"/>
  <c r="G23" i="217"/>
  <c r="F23" i="217"/>
  <c r="E23" i="217"/>
  <c r="D23" i="217"/>
  <c r="X21" i="217"/>
  <c r="W21" i="217"/>
  <c r="V21" i="217"/>
  <c r="U21" i="217"/>
  <c r="T21" i="217"/>
  <c r="S21" i="217"/>
  <c r="R21" i="217"/>
  <c r="Q21" i="217"/>
  <c r="K22" i="217"/>
  <c r="J22" i="217"/>
  <c r="I22" i="217"/>
  <c r="H22" i="217"/>
  <c r="G22" i="217"/>
  <c r="F22" i="217"/>
  <c r="E22" i="217"/>
  <c r="D22" i="217"/>
  <c r="X20" i="217"/>
  <c r="W20" i="217"/>
  <c r="V20" i="217"/>
  <c r="U20" i="217"/>
  <c r="T20" i="217"/>
  <c r="S20" i="217"/>
  <c r="R20" i="217"/>
  <c r="Q20" i="217"/>
  <c r="K20" i="217"/>
  <c r="J20" i="217"/>
  <c r="I20" i="217"/>
  <c r="H20" i="217"/>
  <c r="G20" i="217"/>
  <c r="F20" i="217"/>
  <c r="E20" i="217"/>
  <c r="D20" i="217"/>
  <c r="Z21" i="214"/>
  <c r="Z20" i="214"/>
  <c r="X21" i="214"/>
  <c r="X20" i="214"/>
  <c r="W21" i="214"/>
  <c r="W20" i="214"/>
  <c r="V21" i="214"/>
  <c r="V20" i="214"/>
  <c r="T21" i="214"/>
  <c r="T20" i="214"/>
  <c r="S21" i="214"/>
  <c r="S20" i="214"/>
  <c r="R21" i="214"/>
  <c r="R20" i="214"/>
  <c r="Q21" i="214"/>
  <c r="Q20" i="214"/>
  <c r="P21" i="214"/>
  <c r="P20" i="214"/>
  <c r="O21" i="214"/>
  <c r="O20" i="214"/>
  <c r="N21" i="214"/>
  <c r="N20" i="214"/>
  <c r="L21" i="214"/>
  <c r="L20" i="214"/>
  <c r="J21" i="214"/>
  <c r="J20" i="214"/>
  <c r="I21" i="214"/>
  <c r="I20" i="214"/>
  <c r="H21" i="214"/>
  <c r="H20" i="214"/>
  <c r="F21" i="214"/>
  <c r="F20" i="214"/>
  <c r="E21" i="214"/>
  <c r="E20" i="214"/>
  <c r="D21" i="214"/>
  <c r="D20" i="214"/>
  <c r="B21" i="214"/>
  <c r="B20" i="214"/>
  <c r="I116" i="217" l="1"/>
  <c r="J116" i="217"/>
  <c r="Y107" i="217"/>
  <c r="L119" i="217"/>
  <c r="L135" i="217"/>
  <c r="G116" i="217"/>
  <c r="Y68" i="217"/>
  <c r="Y152" i="217"/>
  <c r="Y162" i="217"/>
  <c r="Y128" i="217"/>
  <c r="Y121" i="217"/>
  <c r="Q178" i="217"/>
  <c r="Y163" i="217"/>
  <c r="Y156" i="217"/>
  <c r="Y157" i="217"/>
  <c r="L126" i="217"/>
  <c r="L134" i="217"/>
  <c r="L142" i="217"/>
  <c r="I178" i="217"/>
  <c r="L176" i="217"/>
  <c r="L175" i="217"/>
  <c r="L146" i="217"/>
  <c r="L160" i="217"/>
  <c r="L154" i="217"/>
  <c r="L161" i="217"/>
  <c r="D116" i="217"/>
  <c r="Y93" i="217"/>
  <c r="L99" i="217"/>
  <c r="F116" i="217"/>
  <c r="H116" i="217"/>
  <c r="Y102" i="217"/>
  <c r="X116" i="217"/>
  <c r="Y110" i="217"/>
  <c r="Y70" i="217"/>
  <c r="Y94" i="217"/>
  <c r="Y78" i="217"/>
  <c r="Y86" i="217"/>
  <c r="Y112" i="217"/>
  <c r="Y22" i="217"/>
  <c r="Y21" i="217"/>
  <c r="L27" i="217"/>
  <c r="L58" i="217"/>
  <c r="L29" i="217"/>
  <c r="K65" i="217"/>
  <c r="L24" i="217"/>
  <c r="L32" i="217"/>
  <c r="L48" i="217"/>
  <c r="L31" i="217"/>
  <c r="Y20" i="217"/>
  <c r="L57" i="217"/>
  <c r="Y55" i="217"/>
  <c r="Y48" i="217"/>
  <c r="L45" i="217"/>
  <c r="Y47" i="217"/>
  <c r="L46" i="217"/>
  <c r="Y49" i="217"/>
  <c r="L53" i="217"/>
  <c r="Y57" i="217"/>
  <c r="Y43" i="217"/>
  <c r="U65" i="217"/>
  <c r="Y45" i="217"/>
  <c r="H65" i="217"/>
  <c r="L30" i="217"/>
  <c r="L42" i="217"/>
  <c r="L44" i="217"/>
  <c r="Y44" i="217"/>
  <c r="L50" i="217"/>
  <c r="Y53" i="217"/>
  <c r="L64" i="217"/>
  <c r="V116" i="217"/>
  <c r="Y71" i="217"/>
  <c r="Y87" i="217"/>
  <c r="Y111" i="217"/>
  <c r="F178" i="217"/>
  <c r="L124" i="217"/>
  <c r="L137" i="217"/>
  <c r="L152" i="217"/>
  <c r="L157" i="217"/>
  <c r="Y159" i="217"/>
  <c r="Y161" i="217"/>
  <c r="Y177" i="217"/>
  <c r="D65" i="217"/>
  <c r="L38" i="217"/>
  <c r="Y60" i="217"/>
  <c r="W116" i="217"/>
  <c r="Y95" i="217"/>
  <c r="Y106" i="217"/>
  <c r="G178" i="217"/>
  <c r="L125" i="217"/>
  <c r="L138" i="217"/>
  <c r="L165" i="217"/>
  <c r="Y176" i="217"/>
  <c r="T65" i="217"/>
  <c r="I65" i="217"/>
  <c r="J65" i="217"/>
  <c r="L23" i="217"/>
  <c r="L39" i="217"/>
  <c r="L49" i="217"/>
  <c r="L51" i="217"/>
  <c r="Y51" i="217"/>
  <c r="E116" i="217"/>
  <c r="L79" i="217"/>
  <c r="Y80" i="217"/>
  <c r="Y99" i="217"/>
  <c r="H178" i="217"/>
  <c r="Y122" i="217"/>
  <c r="L132" i="217"/>
  <c r="L145" i="217"/>
  <c r="L159" i="217"/>
  <c r="L172" i="217"/>
  <c r="Y62" i="217"/>
  <c r="Y97" i="217"/>
  <c r="L120" i="217"/>
  <c r="L133" i="217"/>
  <c r="Y155" i="217"/>
  <c r="L158" i="217"/>
  <c r="L167" i="217"/>
  <c r="R116" i="217"/>
  <c r="Y76" i="217"/>
  <c r="Y89" i="217"/>
  <c r="Y113" i="217"/>
  <c r="J178" i="217"/>
  <c r="Y123" i="217"/>
  <c r="L153" i="217"/>
  <c r="L166" i="217"/>
  <c r="R65" i="217"/>
  <c r="L40" i="217"/>
  <c r="L52" i="217"/>
  <c r="Y56" i="217"/>
  <c r="L59" i="217"/>
  <c r="Y59" i="217"/>
  <c r="Y92" i="217"/>
  <c r="Y103" i="217"/>
  <c r="Y108" i="217"/>
  <c r="K178" i="217"/>
  <c r="L121" i="217"/>
  <c r="L127" i="217"/>
  <c r="L139" i="217"/>
  <c r="L141" i="217"/>
  <c r="L168" i="217"/>
  <c r="L47" i="217"/>
  <c r="Y63" i="217"/>
  <c r="K116" i="217"/>
  <c r="Y101" i="217"/>
  <c r="Y105" i="217"/>
  <c r="R178" i="217"/>
  <c r="L128" i="217"/>
  <c r="L147" i="217"/>
  <c r="L148" i="217"/>
  <c r="L169" i="217"/>
  <c r="L177" i="217"/>
  <c r="Y72" i="217"/>
  <c r="Y73" i="217"/>
  <c r="Y79" i="217"/>
  <c r="Y88" i="217"/>
  <c r="S178" i="217"/>
  <c r="Y124" i="217"/>
  <c r="Y158" i="217"/>
  <c r="S65" i="217"/>
  <c r="L41" i="217"/>
  <c r="Y50" i="217"/>
  <c r="L60" i="217"/>
  <c r="V65" i="217"/>
  <c r="L55" i="217"/>
  <c r="L62" i="217"/>
  <c r="Y64" i="217"/>
  <c r="Q116" i="217"/>
  <c r="Y96" i="217"/>
  <c r="Y100" i="217"/>
  <c r="Y115" i="217"/>
  <c r="T178" i="217"/>
  <c r="Y119" i="217"/>
  <c r="L122" i="217"/>
  <c r="L156" i="217"/>
  <c r="W65" i="217"/>
  <c r="L28" i="217"/>
  <c r="L33" i="217"/>
  <c r="Y81" i="217"/>
  <c r="Y83" i="217"/>
  <c r="U178" i="217"/>
  <c r="L123" i="217"/>
  <c r="L136" i="217"/>
  <c r="L143" i="217"/>
  <c r="Y175" i="217"/>
  <c r="Y58" i="217"/>
  <c r="S116" i="217"/>
  <c r="Y75" i="217"/>
  <c r="Y98" i="217"/>
  <c r="Y114" i="217"/>
  <c r="Y118" i="217"/>
  <c r="Y120" i="217"/>
  <c r="Y126" i="217"/>
  <c r="L130" i="217"/>
  <c r="Y153" i="217"/>
  <c r="L155" i="217"/>
  <c r="L163" i="217"/>
  <c r="L171" i="217"/>
  <c r="L35" i="217"/>
  <c r="X65" i="217"/>
  <c r="Y23" i="217"/>
  <c r="L22" i="217"/>
  <c r="L37" i="217"/>
  <c r="L43" i="217"/>
  <c r="Y52" i="217"/>
  <c r="L56" i="217"/>
  <c r="T116" i="217"/>
  <c r="Y69" i="217"/>
  <c r="Y77" i="217"/>
  <c r="Y90" i="217"/>
  <c r="Y109" i="217"/>
  <c r="D178" i="217"/>
  <c r="W178" i="217"/>
  <c r="L131" i="217"/>
  <c r="L144" i="217"/>
  <c r="L151" i="217"/>
  <c r="Y160" i="217"/>
  <c r="L162" i="217"/>
  <c r="E65" i="217"/>
  <c r="F65" i="217"/>
  <c r="G65" i="217"/>
  <c r="Y46" i="217"/>
  <c r="L63" i="217"/>
  <c r="U116" i="217"/>
  <c r="Y85" i="217"/>
  <c r="Y104" i="217"/>
  <c r="L118" i="217"/>
  <c r="X178" i="217"/>
  <c r="Y125" i="217"/>
  <c r="Y127" i="217"/>
  <c r="L149" i="217"/>
  <c r="Y154" i="217"/>
  <c r="L170" i="217"/>
  <c r="L20" i="217"/>
  <c r="E178" i="217"/>
  <c r="V178" i="217"/>
  <c r="Q65" i="217"/>
  <c r="Y67" i="217"/>
  <c r="L67" i="217"/>
  <c r="X40" i="214"/>
  <c r="W40" i="214"/>
  <c r="V40" i="214"/>
  <c r="U40" i="214"/>
  <c r="T40" i="214"/>
  <c r="S40" i="214"/>
  <c r="R40" i="214"/>
  <c r="Q40" i="214"/>
  <c r="K40" i="214"/>
  <c r="J40" i="214"/>
  <c r="I40" i="214"/>
  <c r="H40" i="214"/>
  <c r="G40" i="214"/>
  <c r="F40" i="214"/>
  <c r="E40" i="214"/>
  <c r="D40" i="214"/>
  <c r="X164" i="214"/>
  <c r="W164" i="214"/>
  <c r="V164" i="214"/>
  <c r="U164" i="214"/>
  <c r="T164" i="214"/>
  <c r="S164" i="214"/>
  <c r="R164" i="214"/>
  <c r="Q164" i="214"/>
  <c r="K164" i="214"/>
  <c r="J164" i="214"/>
  <c r="I164" i="214"/>
  <c r="H164" i="214"/>
  <c r="G164" i="214"/>
  <c r="F164" i="214"/>
  <c r="E164" i="214"/>
  <c r="D164" i="214"/>
  <c r="Q95" i="214"/>
  <c r="R95" i="214"/>
  <c r="S95" i="214"/>
  <c r="T95" i="214"/>
  <c r="U95" i="214"/>
  <c r="V95" i="214"/>
  <c r="W95" i="214"/>
  <c r="X95" i="214"/>
  <c r="A254" i="203"/>
  <c r="A251" i="203"/>
  <c r="A255" i="203"/>
  <c r="A266" i="203"/>
  <c r="B218" i="214" s="1"/>
  <c r="A265" i="203"/>
  <c r="B217" i="214" s="1"/>
  <c r="A264" i="203"/>
  <c r="B216" i="214" s="1"/>
  <c r="Y178" i="217" l="1"/>
  <c r="L178" i="217"/>
  <c r="M174" i="217" s="1" a="1"/>
  <c r="M174" i="217" s="1"/>
  <c r="Y65" i="217"/>
  <c r="L65" i="217"/>
  <c r="Y116" i="217"/>
  <c r="L116" i="217"/>
  <c r="M67" i="217" s="1" a="1"/>
  <c r="M67" i="217" s="1"/>
  <c r="Y40" i="214"/>
  <c r="L40" i="214"/>
  <c r="L164" i="214"/>
  <c r="Y164" i="214"/>
  <c r="Y95" i="214"/>
  <c r="X126" i="214"/>
  <c r="W126" i="214"/>
  <c r="V126" i="214"/>
  <c r="U126" i="214"/>
  <c r="T126" i="214"/>
  <c r="S126" i="214"/>
  <c r="R126" i="214"/>
  <c r="Q126" i="214"/>
  <c r="K126" i="214"/>
  <c r="J126" i="214"/>
  <c r="I126" i="214"/>
  <c r="H126" i="214"/>
  <c r="G126" i="214"/>
  <c r="F126" i="214"/>
  <c r="E126" i="214"/>
  <c r="D126" i="214"/>
  <c r="X165" i="214"/>
  <c r="W165" i="214"/>
  <c r="V165" i="214"/>
  <c r="U165" i="214"/>
  <c r="T165" i="214"/>
  <c r="S165" i="214"/>
  <c r="R165" i="214"/>
  <c r="Q165" i="214"/>
  <c r="K165" i="214"/>
  <c r="J165" i="214"/>
  <c r="I165" i="214"/>
  <c r="H165" i="214"/>
  <c r="G165" i="214"/>
  <c r="F165" i="214"/>
  <c r="E165" i="214"/>
  <c r="D165" i="214"/>
  <c r="X163" i="214"/>
  <c r="W163" i="214"/>
  <c r="V163" i="214"/>
  <c r="U163" i="214"/>
  <c r="T163" i="214"/>
  <c r="S163" i="214"/>
  <c r="R163" i="214"/>
  <c r="Q163" i="214"/>
  <c r="K163" i="214"/>
  <c r="J163" i="214"/>
  <c r="I163" i="214"/>
  <c r="H163" i="214"/>
  <c r="G163" i="214"/>
  <c r="F163" i="214"/>
  <c r="E163" i="214"/>
  <c r="D163" i="214"/>
  <c r="X162" i="214"/>
  <c r="W162" i="214"/>
  <c r="V162" i="214"/>
  <c r="U162" i="214"/>
  <c r="T162" i="214"/>
  <c r="S162" i="214"/>
  <c r="R162" i="214"/>
  <c r="Q162" i="214"/>
  <c r="K162" i="214"/>
  <c r="J162" i="214"/>
  <c r="I162" i="214"/>
  <c r="H162" i="214"/>
  <c r="G162" i="214"/>
  <c r="F162" i="214"/>
  <c r="E162" i="214"/>
  <c r="D162" i="214"/>
  <c r="X121" i="214"/>
  <c r="W121" i="214"/>
  <c r="V121" i="214"/>
  <c r="U121" i="214"/>
  <c r="T121" i="214"/>
  <c r="S121" i="214"/>
  <c r="R121" i="214"/>
  <c r="Q121" i="214"/>
  <c r="K121" i="214"/>
  <c r="J121" i="214"/>
  <c r="I121" i="214"/>
  <c r="H121" i="214"/>
  <c r="G121" i="214"/>
  <c r="F121" i="214"/>
  <c r="E121" i="214"/>
  <c r="D121" i="214"/>
  <c r="X133" i="214"/>
  <c r="W133" i="214"/>
  <c r="V133" i="214"/>
  <c r="U133" i="214"/>
  <c r="T133" i="214"/>
  <c r="S133" i="214"/>
  <c r="R133" i="214"/>
  <c r="Q133" i="214"/>
  <c r="K133" i="214"/>
  <c r="J133" i="214"/>
  <c r="I133" i="214"/>
  <c r="H133" i="214"/>
  <c r="G133" i="214"/>
  <c r="F133" i="214"/>
  <c r="E133" i="214"/>
  <c r="D133" i="214"/>
  <c r="X155" i="214"/>
  <c r="W155" i="214"/>
  <c r="V155" i="214"/>
  <c r="U155" i="214"/>
  <c r="T155" i="214"/>
  <c r="S155" i="214"/>
  <c r="R155" i="214"/>
  <c r="Q155" i="214"/>
  <c r="K155" i="214"/>
  <c r="J155" i="214"/>
  <c r="I155" i="214"/>
  <c r="H155" i="214"/>
  <c r="G155" i="214"/>
  <c r="F155" i="214"/>
  <c r="E155" i="214"/>
  <c r="D155" i="214"/>
  <c r="X151" i="214"/>
  <c r="W151" i="214"/>
  <c r="V151" i="214"/>
  <c r="U151" i="214"/>
  <c r="T151" i="214"/>
  <c r="S151" i="214"/>
  <c r="R151" i="214"/>
  <c r="Q151" i="214"/>
  <c r="K151" i="214"/>
  <c r="J151" i="214"/>
  <c r="I151" i="214"/>
  <c r="H151" i="214"/>
  <c r="G151" i="214"/>
  <c r="F151" i="214"/>
  <c r="E151" i="214"/>
  <c r="D151" i="214"/>
  <c r="X153" i="214"/>
  <c r="W153" i="214"/>
  <c r="V153" i="214"/>
  <c r="U153" i="214"/>
  <c r="T153" i="214"/>
  <c r="S153" i="214"/>
  <c r="R153" i="214"/>
  <c r="Q153" i="214"/>
  <c r="K153" i="214"/>
  <c r="J153" i="214"/>
  <c r="I153" i="214"/>
  <c r="H153" i="214"/>
  <c r="G153" i="214"/>
  <c r="F153" i="214"/>
  <c r="E153" i="214"/>
  <c r="D153" i="214"/>
  <c r="X160" i="214"/>
  <c r="W160" i="214"/>
  <c r="V160" i="214"/>
  <c r="U160" i="214"/>
  <c r="T160" i="214"/>
  <c r="S160" i="214"/>
  <c r="R160" i="214"/>
  <c r="Q160" i="214"/>
  <c r="K160" i="214"/>
  <c r="J160" i="214"/>
  <c r="I160" i="214"/>
  <c r="H160" i="214"/>
  <c r="G160" i="214"/>
  <c r="F160" i="214"/>
  <c r="E160" i="214"/>
  <c r="D160" i="214"/>
  <c r="Z165" i="217" l="1" a="1"/>
  <c r="Z165" i="217" s="1"/>
  <c r="Z173" i="217" a="1"/>
  <c r="Z173" i="217" s="1"/>
  <c r="Z170" i="217" a="1"/>
  <c r="Z170" i="217" s="1"/>
  <c r="Z169" i="217" a="1"/>
  <c r="Z169" i="217" s="1"/>
  <c r="Z167" i="217" a="1"/>
  <c r="Z167" i="217" s="1"/>
  <c r="Z174" i="217" a="1"/>
  <c r="Z174" i="217" s="1"/>
  <c r="Z171" i="217" a="1"/>
  <c r="Z171" i="217" s="1"/>
  <c r="Z172" i="217" a="1"/>
  <c r="Z172" i="217" s="1"/>
  <c r="Z164" i="217" a="1"/>
  <c r="Z164" i="217" s="1"/>
  <c r="Z168" i="217" a="1"/>
  <c r="Z168" i="217" s="1"/>
  <c r="Z166" i="217" a="1"/>
  <c r="Z166" i="217" s="1"/>
  <c r="Z137" i="217" a="1"/>
  <c r="Z137" i="217" s="1"/>
  <c r="Z133" i="217" a="1"/>
  <c r="Z133" i="217" s="1"/>
  <c r="Z149" i="217" a="1"/>
  <c r="Z149" i="217" s="1"/>
  <c r="Z150" i="217" a="1"/>
  <c r="Z150" i="217" s="1"/>
  <c r="Z144" i="217" a="1"/>
  <c r="Z144" i="217" s="1"/>
  <c r="Z132" i="217" a="1"/>
  <c r="Z132" i="217" s="1"/>
  <c r="Z135" i="217" a="1"/>
  <c r="Z135" i="217" s="1"/>
  <c r="Z134" i="217" a="1"/>
  <c r="Z134" i="217" s="1"/>
  <c r="Z138" i="217" a="1"/>
  <c r="Z138" i="217" s="1"/>
  <c r="Z146" i="217" a="1"/>
  <c r="Z146" i="217" s="1"/>
  <c r="Z143" i="217" a="1"/>
  <c r="Z143" i="217" s="1"/>
  <c r="Z148" i="217" a="1"/>
  <c r="Z148" i="217" s="1"/>
  <c r="Z130" i="217" a="1"/>
  <c r="Z130" i="217" s="1"/>
  <c r="Z131" i="217" a="1"/>
  <c r="Z131" i="217" s="1"/>
  <c r="Z147" i="217" a="1"/>
  <c r="Z147" i="217" s="1"/>
  <c r="Z139" i="217" a="1"/>
  <c r="Z139" i="217" s="1"/>
  <c r="Z140" i="217" a="1"/>
  <c r="Z140" i="217" s="1"/>
  <c r="Z141" i="217" a="1"/>
  <c r="Z141" i="217" s="1"/>
  <c r="Z145" i="217" a="1"/>
  <c r="Z145" i="217" s="1"/>
  <c r="Z136" i="217" a="1"/>
  <c r="Z136" i="217" s="1"/>
  <c r="Z142" i="217" a="1"/>
  <c r="Z142" i="217" s="1"/>
  <c r="Z151" i="217" a="1"/>
  <c r="Z151" i="217" s="1"/>
  <c r="Z152" i="217" a="1"/>
  <c r="Z152" i="217" s="1"/>
  <c r="Z129" i="217" a="1"/>
  <c r="Z129" i="217" s="1"/>
  <c r="M150" i="217" a="1"/>
  <c r="M150" i="217" s="1"/>
  <c r="M164" i="217" a="1"/>
  <c r="M164" i="217" s="1"/>
  <c r="M129" i="217" a="1"/>
  <c r="M129" i="217" s="1"/>
  <c r="M140" i="217" a="1"/>
  <c r="M140" i="217" s="1"/>
  <c r="M145" i="217" a="1"/>
  <c r="M145" i="217" s="1"/>
  <c r="M173" i="217" a="1"/>
  <c r="M173" i="217" s="1"/>
  <c r="Z84" i="217" a="1"/>
  <c r="Z84" i="217" s="1"/>
  <c r="Z91" i="217" a="1"/>
  <c r="Z91" i="217" s="1"/>
  <c r="Z74" i="217" a="1"/>
  <c r="Z74" i="217" s="1"/>
  <c r="Z67" i="217" a="1"/>
  <c r="Z67" i="217" s="1"/>
  <c r="Z82" i="217" a="1"/>
  <c r="Z82" i="217" s="1"/>
  <c r="Z54" i="217" a="1"/>
  <c r="Z54" i="217" s="1"/>
  <c r="Z61" i="217" a="1"/>
  <c r="Z61" i="217" s="1"/>
  <c r="Z32" i="217" a="1"/>
  <c r="Z32" i="217" s="1"/>
  <c r="Z38" i="217" a="1"/>
  <c r="Z38" i="217" s="1"/>
  <c r="Z33" i="217" a="1"/>
  <c r="Z33" i="217" s="1"/>
  <c r="Z42" i="217" a="1"/>
  <c r="Z42" i="217" s="1"/>
  <c r="Z36" i="217" a="1"/>
  <c r="Z36" i="217" s="1"/>
  <c r="Z37" i="217" a="1"/>
  <c r="Z37" i="217" s="1"/>
  <c r="Z40" i="217" a="1"/>
  <c r="Z40" i="217" s="1"/>
  <c r="Z35" i="217" a="1"/>
  <c r="Z35" i="217" s="1"/>
  <c r="Z39" i="217" a="1"/>
  <c r="Z39" i="217" s="1"/>
  <c r="Z34" i="217" a="1"/>
  <c r="Z34" i="217" s="1"/>
  <c r="Z41" i="217" a="1"/>
  <c r="Z41" i="217" s="1"/>
  <c r="Z52" i="217" a="1"/>
  <c r="Z52" i="217" s="1"/>
  <c r="Z25" i="217" a="1"/>
  <c r="Z25" i="217" s="1"/>
  <c r="Z29" i="217" a="1"/>
  <c r="Z29" i="217" s="1"/>
  <c r="Z27" i="217" a="1"/>
  <c r="Z27" i="217" s="1"/>
  <c r="Z24" i="217" a="1"/>
  <c r="Z24" i="217" s="1"/>
  <c r="Z26" i="217" a="1"/>
  <c r="Z26" i="217" s="1"/>
  <c r="Z30" i="217" a="1"/>
  <c r="Z30" i="217" s="1"/>
  <c r="Z31" i="217" a="1"/>
  <c r="Z31" i="217" s="1"/>
  <c r="Z28" i="217" a="1"/>
  <c r="Z28" i="217" s="1"/>
  <c r="M36" i="217" a="1"/>
  <c r="M36" i="217" s="1"/>
  <c r="M26" i="217" a="1"/>
  <c r="M26" i="217" s="1"/>
  <c r="M21" i="217" a="1"/>
  <c r="M21" i="217" s="1"/>
  <c r="M25" i="217" a="1"/>
  <c r="M25" i="217" s="1"/>
  <c r="M34" i="217" a="1"/>
  <c r="M34" i="217" s="1"/>
  <c r="M61" i="217" a="1"/>
  <c r="M61" i="217" s="1"/>
  <c r="M20" i="217" a="1"/>
  <c r="M20" i="217" s="1"/>
  <c r="M54" i="217" a="1"/>
  <c r="M54" i="217" s="1"/>
  <c r="Z154" i="217" a="1"/>
  <c r="Z154" i="217" s="1"/>
  <c r="M119" i="217" a="1"/>
  <c r="M119" i="217" s="1"/>
  <c r="M152" i="217" a="1"/>
  <c r="M152" i="217" s="1"/>
  <c r="Z161" i="217" a="1"/>
  <c r="Z161" i="217" s="1"/>
  <c r="Z128" i="217" a="1"/>
  <c r="Z128" i="217" s="1"/>
  <c r="Z156" i="217" a="1"/>
  <c r="Z156" i="217" s="1"/>
  <c r="M170" i="217" a="1"/>
  <c r="M170" i="217" s="1"/>
  <c r="M165" i="217" a="1"/>
  <c r="M165" i="217" s="1"/>
  <c r="M160" i="217" a="1"/>
  <c r="M160" i="217" s="1"/>
  <c r="M132" i="217" a="1"/>
  <c r="M132" i="217" s="1"/>
  <c r="M123" i="217" a="1"/>
  <c r="M123" i="217" s="1"/>
  <c r="M143" i="217" a="1"/>
  <c r="M143" i="217" s="1"/>
  <c r="M127" i="217" a="1"/>
  <c r="M127" i="217" s="1"/>
  <c r="M171" i="217" a="1"/>
  <c r="M171" i="217" s="1"/>
  <c r="Z159" i="217" a="1"/>
  <c r="Z159" i="217" s="1"/>
  <c r="M153" i="217" a="1"/>
  <c r="M153" i="217" s="1"/>
  <c r="M147" i="217" a="1"/>
  <c r="M147" i="217" s="1"/>
  <c r="M135" i="217" a="1"/>
  <c r="M135" i="217" s="1"/>
  <c r="M126" i="217" a="1"/>
  <c r="M126" i="217" s="1"/>
  <c r="M155" i="217" a="1"/>
  <c r="M155" i="217" s="1"/>
  <c r="M175" i="217" a="1"/>
  <c r="M175" i="217" s="1"/>
  <c r="M157" i="217" a="1"/>
  <c r="M157" i="217" s="1"/>
  <c r="M148" i="217" a="1"/>
  <c r="M148" i="217" s="1"/>
  <c r="M120" i="217" a="1"/>
  <c r="M120" i="217" s="1"/>
  <c r="M146" i="217" a="1"/>
  <c r="M146" i="217" s="1"/>
  <c r="M136" i="217" a="1"/>
  <c r="M136" i="217" s="1"/>
  <c r="M151" i="217" a="1"/>
  <c r="M151" i="217" s="1"/>
  <c r="M154" i="217" a="1"/>
  <c r="M154" i="217" s="1"/>
  <c r="M167" i="217" a="1"/>
  <c r="M167" i="217" s="1"/>
  <c r="M122" i="217" a="1"/>
  <c r="M122" i="217" s="1"/>
  <c r="M125" i="217" a="1"/>
  <c r="M125" i="217" s="1"/>
  <c r="M124" i="217" a="1"/>
  <c r="M124" i="217" s="1"/>
  <c r="M163" i="217" a="1"/>
  <c r="M163" i="217" s="1"/>
  <c r="M159" i="217" a="1"/>
  <c r="M159" i="217" s="1"/>
  <c r="M118" i="217" a="1"/>
  <c r="M118" i="217" s="1"/>
  <c r="Z176" i="217" a="1"/>
  <c r="Z176" i="217" s="1"/>
  <c r="Z177" i="217" a="1"/>
  <c r="Z177" i="217" s="1"/>
  <c r="Z157" i="217" a="1"/>
  <c r="Z157" i="217" s="1"/>
  <c r="M144" i="217" a="1"/>
  <c r="M144" i="217" s="1"/>
  <c r="M162" i="217" a="1"/>
  <c r="M162" i="217" s="1"/>
  <c r="M168" i="217" a="1"/>
  <c r="M168" i="217" s="1"/>
  <c r="M131" i="217" a="1"/>
  <c r="M131" i="217" s="1"/>
  <c r="M142" i="217" a="1"/>
  <c r="M142" i="217" s="1"/>
  <c r="M166" i="217" a="1"/>
  <c r="M166" i="217" s="1"/>
  <c r="M156" i="217" a="1"/>
  <c r="M156" i="217" s="1"/>
  <c r="M128" i="217" a="1"/>
  <c r="M128" i="217" s="1"/>
  <c r="M169" i="217" a="1"/>
  <c r="M169" i="217" s="1"/>
  <c r="M138" i="217" a="1"/>
  <c r="M138" i="217" s="1"/>
  <c r="M176" i="217" a="1"/>
  <c r="M176" i="217" s="1"/>
  <c r="M133" i="217" a="1"/>
  <c r="M133" i="217" s="1"/>
  <c r="M172" i="217" a="1"/>
  <c r="M172" i="217" s="1"/>
  <c r="M130" i="217" a="1"/>
  <c r="M130" i="217" s="1"/>
  <c r="M134" i="217" a="1"/>
  <c r="M134" i="217" s="1"/>
  <c r="M161" i="217" a="1"/>
  <c r="M161" i="217" s="1"/>
  <c r="M141" i="217" a="1"/>
  <c r="M141" i="217" s="1"/>
  <c r="M139" i="217" a="1"/>
  <c r="M139" i="217" s="1"/>
  <c r="Z122" i="217" a="1"/>
  <c r="Z122" i="217" s="1"/>
  <c r="Z163" i="217" a="1"/>
  <c r="Z163" i="217" s="1"/>
  <c r="Z160" i="217" a="1"/>
  <c r="Z160" i="217" s="1"/>
  <c r="Z123" i="217" a="1"/>
  <c r="Z123" i="217" s="1"/>
  <c r="Z153" i="217" a="1"/>
  <c r="Z153" i="217" s="1"/>
  <c r="Z120" i="217" a="1"/>
  <c r="Z120" i="217" s="1"/>
  <c r="Z124" i="217" a="1"/>
  <c r="Z124" i="217" s="1"/>
  <c r="Z125" i="217" a="1"/>
  <c r="Z125" i="217" s="1"/>
  <c r="Z155" i="217" a="1"/>
  <c r="Z155" i="217" s="1"/>
  <c r="M149" i="217" a="1"/>
  <c r="M149" i="217" s="1"/>
  <c r="M121" i="217" a="1"/>
  <c r="M121" i="217" s="1"/>
  <c r="Z158" i="217" a="1"/>
  <c r="Z158" i="217" s="1"/>
  <c r="M137" i="217" a="1"/>
  <c r="M137" i="217" s="1"/>
  <c r="Z126" i="217" a="1"/>
  <c r="Z126" i="217" s="1"/>
  <c r="M158" i="217" a="1"/>
  <c r="M158" i="217" s="1"/>
  <c r="M177" i="217" a="1"/>
  <c r="M177" i="217" s="1"/>
  <c r="Z162" i="217" a="1"/>
  <c r="Z162" i="217" s="1"/>
  <c r="Z127" i="217" a="1"/>
  <c r="Z127" i="217" s="1"/>
  <c r="Z118" i="217" a="1"/>
  <c r="Z118" i="217" s="1"/>
  <c r="Z175" i="217" a="1"/>
  <c r="Z175" i="217" s="1"/>
  <c r="Z121" i="217" a="1"/>
  <c r="Z121" i="217" s="1"/>
  <c r="Z119" i="217" a="1"/>
  <c r="Z119" i="217" s="1"/>
  <c r="Z51" i="217" a="1"/>
  <c r="Z51" i="217" s="1"/>
  <c r="Z58" i="217" a="1"/>
  <c r="Z58" i="217" s="1"/>
  <c r="Z22" i="217" a="1"/>
  <c r="Z22" i="217" s="1"/>
  <c r="Z21" i="217" a="1"/>
  <c r="Z21" i="217" s="1"/>
  <c r="Z63" i="217" a="1"/>
  <c r="Z63" i="217" s="1"/>
  <c r="Z43" i="217" a="1"/>
  <c r="Z43" i="217" s="1"/>
  <c r="Z57" i="217" a="1"/>
  <c r="Z57" i="217" s="1"/>
  <c r="Z45" i="217" a="1"/>
  <c r="Z45" i="217" s="1"/>
  <c r="Z47" i="217" a="1"/>
  <c r="Z47" i="217" s="1"/>
  <c r="Z55" i="217" a="1"/>
  <c r="Z55" i="217" s="1"/>
  <c r="Z60" i="217" a="1"/>
  <c r="Z60" i="217" s="1"/>
  <c r="Z23" i="217" a="1"/>
  <c r="Z23" i="217" s="1"/>
  <c r="Z48" i="217" a="1"/>
  <c r="Z48" i="217" s="1"/>
  <c r="Z53" i="217" a="1"/>
  <c r="Z53" i="217" s="1"/>
  <c r="Z49" i="217" a="1"/>
  <c r="Z49" i="217" s="1"/>
  <c r="Z64" i="217" a="1"/>
  <c r="Z64" i="217" s="1"/>
  <c r="Z46" i="217" a="1"/>
  <c r="Z46" i="217" s="1"/>
  <c r="Z62" i="217" a="1"/>
  <c r="Z62" i="217" s="1"/>
  <c r="Z20" i="217" a="1"/>
  <c r="Z20" i="217" s="1"/>
  <c r="Z50" i="217" a="1"/>
  <c r="Z50" i="217" s="1"/>
  <c r="Z56" i="217" a="1"/>
  <c r="Z56" i="217" s="1"/>
  <c r="Z44" i="217" a="1"/>
  <c r="Z44" i="217" s="1"/>
  <c r="Z59" i="217" a="1"/>
  <c r="Z59" i="217" s="1"/>
  <c r="Z107" i="217" a="1"/>
  <c r="Z107" i="217" s="1"/>
  <c r="Z103" i="217" a="1"/>
  <c r="Z103" i="217" s="1"/>
  <c r="Z86" i="217" a="1"/>
  <c r="Z86" i="217" s="1"/>
  <c r="Z96" i="217" a="1"/>
  <c r="Z96" i="217" s="1"/>
  <c r="Z81" i="217" a="1"/>
  <c r="Z81" i="217" s="1"/>
  <c r="Z89" i="217" a="1"/>
  <c r="Z89" i="217" s="1"/>
  <c r="Z83" i="217" a="1"/>
  <c r="Z83" i="217" s="1"/>
  <c r="Z104" i="217" a="1"/>
  <c r="Z104" i="217" s="1"/>
  <c r="Z108" i="217" a="1"/>
  <c r="Z108" i="217" s="1"/>
  <c r="Z110" i="217" a="1"/>
  <c r="Z110" i="217" s="1"/>
  <c r="Z100" i="217" a="1"/>
  <c r="Z100" i="217" s="1"/>
  <c r="Z115" i="217" a="1"/>
  <c r="Z115" i="217" s="1"/>
  <c r="Z102" i="217" a="1"/>
  <c r="Z102" i="217" s="1"/>
  <c r="Z112" i="217" a="1"/>
  <c r="Z112" i="217" s="1"/>
  <c r="Z98" i="217" a="1"/>
  <c r="Z98" i="217" s="1"/>
  <c r="Z85" i="217" a="1"/>
  <c r="Z85" i="217" s="1"/>
  <c r="Z73" i="217" a="1"/>
  <c r="Z73" i="217" s="1"/>
  <c r="Z80" i="217" a="1"/>
  <c r="Z80" i="217" s="1"/>
  <c r="Z99" i="217" a="1"/>
  <c r="Z99" i="217" s="1"/>
  <c r="Z93" i="217" a="1"/>
  <c r="Z93" i="217" s="1"/>
  <c r="Z69" i="217" a="1"/>
  <c r="Z69" i="217" s="1"/>
  <c r="Z70" i="217" a="1"/>
  <c r="Z70" i="217" s="1"/>
  <c r="Z90" i="217" a="1"/>
  <c r="Z90" i="217" s="1"/>
  <c r="Z106" i="217" a="1"/>
  <c r="Z106" i="217" s="1"/>
  <c r="Z105" i="217" a="1"/>
  <c r="Z105" i="217" s="1"/>
  <c r="Z76" i="217" a="1"/>
  <c r="Z76" i="217" s="1"/>
  <c r="Z87" i="217" a="1"/>
  <c r="Z87" i="217" s="1"/>
  <c r="Z77" i="217" a="1"/>
  <c r="Z77" i="217" s="1"/>
  <c r="Z97" i="217" a="1"/>
  <c r="Z97" i="217" s="1"/>
  <c r="Z72" i="217" a="1"/>
  <c r="Z72" i="217" s="1"/>
  <c r="Z101" i="217" a="1"/>
  <c r="Z101" i="217" s="1"/>
  <c r="Z95" i="217" a="1"/>
  <c r="Z95" i="217" s="1"/>
  <c r="Z113" i="217" a="1"/>
  <c r="Z113" i="217" s="1"/>
  <c r="Z114" i="217" a="1"/>
  <c r="Z114" i="217" s="1"/>
  <c r="Z94" i="217" a="1"/>
  <c r="Z94" i="217" s="1"/>
  <c r="Z92" i="217" a="1"/>
  <c r="Z92" i="217" s="1"/>
  <c r="Z78" i="217" a="1"/>
  <c r="Z78" i="217" s="1"/>
  <c r="Z111" i="217" a="1"/>
  <c r="Z111" i="217" s="1"/>
  <c r="Z79" i="217" a="1"/>
  <c r="Z79" i="217" s="1"/>
  <c r="Z109" i="217" a="1"/>
  <c r="Z109" i="217" s="1"/>
  <c r="Z68" i="217" a="1"/>
  <c r="Z68" i="217" s="1"/>
  <c r="Z75" i="217" a="1"/>
  <c r="Z75" i="217" s="1"/>
  <c r="Z71" i="217" a="1"/>
  <c r="Z71" i="217" s="1"/>
  <c r="Z88" i="217" a="1"/>
  <c r="Z88" i="217" s="1"/>
  <c r="M99" i="217"/>
  <c r="M79" i="217"/>
  <c r="M46" i="217" a="1"/>
  <c r="M46" i="217" s="1"/>
  <c r="M33" i="217" a="1"/>
  <c r="M33" i="217" s="1"/>
  <c r="M48" i="217" a="1"/>
  <c r="M48" i="217" s="1"/>
  <c r="M24" i="217" a="1"/>
  <c r="M24" i="217" s="1"/>
  <c r="M37" i="217" a="1"/>
  <c r="M37" i="217" s="1"/>
  <c r="M49" i="217" a="1"/>
  <c r="M49" i="217" s="1"/>
  <c r="M22" i="217" a="1"/>
  <c r="M22" i="217" s="1"/>
  <c r="M43" i="217" a="1"/>
  <c r="M43" i="217" s="1"/>
  <c r="M39" i="217" a="1"/>
  <c r="M39" i="217" s="1"/>
  <c r="M38" i="217" a="1"/>
  <c r="M38" i="217" s="1"/>
  <c r="M29" i="217" a="1"/>
  <c r="M29" i="217" s="1"/>
  <c r="M60" i="217" a="1"/>
  <c r="M60" i="217" s="1"/>
  <c r="M45" i="217" a="1"/>
  <c r="M45" i="217" s="1"/>
  <c r="M58" i="217" a="1"/>
  <c r="M58" i="217" s="1"/>
  <c r="M40" i="217" a="1"/>
  <c r="M40" i="217" s="1"/>
  <c r="M32" i="217" a="1"/>
  <c r="M32" i="217" s="1"/>
  <c r="M27" i="217" a="1"/>
  <c r="M27" i="217" s="1"/>
  <c r="M52" i="217" a="1"/>
  <c r="M52" i="217" s="1"/>
  <c r="M23" i="217" a="1"/>
  <c r="M23" i="217" s="1"/>
  <c r="M42" i="217" a="1"/>
  <c r="M42" i="217" s="1"/>
  <c r="M47" i="217" a="1"/>
  <c r="M47" i="217" s="1"/>
  <c r="M28" i="217" a="1"/>
  <c r="M28" i="217" s="1"/>
  <c r="M50" i="217" a="1"/>
  <c r="M50" i="217" s="1"/>
  <c r="M31" i="217" a="1"/>
  <c r="M31" i="217" s="1"/>
  <c r="M44" i="217" a="1"/>
  <c r="M44" i="217" s="1"/>
  <c r="M56" i="217" a="1"/>
  <c r="M56" i="217" s="1"/>
  <c r="M59" i="217" a="1"/>
  <c r="M59" i="217" s="1"/>
  <c r="M53" i="217" a="1"/>
  <c r="M53" i="217" s="1"/>
  <c r="M55" i="217" a="1"/>
  <c r="M55" i="217" s="1"/>
  <c r="M30" i="217" a="1"/>
  <c r="M30" i="217" s="1"/>
  <c r="M35" i="217" a="1"/>
  <c r="M35" i="217" s="1"/>
  <c r="M62" i="217" a="1"/>
  <c r="M62" i="217" s="1"/>
  <c r="M63" i="217" a="1"/>
  <c r="M63" i="217" s="1"/>
  <c r="M64" i="217" a="1"/>
  <c r="M64" i="217" s="1"/>
  <c r="M57" i="217" a="1"/>
  <c r="M57" i="217" s="1"/>
  <c r="M51" i="217" a="1"/>
  <c r="M51" i="217" s="1"/>
  <c r="M41" i="217" a="1"/>
  <c r="M41" i="217" s="1"/>
  <c r="L126" i="214"/>
  <c r="Y126" i="214"/>
  <c r="Y165" i="214"/>
  <c r="L165" i="214"/>
  <c r="Y162" i="214"/>
  <c r="Y163" i="214"/>
  <c r="L163" i="214"/>
  <c r="Y121" i="214"/>
  <c r="Y133" i="214"/>
  <c r="L162" i="214"/>
  <c r="L121" i="214"/>
  <c r="Y155" i="214"/>
  <c r="L133" i="214"/>
  <c r="Y151" i="214"/>
  <c r="L155" i="214"/>
  <c r="L151" i="214"/>
  <c r="Y153" i="214"/>
  <c r="L153" i="214"/>
  <c r="Y160" i="214"/>
  <c r="L160" i="214"/>
  <c r="M116" i="217" l="1"/>
  <c r="M178" i="217"/>
  <c r="Z178" i="217"/>
  <c r="Z116" i="217"/>
  <c r="M65" i="217"/>
  <c r="Z65" i="217"/>
  <c r="X112" i="214"/>
  <c r="W112" i="214"/>
  <c r="V112" i="214"/>
  <c r="U112" i="214"/>
  <c r="T112" i="214"/>
  <c r="S112" i="214"/>
  <c r="R112" i="214"/>
  <c r="Q112" i="214"/>
  <c r="X111" i="214"/>
  <c r="W111" i="214"/>
  <c r="V111" i="214"/>
  <c r="U111" i="214"/>
  <c r="T111" i="214"/>
  <c r="S111" i="214"/>
  <c r="R111" i="214"/>
  <c r="Q111" i="214"/>
  <c r="X110" i="214"/>
  <c r="W110" i="214"/>
  <c r="V110" i="214"/>
  <c r="U110" i="214"/>
  <c r="T110" i="214"/>
  <c r="S110" i="214"/>
  <c r="R110" i="214"/>
  <c r="Q110" i="214"/>
  <c r="X109" i="214"/>
  <c r="W109" i="214"/>
  <c r="V109" i="214"/>
  <c r="U109" i="214"/>
  <c r="T109" i="214"/>
  <c r="S109" i="214"/>
  <c r="R109" i="214"/>
  <c r="Q109" i="214"/>
  <c r="X108" i="214"/>
  <c r="W108" i="214"/>
  <c r="V108" i="214"/>
  <c r="U108" i="214"/>
  <c r="T108" i="214"/>
  <c r="S108" i="214"/>
  <c r="R108" i="214"/>
  <c r="Q108" i="214"/>
  <c r="X107" i="214"/>
  <c r="W107" i="214"/>
  <c r="V107" i="214"/>
  <c r="U107" i="214"/>
  <c r="T107" i="214"/>
  <c r="S107" i="214"/>
  <c r="R107" i="214"/>
  <c r="Q107" i="214"/>
  <c r="X106" i="214"/>
  <c r="W106" i="214"/>
  <c r="V106" i="214"/>
  <c r="U106" i="214"/>
  <c r="T106" i="214"/>
  <c r="S106" i="214"/>
  <c r="R106" i="214"/>
  <c r="Q106" i="214"/>
  <c r="X105" i="214"/>
  <c r="W105" i="214"/>
  <c r="V105" i="214"/>
  <c r="U105" i="214"/>
  <c r="T105" i="214"/>
  <c r="S105" i="214"/>
  <c r="R105" i="214"/>
  <c r="Q105" i="214"/>
  <c r="X104" i="214"/>
  <c r="W104" i="214"/>
  <c r="V104" i="214"/>
  <c r="U104" i="214"/>
  <c r="T104" i="214"/>
  <c r="S104" i="214"/>
  <c r="R104" i="214"/>
  <c r="Q104" i="214"/>
  <c r="X103" i="214"/>
  <c r="W103" i="214"/>
  <c r="V103" i="214"/>
  <c r="U103" i="214"/>
  <c r="T103" i="214"/>
  <c r="S103" i="214"/>
  <c r="R103" i="214"/>
  <c r="Q103" i="214"/>
  <c r="X102" i="214"/>
  <c r="W102" i="214"/>
  <c r="V102" i="214"/>
  <c r="U102" i="214"/>
  <c r="T102" i="214"/>
  <c r="S102" i="214"/>
  <c r="R102" i="214"/>
  <c r="Q102" i="214"/>
  <c r="X101" i="214"/>
  <c r="W101" i="214"/>
  <c r="V101" i="214"/>
  <c r="U101" i="214"/>
  <c r="T101" i="214"/>
  <c r="S101" i="214"/>
  <c r="R101" i="214"/>
  <c r="Q101" i="214"/>
  <c r="X100" i="214"/>
  <c r="W100" i="214"/>
  <c r="V100" i="214"/>
  <c r="U100" i="214"/>
  <c r="T100" i="214"/>
  <c r="S100" i="214"/>
  <c r="R100" i="214"/>
  <c r="Q100" i="214"/>
  <c r="X99" i="214"/>
  <c r="W99" i="214"/>
  <c r="V99" i="214"/>
  <c r="U99" i="214"/>
  <c r="T99" i="214"/>
  <c r="S99" i="214"/>
  <c r="R99" i="214"/>
  <c r="Q99" i="214"/>
  <c r="X98" i="214"/>
  <c r="W98" i="214"/>
  <c r="V98" i="214"/>
  <c r="U98" i="214"/>
  <c r="T98" i="214"/>
  <c r="S98" i="214"/>
  <c r="R98" i="214"/>
  <c r="Q98" i="214"/>
  <c r="X97" i="214"/>
  <c r="W97" i="214"/>
  <c r="V97" i="214"/>
  <c r="U97" i="214"/>
  <c r="T97" i="214"/>
  <c r="S97" i="214"/>
  <c r="R97" i="214"/>
  <c r="Q97" i="214"/>
  <c r="X96" i="214"/>
  <c r="W96" i="214"/>
  <c r="V96" i="214"/>
  <c r="U96" i="214"/>
  <c r="T96" i="214"/>
  <c r="S96" i="214"/>
  <c r="R96" i="214"/>
  <c r="Q96" i="214"/>
  <c r="X94" i="214"/>
  <c r="W94" i="214"/>
  <c r="V94" i="214"/>
  <c r="U94" i="214"/>
  <c r="T94" i="214"/>
  <c r="S94" i="214"/>
  <c r="R94" i="214"/>
  <c r="Q94" i="214"/>
  <c r="X93" i="214"/>
  <c r="W93" i="214"/>
  <c r="V93" i="214"/>
  <c r="U93" i="214"/>
  <c r="T93" i="214"/>
  <c r="S93" i="214"/>
  <c r="R93" i="214"/>
  <c r="Q93" i="214"/>
  <c r="X92" i="214"/>
  <c r="W92" i="214"/>
  <c r="V92" i="214"/>
  <c r="U92" i="214"/>
  <c r="T92" i="214"/>
  <c r="S92" i="214"/>
  <c r="R92" i="214"/>
  <c r="Q92" i="214"/>
  <c r="X91" i="214"/>
  <c r="W91" i="214"/>
  <c r="V91" i="214"/>
  <c r="U91" i="214"/>
  <c r="T91" i="214"/>
  <c r="S91" i="214"/>
  <c r="R91" i="214"/>
  <c r="Q91" i="214"/>
  <c r="X90" i="214"/>
  <c r="W90" i="214"/>
  <c r="V90" i="214"/>
  <c r="U90" i="214"/>
  <c r="T90" i="214"/>
  <c r="S90" i="214"/>
  <c r="R90" i="214"/>
  <c r="Q90" i="214"/>
  <c r="X89" i="214"/>
  <c r="W89" i="214"/>
  <c r="V89" i="214"/>
  <c r="U89" i="214"/>
  <c r="T89" i="214"/>
  <c r="S89" i="214"/>
  <c r="R89" i="214"/>
  <c r="Q89" i="214"/>
  <c r="X88" i="214"/>
  <c r="W88" i="214"/>
  <c r="V88" i="214"/>
  <c r="U88" i="214"/>
  <c r="T88" i="214"/>
  <c r="S88" i="214"/>
  <c r="R88" i="214"/>
  <c r="Q88" i="214"/>
  <c r="X87" i="214"/>
  <c r="W87" i="214"/>
  <c r="V87" i="214"/>
  <c r="U87" i="214"/>
  <c r="T87" i="214"/>
  <c r="S87" i="214"/>
  <c r="R87" i="214"/>
  <c r="Q87" i="214"/>
  <c r="X86" i="214"/>
  <c r="W86" i="214"/>
  <c r="V86" i="214"/>
  <c r="U86" i="214"/>
  <c r="T86" i="214"/>
  <c r="S86" i="214"/>
  <c r="R86" i="214"/>
  <c r="Q86" i="214"/>
  <c r="X85" i="214"/>
  <c r="W85" i="214"/>
  <c r="V85" i="214"/>
  <c r="U85" i="214"/>
  <c r="T85" i="214"/>
  <c r="S85" i="214"/>
  <c r="R85" i="214"/>
  <c r="Q85" i="214"/>
  <c r="X84" i="214"/>
  <c r="W84" i="214"/>
  <c r="V84" i="214"/>
  <c r="U84" i="214"/>
  <c r="T84" i="214"/>
  <c r="S84" i="214"/>
  <c r="R84" i="214"/>
  <c r="Q84" i="214"/>
  <c r="X83" i="214"/>
  <c r="W83" i="214"/>
  <c r="V83" i="214"/>
  <c r="U83" i="214"/>
  <c r="T83" i="214"/>
  <c r="S83" i="214"/>
  <c r="R83" i="214"/>
  <c r="Q83" i="214"/>
  <c r="X82" i="214"/>
  <c r="W82" i="214"/>
  <c r="V82" i="214"/>
  <c r="U82" i="214"/>
  <c r="T82" i="214"/>
  <c r="S82" i="214"/>
  <c r="R82" i="214"/>
  <c r="Q82" i="214"/>
  <c r="X81" i="214"/>
  <c r="W81" i="214"/>
  <c r="V81" i="214"/>
  <c r="U81" i="214"/>
  <c r="T81" i="214"/>
  <c r="S81" i="214"/>
  <c r="R81" i="214"/>
  <c r="Q81" i="214"/>
  <c r="X80" i="214"/>
  <c r="W80" i="214"/>
  <c r="V80" i="214"/>
  <c r="U80" i="214"/>
  <c r="T80" i="214"/>
  <c r="S80" i="214"/>
  <c r="R80" i="214"/>
  <c r="Q80" i="214"/>
  <c r="X79" i="214"/>
  <c r="W79" i="214"/>
  <c r="V79" i="214"/>
  <c r="U79" i="214"/>
  <c r="T79" i="214"/>
  <c r="S79" i="214"/>
  <c r="R79" i="214"/>
  <c r="Q79" i="214"/>
  <c r="X78" i="214"/>
  <c r="W78" i="214"/>
  <c r="V78" i="214"/>
  <c r="U78" i="214"/>
  <c r="T78" i="214"/>
  <c r="S78" i="214"/>
  <c r="R78" i="214"/>
  <c r="Q78" i="214"/>
  <c r="X77" i="214"/>
  <c r="W77" i="214"/>
  <c r="V77" i="214"/>
  <c r="U77" i="214"/>
  <c r="T77" i="214"/>
  <c r="S77" i="214"/>
  <c r="R77" i="214"/>
  <c r="Q77" i="214"/>
  <c r="X76" i="214"/>
  <c r="W76" i="214"/>
  <c r="V76" i="214"/>
  <c r="U76" i="214"/>
  <c r="T76" i="214"/>
  <c r="S76" i="214"/>
  <c r="R76" i="214"/>
  <c r="Q76" i="214"/>
  <c r="X75" i="214"/>
  <c r="W75" i="214"/>
  <c r="V75" i="214"/>
  <c r="U75" i="214"/>
  <c r="T75" i="214"/>
  <c r="S75" i="214"/>
  <c r="R75" i="214"/>
  <c r="Q75" i="214"/>
  <c r="X74" i="214"/>
  <c r="W74" i="214"/>
  <c r="V74" i="214"/>
  <c r="U74" i="214"/>
  <c r="T74" i="214"/>
  <c r="S74" i="214"/>
  <c r="R74" i="214"/>
  <c r="Q74" i="214"/>
  <c r="X73" i="214"/>
  <c r="W73" i="214"/>
  <c r="V73" i="214"/>
  <c r="U73" i="214"/>
  <c r="T73" i="214"/>
  <c r="S73" i="214"/>
  <c r="R73" i="214"/>
  <c r="Q73" i="214"/>
  <c r="X72" i="214"/>
  <c r="W72" i="214"/>
  <c r="V72" i="214"/>
  <c r="U72" i="214"/>
  <c r="T72" i="214"/>
  <c r="S72" i="214"/>
  <c r="R72" i="214"/>
  <c r="Q72" i="214"/>
  <c r="X71" i="214"/>
  <c r="W71" i="214"/>
  <c r="V71" i="214"/>
  <c r="U71" i="214"/>
  <c r="T71" i="214"/>
  <c r="S71" i="214"/>
  <c r="R71" i="214"/>
  <c r="Q71" i="214"/>
  <c r="X70" i="214"/>
  <c r="W70" i="214"/>
  <c r="V70" i="214"/>
  <c r="U70" i="214"/>
  <c r="T70" i="214"/>
  <c r="S70" i="214"/>
  <c r="R70" i="214"/>
  <c r="Q70" i="214"/>
  <c r="X69" i="214"/>
  <c r="W69" i="214"/>
  <c r="V69" i="214"/>
  <c r="U69" i="214"/>
  <c r="T69" i="214"/>
  <c r="S69" i="214"/>
  <c r="R69" i="214"/>
  <c r="Q69" i="214"/>
  <c r="W68" i="214"/>
  <c r="V68" i="214"/>
  <c r="U68" i="214"/>
  <c r="Q29" i="214"/>
  <c r="R29" i="214"/>
  <c r="S29" i="214"/>
  <c r="T29" i="214"/>
  <c r="U29" i="214"/>
  <c r="V29" i="214"/>
  <c r="W29" i="214"/>
  <c r="X29" i="214"/>
  <c r="Q30" i="214"/>
  <c r="R30" i="214"/>
  <c r="S30" i="214"/>
  <c r="T30" i="214"/>
  <c r="U30" i="214"/>
  <c r="V30" i="214"/>
  <c r="W30" i="214"/>
  <c r="X30" i="214"/>
  <c r="Q31" i="214"/>
  <c r="R31" i="214"/>
  <c r="S31" i="214"/>
  <c r="T31" i="214"/>
  <c r="U31" i="214"/>
  <c r="V31" i="214"/>
  <c r="W31" i="214"/>
  <c r="X31" i="214"/>
  <c r="Q32" i="214"/>
  <c r="R32" i="214"/>
  <c r="S32" i="214"/>
  <c r="T32" i="214"/>
  <c r="U32" i="214"/>
  <c r="V32" i="214"/>
  <c r="W32" i="214"/>
  <c r="X32" i="214"/>
  <c r="Q33" i="214"/>
  <c r="R33" i="214"/>
  <c r="S33" i="214"/>
  <c r="T33" i="214"/>
  <c r="U33" i="214"/>
  <c r="V33" i="214"/>
  <c r="W33" i="214"/>
  <c r="X33" i="214"/>
  <c r="Q34" i="214"/>
  <c r="R34" i="214"/>
  <c r="S34" i="214"/>
  <c r="T34" i="214"/>
  <c r="U34" i="214"/>
  <c r="V34" i="214"/>
  <c r="W34" i="214"/>
  <c r="X34" i="214"/>
  <c r="Q35" i="214"/>
  <c r="R35" i="214"/>
  <c r="S35" i="214"/>
  <c r="T35" i="214"/>
  <c r="U35" i="214"/>
  <c r="V35" i="214"/>
  <c r="W35" i="214"/>
  <c r="X35" i="214"/>
  <c r="Q36" i="214"/>
  <c r="R36" i="214"/>
  <c r="S36" i="214"/>
  <c r="T36" i="214"/>
  <c r="U36" i="214"/>
  <c r="V36" i="214"/>
  <c r="W36" i="214"/>
  <c r="X36" i="214"/>
  <c r="Q37" i="214"/>
  <c r="R37" i="214"/>
  <c r="S37" i="214"/>
  <c r="T37" i="214"/>
  <c r="U37" i="214"/>
  <c r="V37" i="214"/>
  <c r="W37" i="214"/>
  <c r="X37" i="214"/>
  <c r="Q38" i="214"/>
  <c r="R38" i="214"/>
  <c r="S38" i="214"/>
  <c r="T38" i="214"/>
  <c r="U38" i="214"/>
  <c r="V38" i="214"/>
  <c r="W38" i="214"/>
  <c r="X38" i="214"/>
  <c r="Q39" i="214"/>
  <c r="R39" i="214"/>
  <c r="S39" i="214"/>
  <c r="T39" i="214"/>
  <c r="U39" i="214"/>
  <c r="V39" i="214"/>
  <c r="W39" i="214"/>
  <c r="X39" i="214"/>
  <c r="Q41" i="214"/>
  <c r="R41" i="214"/>
  <c r="S41" i="214"/>
  <c r="T41" i="214"/>
  <c r="U41" i="214"/>
  <c r="V41" i="214"/>
  <c r="W41" i="214"/>
  <c r="X41" i="214"/>
  <c r="Q42" i="214"/>
  <c r="R42" i="214"/>
  <c r="S42" i="214"/>
  <c r="T42" i="214"/>
  <c r="U42" i="214"/>
  <c r="V42" i="214"/>
  <c r="W42" i="214"/>
  <c r="X42" i="214"/>
  <c r="Q43" i="214"/>
  <c r="R43" i="214"/>
  <c r="S43" i="214"/>
  <c r="T43" i="214"/>
  <c r="U43" i="214"/>
  <c r="V43" i="214"/>
  <c r="W43" i="214"/>
  <c r="X43" i="214"/>
  <c r="Q44" i="214"/>
  <c r="R44" i="214"/>
  <c r="S44" i="214"/>
  <c r="T44" i="214"/>
  <c r="U44" i="214"/>
  <c r="V44" i="214"/>
  <c r="W44" i="214"/>
  <c r="X44" i="214"/>
  <c r="Q45" i="214"/>
  <c r="R45" i="214"/>
  <c r="S45" i="214"/>
  <c r="T45" i="214"/>
  <c r="U45" i="214"/>
  <c r="V45" i="214"/>
  <c r="W45" i="214"/>
  <c r="X45" i="214"/>
  <c r="Q46" i="214"/>
  <c r="R46" i="214"/>
  <c r="S46" i="214"/>
  <c r="T46" i="214"/>
  <c r="U46" i="214"/>
  <c r="V46" i="214"/>
  <c r="W46" i="214"/>
  <c r="X46" i="214"/>
  <c r="Q47" i="214"/>
  <c r="R47" i="214"/>
  <c r="S47" i="214"/>
  <c r="T47" i="214"/>
  <c r="U47" i="214"/>
  <c r="V47" i="214"/>
  <c r="W47" i="214"/>
  <c r="X47" i="214"/>
  <c r="Q48" i="214"/>
  <c r="R48" i="214"/>
  <c r="S48" i="214"/>
  <c r="T48" i="214"/>
  <c r="U48" i="214"/>
  <c r="V48" i="214"/>
  <c r="W48" i="214"/>
  <c r="X48" i="214"/>
  <c r="Q49" i="214"/>
  <c r="R49" i="214"/>
  <c r="S49" i="214"/>
  <c r="T49" i="214"/>
  <c r="U49" i="214"/>
  <c r="V49" i="214"/>
  <c r="W49" i="214"/>
  <c r="X49" i="214"/>
  <c r="Q50" i="214"/>
  <c r="R50" i="214"/>
  <c r="S50" i="214"/>
  <c r="T50" i="214"/>
  <c r="U50" i="214"/>
  <c r="V50" i="214"/>
  <c r="W50" i="214"/>
  <c r="X50" i="214"/>
  <c r="Q51" i="214"/>
  <c r="R51" i="214"/>
  <c r="S51" i="214"/>
  <c r="T51" i="214"/>
  <c r="U51" i="214"/>
  <c r="V51" i="214"/>
  <c r="W51" i="214"/>
  <c r="X51" i="214"/>
  <c r="Q52" i="214"/>
  <c r="R52" i="214"/>
  <c r="S52" i="214"/>
  <c r="T52" i="214"/>
  <c r="U52" i="214"/>
  <c r="V52" i="214"/>
  <c r="W52" i="214"/>
  <c r="X52" i="214"/>
  <c r="Q53" i="214"/>
  <c r="R53" i="214"/>
  <c r="S53" i="214"/>
  <c r="T53" i="214"/>
  <c r="U53" i="214"/>
  <c r="V53" i="214"/>
  <c r="W53" i="214"/>
  <c r="X53" i="214"/>
  <c r="Q54" i="214"/>
  <c r="R54" i="214"/>
  <c r="S54" i="214"/>
  <c r="T54" i="214"/>
  <c r="U54" i="214"/>
  <c r="V54" i="214"/>
  <c r="W54" i="214"/>
  <c r="X54" i="214"/>
  <c r="Q55" i="214"/>
  <c r="R55" i="214"/>
  <c r="S55" i="214"/>
  <c r="T55" i="214"/>
  <c r="U55" i="214"/>
  <c r="V55" i="214"/>
  <c r="W55" i="214"/>
  <c r="X55" i="214"/>
  <c r="Q56" i="214"/>
  <c r="R56" i="214"/>
  <c r="S56" i="214"/>
  <c r="T56" i="214"/>
  <c r="U56" i="214"/>
  <c r="V56" i="214"/>
  <c r="W56" i="214"/>
  <c r="X56" i="214"/>
  <c r="Q57" i="214"/>
  <c r="R57" i="214"/>
  <c r="S57" i="214"/>
  <c r="T57" i="214"/>
  <c r="U57" i="214"/>
  <c r="V57" i="214"/>
  <c r="W57" i="214"/>
  <c r="X57" i="214"/>
  <c r="Q58" i="214"/>
  <c r="R58" i="214"/>
  <c r="S58" i="214"/>
  <c r="T58" i="214"/>
  <c r="U58" i="214"/>
  <c r="V58" i="214"/>
  <c r="W58" i="214"/>
  <c r="X58" i="214"/>
  <c r="Q59" i="214"/>
  <c r="R59" i="214"/>
  <c r="S59" i="214"/>
  <c r="T59" i="214"/>
  <c r="U59" i="214"/>
  <c r="V59" i="214"/>
  <c r="W59" i="214"/>
  <c r="X59" i="214"/>
  <c r="Q60" i="214"/>
  <c r="R60" i="214"/>
  <c r="S60" i="214"/>
  <c r="T60" i="214"/>
  <c r="U60" i="214"/>
  <c r="V60" i="214"/>
  <c r="W60" i="214"/>
  <c r="X60" i="214"/>
  <c r="Q61" i="214"/>
  <c r="R61" i="214"/>
  <c r="S61" i="214"/>
  <c r="T61" i="214"/>
  <c r="U61" i="214"/>
  <c r="V61" i="214"/>
  <c r="W61" i="214"/>
  <c r="X61" i="214"/>
  <c r="Q62" i="214"/>
  <c r="R62" i="214"/>
  <c r="S62" i="214"/>
  <c r="T62" i="214"/>
  <c r="U62" i="214"/>
  <c r="V62" i="214"/>
  <c r="W62" i="214"/>
  <c r="X62" i="214"/>
  <c r="Q63" i="214"/>
  <c r="R63" i="214"/>
  <c r="S63" i="214"/>
  <c r="T63" i="214"/>
  <c r="U63" i="214"/>
  <c r="V63" i="214"/>
  <c r="W63" i="214"/>
  <c r="X63" i="214"/>
  <c r="Q64" i="214"/>
  <c r="R64" i="214"/>
  <c r="S64" i="214"/>
  <c r="T64" i="214"/>
  <c r="U64" i="214"/>
  <c r="V64" i="214"/>
  <c r="W64" i="214"/>
  <c r="X64" i="214"/>
  <c r="Q65" i="214"/>
  <c r="R65" i="214"/>
  <c r="S65" i="214"/>
  <c r="T65" i="214"/>
  <c r="U65" i="214"/>
  <c r="V65" i="214"/>
  <c r="W65" i="214"/>
  <c r="X65" i="214"/>
  <c r="X28" i="214"/>
  <c r="W28" i="214"/>
  <c r="V28" i="214"/>
  <c r="U28" i="214"/>
  <c r="T28" i="214"/>
  <c r="S28" i="214"/>
  <c r="R28" i="214"/>
  <c r="Q28" i="214"/>
  <c r="X27" i="214"/>
  <c r="W27" i="214"/>
  <c r="V27" i="214"/>
  <c r="U27" i="214"/>
  <c r="T27" i="214"/>
  <c r="S27" i="214"/>
  <c r="R27" i="214"/>
  <c r="Q27" i="214"/>
  <c r="J65" i="214"/>
  <c r="K65" i="214"/>
  <c r="D29" i="214"/>
  <c r="E29" i="214"/>
  <c r="F29" i="214"/>
  <c r="G29" i="214"/>
  <c r="H29" i="214"/>
  <c r="I29" i="214"/>
  <c r="J29" i="214"/>
  <c r="K29" i="214"/>
  <c r="D30" i="214"/>
  <c r="E30" i="214"/>
  <c r="F30" i="214"/>
  <c r="G30" i="214"/>
  <c r="H30" i="214"/>
  <c r="I30" i="214"/>
  <c r="J30" i="214"/>
  <c r="K30" i="214"/>
  <c r="D31" i="214"/>
  <c r="E31" i="214"/>
  <c r="F31" i="214"/>
  <c r="G31" i="214"/>
  <c r="H31" i="214"/>
  <c r="I31" i="214"/>
  <c r="J31" i="214"/>
  <c r="K31" i="214"/>
  <c r="D32" i="214"/>
  <c r="E32" i="214"/>
  <c r="F32" i="214"/>
  <c r="G32" i="214"/>
  <c r="H32" i="214"/>
  <c r="I32" i="214"/>
  <c r="J32" i="214"/>
  <c r="K32" i="214"/>
  <c r="D33" i="214"/>
  <c r="E33" i="214"/>
  <c r="F33" i="214"/>
  <c r="G33" i="214"/>
  <c r="H33" i="214"/>
  <c r="I33" i="214"/>
  <c r="J33" i="214"/>
  <c r="K33" i="214"/>
  <c r="D34" i="214"/>
  <c r="E34" i="214"/>
  <c r="F34" i="214"/>
  <c r="G34" i="214"/>
  <c r="H34" i="214"/>
  <c r="I34" i="214"/>
  <c r="J34" i="214"/>
  <c r="K34" i="214"/>
  <c r="D35" i="214"/>
  <c r="E35" i="214"/>
  <c r="F35" i="214"/>
  <c r="G35" i="214"/>
  <c r="H35" i="214"/>
  <c r="I35" i="214"/>
  <c r="J35" i="214"/>
  <c r="K35" i="214"/>
  <c r="D36" i="214"/>
  <c r="E36" i="214"/>
  <c r="F36" i="214"/>
  <c r="G36" i="214"/>
  <c r="H36" i="214"/>
  <c r="I36" i="214"/>
  <c r="J36" i="214"/>
  <c r="K36" i="214"/>
  <c r="D37" i="214"/>
  <c r="E37" i="214"/>
  <c r="F37" i="214"/>
  <c r="G37" i="214"/>
  <c r="H37" i="214"/>
  <c r="I37" i="214"/>
  <c r="J37" i="214"/>
  <c r="K37" i="214"/>
  <c r="D38" i="214"/>
  <c r="E38" i="214"/>
  <c r="F38" i="214"/>
  <c r="G38" i="214"/>
  <c r="H38" i="214"/>
  <c r="I38" i="214"/>
  <c r="J38" i="214"/>
  <c r="K38" i="214"/>
  <c r="D39" i="214"/>
  <c r="E39" i="214"/>
  <c r="F39" i="214"/>
  <c r="G39" i="214"/>
  <c r="H39" i="214"/>
  <c r="I39" i="214"/>
  <c r="J39" i="214"/>
  <c r="K39" i="214"/>
  <c r="D41" i="214"/>
  <c r="E41" i="214"/>
  <c r="F41" i="214"/>
  <c r="G41" i="214"/>
  <c r="H41" i="214"/>
  <c r="I41" i="214"/>
  <c r="J41" i="214"/>
  <c r="K41" i="214"/>
  <c r="D42" i="214"/>
  <c r="E42" i="214"/>
  <c r="F42" i="214"/>
  <c r="G42" i="214"/>
  <c r="H42" i="214"/>
  <c r="I42" i="214"/>
  <c r="J42" i="214"/>
  <c r="K42" i="214"/>
  <c r="D43" i="214"/>
  <c r="E43" i="214"/>
  <c r="F43" i="214"/>
  <c r="G43" i="214"/>
  <c r="H43" i="214"/>
  <c r="I43" i="214"/>
  <c r="J43" i="214"/>
  <c r="K43" i="214"/>
  <c r="D44" i="214"/>
  <c r="E44" i="214"/>
  <c r="F44" i="214"/>
  <c r="G44" i="214"/>
  <c r="H44" i="214"/>
  <c r="I44" i="214"/>
  <c r="J44" i="214"/>
  <c r="K44" i="214"/>
  <c r="D45" i="214"/>
  <c r="E45" i="214"/>
  <c r="F45" i="214"/>
  <c r="G45" i="214"/>
  <c r="H45" i="214"/>
  <c r="I45" i="214"/>
  <c r="J45" i="214"/>
  <c r="K45" i="214"/>
  <c r="D46" i="214"/>
  <c r="E46" i="214"/>
  <c r="F46" i="214"/>
  <c r="G46" i="214"/>
  <c r="H46" i="214"/>
  <c r="I46" i="214"/>
  <c r="J46" i="214"/>
  <c r="K46" i="214"/>
  <c r="D47" i="214"/>
  <c r="E47" i="214"/>
  <c r="F47" i="214"/>
  <c r="G47" i="214"/>
  <c r="H47" i="214"/>
  <c r="I47" i="214"/>
  <c r="J47" i="214"/>
  <c r="K47" i="214"/>
  <c r="D48" i="214"/>
  <c r="E48" i="214"/>
  <c r="F48" i="214"/>
  <c r="G48" i="214"/>
  <c r="H48" i="214"/>
  <c r="I48" i="214"/>
  <c r="J48" i="214"/>
  <c r="K48" i="214"/>
  <c r="D49" i="214"/>
  <c r="E49" i="214"/>
  <c r="F49" i="214"/>
  <c r="G49" i="214"/>
  <c r="H49" i="214"/>
  <c r="I49" i="214"/>
  <c r="J49" i="214"/>
  <c r="K49" i="214"/>
  <c r="D50" i="214"/>
  <c r="E50" i="214"/>
  <c r="F50" i="214"/>
  <c r="G50" i="214"/>
  <c r="H50" i="214"/>
  <c r="I50" i="214"/>
  <c r="J50" i="214"/>
  <c r="K50" i="214"/>
  <c r="D51" i="214"/>
  <c r="E51" i="214"/>
  <c r="F51" i="214"/>
  <c r="G51" i="214"/>
  <c r="H51" i="214"/>
  <c r="I51" i="214"/>
  <c r="J51" i="214"/>
  <c r="K51" i="214"/>
  <c r="D52" i="214"/>
  <c r="E52" i="214"/>
  <c r="F52" i="214"/>
  <c r="G52" i="214"/>
  <c r="H52" i="214"/>
  <c r="I52" i="214"/>
  <c r="J52" i="214"/>
  <c r="K52" i="214"/>
  <c r="D53" i="214"/>
  <c r="E53" i="214"/>
  <c r="F53" i="214"/>
  <c r="G53" i="214"/>
  <c r="H53" i="214"/>
  <c r="I53" i="214"/>
  <c r="J53" i="214"/>
  <c r="K53" i="214"/>
  <c r="D54" i="214"/>
  <c r="E54" i="214"/>
  <c r="F54" i="214"/>
  <c r="G54" i="214"/>
  <c r="H54" i="214"/>
  <c r="I54" i="214"/>
  <c r="J54" i="214"/>
  <c r="K54" i="214"/>
  <c r="D55" i="214"/>
  <c r="E55" i="214"/>
  <c r="F55" i="214"/>
  <c r="G55" i="214"/>
  <c r="H55" i="214"/>
  <c r="I55" i="214"/>
  <c r="J55" i="214"/>
  <c r="K55" i="214"/>
  <c r="D56" i="214"/>
  <c r="E56" i="214"/>
  <c r="F56" i="214"/>
  <c r="G56" i="214"/>
  <c r="H56" i="214"/>
  <c r="I56" i="214"/>
  <c r="J56" i="214"/>
  <c r="K56" i="214"/>
  <c r="D57" i="214"/>
  <c r="E57" i="214"/>
  <c r="F57" i="214"/>
  <c r="G57" i="214"/>
  <c r="H57" i="214"/>
  <c r="I57" i="214"/>
  <c r="J57" i="214"/>
  <c r="K57" i="214"/>
  <c r="D58" i="214"/>
  <c r="E58" i="214"/>
  <c r="F58" i="214"/>
  <c r="G58" i="214"/>
  <c r="H58" i="214"/>
  <c r="I58" i="214"/>
  <c r="J58" i="214"/>
  <c r="K58" i="214"/>
  <c r="D59" i="214"/>
  <c r="E59" i="214"/>
  <c r="F59" i="214"/>
  <c r="G59" i="214"/>
  <c r="H59" i="214"/>
  <c r="I59" i="214"/>
  <c r="J59" i="214"/>
  <c r="K59" i="214"/>
  <c r="D60" i="214"/>
  <c r="E60" i="214"/>
  <c r="F60" i="214"/>
  <c r="G60" i="214"/>
  <c r="H60" i="214"/>
  <c r="I60" i="214"/>
  <c r="J60" i="214"/>
  <c r="K60" i="214"/>
  <c r="D61" i="214"/>
  <c r="E61" i="214"/>
  <c r="F61" i="214"/>
  <c r="G61" i="214"/>
  <c r="H61" i="214"/>
  <c r="I61" i="214"/>
  <c r="J61" i="214"/>
  <c r="K61" i="214"/>
  <c r="D62" i="214"/>
  <c r="E62" i="214"/>
  <c r="F62" i="214"/>
  <c r="G62" i="214"/>
  <c r="H62" i="214"/>
  <c r="I62" i="214"/>
  <c r="J62" i="214"/>
  <c r="K62" i="214"/>
  <c r="D63" i="214"/>
  <c r="E63" i="214"/>
  <c r="F63" i="214"/>
  <c r="G63" i="214"/>
  <c r="H63" i="214"/>
  <c r="I63" i="214"/>
  <c r="J63" i="214"/>
  <c r="K63" i="214"/>
  <c r="D64" i="214"/>
  <c r="E64" i="214"/>
  <c r="F64" i="214"/>
  <c r="G64" i="214"/>
  <c r="H64" i="214"/>
  <c r="I64" i="214"/>
  <c r="J64" i="214"/>
  <c r="K64" i="214"/>
  <c r="D65" i="214"/>
  <c r="E65" i="214"/>
  <c r="F65" i="214"/>
  <c r="G65" i="214"/>
  <c r="H65" i="214"/>
  <c r="I65" i="214"/>
  <c r="K28" i="214"/>
  <c r="J28" i="214"/>
  <c r="I28" i="214"/>
  <c r="H28" i="214"/>
  <c r="G28" i="214"/>
  <c r="F28" i="214"/>
  <c r="E28" i="214"/>
  <c r="D28" i="214"/>
  <c r="Y90" i="214" l="1"/>
  <c r="Y98" i="214"/>
  <c r="Y71" i="214"/>
  <c r="Y78" i="214"/>
  <c r="Y88" i="214"/>
  <c r="Y74" i="214"/>
  <c r="Y107" i="214"/>
  <c r="Y85" i="214"/>
  <c r="Y80" i="214"/>
  <c r="Y87" i="214"/>
  <c r="Y73" i="214"/>
  <c r="Y75" i="214"/>
  <c r="Y69" i="214"/>
  <c r="Y76" i="214"/>
  <c r="Y105" i="214"/>
  <c r="Y112" i="214"/>
  <c r="Y81" i="214"/>
  <c r="Y83" i="214"/>
  <c r="Y92" i="214"/>
  <c r="Y100" i="214"/>
  <c r="Y103" i="214"/>
  <c r="Y86" i="214"/>
  <c r="Y82" i="214"/>
  <c r="Y70" i="214"/>
  <c r="Y84" i="214"/>
  <c r="Y72" i="214"/>
  <c r="Y77" i="214"/>
  <c r="Y79" i="214"/>
  <c r="Y104" i="214"/>
  <c r="Y109" i="214"/>
  <c r="Y89" i="214"/>
  <c r="Y111" i="214"/>
  <c r="Y97" i="214"/>
  <c r="Y91" i="214"/>
  <c r="Y106" i="214"/>
  <c r="Y99" i="214"/>
  <c r="Y94" i="214"/>
  <c r="Y108" i="214"/>
  <c r="Y93" i="214"/>
  <c r="Y96" i="214"/>
  <c r="Y110" i="214"/>
  <c r="Y102" i="214"/>
  <c r="Y101" i="214"/>
  <c r="Y27" i="214"/>
  <c r="Y59" i="214"/>
  <c r="L59" i="214"/>
  <c r="Y64" i="214"/>
  <c r="Y57" i="214"/>
  <c r="L57" i="214"/>
  <c r="Y55" i="214"/>
  <c r="Y56" i="214"/>
  <c r="L56" i="214"/>
  <c r="L64" i="214"/>
  <c r="L55" i="214"/>
  <c r="Y38" i="214"/>
  <c r="Y37" i="214"/>
  <c r="L38" i="214"/>
  <c r="L37" i="214"/>
  <c r="D27" i="214"/>
  <c r="Y28" i="214" l="1"/>
  <c r="L28" i="214"/>
  <c r="A263" i="203"/>
  <c r="B215" i="214" s="1"/>
  <c r="A262" i="203"/>
  <c r="B214" i="214" s="1"/>
  <c r="A261" i="203"/>
  <c r="B213" i="214" s="1"/>
  <c r="Z25" i="214"/>
  <c r="X25" i="214"/>
  <c r="W25" i="214"/>
  <c r="V25" i="214"/>
  <c r="T25" i="214"/>
  <c r="S25" i="214"/>
  <c r="R25" i="214"/>
  <c r="Q25" i="214"/>
  <c r="P25" i="214"/>
  <c r="O25" i="214"/>
  <c r="N25" i="214"/>
  <c r="L25" i="214"/>
  <c r="J25" i="214"/>
  <c r="I25" i="214"/>
  <c r="H25" i="214"/>
  <c r="F25" i="214"/>
  <c r="E25" i="214"/>
  <c r="D25" i="214"/>
  <c r="B25" i="214"/>
  <c r="Z7" i="214"/>
  <c r="Z8" i="214"/>
  <c r="Z9" i="214"/>
  <c r="Z10" i="214"/>
  <c r="Z11" i="214"/>
  <c r="Z12" i="214"/>
  <c r="Z6" i="214"/>
  <c r="X7" i="214"/>
  <c r="X8" i="214"/>
  <c r="X9" i="214"/>
  <c r="X10" i="214"/>
  <c r="X11" i="214"/>
  <c r="X12" i="214"/>
  <c r="X6" i="214"/>
  <c r="W7" i="214"/>
  <c r="W8" i="214"/>
  <c r="W9" i="214"/>
  <c r="W10" i="214"/>
  <c r="W11" i="214"/>
  <c r="W12" i="214"/>
  <c r="W6" i="214"/>
  <c r="V7" i="214"/>
  <c r="V8" i="214"/>
  <c r="V9" i="214"/>
  <c r="V10" i="214"/>
  <c r="V11" i="214"/>
  <c r="V12" i="214"/>
  <c r="V6" i="214"/>
  <c r="T7" i="214"/>
  <c r="T8" i="214"/>
  <c r="T9" i="214"/>
  <c r="T10" i="214"/>
  <c r="T11" i="214"/>
  <c r="T12" i="214"/>
  <c r="T6" i="214"/>
  <c r="S7" i="214"/>
  <c r="S8" i="214"/>
  <c r="S9" i="214"/>
  <c r="S10" i="214"/>
  <c r="S11" i="214"/>
  <c r="S12" i="214"/>
  <c r="S6" i="214"/>
  <c r="R7" i="214"/>
  <c r="R8" i="214"/>
  <c r="R9" i="214"/>
  <c r="R10" i="214"/>
  <c r="R11" i="214"/>
  <c r="R12" i="214"/>
  <c r="R6" i="214"/>
  <c r="Q7" i="214"/>
  <c r="Q8" i="214"/>
  <c r="Q9" i="214"/>
  <c r="Q10" i="214"/>
  <c r="Q11" i="214"/>
  <c r="Q12" i="214"/>
  <c r="Q6" i="214"/>
  <c r="P7" i="214"/>
  <c r="P8" i="214"/>
  <c r="P9" i="214"/>
  <c r="P10" i="214"/>
  <c r="P11" i="214"/>
  <c r="P12" i="214"/>
  <c r="P6" i="214"/>
  <c r="O7" i="214"/>
  <c r="O8" i="214"/>
  <c r="O9" i="214"/>
  <c r="O10" i="214"/>
  <c r="O11" i="214"/>
  <c r="O12" i="214"/>
  <c r="O6" i="214"/>
  <c r="N7" i="214"/>
  <c r="N8" i="214"/>
  <c r="N9" i="214"/>
  <c r="N10" i="214"/>
  <c r="N11" i="214"/>
  <c r="N12" i="214"/>
  <c r="N6" i="214"/>
  <c r="L7" i="214"/>
  <c r="L8" i="214"/>
  <c r="L9" i="214"/>
  <c r="L10" i="214"/>
  <c r="L11" i="214"/>
  <c r="L12" i="214"/>
  <c r="L6" i="214"/>
  <c r="J7" i="214"/>
  <c r="J8" i="214"/>
  <c r="J9" i="214"/>
  <c r="J10" i="214"/>
  <c r="J11" i="214"/>
  <c r="J12" i="214"/>
  <c r="J6" i="214"/>
  <c r="I7" i="214"/>
  <c r="I8" i="214"/>
  <c r="I9" i="214"/>
  <c r="I10" i="214"/>
  <c r="I11" i="214"/>
  <c r="I12" i="214"/>
  <c r="I6" i="214"/>
  <c r="H7" i="214"/>
  <c r="H8" i="214"/>
  <c r="H9" i="214"/>
  <c r="H10" i="214"/>
  <c r="H11" i="214"/>
  <c r="H12" i="214"/>
  <c r="H6" i="214"/>
  <c r="F7" i="214"/>
  <c r="F8" i="214"/>
  <c r="F9" i="214"/>
  <c r="F10" i="214"/>
  <c r="F11" i="214"/>
  <c r="F12" i="214"/>
  <c r="F6" i="214"/>
  <c r="E7" i="214"/>
  <c r="E8" i="214"/>
  <c r="E9" i="214"/>
  <c r="E10" i="214"/>
  <c r="E11" i="214"/>
  <c r="E12" i="214"/>
  <c r="E6" i="214"/>
  <c r="D7" i="214"/>
  <c r="D8" i="214"/>
  <c r="D9" i="214"/>
  <c r="D10" i="214"/>
  <c r="D11" i="214"/>
  <c r="D12" i="214"/>
  <c r="D6" i="214"/>
  <c r="B7" i="214"/>
  <c r="B8" i="214"/>
  <c r="B9" i="214"/>
  <c r="B10" i="214"/>
  <c r="B11" i="214"/>
  <c r="B12" i="214"/>
  <c r="B6" i="214"/>
  <c r="A260" i="203"/>
  <c r="B212" i="214" s="1"/>
  <c r="A259" i="203"/>
  <c r="B211" i="214" s="1"/>
  <c r="A258" i="203"/>
  <c r="B210" i="214" s="1"/>
  <c r="A257" i="203"/>
  <c r="B209" i="214" s="1"/>
  <c r="A256" i="203"/>
  <c r="B208" i="214" s="1"/>
  <c r="B207" i="214"/>
  <c r="B206" i="214"/>
  <c r="A253" i="203"/>
  <c r="B205" i="214" s="1"/>
  <c r="A252" i="203"/>
  <c r="B204" i="214" s="1"/>
  <c r="B203" i="214"/>
  <c r="A250" i="203"/>
  <c r="B202" i="214" s="1"/>
  <c r="A249" i="203"/>
  <c r="B201" i="214" s="1"/>
  <c r="A248" i="203"/>
  <c r="B200" i="214" s="1"/>
  <c r="A247" i="203"/>
  <c r="B199" i="214" s="1"/>
  <c r="A246" i="203"/>
  <c r="B198" i="214" s="1"/>
  <c r="A245" i="203"/>
  <c r="B197" i="214" s="1"/>
  <c r="A244" i="203"/>
  <c r="B196" i="214" s="1"/>
  <c r="A243" i="203"/>
  <c r="B195" i="214" s="1"/>
  <c r="A242" i="203"/>
  <c r="B194" i="214" s="1"/>
  <c r="A241" i="203"/>
  <c r="B193" i="214" s="1"/>
  <c r="A240" i="203"/>
  <c r="B192" i="214" s="1"/>
  <c r="Z15" i="214" l="1"/>
  <c r="Z16" i="214"/>
  <c r="Z17" i="214"/>
  <c r="Z18" i="214"/>
  <c r="Z19" i="214"/>
  <c r="Z14" i="214"/>
  <c r="X15" i="214"/>
  <c r="X16" i="214"/>
  <c r="X17" i="214"/>
  <c r="X18" i="214"/>
  <c r="X19" i="214"/>
  <c r="X14" i="214"/>
  <c r="W15" i="214"/>
  <c r="W16" i="214"/>
  <c r="W17" i="214"/>
  <c r="W18" i="214"/>
  <c r="W19" i="214"/>
  <c r="W14" i="214"/>
  <c r="V15" i="214"/>
  <c r="V16" i="214"/>
  <c r="V17" i="214"/>
  <c r="V18" i="214"/>
  <c r="V19" i="214"/>
  <c r="V14" i="214"/>
  <c r="T15" i="214"/>
  <c r="T16" i="214"/>
  <c r="T17" i="214"/>
  <c r="T18" i="214"/>
  <c r="T19" i="214"/>
  <c r="T14" i="214"/>
  <c r="S15" i="214"/>
  <c r="S16" i="214"/>
  <c r="S17" i="214"/>
  <c r="S18" i="214"/>
  <c r="S19" i="214"/>
  <c r="S14" i="214"/>
  <c r="R15" i="214"/>
  <c r="R16" i="214"/>
  <c r="R17" i="214"/>
  <c r="R18" i="214"/>
  <c r="R19" i="214"/>
  <c r="R14" i="214"/>
  <c r="Q15" i="214"/>
  <c r="Q16" i="214"/>
  <c r="Q17" i="214"/>
  <c r="Q18" i="214"/>
  <c r="Q19" i="214"/>
  <c r="P15" i="214"/>
  <c r="P16" i="214"/>
  <c r="P17" i="214"/>
  <c r="P18" i="214"/>
  <c r="P19" i="214"/>
  <c r="O15" i="214"/>
  <c r="O16" i="214"/>
  <c r="O17" i="214"/>
  <c r="O18" i="214"/>
  <c r="O19" i="214"/>
  <c r="N15" i="214"/>
  <c r="N16" i="214"/>
  <c r="N17" i="214"/>
  <c r="N18" i="214"/>
  <c r="N19" i="214"/>
  <c r="Q14" i="214"/>
  <c r="P14" i="214"/>
  <c r="O14" i="214"/>
  <c r="N14" i="214"/>
  <c r="L15" i="214"/>
  <c r="L16" i="214"/>
  <c r="L17" i="214"/>
  <c r="L18" i="214"/>
  <c r="L19" i="214"/>
  <c r="J15" i="214"/>
  <c r="J16" i="214"/>
  <c r="J17" i="214"/>
  <c r="J18" i="214"/>
  <c r="J19" i="214"/>
  <c r="I15" i="214"/>
  <c r="I16" i="214"/>
  <c r="I17" i="214"/>
  <c r="I18" i="214"/>
  <c r="I19" i="214"/>
  <c r="L14" i="214"/>
  <c r="J14" i="214"/>
  <c r="I14" i="214"/>
  <c r="H15" i="214"/>
  <c r="H16" i="214"/>
  <c r="H17" i="214"/>
  <c r="H18" i="214"/>
  <c r="H19" i="214"/>
  <c r="H14" i="214"/>
  <c r="F15" i="214"/>
  <c r="F16" i="214"/>
  <c r="F17" i="214"/>
  <c r="F18" i="214"/>
  <c r="F19" i="214"/>
  <c r="F14" i="214"/>
  <c r="E15" i="214"/>
  <c r="E16" i="214"/>
  <c r="E17" i="214"/>
  <c r="E18" i="214"/>
  <c r="E19" i="214"/>
  <c r="E14" i="214"/>
  <c r="D15" i="214"/>
  <c r="D16" i="214"/>
  <c r="D17" i="214"/>
  <c r="D18" i="214"/>
  <c r="D19" i="214"/>
  <c r="D14" i="214"/>
  <c r="B15" i="214"/>
  <c r="B16" i="214"/>
  <c r="B17" i="214"/>
  <c r="B18" i="214"/>
  <c r="B19" i="214"/>
  <c r="B14" i="214"/>
  <c r="A239" i="203"/>
  <c r="B191" i="214" s="1"/>
  <c r="A238" i="203"/>
  <c r="B190" i="214" s="1"/>
  <c r="A237" i="203"/>
  <c r="B189" i="214" s="1"/>
  <c r="A236" i="203" l="1"/>
  <c r="B188" i="214" s="1"/>
  <c r="A235" i="203"/>
  <c r="B187" i="214" s="1"/>
  <c r="A234" i="203"/>
  <c r="B186" i="214" s="1"/>
  <c r="A233" i="203"/>
  <c r="B185" i="214" s="1"/>
  <c r="A232" i="203"/>
  <c r="B184" i="214" s="1"/>
  <c r="A231" i="203"/>
  <c r="B183" i="214" s="1"/>
  <c r="A230" i="203" l="1"/>
  <c r="B182" i="214" s="1"/>
  <c r="A229" i="203"/>
  <c r="B181" i="214" s="1"/>
  <c r="A228" i="203"/>
  <c r="B180" i="214" s="1"/>
  <c r="A226" i="203"/>
  <c r="B178" i="214" s="1"/>
  <c r="A225" i="203"/>
  <c r="B177" i="214" s="1"/>
  <c r="V79" i="202"/>
  <c r="A227" i="203" s="1"/>
  <c r="B179" i="214" s="1"/>
  <c r="A224" i="203" l="1"/>
  <c r="B176" i="214" s="1"/>
  <c r="A223" i="203"/>
  <c r="B175" i="214" s="1"/>
  <c r="A222" i="203"/>
  <c r="B174" i="214" s="1"/>
  <c r="A221" i="203"/>
  <c r="B173" i="214" s="1"/>
  <c r="A220" i="203"/>
  <c r="B172" i="214" s="1"/>
  <c r="A219" i="203"/>
  <c r="R66" i="212"/>
  <c r="R67" i="212"/>
  <c r="R68" i="212"/>
  <c r="R69" i="212"/>
  <c r="R70" i="212"/>
  <c r="R71" i="212"/>
  <c r="R72" i="212"/>
  <c r="R73" i="212"/>
  <c r="R74" i="212"/>
  <c r="R75" i="212"/>
  <c r="R76" i="212"/>
  <c r="R77" i="212"/>
  <c r="R78" i="212"/>
  <c r="R79" i="212"/>
  <c r="R80" i="212"/>
  <c r="R81" i="212"/>
  <c r="R82" i="212"/>
  <c r="R83" i="212"/>
  <c r="R84" i="212"/>
  <c r="R85" i="212"/>
  <c r="R86" i="212"/>
  <c r="R87" i="212"/>
  <c r="R88" i="212"/>
  <c r="R89" i="212"/>
  <c r="R90" i="212"/>
  <c r="R91" i="212"/>
  <c r="R92" i="212"/>
  <c r="R93" i="212"/>
  <c r="R94" i="212"/>
  <c r="R95" i="212"/>
  <c r="R96" i="212"/>
  <c r="R97" i="212"/>
  <c r="R98" i="212"/>
  <c r="R99" i="212"/>
  <c r="R100" i="212"/>
  <c r="R101" i="212"/>
  <c r="R102" i="212"/>
  <c r="R103" i="212"/>
  <c r="R65" i="212"/>
  <c r="R64" i="212"/>
  <c r="R37" i="212"/>
  <c r="R36" i="212"/>
  <c r="R35" i="212"/>
  <c r="R34" i="212"/>
  <c r="R33" i="212"/>
  <c r="R32" i="212"/>
  <c r="E37" i="212"/>
  <c r="E38" i="212"/>
  <c r="E39" i="212"/>
  <c r="E40" i="212"/>
  <c r="E41" i="212"/>
  <c r="E42" i="212"/>
  <c r="E43" i="212"/>
  <c r="E44" i="212"/>
  <c r="E45" i="212"/>
  <c r="E46" i="212"/>
  <c r="E47" i="212"/>
  <c r="E48" i="212"/>
  <c r="E49" i="212"/>
  <c r="E50" i="212"/>
  <c r="E51" i="212"/>
  <c r="E52" i="212"/>
  <c r="E53" i="212"/>
  <c r="E54" i="212"/>
  <c r="E55" i="212"/>
  <c r="E56" i="212"/>
  <c r="E57" i="212"/>
  <c r="E58" i="212"/>
  <c r="E59" i="212"/>
  <c r="E60" i="212"/>
  <c r="E61" i="212"/>
  <c r="E36" i="212"/>
  <c r="E35" i="212"/>
  <c r="E34" i="212"/>
  <c r="E33" i="212"/>
  <c r="E32" i="212"/>
  <c r="E27" i="214"/>
  <c r="X168" i="214"/>
  <c r="W168" i="214"/>
  <c r="V168" i="214"/>
  <c r="U168" i="214"/>
  <c r="T168" i="214"/>
  <c r="S168" i="214"/>
  <c r="R168" i="214"/>
  <c r="Q168" i="214"/>
  <c r="K168" i="214"/>
  <c r="J168" i="214"/>
  <c r="I168" i="214"/>
  <c r="H168" i="214"/>
  <c r="G168" i="214"/>
  <c r="F168" i="214"/>
  <c r="E168" i="214"/>
  <c r="D168" i="214"/>
  <c r="X167" i="214"/>
  <c r="W167" i="214"/>
  <c r="V167" i="214"/>
  <c r="U167" i="214"/>
  <c r="T167" i="214"/>
  <c r="S167" i="214"/>
  <c r="R167" i="214"/>
  <c r="Q167" i="214"/>
  <c r="K167" i="214"/>
  <c r="J167" i="214"/>
  <c r="I167" i="214"/>
  <c r="H167" i="214"/>
  <c r="G167" i="214"/>
  <c r="F167" i="214"/>
  <c r="E167" i="214"/>
  <c r="D167" i="214"/>
  <c r="X166" i="214"/>
  <c r="W166" i="214"/>
  <c r="V166" i="214"/>
  <c r="U166" i="214"/>
  <c r="T166" i="214"/>
  <c r="S166" i="214"/>
  <c r="R166" i="214"/>
  <c r="Q166" i="214"/>
  <c r="K166" i="214"/>
  <c r="J166" i="214"/>
  <c r="I166" i="214"/>
  <c r="H166" i="214"/>
  <c r="G166" i="214"/>
  <c r="F166" i="214"/>
  <c r="E166" i="214"/>
  <c r="D166" i="214"/>
  <c r="X161" i="214"/>
  <c r="W161" i="214"/>
  <c r="V161" i="214"/>
  <c r="U161" i="214"/>
  <c r="T161" i="214"/>
  <c r="S161" i="214"/>
  <c r="R161" i="214"/>
  <c r="Q161" i="214"/>
  <c r="K161" i="214"/>
  <c r="J161" i="214"/>
  <c r="I161" i="214"/>
  <c r="H161" i="214"/>
  <c r="G161" i="214"/>
  <c r="F161" i="214"/>
  <c r="E161" i="214"/>
  <c r="D161" i="214"/>
  <c r="X159" i="214"/>
  <c r="W159" i="214"/>
  <c r="V159" i="214"/>
  <c r="U159" i="214"/>
  <c r="T159" i="214"/>
  <c r="S159" i="214"/>
  <c r="R159" i="214"/>
  <c r="Q159" i="214"/>
  <c r="K159" i="214"/>
  <c r="J159" i="214"/>
  <c r="I159" i="214"/>
  <c r="H159" i="214"/>
  <c r="G159" i="214"/>
  <c r="F159" i="214"/>
  <c r="E159" i="214"/>
  <c r="D159" i="214"/>
  <c r="X158" i="214"/>
  <c r="W158" i="214"/>
  <c r="V158" i="214"/>
  <c r="U158" i="214"/>
  <c r="T158" i="214"/>
  <c r="S158" i="214"/>
  <c r="R158" i="214"/>
  <c r="Q158" i="214"/>
  <c r="K158" i="214"/>
  <c r="J158" i="214"/>
  <c r="I158" i="214"/>
  <c r="H158" i="214"/>
  <c r="G158" i="214"/>
  <c r="F158" i="214"/>
  <c r="E158" i="214"/>
  <c r="D158" i="214"/>
  <c r="X157" i="214"/>
  <c r="W157" i="214"/>
  <c r="V157" i="214"/>
  <c r="U157" i="214"/>
  <c r="T157" i="214"/>
  <c r="S157" i="214"/>
  <c r="R157" i="214"/>
  <c r="Q157" i="214"/>
  <c r="K157" i="214"/>
  <c r="J157" i="214"/>
  <c r="I157" i="214"/>
  <c r="H157" i="214"/>
  <c r="G157" i="214"/>
  <c r="F157" i="214"/>
  <c r="E157" i="214"/>
  <c r="D157" i="214"/>
  <c r="X156" i="214"/>
  <c r="W156" i="214"/>
  <c r="V156" i="214"/>
  <c r="U156" i="214"/>
  <c r="T156" i="214"/>
  <c r="S156" i="214"/>
  <c r="R156" i="214"/>
  <c r="Q156" i="214"/>
  <c r="K156" i="214"/>
  <c r="J156" i="214"/>
  <c r="I156" i="214"/>
  <c r="H156" i="214"/>
  <c r="G156" i="214"/>
  <c r="F156" i="214"/>
  <c r="E156" i="214"/>
  <c r="D156" i="214"/>
  <c r="X154" i="214"/>
  <c r="W154" i="214"/>
  <c r="V154" i="214"/>
  <c r="U154" i="214"/>
  <c r="T154" i="214"/>
  <c r="S154" i="214"/>
  <c r="R154" i="214"/>
  <c r="Q154" i="214"/>
  <c r="K154" i="214"/>
  <c r="J154" i="214"/>
  <c r="I154" i="214"/>
  <c r="H154" i="214"/>
  <c r="G154" i="214"/>
  <c r="F154" i="214"/>
  <c r="E154" i="214"/>
  <c r="D154" i="214"/>
  <c r="X152" i="214"/>
  <c r="W152" i="214"/>
  <c r="V152" i="214"/>
  <c r="U152" i="214"/>
  <c r="T152" i="214"/>
  <c r="S152" i="214"/>
  <c r="R152" i="214"/>
  <c r="Q152" i="214"/>
  <c r="K152" i="214"/>
  <c r="J152" i="214"/>
  <c r="I152" i="214"/>
  <c r="H152" i="214"/>
  <c r="G152" i="214"/>
  <c r="F152" i="214"/>
  <c r="E152" i="214"/>
  <c r="D152" i="214"/>
  <c r="X150" i="214"/>
  <c r="W150" i="214"/>
  <c r="V150" i="214"/>
  <c r="U150" i="214"/>
  <c r="T150" i="214"/>
  <c r="S150" i="214"/>
  <c r="R150" i="214"/>
  <c r="Q150" i="214"/>
  <c r="K150" i="214"/>
  <c r="J150" i="214"/>
  <c r="I150" i="214"/>
  <c r="H150" i="214"/>
  <c r="G150" i="214"/>
  <c r="F150" i="214"/>
  <c r="E150" i="214"/>
  <c r="D150" i="214"/>
  <c r="X149" i="214"/>
  <c r="W149" i="214"/>
  <c r="V149" i="214"/>
  <c r="U149" i="214"/>
  <c r="T149" i="214"/>
  <c r="S149" i="214"/>
  <c r="R149" i="214"/>
  <c r="Q149" i="214"/>
  <c r="K149" i="214"/>
  <c r="J149" i="214"/>
  <c r="I149" i="214"/>
  <c r="H149" i="214"/>
  <c r="G149" i="214"/>
  <c r="F149" i="214"/>
  <c r="E149" i="214"/>
  <c r="D149" i="214"/>
  <c r="X148" i="214"/>
  <c r="W148" i="214"/>
  <c r="V148" i="214"/>
  <c r="U148" i="214"/>
  <c r="T148" i="214"/>
  <c r="S148" i="214"/>
  <c r="R148" i="214"/>
  <c r="Q148" i="214"/>
  <c r="K148" i="214"/>
  <c r="J148" i="214"/>
  <c r="I148" i="214"/>
  <c r="H148" i="214"/>
  <c r="G148" i="214"/>
  <c r="F148" i="214"/>
  <c r="E148" i="214"/>
  <c r="D148" i="214"/>
  <c r="X147" i="214"/>
  <c r="W147" i="214"/>
  <c r="V147" i="214"/>
  <c r="U147" i="214"/>
  <c r="T147" i="214"/>
  <c r="S147" i="214"/>
  <c r="R147" i="214"/>
  <c r="Q147" i="214"/>
  <c r="K147" i="214"/>
  <c r="J147" i="214"/>
  <c r="I147" i="214"/>
  <c r="H147" i="214"/>
  <c r="G147" i="214"/>
  <c r="F147" i="214"/>
  <c r="E147" i="214"/>
  <c r="D147" i="214"/>
  <c r="X146" i="214"/>
  <c r="W146" i="214"/>
  <c r="V146" i="214"/>
  <c r="U146" i="214"/>
  <c r="T146" i="214"/>
  <c r="S146" i="214"/>
  <c r="R146" i="214"/>
  <c r="Q146" i="214"/>
  <c r="K146" i="214"/>
  <c r="J146" i="214"/>
  <c r="I146" i="214"/>
  <c r="H146" i="214"/>
  <c r="G146" i="214"/>
  <c r="F146" i="214"/>
  <c r="E146" i="214"/>
  <c r="D146" i="214"/>
  <c r="X145" i="214"/>
  <c r="W145" i="214"/>
  <c r="V145" i="214"/>
  <c r="U145" i="214"/>
  <c r="T145" i="214"/>
  <c r="S145" i="214"/>
  <c r="R145" i="214"/>
  <c r="Q145" i="214"/>
  <c r="K145" i="214"/>
  <c r="J145" i="214"/>
  <c r="I145" i="214"/>
  <c r="H145" i="214"/>
  <c r="G145" i="214"/>
  <c r="F145" i="214"/>
  <c r="E145" i="214"/>
  <c r="D145" i="214"/>
  <c r="X144" i="214"/>
  <c r="W144" i="214"/>
  <c r="V144" i="214"/>
  <c r="U144" i="214"/>
  <c r="T144" i="214"/>
  <c r="S144" i="214"/>
  <c r="R144" i="214"/>
  <c r="Q144" i="214"/>
  <c r="K144" i="214"/>
  <c r="J144" i="214"/>
  <c r="I144" i="214"/>
  <c r="H144" i="214"/>
  <c r="G144" i="214"/>
  <c r="F144" i="214"/>
  <c r="E144" i="214"/>
  <c r="D144" i="214"/>
  <c r="X143" i="214"/>
  <c r="W143" i="214"/>
  <c r="V143" i="214"/>
  <c r="U143" i="214"/>
  <c r="T143" i="214"/>
  <c r="S143" i="214"/>
  <c r="R143" i="214"/>
  <c r="Q143" i="214"/>
  <c r="K143" i="214"/>
  <c r="J143" i="214"/>
  <c r="I143" i="214"/>
  <c r="H143" i="214"/>
  <c r="G143" i="214"/>
  <c r="F143" i="214"/>
  <c r="E143" i="214"/>
  <c r="D143" i="214"/>
  <c r="X142" i="214"/>
  <c r="W142" i="214"/>
  <c r="V142" i="214"/>
  <c r="U142" i="214"/>
  <c r="T142" i="214"/>
  <c r="S142" i="214"/>
  <c r="R142" i="214"/>
  <c r="Q142" i="214"/>
  <c r="K142" i="214"/>
  <c r="J142" i="214"/>
  <c r="I142" i="214"/>
  <c r="H142" i="214"/>
  <c r="G142" i="214"/>
  <c r="F142" i="214"/>
  <c r="E142" i="214"/>
  <c r="D142" i="214"/>
  <c r="X141" i="214"/>
  <c r="W141" i="214"/>
  <c r="V141" i="214"/>
  <c r="U141" i="214"/>
  <c r="T141" i="214"/>
  <c r="S141" i="214"/>
  <c r="R141" i="214"/>
  <c r="Q141" i="214"/>
  <c r="K141" i="214"/>
  <c r="J141" i="214"/>
  <c r="I141" i="214"/>
  <c r="H141" i="214"/>
  <c r="G141" i="214"/>
  <c r="F141" i="214"/>
  <c r="E141" i="214"/>
  <c r="D141" i="214"/>
  <c r="X140" i="214"/>
  <c r="W140" i="214"/>
  <c r="V140" i="214"/>
  <c r="U140" i="214"/>
  <c r="T140" i="214"/>
  <c r="S140" i="214"/>
  <c r="R140" i="214"/>
  <c r="Q140" i="214"/>
  <c r="K140" i="214"/>
  <c r="J140" i="214"/>
  <c r="I140" i="214"/>
  <c r="H140" i="214"/>
  <c r="G140" i="214"/>
  <c r="F140" i="214"/>
  <c r="E140" i="214"/>
  <c r="D140" i="214"/>
  <c r="X139" i="214"/>
  <c r="W139" i="214"/>
  <c r="V139" i="214"/>
  <c r="U139" i="214"/>
  <c r="T139" i="214"/>
  <c r="S139" i="214"/>
  <c r="R139" i="214"/>
  <c r="Q139" i="214"/>
  <c r="K139" i="214"/>
  <c r="J139" i="214"/>
  <c r="I139" i="214"/>
  <c r="H139" i="214"/>
  <c r="G139" i="214"/>
  <c r="F139" i="214"/>
  <c r="E139" i="214"/>
  <c r="D139" i="214"/>
  <c r="X138" i="214"/>
  <c r="W138" i="214"/>
  <c r="V138" i="214"/>
  <c r="U138" i="214"/>
  <c r="T138" i="214"/>
  <c r="S138" i="214"/>
  <c r="R138" i="214"/>
  <c r="Q138" i="214"/>
  <c r="K138" i="214"/>
  <c r="J138" i="214"/>
  <c r="I138" i="214"/>
  <c r="H138" i="214"/>
  <c r="G138" i="214"/>
  <c r="F138" i="214"/>
  <c r="E138" i="214"/>
  <c r="D138" i="214"/>
  <c r="X137" i="214"/>
  <c r="W137" i="214"/>
  <c r="V137" i="214"/>
  <c r="U137" i="214"/>
  <c r="T137" i="214"/>
  <c r="S137" i="214"/>
  <c r="R137" i="214"/>
  <c r="Q137" i="214"/>
  <c r="K137" i="214"/>
  <c r="J137" i="214"/>
  <c r="I137" i="214"/>
  <c r="H137" i="214"/>
  <c r="G137" i="214"/>
  <c r="F137" i="214"/>
  <c r="E137" i="214"/>
  <c r="D137" i="214"/>
  <c r="X136" i="214"/>
  <c r="W136" i="214"/>
  <c r="V136" i="214"/>
  <c r="U136" i="214"/>
  <c r="T136" i="214"/>
  <c r="S136" i="214"/>
  <c r="R136" i="214"/>
  <c r="Q136" i="214"/>
  <c r="K136" i="214"/>
  <c r="J136" i="214"/>
  <c r="I136" i="214"/>
  <c r="H136" i="214"/>
  <c r="G136" i="214"/>
  <c r="F136" i="214"/>
  <c r="E136" i="214"/>
  <c r="D136" i="214"/>
  <c r="X135" i="214"/>
  <c r="W135" i="214"/>
  <c r="V135" i="214"/>
  <c r="U135" i="214"/>
  <c r="T135" i="214"/>
  <c r="S135" i="214"/>
  <c r="R135" i="214"/>
  <c r="Q135" i="214"/>
  <c r="K135" i="214"/>
  <c r="J135" i="214"/>
  <c r="I135" i="214"/>
  <c r="H135" i="214"/>
  <c r="G135" i="214"/>
  <c r="F135" i="214"/>
  <c r="E135" i="214"/>
  <c r="D135" i="214"/>
  <c r="X134" i="214"/>
  <c r="W134" i="214"/>
  <c r="V134" i="214"/>
  <c r="U134" i="214"/>
  <c r="T134" i="214"/>
  <c r="S134" i="214"/>
  <c r="R134" i="214"/>
  <c r="Q134" i="214"/>
  <c r="K134" i="214"/>
  <c r="J134" i="214"/>
  <c r="I134" i="214"/>
  <c r="H134" i="214"/>
  <c r="G134" i="214"/>
  <c r="F134" i="214"/>
  <c r="E134" i="214"/>
  <c r="D134" i="214"/>
  <c r="X132" i="214"/>
  <c r="W132" i="214"/>
  <c r="V132" i="214"/>
  <c r="U132" i="214"/>
  <c r="T132" i="214"/>
  <c r="S132" i="214"/>
  <c r="R132" i="214"/>
  <c r="Q132" i="214"/>
  <c r="K132" i="214"/>
  <c r="J132" i="214"/>
  <c r="I132" i="214"/>
  <c r="H132" i="214"/>
  <c r="G132" i="214"/>
  <c r="F132" i="214"/>
  <c r="E132" i="214"/>
  <c r="D132" i="214"/>
  <c r="X131" i="214"/>
  <c r="W131" i="214"/>
  <c r="V131" i="214"/>
  <c r="U131" i="214"/>
  <c r="T131" i="214"/>
  <c r="S131" i="214"/>
  <c r="R131" i="214"/>
  <c r="Q131" i="214"/>
  <c r="K131" i="214"/>
  <c r="J131" i="214"/>
  <c r="I131" i="214"/>
  <c r="H131" i="214"/>
  <c r="G131" i="214"/>
  <c r="F131" i="214"/>
  <c r="E131" i="214"/>
  <c r="D131" i="214"/>
  <c r="X130" i="214"/>
  <c r="W130" i="214"/>
  <c r="V130" i="214"/>
  <c r="U130" i="214"/>
  <c r="T130" i="214"/>
  <c r="S130" i="214"/>
  <c r="R130" i="214"/>
  <c r="Q130" i="214"/>
  <c r="K130" i="214"/>
  <c r="J130" i="214"/>
  <c r="I130" i="214"/>
  <c r="H130" i="214"/>
  <c r="G130" i="214"/>
  <c r="F130" i="214"/>
  <c r="E130" i="214"/>
  <c r="D130" i="214"/>
  <c r="X129" i="214"/>
  <c r="W129" i="214"/>
  <c r="V129" i="214"/>
  <c r="U129" i="214"/>
  <c r="T129" i="214"/>
  <c r="S129" i="214"/>
  <c r="R129" i="214"/>
  <c r="Q129" i="214"/>
  <c r="K129" i="214"/>
  <c r="J129" i="214"/>
  <c r="I129" i="214"/>
  <c r="H129" i="214"/>
  <c r="G129" i="214"/>
  <c r="F129" i="214"/>
  <c r="E129" i="214"/>
  <c r="D129" i="214"/>
  <c r="X128" i="214"/>
  <c r="W128" i="214"/>
  <c r="V128" i="214"/>
  <c r="U128" i="214"/>
  <c r="T128" i="214"/>
  <c r="S128" i="214"/>
  <c r="R128" i="214"/>
  <c r="Q128" i="214"/>
  <c r="K128" i="214"/>
  <c r="J128" i="214"/>
  <c r="I128" i="214"/>
  <c r="H128" i="214"/>
  <c r="G128" i="214"/>
  <c r="F128" i="214"/>
  <c r="E128" i="214"/>
  <c r="D128" i="214"/>
  <c r="X127" i="214"/>
  <c r="W127" i="214"/>
  <c r="V127" i="214"/>
  <c r="U127" i="214"/>
  <c r="T127" i="214"/>
  <c r="S127" i="214"/>
  <c r="R127" i="214"/>
  <c r="Q127" i="214"/>
  <c r="K127" i="214"/>
  <c r="J127" i="214"/>
  <c r="I127" i="214"/>
  <c r="H127" i="214"/>
  <c r="G127" i="214"/>
  <c r="F127" i="214"/>
  <c r="E127" i="214"/>
  <c r="D127" i="214"/>
  <c r="X125" i="214"/>
  <c r="W125" i="214"/>
  <c r="V125" i="214"/>
  <c r="U125" i="214"/>
  <c r="T125" i="214"/>
  <c r="S125" i="214"/>
  <c r="R125" i="214"/>
  <c r="Q125" i="214"/>
  <c r="K125" i="214"/>
  <c r="J125" i="214"/>
  <c r="I125" i="214"/>
  <c r="H125" i="214"/>
  <c r="G125" i="214"/>
  <c r="F125" i="214"/>
  <c r="E125" i="214"/>
  <c r="D125" i="214"/>
  <c r="X124" i="214"/>
  <c r="W124" i="214"/>
  <c r="V124" i="214"/>
  <c r="U124" i="214"/>
  <c r="T124" i="214"/>
  <c r="S124" i="214"/>
  <c r="R124" i="214"/>
  <c r="Q124" i="214"/>
  <c r="K124" i="214"/>
  <c r="J124" i="214"/>
  <c r="I124" i="214"/>
  <c r="H124" i="214"/>
  <c r="G124" i="214"/>
  <c r="F124" i="214"/>
  <c r="E124" i="214"/>
  <c r="D124" i="214"/>
  <c r="X123" i="214"/>
  <c r="W123" i="214"/>
  <c r="V123" i="214"/>
  <c r="U123" i="214"/>
  <c r="T123" i="214"/>
  <c r="S123" i="214"/>
  <c r="R123" i="214"/>
  <c r="Q123" i="214"/>
  <c r="K123" i="214"/>
  <c r="J123" i="214"/>
  <c r="I123" i="214"/>
  <c r="H123" i="214"/>
  <c r="G123" i="214"/>
  <c r="F123" i="214"/>
  <c r="E123" i="214"/>
  <c r="D123" i="214"/>
  <c r="X122" i="214"/>
  <c r="W122" i="214"/>
  <c r="V122" i="214"/>
  <c r="U122" i="214"/>
  <c r="T122" i="214"/>
  <c r="S122" i="214"/>
  <c r="R122" i="214"/>
  <c r="Q122" i="214"/>
  <c r="K122" i="214"/>
  <c r="J122" i="214"/>
  <c r="I122" i="214"/>
  <c r="H122" i="214"/>
  <c r="G122" i="214"/>
  <c r="F122" i="214"/>
  <c r="E122" i="214"/>
  <c r="D122" i="214"/>
  <c r="X120" i="214"/>
  <c r="W120" i="214"/>
  <c r="V120" i="214"/>
  <c r="U120" i="214"/>
  <c r="T120" i="214"/>
  <c r="S120" i="214"/>
  <c r="R120" i="214"/>
  <c r="Q120" i="214"/>
  <c r="K120" i="214"/>
  <c r="J120" i="214"/>
  <c r="I120" i="214"/>
  <c r="H120" i="214"/>
  <c r="G120" i="214"/>
  <c r="F120" i="214"/>
  <c r="E120" i="214"/>
  <c r="D120" i="214"/>
  <c r="X119" i="214"/>
  <c r="W119" i="214"/>
  <c r="V119" i="214"/>
  <c r="U119" i="214"/>
  <c r="T119" i="214"/>
  <c r="S119" i="214"/>
  <c r="R119" i="214"/>
  <c r="Q119" i="214"/>
  <c r="K119" i="214"/>
  <c r="J119" i="214"/>
  <c r="I119" i="214"/>
  <c r="H119" i="214"/>
  <c r="G119" i="214"/>
  <c r="F119" i="214"/>
  <c r="E119" i="214"/>
  <c r="D119" i="214"/>
  <c r="X118" i="214"/>
  <c r="W118" i="214"/>
  <c r="V118" i="214"/>
  <c r="U118" i="214"/>
  <c r="T118" i="214"/>
  <c r="S118" i="214"/>
  <c r="R118" i="214"/>
  <c r="Q118" i="214"/>
  <c r="K118" i="214"/>
  <c r="J118" i="214"/>
  <c r="I118" i="214"/>
  <c r="H118" i="214"/>
  <c r="G118" i="214"/>
  <c r="F118" i="214"/>
  <c r="E118" i="214"/>
  <c r="D118" i="214"/>
  <c r="X117" i="214"/>
  <c r="W117" i="214"/>
  <c r="V117" i="214"/>
  <c r="U117" i="214"/>
  <c r="T117" i="214"/>
  <c r="S117" i="214"/>
  <c r="R117" i="214"/>
  <c r="Q117" i="214"/>
  <c r="K117" i="214"/>
  <c r="J117" i="214"/>
  <c r="I117" i="214"/>
  <c r="H117" i="214"/>
  <c r="G117" i="214"/>
  <c r="F117" i="214"/>
  <c r="E117" i="214"/>
  <c r="D117" i="214"/>
  <c r="X116" i="214"/>
  <c r="W116" i="214"/>
  <c r="V116" i="214"/>
  <c r="U116" i="214"/>
  <c r="T116" i="214"/>
  <c r="S116" i="214"/>
  <c r="R116" i="214"/>
  <c r="Q116" i="214"/>
  <c r="K116" i="214"/>
  <c r="J116" i="214"/>
  <c r="I116" i="214"/>
  <c r="H116" i="214"/>
  <c r="G116" i="214"/>
  <c r="F116" i="214"/>
  <c r="E116" i="214"/>
  <c r="D116" i="214"/>
  <c r="X115" i="214"/>
  <c r="W115" i="214"/>
  <c r="V115" i="214"/>
  <c r="U115" i="214"/>
  <c r="T115" i="214"/>
  <c r="S115" i="214"/>
  <c r="R115" i="214"/>
  <c r="Q115" i="214"/>
  <c r="K115" i="214"/>
  <c r="J115" i="214"/>
  <c r="I115" i="214"/>
  <c r="H115" i="214"/>
  <c r="G115" i="214"/>
  <c r="F115" i="214"/>
  <c r="E115" i="214"/>
  <c r="D115" i="214"/>
  <c r="K96" i="214"/>
  <c r="J96" i="214"/>
  <c r="I96" i="214"/>
  <c r="H96" i="214"/>
  <c r="G96" i="214"/>
  <c r="F96" i="214"/>
  <c r="E96" i="214"/>
  <c r="D96" i="214"/>
  <c r="K79" i="214"/>
  <c r="J79" i="214"/>
  <c r="I79" i="214"/>
  <c r="H79" i="214"/>
  <c r="G79" i="214"/>
  <c r="F79" i="214"/>
  <c r="E79" i="214"/>
  <c r="D79" i="214"/>
  <c r="X68" i="214"/>
  <c r="T68" i="214"/>
  <c r="S68" i="214"/>
  <c r="R68" i="214"/>
  <c r="Q68" i="214"/>
  <c r="K68" i="214"/>
  <c r="J68" i="214"/>
  <c r="I68" i="214"/>
  <c r="H68" i="214"/>
  <c r="G68" i="214"/>
  <c r="F68" i="214"/>
  <c r="E68" i="214"/>
  <c r="D68" i="214"/>
  <c r="K27" i="214"/>
  <c r="J27" i="214"/>
  <c r="I27" i="214"/>
  <c r="H27" i="214"/>
  <c r="G27" i="214"/>
  <c r="F27" i="214"/>
  <c r="B171" i="214" l="1"/>
  <c r="Y68" i="214"/>
  <c r="Y113" i="214" s="1"/>
  <c r="Z95" i="214" s="1" a="1"/>
  <c r="Z95" i="214" s="1"/>
  <c r="E113" i="214"/>
  <c r="D113" i="214"/>
  <c r="Y152" i="214"/>
  <c r="Q169" i="214"/>
  <c r="K113" i="214"/>
  <c r="Y142" i="214"/>
  <c r="L146" i="214"/>
  <c r="Y149" i="214"/>
  <c r="Y159" i="214"/>
  <c r="Y123" i="214"/>
  <c r="Y156" i="214"/>
  <c r="L161" i="214"/>
  <c r="Y166" i="214"/>
  <c r="L159" i="214"/>
  <c r="Y137" i="214"/>
  <c r="Y144" i="214"/>
  <c r="L152" i="214"/>
  <c r="L166" i="214"/>
  <c r="L138" i="214"/>
  <c r="Y139" i="214"/>
  <c r="Y158" i="214"/>
  <c r="Y127" i="214"/>
  <c r="Y131" i="214"/>
  <c r="Y135" i="214"/>
  <c r="E169" i="214"/>
  <c r="X169" i="214"/>
  <c r="Y118" i="214"/>
  <c r="Y136" i="214"/>
  <c r="Y120" i="214"/>
  <c r="Y129" i="214"/>
  <c r="I169" i="214"/>
  <c r="L127" i="214"/>
  <c r="Y33" i="214"/>
  <c r="Y61" i="214"/>
  <c r="K169" i="214"/>
  <c r="L139" i="214"/>
  <c r="L145" i="214"/>
  <c r="Y146" i="214"/>
  <c r="Y148" i="214"/>
  <c r="Y122" i="214"/>
  <c r="L125" i="214"/>
  <c r="L132" i="214"/>
  <c r="Y157" i="214"/>
  <c r="Y168" i="214"/>
  <c r="L31" i="214"/>
  <c r="Y34" i="214"/>
  <c r="Y44" i="214"/>
  <c r="R169" i="214"/>
  <c r="L119" i="214"/>
  <c r="S169" i="214"/>
  <c r="Y116" i="214"/>
  <c r="L140" i="214"/>
  <c r="I113" i="214"/>
  <c r="T169" i="214"/>
  <c r="L120" i="214"/>
  <c r="Y130" i="214"/>
  <c r="L134" i="214"/>
  <c r="Y143" i="214"/>
  <c r="L147" i="214"/>
  <c r="L156" i="214"/>
  <c r="U169" i="214"/>
  <c r="Y117" i="214"/>
  <c r="L128" i="214"/>
  <c r="L135" i="214"/>
  <c r="Y150" i="214"/>
  <c r="V169" i="214"/>
  <c r="Y124" i="214"/>
  <c r="Y138" i="214"/>
  <c r="L141" i="214"/>
  <c r="L154" i="214"/>
  <c r="D169" i="214"/>
  <c r="Y115" i="214"/>
  <c r="L129" i="214"/>
  <c r="L142" i="214"/>
  <c r="L148" i="214"/>
  <c r="L157" i="214"/>
  <c r="L168" i="214"/>
  <c r="L122" i="214"/>
  <c r="Y125" i="214"/>
  <c r="Y145" i="214"/>
  <c r="L149" i="214"/>
  <c r="Y161" i="214"/>
  <c r="S66" i="214"/>
  <c r="L63" i="214"/>
  <c r="F169" i="214"/>
  <c r="L116" i="214"/>
  <c r="Y132" i="214"/>
  <c r="L136" i="214"/>
  <c r="L35" i="214"/>
  <c r="L45" i="214"/>
  <c r="L52" i="214"/>
  <c r="G169" i="214"/>
  <c r="Y119" i="214"/>
  <c r="L123" i="214"/>
  <c r="Y154" i="214"/>
  <c r="L158" i="214"/>
  <c r="L34" i="214"/>
  <c r="W66" i="214"/>
  <c r="L65" i="214"/>
  <c r="L79" i="214"/>
  <c r="H169" i="214"/>
  <c r="L130" i="214"/>
  <c r="Y134" i="214"/>
  <c r="L137" i="214"/>
  <c r="Y140" i="214"/>
  <c r="L143" i="214"/>
  <c r="L150" i="214"/>
  <c r="X66" i="214"/>
  <c r="L36" i="214"/>
  <c r="Y42" i="214"/>
  <c r="L117" i="214"/>
  <c r="L124" i="214"/>
  <c r="L131" i="214"/>
  <c r="Y147" i="214"/>
  <c r="L167" i="214"/>
  <c r="Q66" i="214"/>
  <c r="W113" i="214"/>
  <c r="J169" i="214"/>
  <c r="L118" i="214"/>
  <c r="Y128" i="214"/>
  <c r="Y141" i="214"/>
  <c r="L144" i="214"/>
  <c r="Y167" i="214"/>
  <c r="L27" i="214"/>
  <c r="E66" i="214"/>
  <c r="L29" i="214"/>
  <c r="L51" i="214"/>
  <c r="Y48" i="214"/>
  <c r="L62" i="214"/>
  <c r="L46" i="214"/>
  <c r="Y58" i="214"/>
  <c r="F66" i="214"/>
  <c r="G66" i="214"/>
  <c r="Y41" i="214"/>
  <c r="H66" i="214"/>
  <c r="Y49" i="214"/>
  <c r="L53" i="214"/>
  <c r="Y60" i="214"/>
  <c r="Y50" i="214"/>
  <c r="I66" i="214"/>
  <c r="K66" i="214"/>
  <c r="L48" i="214"/>
  <c r="Y51" i="214"/>
  <c r="R66" i="214"/>
  <c r="L58" i="214"/>
  <c r="Y62" i="214"/>
  <c r="Y43" i="214"/>
  <c r="L41" i="214"/>
  <c r="Y29" i="214"/>
  <c r="L30" i="214"/>
  <c r="L33" i="214"/>
  <c r="Y35" i="214"/>
  <c r="T66" i="214"/>
  <c r="L39" i="214"/>
  <c r="L43" i="214"/>
  <c r="Y45" i="214"/>
  <c r="Y31" i="214"/>
  <c r="Y32" i="214"/>
  <c r="U66" i="214"/>
  <c r="Y30" i="214"/>
  <c r="L32" i="214"/>
  <c r="Y36" i="214"/>
  <c r="Y46" i="214"/>
  <c r="L47" i="214"/>
  <c r="L50" i="214"/>
  <c r="Y52" i="214"/>
  <c r="D66" i="214"/>
  <c r="V66" i="214"/>
  <c r="Y39" i="214"/>
  <c r="L42" i="214"/>
  <c r="Y53" i="214"/>
  <c r="L54" i="214"/>
  <c r="L61" i="214"/>
  <c r="Y63" i="214"/>
  <c r="Y47" i="214"/>
  <c r="L49" i="214"/>
  <c r="Y65" i="214"/>
  <c r="L44" i="214"/>
  <c r="Y54" i="214"/>
  <c r="L60" i="214"/>
  <c r="U113" i="214"/>
  <c r="J113" i="214"/>
  <c r="V113" i="214"/>
  <c r="G113" i="214"/>
  <c r="H113" i="214"/>
  <c r="Q113" i="214"/>
  <c r="X113" i="214"/>
  <c r="L96" i="214"/>
  <c r="S113" i="214"/>
  <c r="F113" i="214"/>
  <c r="T113" i="214"/>
  <c r="R113" i="214"/>
  <c r="W169" i="214"/>
  <c r="J66" i="214"/>
  <c r="L68" i="214"/>
  <c r="L115" i="214"/>
  <c r="Z17" i="212"/>
  <c r="X17" i="212"/>
  <c r="W17" i="212"/>
  <c r="V17" i="212"/>
  <c r="T17" i="212"/>
  <c r="S17" i="212"/>
  <c r="R17" i="212"/>
  <c r="Q17" i="212"/>
  <c r="P17" i="212"/>
  <c r="O17" i="212"/>
  <c r="N17" i="212"/>
  <c r="L17" i="212"/>
  <c r="J17" i="212"/>
  <c r="I17" i="212"/>
  <c r="H17" i="212"/>
  <c r="F17" i="212"/>
  <c r="E17" i="212"/>
  <c r="D17" i="212"/>
  <c r="B17" i="212"/>
  <c r="V76" i="202"/>
  <c r="A217" i="203" s="1"/>
  <c r="A216" i="203"/>
  <c r="A215" i="203"/>
  <c r="L66" i="214" l="1"/>
  <c r="Y169" i="214"/>
  <c r="Y66" i="214"/>
  <c r="B214" i="212"/>
  <c r="B215" i="212"/>
  <c r="B216" i="212"/>
  <c r="L169" i="214"/>
  <c r="M164" i="214" s="1" a="1"/>
  <c r="M164" i="214" s="1"/>
  <c r="L113" i="214"/>
  <c r="M68" i="214" s="1" a="1"/>
  <c r="M68" i="214" s="1"/>
  <c r="F54" i="212"/>
  <c r="K55" i="212"/>
  <c r="K51" i="212"/>
  <c r="F55" i="212"/>
  <c r="M43" i="214" l="1" a="1"/>
  <c r="M43" i="214" s="1"/>
  <c r="M40" i="214" a="1"/>
  <c r="M40" i="214" s="1"/>
  <c r="Z59" i="214" a="1"/>
  <c r="Z59" i="214" s="1"/>
  <c r="Z40" i="214" a="1"/>
  <c r="Z40" i="214" s="1"/>
  <c r="Z126" i="214" a="1"/>
  <c r="Z126" i="214" s="1"/>
  <c r="Z164" i="214" a="1"/>
  <c r="Z164" i="214" s="1"/>
  <c r="M165" i="214" a="1"/>
  <c r="M165" i="214" s="1"/>
  <c r="M126" i="214" a="1"/>
  <c r="M126" i="214" s="1"/>
  <c r="Z163" i="214" a="1"/>
  <c r="Z163" i="214" s="1"/>
  <c r="Z165" i="214" a="1"/>
  <c r="Z165" i="214" s="1"/>
  <c r="M162" i="214" a="1"/>
  <c r="M162" i="214" s="1"/>
  <c r="M163" i="214" a="1"/>
  <c r="M163" i="214" s="1"/>
  <c r="Z121" i="214" a="1"/>
  <c r="Z121" i="214" s="1"/>
  <c r="Z162" i="214" a="1"/>
  <c r="Z162" i="214" s="1"/>
  <c r="M133" i="214" a="1"/>
  <c r="M133" i="214" s="1"/>
  <c r="M121" i="214" a="1"/>
  <c r="M121" i="214" s="1"/>
  <c r="Z155" i="214" a="1"/>
  <c r="Z155" i="214" s="1"/>
  <c r="Z133" i="214" a="1"/>
  <c r="Z133" i="214" s="1"/>
  <c r="M151" i="214" a="1"/>
  <c r="M151" i="214" s="1"/>
  <c r="M155" i="214" a="1"/>
  <c r="M155" i="214" s="1"/>
  <c r="Z153" i="214" a="1"/>
  <c r="Z153" i="214" s="1"/>
  <c r="Z151" i="214" a="1"/>
  <c r="Z151" i="214" s="1"/>
  <c r="M160" i="214" a="1"/>
  <c r="M160" i="214" s="1"/>
  <c r="M153" i="214" a="1"/>
  <c r="M153" i="214" s="1"/>
  <c r="Z150" i="214" a="1"/>
  <c r="Z150" i="214" s="1"/>
  <c r="Z160" i="214" a="1"/>
  <c r="Z160" i="214" s="1"/>
  <c r="Z98" i="214" a="1"/>
  <c r="Z98" i="214" s="1"/>
  <c r="Z112" i="214" a="1"/>
  <c r="Z112" i="214" s="1"/>
  <c r="Z94" i="214" a="1"/>
  <c r="Z94" i="214" s="1"/>
  <c r="Z92" i="214" a="1"/>
  <c r="Z92" i="214" s="1"/>
  <c r="M49" i="214" a="1"/>
  <c r="M49" i="214" s="1"/>
  <c r="M47" i="214" a="1"/>
  <c r="M47" i="214" s="1"/>
  <c r="M50" i="214" a="1"/>
  <c r="M50" i="214" s="1"/>
  <c r="M31" i="214" a="1"/>
  <c r="M31" i="214" s="1"/>
  <c r="M41" i="214" a="1"/>
  <c r="M41" i="214" s="1"/>
  <c r="M53" i="214" a="1"/>
  <c r="M53" i="214" s="1"/>
  <c r="M33" i="214" a="1"/>
  <c r="M33" i="214" s="1"/>
  <c r="M46" i="214" a="1"/>
  <c r="M46" i="214" s="1"/>
  <c r="M42" i="214" a="1"/>
  <c r="M42" i="214" s="1"/>
  <c r="M51" i="214" a="1"/>
  <c r="M51" i="214" s="1"/>
  <c r="M34" i="214" a="1"/>
  <c r="M34" i="214" s="1"/>
  <c r="M39" i="214" a="1"/>
  <c r="M39" i="214" s="1"/>
  <c r="M32" i="214" a="1"/>
  <c r="M32" i="214" s="1"/>
  <c r="M62" i="214" a="1"/>
  <c r="M62" i="214" s="1"/>
  <c r="M54" i="214" a="1"/>
  <c r="M54" i="214" s="1"/>
  <c r="M63" i="214" a="1"/>
  <c r="M63" i="214" s="1"/>
  <c r="M65" i="214" a="1"/>
  <c r="M65" i="214" s="1"/>
  <c r="M48" i="214" a="1"/>
  <c r="M48" i="214" s="1"/>
  <c r="M37" i="214" a="1"/>
  <c r="M37" i="214" s="1"/>
  <c r="M59" i="214" a="1"/>
  <c r="M59" i="214" s="1"/>
  <c r="M38" i="214" a="1"/>
  <c r="M38" i="214" s="1"/>
  <c r="M57" i="214" a="1"/>
  <c r="M57" i="214" s="1"/>
  <c r="M56" i="214" a="1"/>
  <c r="M56" i="214" s="1"/>
  <c r="M64" i="214" a="1"/>
  <c r="M64" i="214" s="1"/>
  <c r="M55" i="214" a="1"/>
  <c r="M55" i="214" s="1"/>
  <c r="M28" i="214" a="1"/>
  <c r="M28" i="214" s="1"/>
  <c r="M27" i="214" a="1"/>
  <c r="M27" i="214" s="1"/>
  <c r="M30" i="214" a="1"/>
  <c r="M30" i="214" s="1"/>
  <c r="M35" i="214" a="1"/>
  <c r="M35" i="214" s="1"/>
  <c r="M29" i="214" a="1"/>
  <c r="M29" i="214" s="1"/>
  <c r="M58" i="214" a="1"/>
  <c r="M58" i="214" s="1"/>
  <c r="M36" i="214" a="1"/>
  <c r="M36" i="214" s="1"/>
  <c r="M60" i="214" a="1"/>
  <c r="M60" i="214" s="1"/>
  <c r="M44" i="214" a="1"/>
  <c r="M44" i="214" s="1"/>
  <c r="M61" i="214" a="1"/>
  <c r="M61" i="214" s="1"/>
  <c r="M52" i="214" a="1"/>
  <c r="M52" i="214" s="1"/>
  <c r="M45" i="214" a="1"/>
  <c r="M45" i="214" s="1"/>
  <c r="Z56" i="214" a="1"/>
  <c r="Z56" i="214" s="1"/>
  <c r="Z57" i="214" a="1"/>
  <c r="Z57" i="214" s="1"/>
  <c r="Z55" i="214" a="1"/>
  <c r="Z55" i="214" s="1"/>
  <c r="Z64" i="214" a="1"/>
  <c r="Z64" i="214" s="1"/>
  <c r="Z37" i="214" a="1"/>
  <c r="Z37" i="214" s="1"/>
  <c r="Z38" i="214" a="1"/>
  <c r="Z38" i="214" s="1"/>
  <c r="Z27" i="214" a="1"/>
  <c r="Z27" i="214" s="1"/>
  <c r="Z28" i="214" a="1"/>
  <c r="Z28" i="214" s="1"/>
  <c r="Z167" i="214" a="1"/>
  <c r="Z167" i="214" s="1"/>
  <c r="Z139" i="214" a="1"/>
  <c r="Z139" i="214" s="1"/>
  <c r="Z159" i="214" a="1"/>
  <c r="Z159" i="214" s="1"/>
  <c r="Z166" i="214" a="1"/>
  <c r="Z166" i="214" s="1"/>
  <c r="Z118" i="214" a="1"/>
  <c r="Z118" i="214" s="1"/>
  <c r="Z134" i="214" a="1"/>
  <c r="Z134" i="214" s="1"/>
  <c r="Z129" i="214" a="1"/>
  <c r="Z129" i="214" s="1"/>
  <c r="Z156" i="214" a="1"/>
  <c r="Z156" i="214" s="1"/>
  <c r="Z131" i="214" a="1"/>
  <c r="Z131" i="214" s="1"/>
  <c r="Z137" i="214" a="1"/>
  <c r="Z137" i="214" s="1"/>
  <c r="Z152" i="214" a="1"/>
  <c r="Z152" i="214" s="1"/>
  <c r="Z115" i="214" a="1"/>
  <c r="Z115" i="214" s="1"/>
  <c r="Z132" i="214" a="1"/>
  <c r="Z132" i="214" s="1"/>
  <c r="Z119" i="214" a="1"/>
  <c r="Z119" i="214" s="1"/>
  <c r="Z168" i="214" a="1"/>
  <c r="Z168" i="214" s="1"/>
  <c r="Z123" i="214" a="1"/>
  <c r="Z123" i="214" s="1"/>
  <c r="Z144" i="214" a="1"/>
  <c r="Z144" i="214" s="1"/>
  <c r="Z130" i="214" a="1"/>
  <c r="Z130" i="214" s="1"/>
  <c r="Z147" i="214" a="1"/>
  <c r="Z147" i="214" s="1"/>
  <c r="Z141" i="214" a="1"/>
  <c r="Z141" i="214" s="1"/>
  <c r="Z120" i="214" a="1"/>
  <c r="Z120" i="214" s="1"/>
  <c r="Z149" i="214" a="1"/>
  <c r="Z149" i="214" s="1"/>
  <c r="Z124" i="214" a="1"/>
  <c r="Z124" i="214" s="1"/>
  <c r="Z125" i="214" a="1"/>
  <c r="Z125" i="214" s="1"/>
  <c r="Z145" i="214" a="1"/>
  <c r="Z145" i="214" s="1"/>
  <c r="Z122" i="214" a="1"/>
  <c r="Z122" i="214" s="1"/>
  <c r="Z148" i="214" a="1"/>
  <c r="Z148" i="214" s="1"/>
  <c r="Z158" i="214" a="1"/>
  <c r="Z158" i="214" s="1"/>
  <c r="Z138" i="214" a="1"/>
  <c r="Z138" i="214" s="1"/>
  <c r="Z154" i="214" a="1"/>
  <c r="Z154" i="214" s="1"/>
  <c r="Z143" i="214" a="1"/>
  <c r="Z143" i="214" s="1"/>
  <c r="Z135" i="214" a="1"/>
  <c r="Z135" i="214" s="1"/>
  <c r="Z127" i="214" a="1"/>
  <c r="Z127" i="214" s="1"/>
  <c r="Z157" i="214" a="1"/>
  <c r="Z157" i="214" s="1"/>
  <c r="Z140" i="214" a="1"/>
  <c r="Z140" i="214" s="1"/>
  <c r="Z161" i="214" a="1"/>
  <c r="Z161" i="214" s="1"/>
  <c r="Z128" i="214" a="1"/>
  <c r="Z128" i="214" s="1"/>
  <c r="Z116" i="214" a="1"/>
  <c r="Z116" i="214" s="1"/>
  <c r="Z117" i="214" a="1"/>
  <c r="Z117" i="214" s="1"/>
  <c r="Z142" i="214" a="1"/>
  <c r="Z142" i="214" s="1"/>
  <c r="Z146" i="214" a="1"/>
  <c r="Z146" i="214" s="1"/>
  <c r="Z136" i="214" a="1"/>
  <c r="Z136" i="214" s="1"/>
  <c r="Z52" i="214" a="1"/>
  <c r="Z52" i="214" s="1"/>
  <c r="Z31" i="214" a="1"/>
  <c r="Z31" i="214" s="1"/>
  <c r="Z54" i="214" a="1"/>
  <c r="Z54" i="214" s="1"/>
  <c r="Z48" i="214" a="1"/>
  <c r="Z48" i="214" s="1"/>
  <c r="Z51" i="214" a="1"/>
  <c r="Z51" i="214" s="1"/>
  <c r="Z30" i="214" a="1"/>
  <c r="Z30" i="214" s="1"/>
  <c r="Z39" i="214" a="1"/>
  <c r="Z39" i="214" s="1"/>
  <c r="Z47" i="214" a="1"/>
  <c r="Z47" i="214" s="1"/>
  <c r="Z49" i="214" a="1"/>
  <c r="Z49" i="214" s="1"/>
  <c r="Z61" i="214" a="1"/>
  <c r="Z61" i="214" s="1"/>
  <c r="Z44" i="214" a="1"/>
  <c r="Z44" i="214" s="1"/>
  <c r="Z58" i="214" a="1"/>
  <c r="Z58" i="214" s="1"/>
  <c r="Z43" i="214" a="1"/>
  <c r="Z43" i="214" s="1"/>
  <c r="Z63" i="214" a="1"/>
  <c r="Z63" i="214" s="1"/>
  <c r="Z35" i="214" a="1"/>
  <c r="Z35" i="214" s="1"/>
  <c r="Z42" i="214" a="1"/>
  <c r="Z42" i="214" s="1"/>
  <c r="Z62" i="214" a="1"/>
  <c r="Z62" i="214" s="1"/>
  <c r="Z32" i="214" a="1"/>
  <c r="Z32" i="214" s="1"/>
  <c r="Z33" i="214" a="1"/>
  <c r="Z33" i="214" s="1"/>
  <c r="Z50" i="214" a="1"/>
  <c r="Z50" i="214" s="1"/>
  <c r="Z60" i="214" a="1"/>
  <c r="Z60" i="214" s="1"/>
  <c r="Z41" i="214" a="1"/>
  <c r="Z41" i="214" s="1"/>
  <c r="Z45" i="214" a="1"/>
  <c r="Z45" i="214" s="1"/>
  <c r="Z46" i="214" a="1"/>
  <c r="Z46" i="214" s="1"/>
  <c r="Z34" i="214" a="1"/>
  <c r="Z34" i="214" s="1"/>
  <c r="Z29" i="214" a="1"/>
  <c r="Z29" i="214" s="1"/>
  <c r="Z36" i="214" a="1"/>
  <c r="Z36" i="214" s="1"/>
  <c r="Z53" i="214" a="1"/>
  <c r="Z53" i="214" s="1"/>
  <c r="Z65" i="214" a="1"/>
  <c r="Z65" i="214" s="1"/>
  <c r="Z102" i="214" a="1"/>
  <c r="Z102" i="214" s="1"/>
  <c r="Z81" i="214" a="1"/>
  <c r="Z81" i="214" s="1"/>
  <c r="Z89" i="214" a="1"/>
  <c r="Z89" i="214" s="1"/>
  <c r="Z107" i="214" a="1"/>
  <c r="Z107" i="214" s="1"/>
  <c r="Z70" i="214" a="1"/>
  <c r="Z70" i="214" s="1"/>
  <c r="Z80" i="214" a="1"/>
  <c r="Z80" i="214" s="1"/>
  <c r="Z103" i="214" a="1"/>
  <c r="Z103" i="214" s="1"/>
  <c r="Z108" i="214" a="1"/>
  <c r="Z108" i="214" s="1"/>
  <c r="Z109" i="214" a="1"/>
  <c r="Z109" i="214" s="1"/>
  <c r="Z78" i="214" a="1"/>
  <c r="Z78" i="214" s="1"/>
  <c r="Z90" i="214" a="1"/>
  <c r="Z90" i="214" s="1"/>
  <c r="Z101" i="214" a="1"/>
  <c r="Z101" i="214" s="1"/>
  <c r="Z71" i="214" a="1"/>
  <c r="Z71" i="214" s="1"/>
  <c r="Z97" i="214" a="1"/>
  <c r="Z97" i="214" s="1"/>
  <c r="Z73" i="214" a="1"/>
  <c r="Z73" i="214" s="1"/>
  <c r="Z84" i="214" a="1"/>
  <c r="Z84" i="214" s="1"/>
  <c r="Z91" i="214" a="1"/>
  <c r="Z91" i="214" s="1"/>
  <c r="Z72" i="214" a="1"/>
  <c r="Z72" i="214" s="1"/>
  <c r="Z88" i="214" a="1"/>
  <c r="Z88" i="214" s="1"/>
  <c r="Z75" i="214" a="1"/>
  <c r="Z75" i="214" s="1"/>
  <c r="Z83" i="214" a="1"/>
  <c r="Z83" i="214" s="1"/>
  <c r="Z111" i="214" a="1"/>
  <c r="Z111" i="214" s="1"/>
  <c r="Z74" i="214" a="1"/>
  <c r="Z74" i="214" s="1"/>
  <c r="Z82" i="214" a="1"/>
  <c r="Z82" i="214" s="1"/>
  <c r="Z86" i="214" a="1"/>
  <c r="Z86" i="214" s="1"/>
  <c r="Z87" i="214" a="1"/>
  <c r="Z87" i="214" s="1"/>
  <c r="Z85" i="214" a="1"/>
  <c r="Z85" i="214" s="1"/>
  <c r="Z100" i="214" a="1"/>
  <c r="Z100" i="214" s="1"/>
  <c r="Z93" i="214" a="1"/>
  <c r="Z93" i="214" s="1"/>
  <c r="Z110" i="214" a="1"/>
  <c r="Z110" i="214" s="1"/>
  <c r="Z106" i="214" a="1"/>
  <c r="Z106" i="214" s="1"/>
  <c r="Z76" i="214" a="1"/>
  <c r="Z76" i="214" s="1"/>
  <c r="Z69" i="214" a="1"/>
  <c r="Z69" i="214" s="1"/>
  <c r="Z105" i="214" a="1"/>
  <c r="Z105" i="214" s="1"/>
  <c r="Z96" i="214" a="1"/>
  <c r="Z96" i="214" s="1"/>
  <c r="Z77" i="214" a="1"/>
  <c r="Z77" i="214" s="1"/>
  <c r="Z104" i="214" a="1"/>
  <c r="Z104" i="214" s="1"/>
  <c r="Z79" i="214" a="1"/>
  <c r="Z79" i="214" s="1"/>
  <c r="Z99" i="214" a="1"/>
  <c r="Z99" i="214" s="1"/>
  <c r="Z68" i="214" a="1"/>
  <c r="Z68" i="214" s="1"/>
  <c r="M120" i="214" a="1"/>
  <c r="M120" i="214" s="1"/>
  <c r="M131" i="214" a="1"/>
  <c r="M131" i="214" s="1"/>
  <c r="M140" i="214" a="1"/>
  <c r="M140" i="214" s="1"/>
  <c r="M129" i="214" a="1"/>
  <c r="M129" i="214" s="1"/>
  <c r="M138" i="214" a="1"/>
  <c r="M138" i="214" s="1"/>
  <c r="M145" i="214" a="1"/>
  <c r="M145" i="214" s="1"/>
  <c r="M132" i="214" a="1"/>
  <c r="M132" i="214" s="1"/>
  <c r="M127" i="214" a="1"/>
  <c r="M127" i="214" s="1"/>
  <c r="M122" i="214" a="1"/>
  <c r="M122" i="214" s="1"/>
  <c r="M141" i="214" a="1"/>
  <c r="M141" i="214" s="1"/>
  <c r="M157" i="214" a="1"/>
  <c r="M157" i="214" s="1"/>
  <c r="M149" i="214" a="1"/>
  <c r="M149" i="214" s="1"/>
  <c r="M150" i="214" a="1"/>
  <c r="M150" i="214" s="1"/>
  <c r="M128" i="214" a="1"/>
  <c r="M128" i="214" s="1"/>
  <c r="M159" i="214" a="1"/>
  <c r="M159" i="214" s="1"/>
  <c r="M146" i="214" a="1"/>
  <c r="M146" i="214" s="1"/>
  <c r="M130" i="214" a="1"/>
  <c r="M130" i="214" s="1"/>
  <c r="M134" i="214" a="1"/>
  <c r="M134" i="214" s="1"/>
  <c r="M154" i="214" a="1"/>
  <c r="M154" i="214" s="1"/>
  <c r="M167" i="214" a="1"/>
  <c r="M167" i="214" s="1"/>
  <c r="M118" i="214" a="1"/>
  <c r="M118" i="214" s="1"/>
  <c r="M137" i="214" a="1"/>
  <c r="M137" i="214" s="1"/>
  <c r="M144" i="214" a="1"/>
  <c r="M144" i="214" s="1"/>
  <c r="M143" i="214" a="1"/>
  <c r="M143" i="214" s="1"/>
  <c r="M147" i="214" a="1"/>
  <c r="M147" i="214" s="1"/>
  <c r="M139" i="214" a="1"/>
  <c r="M139" i="214" s="1"/>
  <c r="M166" i="214" a="1"/>
  <c r="M166" i="214" s="1"/>
  <c r="M142" i="214" a="1"/>
  <c r="M142" i="214" s="1"/>
  <c r="M136" i="214" a="1"/>
  <c r="M136" i="214" s="1"/>
  <c r="M152" i="214" a="1"/>
  <c r="M152" i="214" s="1"/>
  <c r="M124" i="214" a="1"/>
  <c r="M124" i="214" s="1"/>
  <c r="M168" i="214" a="1"/>
  <c r="M168" i="214" s="1"/>
  <c r="M123" i="214" a="1"/>
  <c r="M123" i="214" s="1"/>
  <c r="M125" i="214" a="1"/>
  <c r="M125" i="214" s="1"/>
  <c r="M119" i="214" a="1"/>
  <c r="M119" i="214" s="1"/>
  <c r="M116" i="214" a="1"/>
  <c r="M116" i="214" s="1"/>
  <c r="M156" i="214" a="1"/>
  <c r="M156" i="214" s="1"/>
  <c r="M161" i="214" a="1"/>
  <c r="M161" i="214" s="1"/>
  <c r="M117" i="214" a="1"/>
  <c r="M117" i="214" s="1"/>
  <c r="M135" i="214" a="1"/>
  <c r="M135" i="214" s="1"/>
  <c r="M148" i="214" a="1"/>
  <c r="M148" i="214" s="1"/>
  <c r="M158" i="214" a="1"/>
  <c r="M158" i="214" s="1"/>
  <c r="M115" i="214" a="1"/>
  <c r="M115" i="214" s="1"/>
  <c r="M96" i="214"/>
  <c r="M79" i="214"/>
  <c r="X54" i="212"/>
  <c r="W54" i="212"/>
  <c r="V54" i="212"/>
  <c r="U54" i="212"/>
  <c r="T54" i="212"/>
  <c r="S54" i="212"/>
  <c r="R54" i="212"/>
  <c r="Q54" i="212"/>
  <c r="X53" i="212"/>
  <c r="W53" i="212"/>
  <c r="V53" i="212"/>
  <c r="U53" i="212"/>
  <c r="T53" i="212"/>
  <c r="S53" i="212"/>
  <c r="R53" i="212"/>
  <c r="Q53" i="212"/>
  <c r="X52" i="212"/>
  <c r="W52" i="212"/>
  <c r="V52" i="212"/>
  <c r="U52" i="212"/>
  <c r="T52" i="212"/>
  <c r="S52" i="212"/>
  <c r="R52" i="212"/>
  <c r="Q52" i="212"/>
  <c r="X51" i="212"/>
  <c r="W51" i="212"/>
  <c r="V51" i="212"/>
  <c r="U51" i="212"/>
  <c r="T51" i="212"/>
  <c r="S51" i="212"/>
  <c r="R51" i="212"/>
  <c r="Q51" i="212"/>
  <c r="X50" i="212"/>
  <c r="W50" i="212"/>
  <c r="V50" i="212"/>
  <c r="U50" i="212"/>
  <c r="T50" i="212"/>
  <c r="S50" i="212"/>
  <c r="R50" i="212"/>
  <c r="Q50" i="212"/>
  <c r="X49" i="212"/>
  <c r="W49" i="212"/>
  <c r="V49" i="212"/>
  <c r="U49" i="212"/>
  <c r="T49" i="212"/>
  <c r="S49" i="212"/>
  <c r="R49" i="212"/>
  <c r="Q49" i="212"/>
  <c r="X48" i="212"/>
  <c r="W48" i="212"/>
  <c r="V48" i="212"/>
  <c r="U48" i="212"/>
  <c r="T48" i="212"/>
  <c r="S48" i="212"/>
  <c r="R48" i="212"/>
  <c r="Q48" i="212"/>
  <c r="D48" i="212"/>
  <c r="F48" i="212"/>
  <c r="G48" i="212"/>
  <c r="H48" i="212"/>
  <c r="I48" i="212"/>
  <c r="J48" i="212"/>
  <c r="K48" i="212"/>
  <c r="X29" i="212"/>
  <c r="W29" i="212"/>
  <c r="V29" i="212"/>
  <c r="T29" i="212"/>
  <c r="S29" i="212"/>
  <c r="R29" i="212"/>
  <c r="Q29" i="212"/>
  <c r="P29" i="212"/>
  <c r="O29" i="212"/>
  <c r="N29" i="212"/>
  <c r="L29" i="212"/>
  <c r="J29" i="212"/>
  <c r="I29" i="212"/>
  <c r="H29" i="212"/>
  <c r="F29" i="212"/>
  <c r="E29" i="212"/>
  <c r="D29" i="212"/>
  <c r="B29" i="212"/>
  <c r="Q123" i="212"/>
  <c r="R123" i="212"/>
  <c r="S123" i="212"/>
  <c r="T123" i="212"/>
  <c r="U123" i="212"/>
  <c r="V123" i="212"/>
  <c r="W123" i="212"/>
  <c r="X123" i="212"/>
  <c r="Q124" i="212"/>
  <c r="R124" i="212"/>
  <c r="S124" i="212"/>
  <c r="T124" i="212"/>
  <c r="U124" i="212"/>
  <c r="V124" i="212"/>
  <c r="W124" i="212"/>
  <c r="X124" i="212"/>
  <c r="Q125" i="212"/>
  <c r="R125" i="212"/>
  <c r="S125" i="212"/>
  <c r="T125" i="212"/>
  <c r="U125" i="212"/>
  <c r="V125" i="212"/>
  <c r="W125" i="212"/>
  <c r="X125" i="212"/>
  <c r="Q126" i="212"/>
  <c r="R126" i="212"/>
  <c r="S126" i="212"/>
  <c r="T126" i="212"/>
  <c r="U126" i="212"/>
  <c r="V126" i="212"/>
  <c r="W126" i="212"/>
  <c r="X126" i="212"/>
  <c r="Q127" i="212"/>
  <c r="R127" i="212"/>
  <c r="S127" i="212"/>
  <c r="T127" i="212"/>
  <c r="U127" i="212"/>
  <c r="V127" i="212"/>
  <c r="W127" i="212"/>
  <c r="X127" i="212"/>
  <c r="Q128" i="212"/>
  <c r="R128" i="212"/>
  <c r="S128" i="212"/>
  <c r="T128" i="212"/>
  <c r="U128" i="212"/>
  <c r="V128" i="212"/>
  <c r="W128" i="212"/>
  <c r="X128" i="212"/>
  <c r="Q129" i="212"/>
  <c r="R129" i="212"/>
  <c r="S129" i="212"/>
  <c r="T129" i="212"/>
  <c r="U129" i="212"/>
  <c r="V129" i="212"/>
  <c r="W129" i="212"/>
  <c r="X129" i="212"/>
  <c r="Q130" i="212"/>
  <c r="R130" i="212"/>
  <c r="S130" i="212"/>
  <c r="T130" i="212"/>
  <c r="U130" i="212"/>
  <c r="V130" i="212"/>
  <c r="W130" i="212"/>
  <c r="X130" i="212"/>
  <c r="Q131" i="212"/>
  <c r="R131" i="212"/>
  <c r="S131" i="212"/>
  <c r="T131" i="212"/>
  <c r="U131" i="212"/>
  <c r="V131" i="212"/>
  <c r="W131" i="212"/>
  <c r="X131" i="212"/>
  <c r="Q132" i="212"/>
  <c r="R132" i="212"/>
  <c r="S132" i="212"/>
  <c r="T132" i="212"/>
  <c r="U132" i="212"/>
  <c r="V132" i="212"/>
  <c r="W132" i="212"/>
  <c r="X132" i="212"/>
  <c r="Q133" i="212"/>
  <c r="R133" i="212"/>
  <c r="S133" i="212"/>
  <c r="T133" i="212"/>
  <c r="U133" i="212"/>
  <c r="V133" i="212"/>
  <c r="W133" i="212"/>
  <c r="X133" i="212"/>
  <c r="Q134" i="212"/>
  <c r="R134" i="212"/>
  <c r="S134" i="212"/>
  <c r="T134" i="212"/>
  <c r="U134" i="212"/>
  <c r="V134" i="212"/>
  <c r="W134" i="212"/>
  <c r="X134" i="212"/>
  <c r="Q135" i="212"/>
  <c r="R135" i="212"/>
  <c r="S135" i="212"/>
  <c r="T135" i="212"/>
  <c r="U135" i="212"/>
  <c r="V135" i="212"/>
  <c r="W135" i="212"/>
  <c r="X135" i="212"/>
  <c r="Q136" i="212"/>
  <c r="R136" i="212"/>
  <c r="S136" i="212"/>
  <c r="T136" i="212"/>
  <c r="U136" i="212"/>
  <c r="V136" i="212"/>
  <c r="W136" i="212"/>
  <c r="X136" i="212"/>
  <c r="Q137" i="212"/>
  <c r="R137" i="212"/>
  <c r="S137" i="212"/>
  <c r="T137" i="212"/>
  <c r="U137" i="212"/>
  <c r="V137" i="212"/>
  <c r="W137" i="212"/>
  <c r="X137" i="212"/>
  <c r="Q138" i="212"/>
  <c r="R138" i="212"/>
  <c r="S138" i="212"/>
  <c r="T138" i="212"/>
  <c r="U138" i="212"/>
  <c r="V138" i="212"/>
  <c r="W138" i="212"/>
  <c r="X138" i="212"/>
  <c r="Q139" i="212"/>
  <c r="R139" i="212"/>
  <c r="S139" i="212"/>
  <c r="T139" i="212"/>
  <c r="U139" i="212"/>
  <c r="V139" i="212"/>
  <c r="W139" i="212"/>
  <c r="X139" i="212"/>
  <c r="Q140" i="212"/>
  <c r="R140" i="212"/>
  <c r="S140" i="212"/>
  <c r="T140" i="212"/>
  <c r="U140" i="212"/>
  <c r="V140" i="212"/>
  <c r="W140" i="212"/>
  <c r="X140" i="212"/>
  <c r="Q141" i="212"/>
  <c r="R141" i="212"/>
  <c r="S141" i="212"/>
  <c r="T141" i="212"/>
  <c r="U141" i="212"/>
  <c r="V141" i="212"/>
  <c r="W141" i="212"/>
  <c r="X141" i="212"/>
  <c r="Q142" i="212"/>
  <c r="R142" i="212"/>
  <c r="S142" i="212"/>
  <c r="T142" i="212"/>
  <c r="U142" i="212"/>
  <c r="V142" i="212"/>
  <c r="W142" i="212"/>
  <c r="X142" i="212"/>
  <c r="Q143" i="212"/>
  <c r="R143" i="212"/>
  <c r="S143" i="212"/>
  <c r="T143" i="212"/>
  <c r="U143" i="212"/>
  <c r="V143" i="212"/>
  <c r="W143" i="212"/>
  <c r="X143" i="212"/>
  <c r="Q144" i="212"/>
  <c r="R144" i="212"/>
  <c r="S144" i="212"/>
  <c r="T144" i="212"/>
  <c r="U144" i="212"/>
  <c r="V144" i="212"/>
  <c r="W144" i="212"/>
  <c r="X144" i="212"/>
  <c r="Q145" i="212"/>
  <c r="R145" i="212"/>
  <c r="S145" i="212"/>
  <c r="T145" i="212"/>
  <c r="U145" i="212"/>
  <c r="V145" i="212"/>
  <c r="W145" i="212"/>
  <c r="X145" i="212"/>
  <c r="Q146" i="212"/>
  <c r="R146" i="212"/>
  <c r="S146" i="212"/>
  <c r="T146" i="212"/>
  <c r="U146" i="212"/>
  <c r="V146" i="212"/>
  <c r="W146" i="212"/>
  <c r="X146" i="212"/>
  <c r="Q147" i="212"/>
  <c r="R147" i="212"/>
  <c r="S147" i="212"/>
  <c r="T147" i="212"/>
  <c r="U147" i="212"/>
  <c r="V147" i="212"/>
  <c r="W147" i="212"/>
  <c r="X147" i="212"/>
  <c r="Q148" i="212"/>
  <c r="R148" i="212"/>
  <c r="S148" i="212"/>
  <c r="T148" i="212"/>
  <c r="U148" i="212"/>
  <c r="V148" i="212"/>
  <c r="W148" i="212"/>
  <c r="X148" i="212"/>
  <c r="Q120" i="212"/>
  <c r="R120" i="212"/>
  <c r="S120" i="212"/>
  <c r="T120" i="212"/>
  <c r="U120" i="212"/>
  <c r="V120" i="212"/>
  <c r="W120" i="212"/>
  <c r="X120" i="212"/>
  <c r="Q117" i="212"/>
  <c r="R117" i="212"/>
  <c r="S117" i="212"/>
  <c r="T117" i="212"/>
  <c r="U117" i="212"/>
  <c r="V117" i="212"/>
  <c r="W117" i="212"/>
  <c r="X117" i="212"/>
  <c r="K120" i="212"/>
  <c r="J120" i="212"/>
  <c r="I120" i="212"/>
  <c r="H120" i="212"/>
  <c r="G120" i="212"/>
  <c r="F120" i="212"/>
  <c r="E120" i="212"/>
  <c r="D120" i="212"/>
  <c r="K131" i="212"/>
  <c r="J131" i="212"/>
  <c r="I131" i="212"/>
  <c r="H131" i="212"/>
  <c r="G131" i="212"/>
  <c r="F131" i="212"/>
  <c r="E131" i="212"/>
  <c r="D131" i="212"/>
  <c r="K136" i="212"/>
  <c r="J136" i="212"/>
  <c r="I136" i="212"/>
  <c r="H136" i="212"/>
  <c r="G136" i="212"/>
  <c r="F136" i="212"/>
  <c r="E136" i="212"/>
  <c r="D136" i="212"/>
  <c r="K135" i="212"/>
  <c r="J135" i="212"/>
  <c r="I135" i="212"/>
  <c r="H135" i="212"/>
  <c r="G135" i="212"/>
  <c r="F135" i="212"/>
  <c r="E135" i="212"/>
  <c r="D135" i="212"/>
  <c r="K134" i="212"/>
  <c r="J134" i="212"/>
  <c r="I134" i="212"/>
  <c r="H134" i="212"/>
  <c r="G134" i="212"/>
  <c r="F134" i="212"/>
  <c r="E134" i="212"/>
  <c r="D134" i="212"/>
  <c r="K109" i="212"/>
  <c r="J109" i="212"/>
  <c r="I109" i="212"/>
  <c r="H109" i="212"/>
  <c r="G109" i="212"/>
  <c r="F109" i="212"/>
  <c r="E109" i="212"/>
  <c r="D109" i="212"/>
  <c r="K123" i="212"/>
  <c r="J123" i="212"/>
  <c r="I123" i="212"/>
  <c r="H123" i="212"/>
  <c r="G123" i="212"/>
  <c r="F123" i="212"/>
  <c r="E123" i="212"/>
  <c r="D123" i="212"/>
  <c r="K140" i="212"/>
  <c r="J140" i="212"/>
  <c r="I140" i="212"/>
  <c r="H140" i="212"/>
  <c r="G140" i="212"/>
  <c r="F140" i="212"/>
  <c r="E140" i="212"/>
  <c r="D140" i="212"/>
  <c r="K139" i="212"/>
  <c r="J139" i="212"/>
  <c r="I139" i="212"/>
  <c r="H139" i="212"/>
  <c r="G139" i="212"/>
  <c r="F139" i="212"/>
  <c r="E139" i="212"/>
  <c r="D139" i="212"/>
  <c r="K146" i="212"/>
  <c r="J146" i="212"/>
  <c r="I146" i="212"/>
  <c r="H146" i="212"/>
  <c r="G146" i="212"/>
  <c r="F146" i="212"/>
  <c r="E146" i="212"/>
  <c r="D146" i="212"/>
  <c r="X102" i="212"/>
  <c r="Q102" i="212"/>
  <c r="S102" i="212"/>
  <c r="T102" i="212"/>
  <c r="U102" i="212"/>
  <c r="V102" i="212"/>
  <c r="W102" i="212"/>
  <c r="X100" i="212"/>
  <c r="W100" i="212"/>
  <c r="V100" i="212"/>
  <c r="U100" i="212"/>
  <c r="T100" i="212"/>
  <c r="S100" i="212"/>
  <c r="Q100" i="212"/>
  <c r="X92" i="212"/>
  <c r="W92" i="212"/>
  <c r="V92" i="212"/>
  <c r="U92" i="212"/>
  <c r="T92" i="212"/>
  <c r="S92" i="212"/>
  <c r="Q92" i="212"/>
  <c r="X87" i="212"/>
  <c r="W87" i="212"/>
  <c r="V87" i="212"/>
  <c r="U87" i="212"/>
  <c r="T87" i="212"/>
  <c r="S87" i="212"/>
  <c r="Q87" i="212"/>
  <c r="X85" i="212"/>
  <c r="W85" i="212"/>
  <c r="V85" i="212"/>
  <c r="U85" i="212"/>
  <c r="T85" i="212"/>
  <c r="S85" i="212"/>
  <c r="Q85" i="212"/>
  <c r="Q82" i="212"/>
  <c r="X82" i="212"/>
  <c r="W82" i="212"/>
  <c r="V82" i="212"/>
  <c r="U82" i="212"/>
  <c r="T82" i="212"/>
  <c r="S82" i="212"/>
  <c r="W42" i="212"/>
  <c r="T36" i="212"/>
  <c r="U36" i="212"/>
  <c r="V36" i="212"/>
  <c r="W47" i="212"/>
  <c r="W38" i="212"/>
  <c r="W33" i="212"/>
  <c r="U34" i="212"/>
  <c r="V34" i="212"/>
  <c r="W34" i="212"/>
  <c r="X34" i="212"/>
  <c r="U35" i="212"/>
  <c r="V35" i="212"/>
  <c r="W35" i="212"/>
  <c r="X35" i="212"/>
  <c r="W36" i="212"/>
  <c r="X36" i="212"/>
  <c r="U37" i="212"/>
  <c r="V37" i="212"/>
  <c r="W37" i="212"/>
  <c r="X37" i="212"/>
  <c r="U38" i="212"/>
  <c r="V38" i="212"/>
  <c r="X38" i="212"/>
  <c r="U39" i="212"/>
  <c r="V39" i="212"/>
  <c r="W39" i="212"/>
  <c r="X39" i="212"/>
  <c r="U40" i="212"/>
  <c r="V40" i="212"/>
  <c r="W40" i="212"/>
  <c r="X40" i="212"/>
  <c r="U41" i="212"/>
  <c r="V41" i="212"/>
  <c r="W41" i="212"/>
  <c r="X41" i="212"/>
  <c r="U42" i="212"/>
  <c r="V42" i="212"/>
  <c r="X42" i="212"/>
  <c r="U43" i="212"/>
  <c r="V43" i="212"/>
  <c r="W43" i="212"/>
  <c r="X43" i="212"/>
  <c r="U44" i="212"/>
  <c r="V44" i="212"/>
  <c r="W44" i="212"/>
  <c r="X44" i="212"/>
  <c r="U45" i="212"/>
  <c r="V45" i="212"/>
  <c r="W45" i="212"/>
  <c r="X45" i="212"/>
  <c r="U46" i="212"/>
  <c r="V46" i="212"/>
  <c r="W46" i="212"/>
  <c r="X46" i="212"/>
  <c r="U47" i="212"/>
  <c r="V47" i="212"/>
  <c r="X47" i="212"/>
  <c r="U55" i="212"/>
  <c r="V55" i="212"/>
  <c r="W55" i="212"/>
  <c r="X55" i="212"/>
  <c r="U56" i="212"/>
  <c r="V56" i="212"/>
  <c r="W56" i="212"/>
  <c r="X56" i="212"/>
  <c r="U57" i="212"/>
  <c r="V57" i="212"/>
  <c r="W57" i="212"/>
  <c r="X57" i="212"/>
  <c r="U58" i="212"/>
  <c r="V58" i="212"/>
  <c r="W58" i="212"/>
  <c r="X58" i="212"/>
  <c r="U59" i="212"/>
  <c r="V59" i="212"/>
  <c r="W59" i="212"/>
  <c r="X59" i="212"/>
  <c r="U60" i="212"/>
  <c r="V60" i="212"/>
  <c r="W60" i="212"/>
  <c r="X60" i="212"/>
  <c r="T34" i="212"/>
  <c r="T35" i="212"/>
  <c r="T37" i="212"/>
  <c r="T38" i="212"/>
  <c r="T39" i="212"/>
  <c r="T40" i="212"/>
  <c r="T41" i="212"/>
  <c r="T42" i="212"/>
  <c r="T43" i="212"/>
  <c r="T44" i="212"/>
  <c r="T45" i="212"/>
  <c r="T46" i="212"/>
  <c r="T47" i="212"/>
  <c r="T55" i="212"/>
  <c r="T56" i="212"/>
  <c r="T57" i="212"/>
  <c r="T58" i="212"/>
  <c r="T59" i="212"/>
  <c r="T60" i="212"/>
  <c r="T32" i="212"/>
  <c r="T33" i="212"/>
  <c r="S34" i="212"/>
  <c r="S35" i="212"/>
  <c r="S36" i="212"/>
  <c r="S37" i="212"/>
  <c r="S38" i="212"/>
  <c r="S39" i="212"/>
  <c r="S40" i="212"/>
  <c r="S41" i="212"/>
  <c r="S42" i="212"/>
  <c r="S43" i="212"/>
  <c r="S44" i="212"/>
  <c r="S45" i="212"/>
  <c r="S46" i="212"/>
  <c r="S47" i="212"/>
  <c r="S55" i="212"/>
  <c r="S56" i="212"/>
  <c r="S57" i="212"/>
  <c r="S58" i="212"/>
  <c r="S59" i="212"/>
  <c r="S60" i="212"/>
  <c r="S33" i="212"/>
  <c r="R61" i="212"/>
  <c r="R38" i="212"/>
  <c r="R39" i="212"/>
  <c r="R40" i="212"/>
  <c r="R41" i="212"/>
  <c r="R42" i="212"/>
  <c r="R43" i="212"/>
  <c r="R44" i="212"/>
  <c r="R45" i="212"/>
  <c r="R46" i="212"/>
  <c r="R47" i="212"/>
  <c r="R55" i="212"/>
  <c r="R56" i="212"/>
  <c r="R57" i="212"/>
  <c r="R58" i="212"/>
  <c r="R59" i="212"/>
  <c r="R60" i="212"/>
  <c r="Q55" i="212"/>
  <c r="Q56" i="212"/>
  <c r="Q57" i="212"/>
  <c r="Q58" i="212"/>
  <c r="Q59" i="212"/>
  <c r="Q60" i="212"/>
  <c r="Q35" i="212"/>
  <c r="Q36" i="212"/>
  <c r="Q37" i="212"/>
  <c r="Q38" i="212"/>
  <c r="Q39" i="212"/>
  <c r="Q40" i="212"/>
  <c r="Q41" i="212"/>
  <c r="Q42" i="212"/>
  <c r="Q43" i="212"/>
  <c r="Q44" i="212"/>
  <c r="Q45" i="212"/>
  <c r="Q46" i="212"/>
  <c r="Q47" i="212"/>
  <c r="Q34" i="212"/>
  <c r="Q33" i="212"/>
  <c r="Q32" i="212"/>
  <c r="X61" i="212"/>
  <c r="W61" i="212"/>
  <c r="V61" i="212"/>
  <c r="U61" i="212"/>
  <c r="T61" i="212"/>
  <c r="S61" i="212"/>
  <c r="Q61" i="212"/>
  <c r="K45" i="212"/>
  <c r="J45" i="212"/>
  <c r="I45" i="212"/>
  <c r="H45" i="212"/>
  <c r="G45" i="212"/>
  <c r="F45" i="212"/>
  <c r="D45" i="212"/>
  <c r="K56" i="212"/>
  <c r="J56" i="212"/>
  <c r="I56" i="212"/>
  <c r="H56" i="212"/>
  <c r="G56" i="212"/>
  <c r="F56" i="212"/>
  <c r="D56" i="212"/>
  <c r="D47" i="212"/>
  <c r="K34" i="212"/>
  <c r="J34" i="212"/>
  <c r="I34" i="212"/>
  <c r="H34" i="212"/>
  <c r="G34" i="212"/>
  <c r="F34" i="212"/>
  <c r="D34" i="212"/>
  <c r="K40" i="212"/>
  <c r="J40" i="212"/>
  <c r="I40" i="212"/>
  <c r="H40" i="212"/>
  <c r="G40" i="212"/>
  <c r="F40" i="212"/>
  <c r="D40" i="212"/>
  <c r="K60" i="212"/>
  <c r="J60" i="212"/>
  <c r="I60" i="212"/>
  <c r="H60" i="212"/>
  <c r="G60" i="212"/>
  <c r="F60" i="212"/>
  <c r="D60" i="212"/>
  <c r="K59" i="212"/>
  <c r="J59" i="212"/>
  <c r="I59" i="212"/>
  <c r="H59" i="212"/>
  <c r="G59" i="212"/>
  <c r="F59" i="212"/>
  <c r="D59" i="212"/>
  <c r="K58" i="212"/>
  <c r="J58" i="212"/>
  <c r="I58" i="212"/>
  <c r="H58" i="212"/>
  <c r="G58" i="212"/>
  <c r="F58" i="212"/>
  <c r="D58" i="212"/>
  <c r="K57" i="212"/>
  <c r="J57" i="212"/>
  <c r="I57" i="212"/>
  <c r="H57" i="212"/>
  <c r="G57" i="212"/>
  <c r="F57" i="212"/>
  <c r="D57" i="212"/>
  <c r="J55" i="212"/>
  <c r="I55" i="212"/>
  <c r="H55" i="212"/>
  <c r="G55" i="212"/>
  <c r="D55" i="212"/>
  <c r="K54" i="212"/>
  <c r="J54" i="212"/>
  <c r="I54" i="212"/>
  <c r="H54" i="212"/>
  <c r="G54" i="212"/>
  <c r="D54" i="212"/>
  <c r="K53" i="212"/>
  <c r="J53" i="212"/>
  <c r="I53" i="212"/>
  <c r="H53" i="212"/>
  <c r="G53" i="212"/>
  <c r="F53" i="212"/>
  <c r="D53" i="212"/>
  <c r="K52" i="212"/>
  <c r="J52" i="212"/>
  <c r="I52" i="212"/>
  <c r="H52" i="212"/>
  <c r="G52" i="212"/>
  <c r="F52" i="212"/>
  <c r="D52" i="212"/>
  <c r="J51" i="212"/>
  <c r="I51" i="212"/>
  <c r="H51" i="212"/>
  <c r="G51" i="212"/>
  <c r="F51" i="212"/>
  <c r="D51" i="212"/>
  <c r="K50" i="212"/>
  <c r="J50" i="212"/>
  <c r="I50" i="212"/>
  <c r="H50" i="212"/>
  <c r="G50" i="212"/>
  <c r="F50" i="212"/>
  <c r="D50" i="212"/>
  <c r="K49" i="212"/>
  <c r="J49" i="212"/>
  <c r="I49" i="212"/>
  <c r="H49" i="212"/>
  <c r="G49" i="212"/>
  <c r="F49" i="212"/>
  <c r="D49" i="212"/>
  <c r="K46" i="212"/>
  <c r="J46" i="212"/>
  <c r="I46" i="212"/>
  <c r="H46" i="212"/>
  <c r="G46" i="212"/>
  <c r="F46" i="212"/>
  <c r="D46" i="212"/>
  <c r="F47" i="212"/>
  <c r="G47" i="212"/>
  <c r="H47" i="212"/>
  <c r="I47" i="212"/>
  <c r="J47" i="212"/>
  <c r="K47" i="212"/>
  <c r="D61" i="212"/>
  <c r="F61" i="212"/>
  <c r="G61" i="212"/>
  <c r="H61" i="212"/>
  <c r="I61" i="212"/>
  <c r="J61" i="212"/>
  <c r="K61" i="212"/>
  <c r="A214" i="203"/>
  <c r="A213" i="203"/>
  <c r="A212" i="203"/>
  <c r="Z7" i="212"/>
  <c r="Z8" i="212"/>
  <c r="Z9" i="212"/>
  <c r="Z10" i="212"/>
  <c r="Z11" i="212"/>
  <c r="Z12" i="212"/>
  <c r="Z13" i="212"/>
  <c r="Z14" i="212"/>
  <c r="Z6" i="212"/>
  <c r="X7" i="212"/>
  <c r="X8" i="212"/>
  <c r="X9" i="212"/>
  <c r="X10" i="212"/>
  <c r="X11" i="212"/>
  <c r="X12" i="212"/>
  <c r="X13" i="212"/>
  <c r="X14" i="212"/>
  <c r="X6" i="212"/>
  <c r="W7" i="212"/>
  <c r="W8" i="212"/>
  <c r="W9" i="212"/>
  <c r="W10" i="212"/>
  <c r="W11" i="212"/>
  <c r="W12" i="212"/>
  <c r="W13" i="212"/>
  <c r="W14" i="212"/>
  <c r="W6" i="212"/>
  <c r="V7" i="212"/>
  <c r="V8" i="212"/>
  <c r="V9" i="212"/>
  <c r="V10" i="212"/>
  <c r="V11" i="212"/>
  <c r="V12" i="212"/>
  <c r="V13" i="212"/>
  <c r="V14" i="212"/>
  <c r="V6" i="212"/>
  <c r="T7" i="212"/>
  <c r="T8" i="212"/>
  <c r="T9" i="212"/>
  <c r="T10" i="212"/>
  <c r="T11" i="212"/>
  <c r="T12" i="212"/>
  <c r="T13" i="212"/>
  <c r="T14" i="212"/>
  <c r="T6" i="212"/>
  <c r="R7" i="212"/>
  <c r="S7" i="212"/>
  <c r="R8" i="212"/>
  <c r="S8" i="212"/>
  <c r="R9" i="212"/>
  <c r="S9" i="212"/>
  <c r="R10" i="212"/>
  <c r="S10" i="212"/>
  <c r="R11" i="212"/>
  <c r="S11" i="212"/>
  <c r="R12" i="212"/>
  <c r="S12" i="212"/>
  <c r="R13" i="212"/>
  <c r="S13" i="212"/>
  <c r="R14" i="212"/>
  <c r="S14" i="212"/>
  <c r="S6" i="212"/>
  <c r="R6" i="212"/>
  <c r="N7" i="212"/>
  <c r="O7" i="212"/>
  <c r="P7" i="212"/>
  <c r="Q7" i="212"/>
  <c r="N8" i="212"/>
  <c r="O8" i="212"/>
  <c r="P8" i="212"/>
  <c r="Q8" i="212"/>
  <c r="N9" i="212"/>
  <c r="O9" i="212"/>
  <c r="P9" i="212"/>
  <c r="Q9" i="212"/>
  <c r="N10" i="212"/>
  <c r="O10" i="212"/>
  <c r="P10" i="212"/>
  <c r="Q10" i="212"/>
  <c r="N11" i="212"/>
  <c r="O11" i="212"/>
  <c r="P11" i="212"/>
  <c r="Q11" i="212"/>
  <c r="N12" i="212"/>
  <c r="O12" i="212"/>
  <c r="P12" i="212"/>
  <c r="Q12" i="212"/>
  <c r="N13" i="212"/>
  <c r="O13" i="212"/>
  <c r="P13" i="212"/>
  <c r="Q13" i="212"/>
  <c r="N14" i="212"/>
  <c r="O14" i="212"/>
  <c r="P14" i="212"/>
  <c r="Q14" i="212"/>
  <c r="L7" i="212"/>
  <c r="L8" i="212"/>
  <c r="L9" i="212"/>
  <c r="L10" i="212"/>
  <c r="L11" i="212"/>
  <c r="L12" i="212"/>
  <c r="L13" i="212"/>
  <c r="L14" i="212"/>
  <c r="J7" i="212"/>
  <c r="J8" i="212"/>
  <c r="J9" i="212"/>
  <c r="J10" i="212"/>
  <c r="J11" i="212"/>
  <c r="J12" i="212"/>
  <c r="J13" i="212"/>
  <c r="J14" i="212"/>
  <c r="Q6" i="212"/>
  <c r="P6" i="212"/>
  <c r="O6" i="212"/>
  <c r="N6" i="212"/>
  <c r="L6" i="212"/>
  <c r="J6" i="212"/>
  <c r="H7" i="212"/>
  <c r="I7" i="212"/>
  <c r="H8" i="212"/>
  <c r="I8" i="212"/>
  <c r="H9" i="212"/>
  <c r="I9" i="212"/>
  <c r="H10" i="212"/>
  <c r="I10" i="212"/>
  <c r="H11" i="212"/>
  <c r="I11" i="212"/>
  <c r="H12" i="212"/>
  <c r="I12" i="212"/>
  <c r="H13" i="212"/>
  <c r="I13" i="212"/>
  <c r="H14" i="212"/>
  <c r="I14" i="212"/>
  <c r="H6" i="212"/>
  <c r="I6" i="212"/>
  <c r="F7" i="212"/>
  <c r="F8" i="212"/>
  <c r="F9" i="212"/>
  <c r="F10" i="212"/>
  <c r="F11" i="212"/>
  <c r="F12" i="212"/>
  <c r="F13" i="212"/>
  <c r="F14" i="212"/>
  <c r="F6" i="212"/>
  <c r="E7" i="212"/>
  <c r="E8" i="212"/>
  <c r="E9" i="212"/>
  <c r="E10" i="212"/>
  <c r="E11" i="212"/>
  <c r="E12" i="212"/>
  <c r="E13" i="212"/>
  <c r="E14" i="212"/>
  <c r="E6" i="212"/>
  <c r="D7" i="212"/>
  <c r="D8" i="212"/>
  <c r="D9" i="212"/>
  <c r="D10" i="212"/>
  <c r="D11" i="212"/>
  <c r="D12" i="212"/>
  <c r="D13" i="212"/>
  <c r="D14" i="212"/>
  <c r="D6" i="212"/>
  <c r="B7" i="212"/>
  <c r="B8" i="212"/>
  <c r="B9" i="212"/>
  <c r="B10" i="212"/>
  <c r="B11" i="212"/>
  <c r="B12" i="212"/>
  <c r="B13" i="212"/>
  <c r="B14" i="212"/>
  <c r="B6" i="212"/>
  <c r="Z16" i="212"/>
  <c r="X16" i="212"/>
  <c r="W16" i="212"/>
  <c r="V16" i="212"/>
  <c r="T16" i="212"/>
  <c r="S16" i="212"/>
  <c r="Q16" i="212"/>
  <c r="R16" i="212"/>
  <c r="P16" i="212"/>
  <c r="O16" i="212"/>
  <c r="N16" i="212"/>
  <c r="L16" i="212"/>
  <c r="J16" i="212"/>
  <c r="I16" i="212"/>
  <c r="H16" i="212"/>
  <c r="F16" i="212"/>
  <c r="E16" i="212"/>
  <c r="D16" i="212"/>
  <c r="B16" i="212"/>
  <c r="Z19" i="212"/>
  <c r="X19" i="212"/>
  <c r="W19" i="212"/>
  <c r="V19" i="212"/>
  <c r="T19" i="212"/>
  <c r="S19" i="212"/>
  <c r="R19" i="212"/>
  <c r="Q19" i="212"/>
  <c r="P19" i="212"/>
  <c r="O19" i="212"/>
  <c r="N19" i="212"/>
  <c r="L19" i="212"/>
  <c r="J19" i="212"/>
  <c r="I19" i="212"/>
  <c r="H19" i="212"/>
  <c r="F19" i="212"/>
  <c r="E19" i="212"/>
  <c r="D19" i="212"/>
  <c r="B19" i="212"/>
  <c r="Z30" i="212"/>
  <c r="Z22" i="212"/>
  <c r="Z23" i="212"/>
  <c r="Z24" i="212"/>
  <c r="Z25" i="212"/>
  <c r="Z26" i="212"/>
  <c r="Z27" i="212"/>
  <c r="Z28" i="212"/>
  <c r="Z21" i="212"/>
  <c r="X30" i="212"/>
  <c r="X22" i="212"/>
  <c r="X23" i="212"/>
  <c r="X24" i="212"/>
  <c r="X25" i="212"/>
  <c r="X26" i="212"/>
  <c r="X27" i="212"/>
  <c r="X28" i="212"/>
  <c r="X21" i="212"/>
  <c r="W30" i="212"/>
  <c r="W22" i="212"/>
  <c r="W23" i="212"/>
  <c r="W24" i="212"/>
  <c r="W25" i="212"/>
  <c r="W26" i="212"/>
  <c r="W27" i="212"/>
  <c r="W28" i="212"/>
  <c r="W21" i="212"/>
  <c r="V30" i="212"/>
  <c r="V22" i="212"/>
  <c r="V23" i="212"/>
  <c r="V24" i="212"/>
  <c r="V25" i="212"/>
  <c r="V26" i="212"/>
  <c r="V27" i="212"/>
  <c r="V28" i="212"/>
  <c r="V21" i="212"/>
  <c r="T30" i="212"/>
  <c r="T22" i="212"/>
  <c r="T23" i="212"/>
  <c r="T24" i="212"/>
  <c r="T25" i="212"/>
  <c r="T26" i="212"/>
  <c r="T27" i="212"/>
  <c r="T28" i="212"/>
  <c r="T21" i="212"/>
  <c r="S30" i="212"/>
  <c r="S22" i="212"/>
  <c r="S23" i="212"/>
  <c r="S24" i="212"/>
  <c r="S25" i="212"/>
  <c r="S26" i="212"/>
  <c r="S27" i="212"/>
  <c r="S28" i="212"/>
  <c r="S21" i="212"/>
  <c r="Q30" i="212"/>
  <c r="R30" i="212"/>
  <c r="Q22" i="212"/>
  <c r="R22" i="212"/>
  <c r="Q23" i="212"/>
  <c r="R23" i="212"/>
  <c r="Q24" i="212"/>
  <c r="R24" i="212"/>
  <c r="Q25" i="212"/>
  <c r="R25" i="212"/>
  <c r="Q26" i="212"/>
  <c r="R26" i="212"/>
  <c r="Q27" i="212"/>
  <c r="R27" i="212"/>
  <c r="Q28" i="212"/>
  <c r="R28" i="212"/>
  <c r="Q21" i="212"/>
  <c r="R21" i="212"/>
  <c r="P30" i="212"/>
  <c r="P22" i="212"/>
  <c r="P23" i="212"/>
  <c r="P24" i="212"/>
  <c r="P25" i="212"/>
  <c r="P26" i="212"/>
  <c r="P27" i="212"/>
  <c r="P28" i="212"/>
  <c r="P21" i="212"/>
  <c r="O30" i="212"/>
  <c r="O22" i="212"/>
  <c r="O23" i="212"/>
  <c r="O24" i="212"/>
  <c r="O25" i="212"/>
  <c r="O26" i="212"/>
  <c r="O27" i="212"/>
  <c r="O28" i="212"/>
  <c r="O21" i="212"/>
  <c r="N30" i="212"/>
  <c r="N22" i="212"/>
  <c r="N23" i="212"/>
  <c r="N24" i="212"/>
  <c r="N25" i="212"/>
  <c r="N26" i="212"/>
  <c r="N27" i="212"/>
  <c r="N28" i="212"/>
  <c r="N21" i="212"/>
  <c r="L30" i="212"/>
  <c r="L22" i="212"/>
  <c r="L23" i="212"/>
  <c r="L24" i="212"/>
  <c r="L25" i="212"/>
  <c r="L26" i="212"/>
  <c r="L27" i="212"/>
  <c r="L28" i="212"/>
  <c r="L21" i="212"/>
  <c r="J30" i="212"/>
  <c r="J22" i="212"/>
  <c r="J23" i="212"/>
  <c r="J24" i="212"/>
  <c r="J25" i="212"/>
  <c r="J26" i="212"/>
  <c r="J27" i="212"/>
  <c r="J28" i="212"/>
  <c r="J21" i="212"/>
  <c r="I30" i="212"/>
  <c r="I22" i="212"/>
  <c r="I23" i="212"/>
  <c r="I24" i="212"/>
  <c r="I25" i="212"/>
  <c r="I26" i="212"/>
  <c r="I27" i="212"/>
  <c r="I28" i="212"/>
  <c r="I21" i="212"/>
  <c r="H30" i="212"/>
  <c r="H22" i="212"/>
  <c r="H23" i="212"/>
  <c r="H24" i="212"/>
  <c r="H25" i="212"/>
  <c r="H26" i="212"/>
  <c r="H27" i="212"/>
  <c r="H28" i="212"/>
  <c r="H21" i="212"/>
  <c r="F30" i="212"/>
  <c r="F22" i="212"/>
  <c r="F23" i="212"/>
  <c r="F24" i="212"/>
  <c r="F25" i="212"/>
  <c r="F26" i="212"/>
  <c r="F27" i="212"/>
  <c r="F28" i="212"/>
  <c r="F21" i="212"/>
  <c r="E30" i="212"/>
  <c r="E22" i="212"/>
  <c r="E23" i="212"/>
  <c r="E24" i="212"/>
  <c r="E25" i="212"/>
  <c r="E26" i="212"/>
  <c r="E27" i="212"/>
  <c r="E28" i="212"/>
  <c r="E21" i="212"/>
  <c r="D30" i="212"/>
  <c r="D22" i="212"/>
  <c r="D23" i="212"/>
  <c r="D24" i="212"/>
  <c r="D25" i="212"/>
  <c r="D26" i="212"/>
  <c r="D27" i="212"/>
  <c r="D28" i="212"/>
  <c r="D21" i="212"/>
  <c r="B30" i="212"/>
  <c r="B27" i="212"/>
  <c r="B28" i="212"/>
  <c r="B22" i="212"/>
  <c r="B23" i="212"/>
  <c r="B24" i="212"/>
  <c r="B25" i="212"/>
  <c r="B26" i="212"/>
  <c r="B21" i="212"/>
  <c r="A211" i="203"/>
  <c r="A210" i="203"/>
  <c r="A209" i="203"/>
  <c r="V73" i="202"/>
  <c r="A208" i="203" s="1"/>
  <c r="A207" i="203"/>
  <c r="A206" i="203"/>
  <c r="V72" i="202"/>
  <c r="A205" i="203" s="1"/>
  <c r="A203" i="203"/>
  <c r="A204" i="203"/>
  <c r="A202" i="203"/>
  <c r="A201" i="203"/>
  <c r="A200" i="203"/>
  <c r="Z113" i="214" l="1"/>
  <c r="M66" i="214"/>
  <c r="M113" i="214"/>
  <c r="B210" i="212"/>
  <c r="B199" i="212"/>
  <c r="B211" i="212"/>
  <c r="B200" i="212"/>
  <c r="B212" i="212"/>
  <c r="B201" i="212"/>
  <c r="B213" i="212"/>
  <c r="B203" i="212"/>
  <c r="B202" i="212"/>
  <c r="B204" i="212"/>
  <c r="B205" i="212"/>
  <c r="B206" i="212"/>
  <c r="B207" i="212"/>
  <c r="B209" i="212"/>
  <c r="B208" i="212"/>
  <c r="Z169" i="214"/>
  <c r="Z66" i="214"/>
  <c r="M169" i="214"/>
  <c r="Y123" i="212"/>
  <c r="Y53" i="212"/>
  <c r="Y50" i="212"/>
  <c r="Y54" i="212"/>
  <c r="Y48" i="212"/>
  <c r="Y51" i="212"/>
  <c r="Y52" i="212"/>
  <c r="Y49" i="212"/>
  <c r="L48" i="212"/>
  <c r="Y134" i="212"/>
  <c r="Y139" i="212"/>
  <c r="Y140" i="212"/>
  <c r="Y135" i="212"/>
  <c r="Y130" i="212"/>
  <c r="Y147" i="212"/>
  <c r="Y148" i="212"/>
  <c r="Y138" i="212"/>
  <c r="Y136" i="212"/>
  <c r="Y143" i="212"/>
  <c r="Y145" i="212"/>
  <c r="Y144" i="212"/>
  <c r="Y141" i="212"/>
  <c r="Y146" i="212"/>
  <c r="Y142" i="212"/>
  <c r="Y137" i="212"/>
  <c r="Y131" i="212"/>
  <c r="Y133" i="212"/>
  <c r="Y132" i="212"/>
  <c r="Y126" i="212"/>
  <c r="Y124" i="212"/>
  <c r="Y129" i="212"/>
  <c r="Y125" i="212"/>
  <c r="Y127" i="212"/>
  <c r="Y128" i="212"/>
  <c r="Y120" i="212"/>
  <c r="Y117" i="212"/>
  <c r="L120" i="212"/>
  <c r="L131" i="212"/>
  <c r="L136" i="212"/>
  <c r="L135" i="212"/>
  <c r="L134" i="212"/>
  <c r="L109" i="212"/>
  <c r="L123" i="212"/>
  <c r="L140" i="212"/>
  <c r="L146" i="212"/>
  <c r="L139" i="212"/>
  <c r="Y102" i="212"/>
  <c r="Y100" i="212"/>
  <c r="Y92" i="212"/>
  <c r="Y87" i="212"/>
  <c r="Y85" i="212"/>
  <c r="Y82" i="212"/>
  <c r="Y59" i="212"/>
  <c r="Y43" i="212"/>
  <c r="Y55" i="212"/>
  <c r="Y44" i="212"/>
  <c r="Y40" i="212"/>
  <c r="Y41" i="212"/>
  <c r="Y42" i="212"/>
  <c r="Y47" i="212"/>
  <c r="Y45" i="212"/>
  <c r="Y57" i="212"/>
  <c r="Y56" i="212"/>
  <c r="Y37" i="212"/>
  <c r="Y39" i="212"/>
  <c r="Y46" i="212"/>
  <c r="Y34" i="212"/>
  <c r="Y38" i="212"/>
  <c r="Y36" i="212"/>
  <c r="Y58" i="212"/>
  <c r="Y61" i="212"/>
  <c r="Y35" i="212"/>
  <c r="Y60" i="212"/>
  <c r="L45" i="212"/>
  <c r="L40" i="212"/>
  <c r="L34" i="212"/>
  <c r="L57" i="212"/>
  <c r="L58" i="212"/>
  <c r="L51" i="212"/>
  <c r="L59" i="212"/>
  <c r="L52" i="212"/>
  <c r="L56" i="212"/>
  <c r="L49" i="212"/>
  <c r="L53" i="212"/>
  <c r="L46" i="212"/>
  <c r="L55" i="212"/>
  <c r="L50" i="212"/>
  <c r="L60" i="212"/>
  <c r="L54" i="212"/>
  <c r="L61" i="212"/>
  <c r="L47" i="212"/>
  <c r="A199" i="203"/>
  <c r="A198" i="203"/>
  <c r="A197" i="203"/>
  <c r="A196" i="203"/>
  <c r="A195" i="203"/>
  <c r="A194" i="203"/>
  <c r="A192" i="203"/>
  <c r="A193" i="203"/>
  <c r="A191" i="203"/>
  <c r="A190" i="203"/>
  <c r="A189" i="203"/>
  <c r="A188" i="203"/>
  <c r="A187" i="203"/>
  <c r="A186" i="203"/>
  <c r="A185" i="203"/>
  <c r="A184" i="203"/>
  <c r="A183" i="203"/>
  <c r="A182" i="203"/>
  <c r="A181" i="203"/>
  <c r="A180" i="203"/>
  <c r="A179" i="203"/>
  <c r="A178" i="203"/>
  <c r="A177" i="203"/>
  <c r="A176" i="203"/>
  <c r="B185" i="212" l="1"/>
  <c r="B186" i="212"/>
  <c r="B187" i="212"/>
  <c r="B188" i="212"/>
  <c r="B175" i="212"/>
  <c r="B189" i="212"/>
  <c r="B176" i="212"/>
  <c r="B190" i="212"/>
  <c r="B177" i="212"/>
  <c r="B192" i="212"/>
  <c r="B178" i="212"/>
  <c r="B191" i="212"/>
  <c r="B179" i="212"/>
  <c r="B193" i="212"/>
  <c r="B180" i="212"/>
  <c r="B194" i="212"/>
  <c r="B181" i="212"/>
  <c r="B195" i="212"/>
  <c r="B182" i="212"/>
  <c r="B196" i="212"/>
  <c r="B183" i="212"/>
  <c r="B197" i="212"/>
  <c r="B184" i="212"/>
  <c r="B198" i="212"/>
  <c r="B174" i="212"/>
  <c r="B173" i="212"/>
  <c r="B172" i="212"/>
  <c r="A175" i="203"/>
  <c r="A174" i="203"/>
  <c r="A173" i="203"/>
  <c r="B171" i="212"/>
  <c r="B170" i="212"/>
  <c r="B169" i="212"/>
  <c r="A172" i="203"/>
  <c r="A171" i="203"/>
  <c r="A170" i="203"/>
  <c r="B168" i="212"/>
  <c r="B167" i="212"/>
  <c r="B166" i="212"/>
  <c r="B165" i="212"/>
  <c r="B164" i="212"/>
  <c r="B163" i="212"/>
  <c r="A166" i="203"/>
  <c r="A165" i="203"/>
  <c r="A164" i="203"/>
  <c r="B160" i="212"/>
  <c r="B161" i="212"/>
  <c r="B162" i="212"/>
  <c r="A161" i="203"/>
  <c r="A162" i="203"/>
  <c r="A163" i="203"/>
  <c r="B157" i="212"/>
  <c r="B158" i="212"/>
  <c r="B159" i="212"/>
  <c r="B156" i="212"/>
  <c r="B155" i="212"/>
  <c r="B154" i="212"/>
  <c r="A157" i="203"/>
  <c r="B153" i="212"/>
  <c r="B152" i="212"/>
  <c r="B151" i="212"/>
  <c r="A154" i="203"/>
  <c r="K148" i="212"/>
  <c r="J148" i="212"/>
  <c r="I148" i="212"/>
  <c r="H148" i="212"/>
  <c r="G148" i="212"/>
  <c r="F148" i="212"/>
  <c r="E148" i="212"/>
  <c r="D148" i="212"/>
  <c r="K147" i="212"/>
  <c r="J147" i="212"/>
  <c r="I147" i="212"/>
  <c r="H147" i="212"/>
  <c r="G147" i="212"/>
  <c r="F147" i="212"/>
  <c r="E147" i="212"/>
  <c r="D147" i="212"/>
  <c r="K145" i="212"/>
  <c r="J145" i="212"/>
  <c r="I145" i="212"/>
  <c r="H145" i="212"/>
  <c r="G145" i="212"/>
  <c r="F145" i="212"/>
  <c r="E145" i="212"/>
  <c r="D145" i="212"/>
  <c r="K144" i="212"/>
  <c r="J144" i="212"/>
  <c r="I144" i="212"/>
  <c r="H144" i="212"/>
  <c r="G144" i="212"/>
  <c r="F144" i="212"/>
  <c r="E144" i="212"/>
  <c r="D144" i="212"/>
  <c r="K143" i="212"/>
  <c r="J143" i="212"/>
  <c r="I143" i="212"/>
  <c r="H143" i="212"/>
  <c r="G143" i="212"/>
  <c r="F143" i="212"/>
  <c r="E143" i="212"/>
  <c r="D143" i="212"/>
  <c r="K142" i="212"/>
  <c r="J142" i="212"/>
  <c r="I142" i="212"/>
  <c r="H142" i="212"/>
  <c r="G142" i="212"/>
  <c r="F142" i="212"/>
  <c r="E142" i="212"/>
  <c r="D142" i="212"/>
  <c r="K141" i="212"/>
  <c r="J141" i="212"/>
  <c r="I141" i="212"/>
  <c r="H141" i="212"/>
  <c r="G141" i="212"/>
  <c r="F141" i="212"/>
  <c r="E141" i="212"/>
  <c r="D141" i="212"/>
  <c r="K138" i="212"/>
  <c r="J138" i="212"/>
  <c r="I138" i="212"/>
  <c r="H138" i="212"/>
  <c r="G138" i="212"/>
  <c r="F138" i="212"/>
  <c r="E138" i="212"/>
  <c r="D138" i="212"/>
  <c r="K137" i="212"/>
  <c r="J137" i="212"/>
  <c r="I137" i="212"/>
  <c r="H137" i="212"/>
  <c r="G137" i="212"/>
  <c r="F137" i="212"/>
  <c r="E137" i="212"/>
  <c r="D137" i="212"/>
  <c r="K133" i="212"/>
  <c r="J133" i="212"/>
  <c r="I133" i="212"/>
  <c r="H133" i="212"/>
  <c r="G133" i="212"/>
  <c r="F133" i="212"/>
  <c r="E133" i="212"/>
  <c r="D133" i="212"/>
  <c r="K132" i="212"/>
  <c r="J132" i="212"/>
  <c r="I132" i="212"/>
  <c r="H132" i="212"/>
  <c r="G132" i="212"/>
  <c r="F132" i="212"/>
  <c r="E132" i="212"/>
  <c r="D132" i="212"/>
  <c r="K130" i="212"/>
  <c r="J130" i="212"/>
  <c r="I130" i="212"/>
  <c r="H130" i="212"/>
  <c r="G130" i="212"/>
  <c r="F130" i="212"/>
  <c r="E130" i="212"/>
  <c r="D130" i="212"/>
  <c r="K129" i="212"/>
  <c r="J129" i="212"/>
  <c r="I129" i="212"/>
  <c r="H129" i="212"/>
  <c r="G129" i="212"/>
  <c r="F129" i="212"/>
  <c r="E129" i="212"/>
  <c r="D129" i="212"/>
  <c r="K128" i="212"/>
  <c r="J128" i="212"/>
  <c r="I128" i="212"/>
  <c r="H128" i="212"/>
  <c r="G128" i="212"/>
  <c r="F128" i="212"/>
  <c r="E128" i="212"/>
  <c r="D128" i="212"/>
  <c r="K127" i="212"/>
  <c r="J127" i="212"/>
  <c r="I127" i="212"/>
  <c r="H127" i="212"/>
  <c r="G127" i="212"/>
  <c r="F127" i="212"/>
  <c r="E127" i="212"/>
  <c r="D127" i="212"/>
  <c r="K126" i="212"/>
  <c r="J126" i="212"/>
  <c r="I126" i="212"/>
  <c r="H126" i="212"/>
  <c r="G126" i="212"/>
  <c r="F126" i="212"/>
  <c r="E126" i="212"/>
  <c r="D126" i="212"/>
  <c r="K125" i="212"/>
  <c r="J125" i="212"/>
  <c r="I125" i="212"/>
  <c r="H125" i="212"/>
  <c r="G125" i="212"/>
  <c r="F125" i="212"/>
  <c r="E125" i="212"/>
  <c r="D125" i="212"/>
  <c r="K124" i="212"/>
  <c r="J124" i="212"/>
  <c r="I124" i="212"/>
  <c r="H124" i="212"/>
  <c r="G124" i="212"/>
  <c r="F124" i="212"/>
  <c r="E124" i="212"/>
  <c r="D124" i="212"/>
  <c r="X122" i="212"/>
  <c r="W122" i="212"/>
  <c r="V122" i="212"/>
  <c r="U122" i="212"/>
  <c r="T122" i="212"/>
  <c r="S122" i="212"/>
  <c r="R122" i="212"/>
  <c r="Q122" i="212"/>
  <c r="K122" i="212"/>
  <c r="J122" i="212"/>
  <c r="I122" i="212"/>
  <c r="H122" i="212"/>
  <c r="G122" i="212"/>
  <c r="F122" i="212"/>
  <c r="E122" i="212"/>
  <c r="D122" i="212"/>
  <c r="X121" i="212"/>
  <c r="W121" i="212"/>
  <c r="V121" i="212"/>
  <c r="U121" i="212"/>
  <c r="T121" i="212"/>
  <c r="S121" i="212"/>
  <c r="R121" i="212"/>
  <c r="Q121" i="212"/>
  <c r="K121" i="212"/>
  <c r="J121" i="212"/>
  <c r="I121" i="212"/>
  <c r="H121" i="212"/>
  <c r="G121" i="212"/>
  <c r="F121" i="212"/>
  <c r="E121" i="212"/>
  <c r="D121" i="212"/>
  <c r="X119" i="212"/>
  <c r="W119" i="212"/>
  <c r="V119" i="212"/>
  <c r="U119" i="212"/>
  <c r="T119" i="212"/>
  <c r="S119" i="212"/>
  <c r="R119" i="212"/>
  <c r="Q119" i="212"/>
  <c r="K119" i="212"/>
  <c r="J119" i="212"/>
  <c r="I119" i="212"/>
  <c r="H119" i="212"/>
  <c r="G119" i="212"/>
  <c r="F119" i="212"/>
  <c r="E119" i="212"/>
  <c r="D119" i="212"/>
  <c r="X118" i="212"/>
  <c r="W118" i="212"/>
  <c r="V118" i="212"/>
  <c r="U118" i="212"/>
  <c r="T118" i="212"/>
  <c r="S118" i="212"/>
  <c r="R118" i="212"/>
  <c r="Q118" i="212"/>
  <c r="K118" i="212"/>
  <c r="J118" i="212"/>
  <c r="I118" i="212"/>
  <c r="H118" i="212"/>
  <c r="G118" i="212"/>
  <c r="F118" i="212"/>
  <c r="E118" i="212"/>
  <c r="D118" i="212"/>
  <c r="X116" i="212"/>
  <c r="W116" i="212"/>
  <c r="V116" i="212"/>
  <c r="U116" i="212"/>
  <c r="T116" i="212"/>
  <c r="S116" i="212"/>
  <c r="R116" i="212"/>
  <c r="Q116" i="212"/>
  <c r="K117" i="212"/>
  <c r="J117" i="212"/>
  <c r="I117" i="212"/>
  <c r="H117" i="212"/>
  <c r="G117" i="212"/>
  <c r="F117" i="212"/>
  <c r="E117" i="212"/>
  <c r="D117" i="212"/>
  <c r="X115" i="212"/>
  <c r="W115" i="212"/>
  <c r="V115" i="212"/>
  <c r="U115" i="212"/>
  <c r="T115" i="212"/>
  <c r="S115" i="212"/>
  <c r="R115" i="212"/>
  <c r="Q115" i="212"/>
  <c r="K116" i="212"/>
  <c r="J116" i="212"/>
  <c r="I116" i="212"/>
  <c r="H116" i="212"/>
  <c r="G116" i="212"/>
  <c r="F116" i="212"/>
  <c r="E116" i="212"/>
  <c r="D116" i="212"/>
  <c r="X114" i="212"/>
  <c r="W114" i="212"/>
  <c r="V114" i="212"/>
  <c r="U114" i="212"/>
  <c r="T114" i="212"/>
  <c r="S114" i="212"/>
  <c r="R114" i="212"/>
  <c r="Q114" i="212"/>
  <c r="K115" i="212"/>
  <c r="J115" i="212"/>
  <c r="I115" i="212"/>
  <c r="H115" i="212"/>
  <c r="G115" i="212"/>
  <c r="F115" i="212"/>
  <c r="E115" i="212"/>
  <c r="D115" i="212"/>
  <c r="X113" i="212"/>
  <c r="W113" i="212"/>
  <c r="V113" i="212"/>
  <c r="U113" i="212"/>
  <c r="T113" i="212"/>
  <c r="S113" i="212"/>
  <c r="R113" i="212"/>
  <c r="Q113" i="212"/>
  <c r="K114" i="212"/>
  <c r="J114" i="212"/>
  <c r="I114" i="212"/>
  <c r="H114" i="212"/>
  <c r="G114" i="212"/>
  <c r="F114" i="212"/>
  <c r="E114" i="212"/>
  <c r="D114" i="212"/>
  <c r="X112" i="212"/>
  <c r="W112" i="212"/>
  <c r="V112" i="212"/>
  <c r="U112" i="212"/>
  <c r="T112" i="212"/>
  <c r="S112" i="212"/>
  <c r="R112" i="212"/>
  <c r="Q112" i="212"/>
  <c r="K113" i="212"/>
  <c r="J113" i="212"/>
  <c r="I113" i="212"/>
  <c r="H113" i="212"/>
  <c r="G113" i="212"/>
  <c r="F113" i="212"/>
  <c r="E113" i="212"/>
  <c r="D113" i="212"/>
  <c r="X111" i="212"/>
  <c r="W111" i="212"/>
  <c r="V111" i="212"/>
  <c r="U111" i="212"/>
  <c r="T111" i="212"/>
  <c r="S111" i="212"/>
  <c r="R111" i="212"/>
  <c r="Q111" i="212"/>
  <c r="K112" i="212"/>
  <c r="J112" i="212"/>
  <c r="I112" i="212"/>
  <c r="H112" i="212"/>
  <c r="G112" i="212"/>
  <c r="F112" i="212"/>
  <c r="E112" i="212"/>
  <c r="D112" i="212"/>
  <c r="X110" i="212"/>
  <c r="W110" i="212"/>
  <c r="V110" i="212"/>
  <c r="U110" i="212"/>
  <c r="T110" i="212"/>
  <c r="S110" i="212"/>
  <c r="R110" i="212"/>
  <c r="Q110" i="212"/>
  <c r="K111" i="212"/>
  <c r="J111" i="212"/>
  <c r="I111" i="212"/>
  <c r="H111" i="212"/>
  <c r="G111" i="212"/>
  <c r="F111" i="212"/>
  <c r="E111" i="212"/>
  <c r="D111" i="212"/>
  <c r="X109" i="212"/>
  <c r="W109" i="212"/>
  <c r="V109" i="212"/>
  <c r="U109" i="212"/>
  <c r="T109" i="212"/>
  <c r="S109" i="212"/>
  <c r="R109" i="212"/>
  <c r="Q109" i="212"/>
  <c r="K110" i="212"/>
  <c r="J110" i="212"/>
  <c r="I110" i="212"/>
  <c r="H110" i="212"/>
  <c r="G110" i="212"/>
  <c r="F110" i="212"/>
  <c r="E110" i="212"/>
  <c r="D110" i="212"/>
  <c r="X108" i="212"/>
  <c r="W108" i="212"/>
  <c r="V108" i="212"/>
  <c r="U108" i="212"/>
  <c r="T108" i="212"/>
  <c r="S108" i="212"/>
  <c r="R108" i="212"/>
  <c r="Q108" i="212"/>
  <c r="K108" i="212"/>
  <c r="J108" i="212"/>
  <c r="I108" i="212"/>
  <c r="H108" i="212"/>
  <c r="G108" i="212"/>
  <c r="F108" i="212"/>
  <c r="E108" i="212"/>
  <c r="D108" i="212"/>
  <c r="X107" i="212"/>
  <c r="W107" i="212"/>
  <c r="V107" i="212"/>
  <c r="U107" i="212"/>
  <c r="T107" i="212"/>
  <c r="S107" i="212"/>
  <c r="R107" i="212"/>
  <c r="Q107" i="212"/>
  <c r="K107" i="212"/>
  <c r="J107" i="212"/>
  <c r="I107" i="212"/>
  <c r="H107" i="212"/>
  <c r="G107" i="212"/>
  <c r="F107" i="212"/>
  <c r="E107" i="212"/>
  <c r="D107" i="212"/>
  <c r="X106" i="212"/>
  <c r="W106" i="212"/>
  <c r="V106" i="212"/>
  <c r="U106" i="212"/>
  <c r="T106" i="212"/>
  <c r="S106" i="212"/>
  <c r="R106" i="212"/>
  <c r="Q106" i="212"/>
  <c r="K106" i="212"/>
  <c r="J106" i="212"/>
  <c r="I106" i="212"/>
  <c r="H106" i="212"/>
  <c r="G106" i="212"/>
  <c r="F106" i="212"/>
  <c r="E106" i="212"/>
  <c r="D106" i="212"/>
  <c r="X103" i="212"/>
  <c r="W103" i="212"/>
  <c r="V103" i="212"/>
  <c r="U103" i="212"/>
  <c r="T103" i="212"/>
  <c r="S103" i="212"/>
  <c r="Q103" i="212"/>
  <c r="X101" i="212"/>
  <c r="W101" i="212"/>
  <c r="V101" i="212"/>
  <c r="U101" i="212"/>
  <c r="T101" i="212"/>
  <c r="S101" i="212"/>
  <c r="Q101" i="212"/>
  <c r="X99" i="212"/>
  <c r="W99" i="212"/>
  <c r="V99" i="212"/>
  <c r="U99" i="212"/>
  <c r="T99" i="212"/>
  <c r="S99" i="212"/>
  <c r="Q99" i="212"/>
  <c r="X98" i="212"/>
  <c r="W98" i="212"/>
  <c r="V98" i="212"/>
  <c r="U98" i="212"/>
  <c r="T98" i="212"/>
  <c r="S98" i="212"/>
  <c r="Q98" i="212"/>
  <c r="X97" i="212"/>
  <c r="W97" i="212"/>
  <c r="V97" i="212"/>
  <c r="U97" i="212"/>
  <c r="T97" i="212"/>
  <c r="S97" i="212"/>
  <c r="Q97" i="212"/>
  <c r="X96" i="212"/>
  <c r="W96" i="212"/>
  <c r="V96" i="212"/>
  <c r="U96" i="212"/>
  <c r="T96" i="212"/>
  <c r="S96" i="212"/>
  <c r="Q96" i="212"/>
  <c r="X95" i="212"/>
  <c r="W95" i="212"/>
  <c r="V95" i="212"/>
  <c r="U95" i="212"/>
  <c r="T95" i="212"/>
  <c r="S95" i="212"/>
  <c r="Q95" i="212"/>
  <c r="X94" i="212"/>
  <c r="W94" i="212"/>
  <c r="V94" i="212"/>
  <c r="U94" i="212"/>
  <c r="T94" i="212"/>
  <c r="S94" i="212"/>
  <c r="Q94" i="212"/>
  <c r="X93" i="212"/>
  <c r="W93" i="212"/>
  <c r="V93" i="212"/>
  <c r="U93" i="212"/>
  <c r="T93" i="212"/>
  <c r="S93" i="212"/>
  <c r="Q93" i="212"/>
  <c r="X91" i="212"/>
  <c r="W91" i="212"/>
  <c r="V91" i="212"/>
  <c r="U91" i="212"/>
  <c r="T91" i="212"/>
  <c r="S91" i="212"/>
  <c r="Q91" i="212"/>
  <c r="X90" i="212"/>
  <c r="W90" i="212"/>
  <c r="V90" i="212"/>
  <c r="U90" i="212"/>
  <c r="T90" i="212"/>
  <c r="S90" i="212"/>
  <c r="Q90" i="212"/>
  <c r="X89" i="212"/>
  <c r="W89" i="212"/>
  <c r="V89" i="212"/>
  <c r="U89" i="212"/>
  <c r="T89" i="212"/>
  <c r="S89" i="212"/>
  <c r="Q89" i="212"/>
  <c r="K89" i="212"/>
  <c r="J89" i="212"/>
  <c r="I89" i="212"/>
  <c r="H89" i="212"/>
  <c r="G89" i="212"/>
  <c r="F89" i="212"/>
  <c r="E89" i="212"/>
  <c r="D89" i="212"/>
  <c r="X88" i="212"/>
  <c r="W88" i="212"/>
  <c r="V88" i="212"/>
  <c r="U88" i="212"/>
  <c r="T88" i="212"/>
  <c r="S88" i="212"/>
  <c r="Q88" i="212"/>
  <c r="X86" i="212"/>
  <c r="W86" i="212"/>
  <c r="V86" i="212"/>
  <c r="U86" i="212"/>
  <c r="T86" i="212"/>
  <c r="S86" i="212"/>
  <c r="Q86" i="212"/>
  <c r="X84" i="212"/>
  <c r="W84" i="212"/>
  <c r="V84" i="212"/>
  <c r="U84" i="212"/>
  <c r="T84" i="212"/>
  <c r="S84" i="212"/>
  <c r="Q84" i="212"/>
  <c r="X83" i="212"/>
  <c r="W83" i="212"/>
  <c r="V83" i="212"/>
  <c r="U83" i="212"/>
  <c r="T83" i="212"/>
  <c r="S83" i="212"/>
  <c r="Q83" i="212"/>
  <c r="X81" i="212"/>
  <c r="W81" i="212"/>
  <c r="V81" i="212"/>
  <c r="U81" i="212"/>
  <c r="T81" i="212"/>
  <c r="S81" i="212"/>
  <c r="Q81" i="212"/>
  <c r="X80" i="212"/>
  <c r="W80" i="212"/>
  <c r="V80" i="212"/>
  <c r="U80" i="212"/>
  <c r="T80" i="212"/>
  <c r="S80" i="212"/>
  <c r="Q80" i="212"/>
  <c r="X79" i="212"/>
  <c r="W79" i="212"/>
  <c r="V79" i="212"/>
  <c r="U79" i="212"/>
  <c r="T79" i="212"/>
  <c r="S79" i="212"/>
  <c r="Q79" i="212"/>
  <c r="X78" i="212"/>
  <c r="W78" i="212"/>
  <c r="V78" i="212"/>
  <c r="U78" i="212"/>
  <c r="T78" i="212"/>
  <c r="S78" i="212"/>
  <c r="Q78" i="212"/>
  <c r="X77" i="212"/>
  <c r="W77" i="212"/>
  <c r="V77" i="212"/>
  <c r="U77" i="212"/>
  <c r="T77" i="212"/>
  <c r="S77" i="212"/>
  <c r="Q77" i="212"/>
  <c r="X76" i="212"/>
  <c r="W76" i="212"/>
  <c r="V76" i="212"/>
  <c r="U76" i="212"/>
  <c r="T76" i="212"/>
  <c r="S76" i="212"/>
  <c r="Q76" i="212"/>
  <c r="X75" i="212"/>
  <c r="W75" i="212"/>
  <c r="V75" i="212"/>
  <c r="U75" i="212"/>
  <c r="T75" i="212"/>
  <c r="S75" i="212"/>
  <c r="Q75" i="212"/>
  <c r="K75" i="212"/>
  <c r="J75" i="212"/>
  <c r="I75" i="212"/>
  <c r="H75" i="212"/>
  <c r="G75" i="212"/>
  <c r="F75" i="212"/>
  <c r="E75" i="212"/>
  <c r="D75" i="212"/>
  <c r="X74" i="212"/>
  <c r="W74" i="212"/>
  <c r="V74" i="212"/>
  <c r="U74" i="212"/>
  <c r="T74" i="212"/>
  <c r="S74" i="212"/>
  <c r="Q74" i="212"/>
  <c r="X73" i="212"/>
  <c r="W73" i="212"/>
  <c r="V73" i="212"/>
  <c r="U73" i="212"/>
  <c r="T73" i="212"/>
  <c r="S73" i="212"/>
  <c r="Q73" i="212"/>
  <c r="X72" i="212"/>
  <c r="W72" i="212"/>
  <c r="V72" i="212"/>
  <c r="U72" i="212"/>
  <c r="T72" i="212"/>
  <c r="S72" i="212"/>
  <c r="Q72" i="212"/>
  <c r="X71" i="212"/>
  <c r="W71" i="212"/>
  <c r="V71" i="212"/>
  <c r="U71" i="212"/>
  <c r="T71" i="212"/>
  <c r="S71" i="212"/>
  <c r="Q71" i="212"/>
  <c r="X70" i="212"/>
  <c r="W70" i="212"/>
  <c r="V70" i="212"/>
  <c r="U70" i="212"/>
  <c r="T70" i="212"/>
  <c r="S70" i="212"/>
  <c r="Q70" i="212"/>
  <c r="X69" i="212"/>
  <c r="W69" i="212"/>
  <c r="V69" i="212"/>
  <c r="U69" i="212"/>
  <c r="T69" i="212"/>
  <c r="S69" i="212"/>
  <c r="Q69" i="212"/>
  <c r="X68" i="212"/>
  <c r="W68" i="212"/>
  <c r="V68" i="212"/>
  <c r="U68" i="212"/>
  <c r="T68" i="212"/>
  <c r="S68" i="212"/>
  <c r="Q68" i="212"/>
  <c r="X67" i="212"/>
  <c r="W67" i="212"/>
  <c r="V67" i="212"/>
  <c r="U67" i="212"/>
  <c r="T67" i="212"/>
  <c r="S67" i="212"/>
  <c r="Q67" i="212"/>
  <c r="X66" i="212"/>
  <c r="W66" i="212"/>
  <c r="V66" i="212"/>
  <c r="U66" i="212"/>
  <c r="T66" i="212"/>
  <c r="S66" i="212"/>
  <c r="Q66" i="212"/>
  <c r="X65" i="212"/>
  <c r="W65" i="212"/>
  <c r="V65" i="212"/>
  <c r="U65" i="212"/>
  <c r="T65" i="212"/>
  <c r="S65" i="212"/>
  <c r="Q65" i="212"/>
  <c r="X64" i="212"/>
  <c r="W64" i="212"/>
  <c r="V64" i="212"/>
  <c r="U64" i="212"/>
  <c r="T64" i="212"/>
  <c r="S64" i="212"/>
  <c r="Q64" i="212"/>
  <c r="K64" i="212"/>
  <c r="J64" i="212"/>
  <c r="I64" i="212"/>
  <c r="H64" i="212"/>
  <c r="G64" i="212"/>
  <c r="F64" i="212"/>
  <c r="E64" i="212"/>
  <c r="D64" i="212"/>
  <c r="K44" i="212"/>
  <c r="J44" i="212"/>
  <c r="I44" i="212"/>
  <c r="H44" i="212"/>
  <c r="G44" i="212"/>
  <c r="F44" i="212"/>
  <c r="D44" i="212"/>
  <c r="K43" i="212"/>
  <c r="J43" i="212"/>
  <c r="I43" i="212"/>
  <c r="H43" i="212"/>
  <c r="G43" i="212"/>
  <c r="F43" i="212"/>
  <c r="D43" i="212"/>
  <c r="K42" i="212"/>
  <c r="J42" i="212"/>
  <c r="I42" i="212"/>
  <c r="H42" i="212"/>
  <c r="G42" i="212"/>
  <c r="F42" i="212"/>
  <c r="D42" i="212"/>
  <c r="K41" i="212"/>
  <c r="J41" i="212"/>
  <c r="I41" i="212"/>
  <c r="H41" i="212"/>
  <c r="G41" i="212"/>
  <c r="F41" i="212"/>
  <c r="D41" i="212"/>
  <c r="K39" i="212"/>
  <c r="J39" i="212"/>
  <c r="I39" i="212"/>
  <c r="H39" i="212"/>
  <c r="G39" i="212"/>
  <c r="F39" i="212"/>
  <c r="D39" i="212"/>
  <c r="K38" i="212"/>
  <c r="J38" i="212"/>
  <c r="I38" i="212"/>
  <c r="H38" i="212"/>
  <c r="G38" i="212"/>
  <c r="F38" i="212"/>
  <c r="D38" i="212"/>
  <c r="K37" i="212"/>
  <c r="J37" i="212"/>
  <c r="I37" i="212"/>
  <c r="H37" i="212"/>
  <c r="G37" i="212"/>
  <c r="F37" i="212"/>
  <c r="D37" i="212"/>
  <c r="K36" i="212"/>
  <c r="J36" i="212"/>
  <c r="I36" i="212"/>
  <c r="H36" i="212"/>
  <c r="G36" i="212"/>
  <c r="F36" i="212"/>
  <c r="D36" i="212"/>
  <c r="K35" i="212"/>
  <c r="J35" i="212"/>
  <c r="I35" i="212"/>
  <c r="H35" i="212"/>
  <c r="G35" i="212"/>
  <c r="F35" i="212"/>
  <c r="D35" i="212"/>
  <c r="X33" i="212"/>
  <c r="V33" i="212"/>
  <c r="U33" i="212"/>
  <c r="K33" i="212"/>
  <c r="J33" i="212"/>
  <c r="I33" i="212"/>
  <c r="H33" i="212"/>
  <c r="G33" i="212"/>
  <c r="F33" i="212"/>
  <c r="D33" i="212"/>
  <c r="X32" i="212"/>
  <c r="W32" i="212"/>
  <c r="V32" i="212"/>
  <c r="U32" i="212"/>
  <c r="S32" i="212"/>
  <c r="K32" i="212"/>
  <c r="J32" i="212"/>
  <c r="I32" i="212"/>
  <c r="H32" i="212"/>
  <c r="G32" i="212"/>
  <c r="F32" i="212"/>
  <c r="D32" i="212"/>
  <c r="X92" i="206"/>
  <c r="Q92" i="206"/>
  <c r="Z32" i="206"/>
  <c r="X32" i="206"/>
  <c r="W32" i="206"/>
  <c r="V32" i="206"/>
  <c r="T32" i="206"/>
  <c r="S32" i="206"/>
  <c r="R32" i="206"/>
  <c r="Q32" i="206"/>
  <c r="P32" i="206"/>
  <c r="O32" i="206"/>
  <c r="N32" i="206"/>
  <c r="L32" i="206"/>
  <c r="J32" i="206"/>
  <c r="I32" i="206"/>
  <c r="H32" i="206"/>
  <c r="F32" i="206"/>
  <c r="E32" i="206"/>
  <c r="D32" i="206"/>
  <c r="B32" i="206"/>
  <c r="B179" i="206"/>
  <c r="F62" i="212" l="1"/>
  <c r="Y33" i="212"/>
  <c r="Y32" i="212"/>
  <c r="Y98" i="212"/>
  <c r="G104" i="212"/>
  <c r="L33" i="212"/>
  <c r="J104" i="212"/>
  <c r="G149" i="212"/>
  <c r="L108" i="212"/>
  <c r="Y111" i="212"/>
  <c r="Y119" i="212"/>
  <c r="H104" i="212"/>
  <c r="L124" i="212"/>
  <c r="S104" i="212"/>
  <c r="L89" i="212"/>
  <c r="D104" i="212"/>
  <c r="W104" i="212"/>
  <c r="Y76" i="212"/>
  <c r="L35" i="212"/>
  <c r="F104" i="212"/>
  <c r="V149" i="212"/>
  <c r="L39" i="212"/>
  <c r="Y88" i="212"/>
  <c r="Y97" i="212"/>
  <c r="X149" i="212"/>
  <c r="L143" i="212"/>
  <c r="I104" i="212"/>
  <c r="F149" i="212"/>
  <c r="L107" i="212"/>
  <c r="L115" i="212"/>
  <c r="Y69" i="212"/>
  <c r="Y77" i="212"/>
  <c r="Y86" i="212"/>
  <c r="I149" i="212"/>
  <c r="Y73" i="212"/>
  <c r="U104" i="212"/>
  <c r="Y68" i="212"/>
  <c r="V104" i="212"/>
  <c r="X62" i="212"/>
  <c r="Q62" i="212"/>
  <c r="L42" i="212"/>
  <c r="Y84" i="212"/>
  <c r="R149" i="212"/>
  <c r="L111" i="212"/>
  <c r="L144" i="212"/>
  <c r="E62" i="212"/>
  <c r="L43" i="212"/>
  <c r="L64" i="212"/>
  <c r="M61" i="212" s="1" a="1"/>
  <c r="M61" i="212" s="1"/>
  <c r="Y74" i="212"/>
  <c r="Y78" i="212"/>
  <c r="S149" i="212"/>
  <c r="Y113" i="212"/>
  <c r="Y121" i="212"/>
  <c r="L126" i="212"/>
  <c r="L133" i="212"/>
  <c r="L41" i="212"/>
  <c r="R62" i="212"/>
  <c r="L36" i="212"/>
  <c r="S62" i="212"/>
  <c r="L44" i="212"/>
  <c r="Y93" i="212"/>
  <c r="T149" i="212"/>
  <c r="L112" i="212"/>
  <c r="L118" i="212"/>
  <c r="L137" i="212"/>
  <c r="R104" i="212"/>
  <c r="Y75" i="212"/>
  <c r="Y101" i="212"/>
  <c r="U149" i="212"/>
  <c r="Y122" i="212"/>
  <c r="L127" i="212"/>
  <c r="Y95" i="212"/>
  <c r="Y108" i="212"/>
  <c r="L119" i="212"/>
  <c r="L147" i="212"/>
  <c r="L38" i="212"/>
  <c r="T104" i="212"/>
  <c r="Y66" i="212"/>
  <c r="Y71" i="212"/>
  <c r="Y72" i="212"/>
  <c r="Y83" i="212"/>
  <c r="Y89" i="212"/>
  <c r="L106" i="212"/>
  <c r="W149" i="212"/>
  <c r="Y107" i="212"/>
  <c r="L110" i="212"/>
  <c r="L128" i="212"/>
  <c r="T62" i="212"/>
  <c r="E149" i="212"/>
  <c r="Y115" i="212"/>
  <c r="L148" i="212"/>
  <c r="Y109" i="212"/>
  <c r="L113" i="212"/>
  <c r="Y114" i="212"/>
  <c r="L117" i="212"/>
  <c r="L141" i="212"/>
  <c r="V62" i="212"/>
  <c r="L145" i="212"/>
  <c r="U62" i="212"/>
  <c r="E104" i="212"/>
  <c r="X104" i="212"/>
  <c r="L75" i="212"/>
  <c r="Y79" i="212"/>
  <c r="Y94" i="212"/>
  <c r="Y99" i="212"/>
  <c r="H149" i="212"/>
  <c r="Y110" i="212"/>
  <c r="L114" i="212"/>
  <c r="Y116" i="212"/>
  <c r="L121" i="212"/>
  <c r="L138" i="212"/>
  <c r="L142" i="212"/>
  <c r="Y80" i="212"/>
  <c r="L129" i="212"/>
  <c r="Y64" i="212"/>
  <c r="I62" i="212"/>
  <c r="Q104" i="212"/>
  <c r="Y70" i="212"/>
  <c r="Y96" i="212"/>
  <c r="Y103" i="212"/>
  <c r="J149" i="212"/>
  <c r="Y118" i="212"/>
  <c r="L122" i="212"/>
  <c r="L37" i="212"/>
  <c r="Y81" i="212"/>
  <c r="K149" i="212"/>
  <c r="L116" i="212"/>
  <c r="L132" i="212"/>
  <c r="G62" i="212"/>
  <c r="H62" i="212"/>
  <c r="J62" i="212"/>
  <c r="K62" i="212"/>
  <c r="Y67" i="212"/>
  <c r="Y90" i="212"/>
  <c r="Y91" i="212"/>
  <c r="Q149" i="212"/>
  <c r="Y112" i="212"/>
  <c r="L125" i="212"/>
  <c r="L130" i="212"/>
  <c r="Y65" i="212"/>
  <c r="D149" i="212"/>
  <c r="K104" i="212"/>
  <c r="L32" i="212"/>
  <c r="W62" i="212"/>
  <c r="Y106" i="212"/>
  <c r="D62" i="212"/>
  <c r="E84" i="206"/>
  <c r="Q127" i="206"/>
  <c r="R127" i="206"/>
  <c r="S127" i="206"/>
  <c r="T127" i="206"/>
  <c r="U127" i="206"/>
  <c r="V127" i="206"/>
  <c r="W127" i="206"/>
  <c r="X127" i="206"/>
  <c r="D127" i="206"/>
  <c r="E127" i="206"/>
  <c r="F127" i="206"/>
  <c r="G127" i="206"/>
  <c r="H127" i="206"/>
  <c r="I127" i="206"/>
  <c r="J127" i="206"/>
  <c r="K127" i="206"/>
  <c r="Q63" i="206"/>
  <c r="R63" i="206"/>
  <c r="S63" i="206"/>
  <c r="T63" i="206"/>
  <c r="U63" i="206"/>
  <c r="V63" i="206"/>
  <c r="W63" i="206"/>
  <c r="X63" i="206"/>
  <c r="Q64" i="206"/>
  <c r="R64" i="206"/>
  <c r="S64" i="206"/>
  <c r="T64" i="206"/>
  <c r="U64" i="206"/>
  <c r="V64" i="206"/>
  <c r="W64" i="206"/>
  <c r="X64" i="206"/>
  <c r="Q65" i="206"/>
  <c r="R65" i="206"/>
  <c r="S65" i="206"/>
  <c r="T65" i="206"/>
  <c r="U65" i="206"/>
  <c r="V65" i="206"/>
  <c r="W65" i="206"/>
  <c r="X65" i="206"/>
  <c r="Q66" i="206"/>
  <c r="R66" i="206"/>
  <c r="S66" i="206"/>
  <c r="T66" i="206"/>
  <c r="U66" i="206"/>
  <c r="V66" i="206"/>
  <c r="W66" i="206"/>
  <c r="X66" i="206"/>
  <c r="Q67" i="206"/>
  <c r="R67" i="206"/>
  <c r="S67" i="206"/>
  <c r="T67" i="206"/>
  <c r="U67" i="206"/>
  <c r="V67" i="206"/>
  <c r="W67" i="206"/>
  <c r="X67" i="206"/>
  <c r="Q68" i="206"/>
  <c r="R68" i="206"/>
  <c r="S68" i="206"/>
  <c r="T68" i="206"/>
  <c r="U68" i="206"/>
  <c r="V68" i="206"/>
  <c r="W68" i="206"/>
  <c r="X68" i="206"/>
  <c r="Q69" i="206"/>
  <c r="R69" i="206"/>
  <c r="S69" i="206"/>
  <c r="T69" i="206"/>
  <c r="U69" i="206"/>
  <c r="V69" i="206"/>
  <c r="W69" i="206"/>
  <c r="X69" i="206"/>
  <c r="Q70" i="206"/>
  <c r="R70" i="206"/>
  <c r="S70" i="206"/>
  <c r="T70" i="206"/>
  <c r="U70" i="206"/>
  <c r="V70" i="206"/>
  <c r="W70" i="206"/>
  <c r="X70" i="206"/>
  <c r="Q71" i="206"/>
  <c r="R71" i="206"/>
  <c r="S71" i="206"/>
  <c r="T71" i="206"/>
  <c r="U71" i="206"/>
  <c r="V71" i="206"/>
  <c r="W71" i="206"/>
  <c r="X71" i="206"/>
  <c r="Q72" i="206"/>
  <c r="R72" i="206"/>
  <c r="S72" i="206"/>
  <c r="T72" i="206"/>
  <c r="U72" i="206"/>
  <c r="V72" i="206"/>
  <c r="W72" i="206"/>
  <c r="X72" i="206"/>
  <c r="Q73" i="206"/>
  <c r="R73" i="206"/>
  <c r="S73" i="206"/>
  <c r="T73" i="206"/>
  <c r="U73" i="206"/>
  <c r="V73" i="206"/>
  <c r="W73" i="206"/>
  <c r="X73" i="206"/>
  <c r="Q74" i="206"/>
  <c r="R74" i="206"/>
  <c r="S74" i="206"/>
  <c r="T74" i="206"/>
  <c r="U74" i="206"/>
  <c r="V74" i="206"/>
  <c r="W74" i="206"/>
  <c r="X74" i="206"/>
  <c r="Q75" i="206"/>
  <c r="R75" i="206"/>
  <c r="S75" i="206"/>
  <c r="T75" i="206"/>
  <c r="U75" i="206"/>
  <c r="V75" i="206"/>
  <c r="W75" i="206"/>
  <c r="X75" i="206"/>
  <c r="Q76" i="206"/>
  <c r="R76" i="206"/>
  <c r="S76" i="206"/>
  <c r="T76" i="206"/>
  <c r="U76" i="206"/>
  <c r="V76" i="206"/>
  <c r="W76" i="206"/>
  <c r="X76" i="206"/>
  <c r="Q77" i="206"/>
  <c r="R77" i="206"/>
  <c r="S77" i="206"/>
  <c r="T77" i="206"/>
  <c r="U77" i="206"/>
  <c r="V77" i="206"/>
  <c r="W77" i="206"/>
  <c r="X77" i="206"/>
  <c r="Q78" i="206"/>
  <c r="R78" i="206"/>
  <c r="S78" i="206"/>
  <c r="T78" i="206"/>
  <c r="U78" i="206"/>
  <c r="V78" i="206"/>
  <c r="W78" i="206"/>
  <c r="X78" i="206"/>
  <c r="Q79" i="206"/>
  <c r="R79" i="206"/>
  <c r="S79" i="206"/>
  <c r="T79" i="206"/>
  <c r="U79" i="206"/>
  <c r="V79" i="206"/>
  <c r="W79" i="206"/>
  <c r="X79" i="206"/>
  <c r="Q80" i="206"/>
  <c r="R80" i="206"/>
  <c r="S80" i="206"/>
  <c r="T80" i="206"/>
  <c r="U80" i="206"/>
  <c r="V80" i="206"/>
  <c r="W80" i="206"/>
  <c r="X80" i="206"/>
  <c r="Q81" i="206"/>
  <c r="R81" i="206"/>
  <c r="S81" i="206"/>
  <c r="T81" i="206"/>
  <c r="U81" i="206"/>
  <c r="V81" i="206"/>
  <c r="W81" i="206"/>
  <c r="X81" i="206"/>
  <c r="Q82" i="206"/>
  <c r="R82" i="206"/>
  <c r="S82" i="206"/>
  <c r="T82" i="206"/>
  <c r="U82" i="206"/>
  <c r="V82" i="206"/>
  <c r="W82" i="206"/>
  <c r="X82" i="206"/>
  <c r="Q83" i="206"/>
  <c r="R83" i="206"/>
  <c r="S83" i="206"/>
  <c r="T83" i="206"/>
  <c r="U83" i="206"/>
  <c r="V83" i="206"/>
  <c r="W83" i="206"/>
  <c r="X83" i="206"/>
  <c r="Q84" i="206"/>
  <c r="R84" i="206"/>
  <c r="S84" i="206"/>
  <c r="T84" i="206"/>
  <c r="U84" i="206"/>
  <c r="V84" i="206"/>
  <c r="W84" i="206"/>
  <c r="X84" i="206"/>
  <c r="Q85" i="206"/>
  <c r="R85" i="206"/>
  <c r="S85" i="206"/>
  <c r="T85" i="206"/>
  <c r="U85" i="206"/>
  <c r="V85" i="206"/>
  <c r="W85" i="206"/>
  <c r="X85" i="206"/>
  <c r="Q86" i="206"/>
  <c r="R86" i="206"/>
  <c r="S86" i="206"/>
  <c r="T86" i="206"/>
  <c r="U86" i="206"/>
  <c r="V86" i="206"/>
  <c r="W86" i="206"/>
  <c r="X86" i="206"/>
  <c r="Q87" i="206"/>
  <c r="R87" i="206"/>
  <c r="S87" i="206"/>
  <c r="T87" i="206"/>
  <c r="U87" i="206"/>
  <c r="V87" i="206"/>
  <c r="W87" i="206"/>
  <c r="X87" i="206"/>
  <c r="Q88" i="206"/>
  <c r="R88" i="206"/>
  <c r="S88" i="206"/>
  <c r="T88" i="206"/>
  <c r="U88" i="206"/>
  <c r="V88" i="206"/>
  <c r="W88" i="206"/>
  <c r="X88" i="206"/>
  <c r="Q89" i="206"/>
  <c r="R89" i="206"/>
  <c r="S89" i="206"/>
  <c r="T89" i="206"/>
  <c r="U89" i="206"/>
  <c r="V89" i="206"/>
  <c r="W89" i="206"/>
  <c r="X89" i="206"/>
  <c r="Q90" i="206"/>
  <c r="R90" i="206"/>
  <c r="S90" i="206"/>
  <c r="T90" i="206"/>
  <c r="U90" i="206"/>
  <c r="V90" i="206"/>
  <c r="W90" i="206"/>
  <c r="X90" i="206"/>
  <c r="Q91" i="206"/>
  <c r="R91" i="206"/>
  <c r="S91" i="206"/>
  <c r="T91" i="206"/>
  <c r="U91" i="206"/>
  <c r="V91" i="206"/>
  <c r="W91" i="206"/>
  <c r="X91" i="206"/>
  <c r="R92" i="206"/>
  <c r="S92" i="206"/>
  <c r="T92" i="206"/>
  <c r="U92" i="206"/>
  <c r="V92" i="206"/>
  <c r="W92" i="206"/>
  <c r="Q93" i="206"/>
  <c r="R93" i="206"/>
  <c r="S93" i="206"/>
  <c r="T93" i="206"/>
  <c r="U93" i="206"/>
  <c r="V93" i="206"/>
  <c r="W93" i="206"/>
  <c r="X93" i="206"/>
  <c r="Q94" i="206"/>
  <c r="R94" i="206"/>
  <c r="S94" i="206"/>
  <c r="T94" i="206"/>
  <c r="U94" i="206"/>
  <c r="V94" i="206"/>
  <c r="W94" i="206"/>
  <c r="X94" i="206"/>
  <c r="Q95" i="206"/>
  <c r="R95" i="206"/>
  <c r="S95" i="206"/>
  <c r="T95" i="206"/>
  <c r="U95" i="206"/>
  <c r="V95" i="206"/>
  <c r="W95" i="206"/>
  <c r="X95" i="206"/>
  <c r="X55" i="206"/>
  <c r="W55" i="206"/>
  <c r="V55" i="206"/>
  <c r="U55" i="206"/>
  <c r="T55" i="206"/>
  <c r="S55" i="206"/>
  <c r="R55" i="206"/>
  <c r="Q55" i="206"/>
  <c r="X54" i="206"/>
  <c r="W54" i="206"/>
  <c r="V54" i="206"/>
  <c r="U54" i="206"/>
  <c r="T54" i="206"/>
  <c r="S54" i="206"/>
  <c r="R54" i="206"/>
  <c r="Q54" i="206"/>
  <c r="X53" i="206"/>
  <c r="W53" i="206"/>
  <c r="V53" i="206"/>
  <c r="U53" i="206"/>
  <c r="T53" i="206"/>
  <c r="S53" i="206"/>
  <c r="R53" i="206"/>
  <c r="Q53" i="206"/>
  <c r="X52" i="206"/>
  <c r="W52" i="206"/>
  <c r="V52" i="206"/>
  <c r="U52" i="206"/>
  <c r="T52" i="206"/>
  <c r="S52" i="206"/>
  <c r="R52" i="206"/>
  <c r="Q52" i="206"/>
  <c r="X51" i="206"/>
  <c r="W51" i="206"/>
  <c r="V51" i="206"/>
  <c r="U51" i="206"/>
  <c r="T51" i="206"/>
  <c r="S51" i="206"/>
  <c r="R51" i="206"/>
  <c r="Q51" i="206"/>
  <c r="X50" i="206"/>
  <c r="W50" i="206"/>
  <c r="V50" i="206"/>
  <c r="U50" i="206"/>
  <c r="T50" i="206"/>
  <c r="S50" i="206"/>
  <c r="R50" i="206"/>
  <c r="Q50" i="206"/>
  <c r="X49" i="206"/>
  <c r="W49" i="206"/>
  <c r="V49" i="206"/>
  <c r="U49" i="206"/>
  <c r="T49" i="206"/>
  <c r="S49" i="206"/>
  <c r="R49" i="206"/>
  <c r="Q49" i="206"/>
  <c r="X48" i="206"/>
  <c r="W48" i="206"/>
  <c r="V48" i="206"/>
  <c r="U48" i="206"/>
  <c r="T48" i="206"/>
  <c r="S48" i="206"/>
  <c r="R48" i="206"/>
  <c r="Q48" i="206"/>
  <c r="X47" i="206"/>
  <c r="W47" i="206"/>
  <c r="V47" i="206"/>
  <c r="U47" i="206"/>
  <c r="T47" i="206"/>
  <c r="S47" i="206"/>
  <c r="R47" i="206"/>
  <c r="Q47" i="206"/>
  <c r="X46" i="206"/>
  <c r="W46" i="206"/>
  <c r="V46" i="206"/>
  <c r="U46" i="206"/>
  <c r="T46" i="206"/>
  <c r="S46" i="206"/>
  <c r="R46" i="206"/>
  <c r="Q46" i="206"/>
  <c r="X45" i="206"/>
  <c r="W45" i="206"/>
  <c r="V45" i="206"/>
  <c r="U45" i="206"/>
  <c r="T45" i="206"/>
  <c r="S45" i="206"/>
  <c r="R45" i="206"/>
  <c r="Q45" i="206"/>
  <c r="K45" i="206"/>
  <c r="J45" i="206"/>
  <c r="I45" i="206"/>
  <c r="H45" i="206"/>
  <c r="G45" i="206"/>
  <c r="F45" i="206"/>
  <c r="E45" i="206"/>
  <c r="D45" i="206"/>
  <c r="D46" i="206"/>
  <c r="D47" i="206"/>
  <c r="D48" i="206"/>
  <c r="D49" i="206"/>
  <c r="D50" i="206"/>
  <c r="D51" i="206"/>
  <c r="D52" i="206"/>
  <c r="D53" i="206"/>
  <c r="D54" i="206"/>
  <c r="Z31" i="206"/>
  <c r="X31" i="206"/>
  <c r="W31" i="206"/>
  <c r="V31" i="206"/>
  <c r="T31" i="206"/>
  <c r="S31" i="206"/>
  <c r="R31" i="206"/>
  <c r="Q31" i="206"/>
  <c r="P31" i="206"/>
  <c r="O31" i="206"/>
  <c r="N31" i="206"/>
  <c r="L31" i="206"/>
  <c r="J31" i="206"/>
  <c r="I31" i="206"/>
  <c r="H31" i="206"/>
  <c r="F31" i="206"/>
  <c r="E31" i="206"/>
  <c r="D31" i="206"/>
  <c r="Z29" i="206"/>
  <c r="Z30" i="206"/>
  <c r="Z28" i="206"/>
  <c r="X29" i="206"/>
  <c r="X30" i="206"/>
  <c r="X28" i="206"/>
  <c r="W29" i="206"/>
  <c r="W30" i="206"/>
  <c r="W28" i="206"/>
  <c r="V29" i="206"/>
  <c r="V30" i="206"/>
  <c r="V28" i="206"/>
  <c r="T29" i="206"/>
  <c r="T30" i="206"/>
  <c r="T28" i="206"/>
  <c r="S29" i="206"/>
  <c r="S30" i="206"/>
  <c r="S28" i="206"/>
  <c r="R29" i="206"/>
  <c r="R30" i="206"/>
  <c r="R28" i="206"/>
  <c r="Q29" i="206"/>
  <c r="Q30" i="206"/>
  <c r="Q28" i="206"/>
  <c r="P29" i="206"/>
  <c r="P30" i="206"/>
  <c r="P28" i="206"/>
  <c r="O29" i="206"/>
  <c r="O30" i="206"/>
  <c r="O28" i="206"/>
  <c r="N28" i="206"/>
  <c r="N29" i="206"/>
  <c r="N30" i="206"/>
  <c r="L30" i="206"/>
  <c r="L29" i="206"/>
  <c r="L28" i="206"/>
  <c r="J29" i="206"/>
  <c r="J30" i="206"/>
  <c r="I29" i="206"/>
  <c r="I30" i="206"/>
  <c r="H29" i="206"/>
  <c r="H30" i="206"/>
  <c r="F30" i="206"/>
  <c r="E30" i="206"/>
  <c r="D30" i="206"/>
  <c r="B31" i="206"/>
  <c r="B30" i="206"/>
  <c r="F29" i="206"/>
  <c r="E29" i="206"/>
  <c r="D29" i="206"/>
  <c r="B29" i="206"/>
  <c r="Z17" i="206"/>
  <c r="X17" i="206"/>
  <c r="W17" i="206"/>
  <c r="V17" i="206"/>
  <c r="T17" i="206"/>
  <c r="S17" i="206"/>
  <c r="R17" i="206"/>
  <c r="Q17" i="206"/>
  <c r="P17" i="206"/>
  <c r="O17" i="206"/>
  <c r="N17" i="206"/>
  <c r="L17" i="206"/>
  <c r="J17" i="206"/>
  <c r="I17" i="206"/>
  <c r="H17" i="206"/>
  <c r="F17" i="206"/>
  <c r="E17" i="206"/>
  <c r="D17" i="206"/>
  <c r="B17" i="206"/>
  <c r="Z12" i="206"/>
  <c r="X12" i="206"/>
  <c r="W12" i="206"/>
  <c r="V12" i="206"/>
  <c r="T12" i="206"/>
  <c r="S12" i="206"/>
  <c r="R12" i="206"/>
  <c r="Q12" i="206"/>
  <c r="P12" i="206"/>
  <c r="O12" i="206"/>
  <c r="N12" i="206"/>
  <c r="L12" i="206"/>
  <c r="J12" i="206"/>
  <c r="I12" i="206"/>
  <c r="H12" i="206"/>
  <c r="F12" i="206"/>
  <c r="E12" i="206"/>
  <c r="D12" i="206"/>
  <c r="B186" i="206"/>
  <c r="B185" i="206"/>
  <c r="B184" i="206"/>
  <c r="Y62" i="212" l="1"/>
  <c r="L149" i="212"/>
  <c r="M120" i="212" s="1" a="1"/>
  <c r="M120" i="212" s="1"/>
  <c r="L104" i="212"/>
  <c r="M89" i="212" s="1"/>
  <c r="Y104" i="212"/>
  <c r="Z102" i="212" s="1" a="1"/>
  <c r="Z102" i="212" s="1"/>
  <c r="Y149" i="212"/>
  <c r="L62" i="212"/>
  <c r="M48" i="212" s="1" a="1"/>
  <c r="M48" i="212" s="1"/>
  <c r="L127" i="206"/>
  <c r="Y127" i="206"/>
  <c r="Y92" i="206"/>
  <c r="Y71" i="206"/>
  <c r="Y64" i="206"/>
  <c r="Y69" i="206"/>
  <c r="Y88" i="206"/>
  <c r="Y83" i="206"/>
  <c r="Y87" i="206"/>
  <c r="Y80" i="206"/>
  <c r="Y73" i="206"/>
  <c r="Y85" i="206"/>
  <c r="Y78" i="206"/>
  <c r="Y66" i="206"/>
  <c r="Y90" i="206"/>
  <c r="Y74" i="206"/>
  <c r="Y76" i="206"/>
  <c r="Y86" i="206"/>
  <c r="Y93" i="206"/>
  <c r="Y91" i="206"/>
  <c r="Y81" i="206"/>
  <c r="Y72" i="206"/>
  <c r="Y95" i="206"/>
  <c r="Y77" i="206"/>
  <c r="Y67" i="206"/>
  <c r="Y79" i="206"/>
  <c r="Y84" i="206"/>
  <c r="Y68" i="206"/>
  <c r="Y65" i="206"/>
  <c r="Y63" i="206"/>
  <c r="Y70" i="206"/>
  <c r="Y89" i="206"/>
  <c r="Y94" i="206"/>
  <c r="Y82" i="206"/>
  <c r="Y75" i="206"/>
  <c r="Y53" i="206"/>
  <c r="Y45" i="206"/>
  <c r="Y47" i="206"/>
  <c r="Y54" i="206"/>
  <c r="Y55" i="206"/>
  <c r="Y49" i="206"/>
  <c r="Y50" i="206"/>
  <c r="Y48" i="206"/>
  <c r="Y52" i="206"/>
  <c r="Y51" i="206"/>
  <c r="Y46" i="206"/>
  <c r="L45" i="206"/>
  <c r="B183" i="206"/>
  <c r="B182" i="206"/>
  <c r="B181" i="206"/>
  <c r="B180" i="206"/>
  <c r="B178" i="206"/>
  <c r="B177" i="206"/>
  <c r="B176" i="206"/>
  <c r="B175" i="206"/>
  <c r="Z50" i="212" l="1" a="1"/>
  <c r="Z50" i="212" s="1"/>
  <c r="Z49" i="212" a="1"/>
  <c r="Z49" i="212" s="1"/>
  <c r="Z53" i="212" a="1"/>
  <c r="Z53" i="212" s="1"/>
  <c r="Z48" i="212" a="1"/>
  <c r="Z48" i="212" s="1"/>
  <c r="Z54" i="212" a="1"/>
  <c r="Z54" i="212" s="1"/>
  <c r="Z52" i="212" a="1"/>
  <c r="Z52" i="212" s="1"/>
  <c r="Z51" i="212" a="1"/>
  <c r="Z51" i="212" s="1"/>
  <c r="M33" i="212" a="1"/>
  <c r="M33" i="212" s="1"/>
  <c r="M49" i="212" a="1"/>
  <c r="M49" i="212" s="1"/>
  <c r="M32" i="212" a="1"/>
  <c r="M32" i="212" s="1"/>
  <c r="M41" i="212" a="1"/>
  <c r="M41" i="212" s="1"/>
  <c r="M50" i="212" a="1"/>
  <c r="M50" i="212" s="1"/>
  <c r="M34" i="212" a="1"/>
  <c r="M34" i="212" s="1"/>
  <c r="M42" i="212" a="1"/>
  <c r="M42" i="212" s="1"/>
  <c r="M47" i="212" a="1"/>
  <c r="M47" i="212" s="1"/>
  <c r="M35" i="212" a="1"/>
  <c r="M35" i="212" s="1"/>
  <c r="M51" i="212" a="1"/>
  <c r="M51" i="212" s="1"/>
  <c r="M43" i="212" a="1"/>
  <c r="M43" i="212" s="1"/>
  <c r="M36" i="212" a="1"/>
  <c r="M36" i="212" s="1"/>
  <c r="M37" i="212" a="1"/>
  <c r="M37" i="212" s="1"/>
  <c r="M45" i="212" a="1"/>
  <c r="M45" i="212" s="1"/>
  <c r="M46" i="212" a="1"/>
  <c r="M46" i="212" s="1"/>
  <c r="M39" i="212" a="1"/>
  <c r="M39" i="212" s="1"/>
  <c r="M44" i="212" a="1"/>
  <c r="M44" i="212" s="1"/>
  <c r="M38" i="212" a="1"/>
  <c r="M38" i="212" s="1"/>
  <c r="M40" i="212" a="1"/>
  <c r="M40" i="212" s="1"/>
  <c r="M56" i="212" a="1"/>
  <c r="M56" i="212" s="1"/>
  <c r="M54" i="212" a="1"/>
  <c r="M54" i="212" s="1"/>
  <c r="M55" i="212" a="1"/>
  <c r="M55" i="212" s="1"/>
  <c r="M52" i="212" a="1"/>
  <c r="M52" i="212" s="1"/>
  <c r="M53" i="212" a="1"/>
  <c r="M53" i="212" s="1"/>
  <c r="Z139" i="212" a="1"/>
  <c r="Z139" i="212" s="1"/>
  <c r="Z147" i="212" a="1"/>
  <c r="Z147" i="212" s="1"/>
  <c r="Z146" i="212" a="1"/>
  <c r="Z146" i="212" s="1"/>
  <c r="Z148" i="212" a="1"/>
  <c r="Z148" i="212" s="1"/>
  <c r="Z124" i="212" a="1"/>
  <c r="Z124" i="212" s="1"/>
  <c r="Z126" i="212" a="1"/>
  <c r="Z126" i="212" s="1"/>
  <c r="Z137" i="212" a="1"/>
  <c r="Z137" i="212" s="1"/>
  <c r="Z138" i="212" a="1"/>
  <c r="Z138" i="212" s="1"/>
  <c r="Z132" i="212" a="1"/>
  <c r="Z132" i="212" s="1"/>
  <c r="Z143" i="212" a="1"/>
  <c r="Z143" i="212" s="1"/>
  <c r="Z125" i="212" a="1"/>
  <c r="Z125" i="212" s="1"/>
  <c r="Z123" i="212" a="1"/>
  <c r="Z123" i="212" s="1"/>
  <c r="Z133" i="212" a="1"/>
  <c r="Z133" i="212" s="1"/>
  <c r="Z140" i="212" a="1"/>
  <c r="Z140" i="212" s="1"/>
  <c r="Z145" i="212" a="1"/>
  <c r="Z145" i="212" s="1"/>
  <c r="Z135" i="212" a="1"/>
  <c r="Z135" i="212" s="1"/>
  <c r="Z130" i="212" a="1"/>
  <c r="Z130" i="212" s="1"/>
  <c r="Z136" i="212" a="1"/>
  <c r="Z136" i="212" s="1"/>
  <c r="Z128" i="212" a="1"/>
  <c r="Z128" i="212" s="1"/>
  <c r="Z141" i="212" a="1"/>
  <c r="Z141" i="212" s="1"/>
  <c r="Z144" i="212" a="1"/>
  <c r="Z144" i="212" s="1"/>
  <c r="Z131" i="212" a="1"/>
  <c r="Z131" i="212" s="1"/>
  <c r="Z142" i="212" a="1"/>
  <c r="Z142" i="212" s="1"/>
  <c r="Z129" i="212" a="1"/>
  <c r="Z129" i="212" s="1"/>
  <c r="Z134" i="212" a="1"/>
  <c r="Z134" i="212" s="1"/>
  <c r="Z127" i="212" a="1"/>
  <c r="Z127" i="212" s="1"/>
  <c r="Z117" i="212" a="1"/>
  <c r="Z117" i="212" s="1"/>
  <c r="Z120" i="212" a="1"/>
  <c r="Z120" i="212" s="1"/>
  <c r="M136" i="212" a="1"/>
  <c r="M136" i="212" s="1"/>
  <c r="M131" i="212" a="1"/>
  <c r="M131" i="212" s="1"/>
  <c r="M134" i="212" a="1"/>
  <c r="M134" i="212" s="1"/>
  <c r="M135" i="212" a="1"/>
  <c r="M135" i="212" s="1"/>
  <c r="M123" i="212" a="1"/>
  <c r="M123" i="212" s="1"/>
  <c r="M109" i="212" a="1"/>
  <c r="M109" i="212" s="1"/>
  <c r="M139" i="212" a="1"/>
  <c r="M139" i="212" s="1"/>
  <c r="M140" i="212" a="1"/>
  <c r="M140" i="212" s="1"/>
  <c r="M127" i="212" a="1"/>
  <c r="M127" i="212" s="1"/>
  <c r="M146" i="212" a="1"/>
  <c r="M146" i="212" s="1"/>
  <c r="Z92" i="212" a="1"/>
  <c r="Z92" i="212" s="1"/>
  <c r="Z100" i="212" a="1"/>
  <c r="Z100" i="212" s="1"/>
  <c r="Z85" i="212" a="1"/>
  <c r="Z85" i="212" s="1"/>
  <c r="Z87" i="212" a="1"/>
  <c r="Z87" i="212" s="1"/>
  <c r="Z69" i="212" a="1"/>
  <c r="Z69" i="212" s="1"/>
  <c r="Z82" i="212" a="1"/>
  <c r="Z82" i="212" s="1"/>
  <c r="Z60" i="212" a="1"/>
  <c r="Z60" i="212" s="1"/>
  <c r="Z61" i="212" a="1"/>
  <c r="Z61" i="212" s="1"/>
  <c r="Z57" i="212" a="1"/>
  <c r="Z57" i="212" s="1"/>
  <c r="Z58" i="212" a="1"/>
  <c r="Z58" i="212" s="1"/>
  <c r="Z37" i="212" a="1"/>
  <c r="Z37" i="212" s="1"/>
  <c r="Z56" i="212" a="1"/>
  <c r="Z56" i="212" s="1"/>
  <c r="M57" i="212" a="1"/>
  <c r="M57" i="212" s="1"/>
  <c r="M58" i="212" a="1"/>
  <c r="M58" i="212" s="1"/>
  <c r="M59" i="212" a="1"/>
  <c r="M59" i="212" s="1"/>
  <c r="M60" i="212" a="1"/>
  <c r="M60" i="212" s="1"/>
  <c r="Z39" i="212" a="1"/>
  <c r="Z39" i="212" s="1"/>
  <c r="Z44" i="212" a="1"/>
  <c r="Z44" i="212" s="1"/>
  <c r="Z34" i="212" a="1"/>
  <c r="Z34" i="212" s="1"/>
  <c r="Z55" i="212" a="1"/>
  <c r="Z55" i="212" s="1"/>
  <c r="M129" i="212" a="1"/>
  <c r="M129" i="212" s="1"/>
  <c r="M106" i="212" a="1"/>
  <c r="M106" i="212" s="1"/>
  <c r="Z35" i="212" a="1"/>
  <c r="Z35" i="212" s="1"/>
  <c r="Z36" i="212" a="1"/>
  <c r="Z36" i="212" s="1"/>
  <c r="Z59" i="212" a="1"/>
  <c r="Z59" i="212" s="1"/>
  <c r="M117" i="212" a="1"/>
  <c r="M117" i="212" s="1"/>
  <c r="M119" i="212" a="1"/>
  <c r="M119" i="212" s="1"/>
  <c r="M114" i="212" a="1"/>
  <c r="M114" i="212" s="1"/>
  <c r="M148" i="212" a="1"/>
  <c r="M148" i="212" s="1"/>
  <c r="M108" i="212" a="1"/>
  <c r="M108" i="212" s="1"/>
  <c r="M138" i="212" a="1"/>
  <c r="M138" i="212" s="1"/>
  <c r="Z43" i="212" a="1"/>
  <c r="Z43" i="212" s="1"/>
  <c r="Z45" i="212" a="1"/>
  <c r="Z45" i="212" s="1"/>
  <c r="Z46" i="212" a="1"/>
  <c r="Z46" i="212" s="1"/>
  <c r="Z42" i="212" a="1"/>
  <c r="Z42" i="212" s="1"/>
  <c r="Z47" i="212" a="1"/>
  <c r="Z47" i="212" s="1"/>
  <c r="M111" i="212" a="1"/>
  <c r="M111" i="212" s="1"/>
  <c r="Z33" i="212" a="1"/>
  <c r="Z33" i="212" s="1"/>
  <c r="M107" i="212" a="1"/>
  <c r="M107" i="212" s="1"/>
  <c r="M124" i="212" a="1"/>
  <c r="M124" i="212" s="1"/>
  <c r="M142" i="212" a="1"/>
  <c r="M142" i="212" s="1"/>
  <c r="M116" i="212" a="1"/>
  <c r="M116" i="212" s="1"/>
  <c r="M115" i="212" a="1"/>
  <c r="M115" i="212" s="1"/>
  <c r="M133" i="212" a="1"/>
  <c r="M133" i="212" s="1"/>
  <c r="M147" i="212" a="1"/>
  <c r="M147" i="212" s="1"/>
  <c r="M143" i="212" a="1"/>
  <c r="M143" i="212" s="1"/>
  <c r="M122" i="212" a="1"/>
  <c r="M122" i="212" s="1"/>
  <c r="M113" i="212" a="1"/>
  <c r="M113" i="212" s="1"/>
  <c r="M130" i="212" a="1"/>
  <c r="M130" i="212" s="1"/>
  <c r="M110" i="212" a="1"/>
  <c r="M110" i="212" s="1"/>
  <c r="M128" i="212" a="1"/>
  <c r="M128" i="212" s="1"/>
  <c r="M145" i="212" a="1"/>
  <c r="M145" i="212" s="1"/>
  <c r="M118" i="212" a="1"/>
  <c r="M118" i="212" s="1"/>
  <c r="M132" i="212" a="1"/>
  <c r="M132" i="212" s="1"/>
  <c r="M121" i="212" a="1"/>
  <c r="M121" i="212" s="1"/>
  <c r="M112" i="212" a="1"/>
  <c r="M112" i="212" s="1"/>
  <c r="M141" i="212" a="1"/>
  <c r="M141" i="212" s="1"/>
  <c r="M125" i="212" a="1"/>
  <c r="M125" i="212" s="1"/>
  <c r="M137" i="212" a="1"/>
  <c r="M137" i="212" s="1"/>
  <c r="M144" i="212" a="1"/>
  <c r="M144" i="212" s="1"/>
  <c r="M126" i="212" a="1"/>
  <c r="M126" i="212" s="1"/>
  <c r="Z41" i="212" a="1"/>
  <c r="Z41" i="212" s="1"/>
  <c r="Z32" i="212" a="1"/>
  <c r="Z32" i="212" s="1"/>
  <c r="Z40" i="212" a="1"/>
  <c r="Z40" i="212" s="1"/>
  <c r="Z38" i="212" a="1"/>
  <c r="Z38" i="212" s="1"/>
  <c r="Z79" i="212" a="1"/>
  <c r="Z79" i="212" s="1"/>
  <c r="Z80" i="212" a="1"/>
  <c r="Z80" i="212" s="1"/>
  <c r="Z77" i="212" a="1"/>
  <c r="Z77" i="212" s="1"/>
  <c r="Z71" i="212" a="1"/>
  <c r="Z71" i="212" s="1"/>
  <c r="Z86" i="212" a="1"/>
  <c r="Z86" i="212" s="1"/>
  <c r="Z76" i="212" a="1"/>
  <c r="Z76" i="212" s="1"/>
  <c r="Z84" i="212" a="1"/>
  <c r="Z84" i="212" s="1"/>
  <c r="Z74" i="212" a="1"/>
  <c r="Z74" i="212" s="1"/>
  <c r="Z68" i="212" a="1"/>
  <c r="Z68" i="212" s="1"/>
  <c r="Z66" i="212" a="1"/>
  <c r="Z66" i="212" s="1"/>
  <c r="Z98" i="212" a="1"/>
  <c r="Z98" i="212" s="1"/>
  <c r="Z90" i="212" a="1"/>
  <c r="Z90" i="212" s="1"/>
  <c r="Z97" i="212" a="1"/>
  <c r="Z97" i="212" s="1"/>
  <c r="Z93" i="212" a="1"/>
  <c r="Z93" i="212" s="1"/>
  <c r="Z94" i="212" a="1"/>
  <c r="Z94" i="212" s="1"/>
  <c r="Z99" i="212" a="1"/>
  <c r="Z99" i="212" s="1"/>
  <c r="Z73" i="212" a="1"/>
  <c r="Z73" i="212" s="1"/>
  <c r="Z91" i="212" a="1"/>
  <c r="Z91" i="212" s="1"/>
  <c r="Z83" i="212" a="1"/>
  <c r="Z83" i="212" s="1"/>
  <c r="Z64" i="212" a="1"/>
  <c r="Z64" i="212" s="1"/>
  <c r="M64" i="212" a="1"/>
  <c r="M64" i="212" s="1"/>
  <c r="Z67" i="212" a="1"/>
  <c r="Z67" i="212" s="1"/>
  <c r="Z89" i="212" a="1"/>
  <c r="Z89" i="212" s="1"/>
  <c r="Z75" i="212" a="1"/>
  <c r="Z75" i="212" s="1"/>
  <c r="Z81" i="212" a="1"/>
  <c r="Z81" i="212" s="1"/>
  <c r="Z70" i="212" a="1"/>
  <c r="Z70" i="212" s="1"/>
  <c r="M75" i="212"/>
  <c r="Z101" i="212" a="1"/>
  <c r="Z101" i="212" s="1"/>
  <c r="Z72" i="212" a="1"/>
  <c r="Z72" i="212" s="1"/>
  <c r="Z103" i="212" a="1"/>
  <c r="Z103" i="212" s="1"/>
  <c r="Z65" i="212" a="1"/>
  <c r="Z65" i="212" s="1"/>
  <c r="Z95" i="212" a="1"/>
  <c r="Z95" i="212" s="1"/>
  <c r="Z88" i="212" a="1"/>
  <c r="Z88" i="212" s="1"/>
  <c r="Z96" i="212" a="1"/>
  <c r="Z96" i="212" s="1"/>
  <c r="Z78" i="212" a="1"/>
  <c r="Z78" i="212" s="1"/>
  <c r="Z118" i="212" a="1"/>
  <c r="Z118" i="212" s="1"/>
  <c r="Z122" i="212" a="1"/>
  <c r="Z122" i="212" s="1"/>
  <c r="Z107" i="212" a="1"/>
  <c r="Z107" i="212" s="1"/>
  <c r="Z110" i="212" a="1"/>
  <c r="Z110" i="212" s="1"/>
  <c r="Z109" i="212" a="1"/>
  <c r="Z109" i="212" s="1"/>
  <c r="Z112" i="212" a="1"/>
  <c r="Z112" i="212" s="1"/>
  <c r="Z116" i="212" a="1"/>
  <c r="Z116" i="212" s="1"/>
  <c r="Z113" i="212" a="1"/>
  <c r="Z113" i="212" s="1"/>
  <c r="Z121" i="212" a="1"/>
  <c r="Z121" i="212" s="1"/>
  <c r="Z115" i="212" a="1"/>
  <c r="Z115" i="212" s="1"/>
  <c r="Z114" i="212" a="1"/>
  <c r="Z114" i="212" s="1"/>
  <c r="Z108" i="212" a="1"/>
  <c r="Z108" i="212" s="1"/>
  <c r="Z119" i="212" a="1"/>
  <c r="Z119" i="212" s="1"/>
  <c r="Z111" i="212" a="1"/>
  <c r="Z111" i="212" s="1"/>
  <c r="Z106" i="212" a="1"/>
  <c r="Z106" i="212" s="1"/>
  <c r="J28" i="206"/>
  <c r="I28" i="206"/>
  <c r="H28" i="206"/>
  <c r="F28" i="206"/>
  <c r="E28" i="206"/>
  <c r="D28" i="206"/>
  <c r="B28" i="206"/>
  <c r="M149" i="212" l="1"/>
  <c r="Z62" i="212"/>
  <c r="Z104" i="212"/>
  <c r="M104" i="212"/>
  <c r="Z149" i="212"/>
  <c r="M62" i="212"/>
  <c r="Z27" i="206"/>
  <c r="Z26" i="206"/>
  <c r="X27" i="206"/>
  <c r="X26" i="206"/>
  <c r="W27" i="206"/>
  <c r="W26" i="206"/>
  <c r="V27" i="206"/>
  <c r="V26" i="206"/>
  <c r="T27" i="206"/>
  <c r="T26" i="206"/>
  <c r="S27" i="206"/>
  <c r="S26" i="206"/>
  <c r="R27" i="206"/>
  <c r="R26" i="206"/>
  <c r="Q27" i="206"/>
  <c r="Q26" i="206"/>
  <c r="P27" i="206"/>
  <c r="P26" i="206"/>
  <c r="O27" i="206"/>
  <c r="O26" i="206"/>
  <c r="N27" i="206"/>
  <c r="N26" i="206"/>
  <c r="L27" i="206"/>
  <c r="L26" i="206"/>
  <c r="J27" i="206"/>
  <c r="J26" i="206"/>
  <c r="I26" i="206"/>
  <c r="I27" i="206"/>
  <c r="H27" i="206"/>
  <c r="H26" i="206"/>
  <c r="F26" i="206"/>
  <c r="F27" i="206"/>
  <c r="E26" i="206"/>
  <c r="E27" i="206"/>
  <c r="D26" i="206"/>
  <c r="D27" i="206"/>
  <c r="B27" i="206"/>
  <c r="B26" i="206"/>
  <c r="B171" i="206" l="1"/>
  <c r="B170" i="206"/>
  <c r="B168" i="206"/>
  <c r="B167" i="206"/>
  <c r="B166" i="206"/>
  <c r="X130" i="206" l="1"/>
  <c r="X129" i="206"/>
  <c r="X128" i="206"/>
  <c r="X126" i="206"/>
  <c r="X125" i="206"/>
  <c r="X124" i="206"/>
  <c r="X123" i="206"/>
  <c r="X122" i="206"/>
  <c r="X121" i="206"/>
  <c r="X120" i="206"/>
  <c r="X119" i="206"/>
  <c r="X118" i="206"/>
  <c r="X117" i="206"/>
  <c r="X116" i="206"/>
  <c r="X115" i="206"/>
  <c r="X114" i="206"/>
  <c r="X113" i="206"/>
  <c r="X112" i="206"/>
  <c r="X111" i="206"/>
  <c r="X110" i="206"/>
  <c r="X109" i="206"/>
  <c r="X108" i="206"/>
  <c r="X107" i="206"/>
  <c r="X106" i="206"/>
  <c r="X105" i="206"/>
  <c r="X104" i="206"/>
  <c r="X103" i="206"/>
  <c r="X102" i="206"/>
  <c r="X101" i="206"/>
  <c r="X100" i="206"/>
  <c r="X99" i="206"/>
  <c r="X98" i="206"/>
  <c r="W130" i="206"/>
  <c r="V130" i="206"/>
  <c r="U130" i="206"/>
  <c r="T130" i="206"/>
  <c r="S130" i="206"/>
  <c r="R130" i="206"/>
  <c r="Q130" i="206"/>
  <c r="W129" i="206"/>
  <c r="V129" i="206"/>
  <c r="U129" i="206"/>
  <c r="T129" i="206"/>
  <c r="S129" i="206"/>
  <c r="R129" i="206"/>
  <c r="Q129" i="206"/>
  <c r="W128" i="206"/>
  <c r="V128" i="206"/>
  <c r="U128" i="206"/>
  <c r="T128" i="206"/>
  <c r="S128" i="206"/>
  <c r="R128" i="206"/>
  <c r="Q128" i="206"/>
  <c r="W126" i="206"/>
  <c r="V126" i="206"/>
  <c r="U126" i="206"/>
  <c r="T126" i="206"/>
  <c r="S126" i="206"/>
  <c r="R126" i="206"/>
  <c r="Q126" i="206"/>
  <c r="W125" i="206"/>
  <c r="V125" i="206"/>
  <c r="U125" i="206"/>
  <c r="T125" i="206"/>
  <c r="S125" i="206"/>
  <c r="R125" i="206"/>
  <c r="Q125" i="206"/>
  <c r="W124" i="206"/>
  <c r="V124" i="206"/>
  <c r="U124" i="206"/>
  <c r="T124" i="206"/>
  <c r="S124" i="206"/>
  <c r="R124" i="206"/>
  <c r="Q124" i="206"/>
  <c r="W123" i="206"/>
  <c r="V123" i="206"/>
  <c r="U123" i="206"/>
  <c r="T123" i="206"/>
  <c r="S123" i="206"/>
  <c r="R123" i="206"/>
  <c r="Q123" i="206"/>
  <c r="W122" i="206"/>
  <c r="V122" i="206"/>
  <c r="U122" i="206"/>
  <c r="T122" i="206"/>
  <c r="S122" i="206"/>
  <c r="R122" i="206"/>
  <c r="Q122" i="206"/>
  <c r="W121" i="206"/>
  <c r="V121" i="206"/>
  <c r="U121" i="206"/>
  <c r="T121" i="206"/>
  <c r="S121" i="206"/>
  <c r="R121" i="206"/>
  <c r="Q121" i="206"/>
  <c r="W120" i="206"/>
  <c r="V120" i="206"/>
  <c r="U120" i="206"/>
  <c r="T120" i="206"/>
  <c r="S120" i="206"/>
  <c r="R120" i="206"/>
  <c r="Q120" i="206"/>
  <c r="W119" i="206"/>
  <c r="V119" i="206"/>
  <c r="U119" i="206"/>
  <c r="T119" i="206"/>
  <c r="S119" i="206"/>
  <c r="R119" i="206"/>
  <c r="Q119" i="206"/>
  <c r="W118" i="206"/>
  <c r="V118" i="206"/>
  <c r="U118" i="206"/>
  <c r="T118" i="206"/>
  <c r="S118" i="206"/>
  <c r="R118" i="206"/>
  <c r="Q118" i="206"/>
  <c r="W117" i="206"/>
  <c r="V117" i="206"/>
  <c r="U117" i="206"/>
  <c r="T117" i="206"/>
  <c r="S117" i="206"/>
  <c r="R117" i="206"/>
  <c r="Q117" i="206"/>
  <c r="W116" i="206"/>
  <c r="V116" i="206"/>
  <c r="U116" i="206"/>
  <c r="T116" i="206"/>
  <c r="S116" i="206"/>
  <c r="R116" i="206"/>
  <c r="Q116" i="206"/>
  <c r="W115" i="206"/>
  <c r="V115" i="206"/>
  <c r="U115" i="206"/>
  <c r="T115" i="206"/>
  <c r="S115" i="206"/>
  <c r="R115" i="206"/>
  <c r="Q115" i="206"/>
  <c r="W114" i="206"/>
  <c r="V114" i="206"/>
  <c r="U114" i="206"/>
  <c r="T114" i="206"/>
  <c r="S114" i="206"/>
  <c r="R114" i="206"/>
  <c r="Q114" i="206"/>
  <c r="W113" i="206"/>
  <c r="V113" i="206"/>
  <c r="U113" i="206"/>
  <c r="T113" i="206"/>
  <c r="S113" i="206"/>
  <c r="R113" i="206"/>
  <c r="Q113" i="206"/>
  <c r="W112" i="206"/>
  <c r="V112" i="206"/>
  <c r="U112" i="206"/>
  <c r="T112" i="206"/>
  <c r="S112" i="206"/>
  <c r="R112" i="206"/>
  <c r="Q112" i="206"/>
  <c r="W111" i="206"/>
  <c r="V111" i="206"/>
  <c r="U111" i="206"/>
  <c r="T111" i="206"/>
  <c r="S111" i="206"/>
  <c r="R111" i="206"/>
  <c r="Q111" i="206"/>
  <c r="W110" i="206"/>
  <c r="V110" i="206"/>
  <c r="U110" i="206"/>
  <c r="T110" i="206"/>
  <c r="S110" i="206"/>
  <c r="R110" i="206"/>
  <c r="Q110" i="206"/>
  <c r="W109" i="206"/>
  <c r="V109" i="206"/>
  <c r="U109" i="206"/>
  <c r="T109" i="206"/>
  <c r="S109" i="206"/>
  <c r="R109" i="206"/>
  <c r="Q109" i="206"/>
  <c r="W108" i="206"/>
  <c r="V108" i="206"/>
  <c r="U108" i="206"/>
  <c r="T108" i="206"/>
  <c r="S108" i="206"/>
  <c r="R108" i="206"/>
  <c r="Q108" i="206"/>
  <c r="W107" i="206"/>
  <c r="V107" i="206"/>
  <c r="U107" i="206"/>
  <c r="T107" i="206"/>
  <c r="S107" i="206"/>
  <c r="R107" i="206"/>
  <c r="Q107" i="206"/>
  <c r="W106" i="206"/>
  <c r="V106" i="206"/>
  <c r="U106" i="206"/>
  <c r="T106" i="206"/>
  <c r="S106" i="206"/>
  <c r="R106" i="206"/>
  <c r="Q106" i="206"/>
  <c r="W105" i="206"/>
  <c r="V105" i="206"/>
  <c r="U105" i="206"/>
  <c r="T105" i="206"/>
  <c r="S105" i="206"/>
  <c r="R105" i="206"/>
  <c r="Q105" i="206"/>
  <c r="W104" i="206"/>
  <c r="V104" i="206"/>
  <c r="U104" i="206"/>
  <c r="T104" i="206"/>
  <c r="S104" i="206"/>
  <c r="R104" i="206"/>
  <c r="Q104" i="206"/>
  <c r="W103" i="206"/>
  <c r="V103" i="206"/>
  <c r="U103" i="206"/>
  <c r="T103" i="206"/>
  <c r="S103" i="206"/>
  <c r="R103" i="206"/>
  <c r="Q103" i="206"/>
  <c r="W102" i="206"/>
  <c r="V102" i="206"/>
  <c r="U102" i="206"/>
  <c r="T102" i="206"/>
  <c r="S102" i="206"/>
  <c r="R102" i="206"/>
  <c r="Q102" i="206"/>
  <c r="W101" i="206"/>
  <c r="V101" i="206"/>
  <c r="U101" i="206"/>
  <c r="T101" i="206"/>
  <c r="S101" i="206"/>
  <c r="R101" i="206"/>
  <c r="Q101" i="206"/>
  <c r="W100" i="206"/>
  <c r="V100" i="206"/>
  <c r="U100" i="206"/>
  <c r="T100" i="206"/>
  <c r="S100" i="206"/>
  <c r="R100" i="206"/>
  <c r="Q100" i="206"/>
  <c r="W99" i="206"/>
  <c r="V99" i="206"/>
  <c r="U99" i="206"/>
  <c r="T99" i="206"/>
  <c r="S99" i="206"/>
  <c r="R99" i="206"/>
  <c r="Q99" i="206"/>
  <c r="D102" i="206"/>
  <c r="E102" i="206"/>
  <c r="F102" i="206"/>
  <c r="G102" i="206"/>
  <c r="H102" i="206"/>
  <c r="I102" i="206"/>
  <c r="J102" i="206"/>
  <c r="K102" i="206"/>
  <c r="D103" i="206"/>
  <c r="E103" i="206"/>
  <c r="F103" i="206"/>
  <c r="G103" i="206"/>
  <c r="H103" i="206"/>
  <c r="I103" i="206"/>
  <c r="J103" i="206"/>
  <c r="K103" i="206"/>
  <c r="D104" i="206"/>
  <c r="E104" i="206"/>
  <c r="F104" i="206"/>
  <c r="G104" i="206"/>
  <c r="H104" i="206"/>
  <c r="I104" i="206"/>
  <c r="J104" i="206"/>
  <c r="K104" i="206"/>
  <c r="D105" i="206"/>
  <c r="E105" i="206"/>
  <c r="F105" i="206"/>
  <c r="G105" i="206"/>
  <c r="H105" i="206"/>
  <c r="I105" i="206"/>
  <c r="J105" i="206"/>
  <c r="K105" i="206"/>
  <c r="D106" i="206"/>
  <c r="E106" i="206"/>
  <c r="F106" i="206"/>
  <c r="G106" i="206"/>
  <c r="H106" i="206"/>
  <c r="I106" i="206"/>
  <c r="J106" i="206"/>
  <c r="K106" i="206"/>
  <c r="D107" i="206"/>
  <c r="E107" i="206"/>
  <c r="F107" i="206"/>
  <c r="G107" i="206"/>
  <c r="H107" i="206"/>
  <c r="I107" i="206"/>
  <c r="J107" i="206"/>
  <c r="K107" i="206"/>
  <c r="D108" i="206"/>
  <c r="E108" i="206"/>
  <c r="F108" i="206"/>
  <c r="G108" i="206"/>
  <c r="H108" i="206"/>
  <c r="I108" i="206"/>
  <c r="J108" i="206"/>
  <c r="K108" i="206"/>
  <c r="D109" i="206"/>
  <c r="E109" i="206"/>
  <c r="F109" i="206"/>
  <c r="G109" i="206"/>
  <c r="H109" i="206"/>
  <c r="I109" i="206"/>
  <c r="J109" i="206"/>
  <c r="K109" i="206"/>
  <c r="D110" i="206"/>
  <c r="E110" i="206"/>
  <c r="F110" i="206"/>
  <c r="G110" i="206"/>
  <c r="H110" i="206"/>
  <c r="I110" i="206"/>
  <c r="J110" i="206"/>
  <c r="K110" i="206"/>
  <c r="D111" i="206"/>
  <c r="E111" i="206"/>
  <c r="F111" i="206"/>
  <c r="G111" i="206"/>
  <c r="H111" i="206"/>
  <c r="I111" i="206"/>
  <c r="J111" i="206"/>
  <c r="K111" i="206"/>
  <c r="D112" i="206"/>
  <c r="E112" i="206"/>
  <c r="F112" i="206"/>
  <c r="G112" i="206"/>
  <c r="H112" i="206"/>
  <c r="I112" i="206"/>
  <c r="J112" i="206"/>
  <c r="K112" i="206"/>
  <c r="D113" i="206"/>
  <c r="E113" i="206"/>
  <c r="F113" i="206"/>
  <c r="G113" i="206"/>
  <c r="H113" i="206"/>
  <c r="I113" i="206"/>
  <c r="J113" i="206"/>
  <c r="K113" i="206"/>
  <c r="D114" i="206"/>
  <c r="E114" i="206"/>
  <c r="F114" i="206"/>
  <c r="G114" i="206"/>
  <c r="H114" i="206"/>
  <c r="I114" i="206"/>
  <c r="J114" i="206"/>
  <c r="K114" i="206"/>
  <c r="D115" i="206"/>
  <c r="E115" i="206"/>
  <c r="F115" i="206"/>
  <c r="G115" i="206"/>
  <c r="H115" i="206"/>
  <c r="I115" i="206"/>
  <c r="J115" i="206"/>
  <c r="K115" i="206"/>
  <c r="D116" i="206"/>
  <c r="E116" i="206"/>
  <c r="F116" i="206"/>
  <c r="G116" i="206"/>
  <c r="H116" i="206"/>
  <c r="I116" i="206"/>
  <c r="J116" i="206"/>
  <c r="K116" i="206"/>
  <c r="D117" i="206"/>
  <c r="E117" i="206"/>
  <c r="F117" i="206"/>
  <c r="G117" i="206"/>
  <c r="H117" i="206"/>
  <c r="I117" i="206"/>
  <c r="J117" i="206"/>
  <c r="K117" i="206"/>
  <c r="D118" i="206"/>
  <c r="E118" i="206"/>
  <c r="F118" i="206"/>
  <c r="G118" i="206"/>
  <c r="H118" i="206"/>
  <c r="I118" i="206"/>
  <c r="J118" i="206"/>
  <c r="K118" i="206"/>
  <c r="D119" i="206"/>
  <c r="E119" i="206"/>
  <c r="F119" i="206"/>
  <c r="G119" i="206"/>
  <c r="H119" i="206"/>
  <c r="I119" i="206"/>
  <c r="J119" i="206"/>
  <c r="K119" i="206"/>
  <c r="D120" i="206"/>
  <c r="E120" i="206"/>
  <c r="F120" i="206"/>
  <c r="G120" i="206"/>
  <c r="H120" i="206"/>
  <c r="I120" i="206"/>
  <c r="J120" i="206"/>
  <c r="K120" i="206"/>
  <c r="D121" i="206"/>
  <c r="E121" i="206"/>
  <c r="F121" i="206"/>
  <c r="G121" i="206"/>
  <c r="H121" i="206"/>
  <c r="I121" i="206"/>
  <c r="J121" i="206"/>
  <c r="K121" i="206"/>
  <c r="D122" i="206"/>
  <c r="E122" i="206"/>
  <c r="F122" i="206"/>
  <c r="G122" i="206"/>
  <c r="H122" i="206"/>
  <c r="I122" i="206"/>
  <c r="J122" i="206"/>
  <c r="K122" i="206"/>
  <c r="D123" i="206"/>
  <c r="E123" i="206"/>
  <c r="F123" i="206"/>
  <c r="G123" i="206"/>
  <c r="H123" i="206"/>
  <c r="I123" i="206"/>
  <c r="J123" i="206"/>
  <c r="K123" i="206"/>
  <c r="D124" i="206"/>
  <c r="E124" i="206"/>
  <c r="F124" i="206"/>
  <c r="G124" i="206"/>
  <c r="H124" i="206"/>
  <c r="I124" i="206"/>
  <c r="J124" i="206"/>
  <c r="K124" i="206"/>
  <c r="D125" i="206"/>
  <c r="E125" i="206"/>
  <c r="F125" i="206"/>
  <c r="G125" i="206"/>
  <c r="H125" i="206"/>
  <c r="I125" i="206"/>
  <c r="J125" i="206"/>
  <c r="K125" i="206"/>
  <c r="D126" i="206"/>
  <c r="E126" i="206"/>
  <c r="F126" i="206"/>
  <c r="G126" i="206"/>
  <c r="H126" i="206"/>
  <c r="I126" i="206"/>
  <c r="J126" i="206"/>
  <c r="K126" i="206"/>
  <c r="D128" i="206"/>
  <c r="E128" i="206"/>
  <c r="F128" i="206"/>
  <c r="G128" i="206"/>
  <c r="H128" i="206"/>
  <c r="I128" i="206"/>
  <c r="J128" i="206"/>
  <c r="K128" i="206"/>
  <c r="D129" i="206"/>
  <c r="E129" i="206"/>
  <c r="F129" i="206"/>
  <c r="G129" i="206"/>
  <c r="H129" i="206"/>
  <c r="I129" i="206"/>
  <c r="J129" i="206"/>
  <c r="K129" i="206"/>
  <c r="D130" i="206"/>
  <c r="E130" i="206"/>
  <c r="F130" i="206"/>
  <c r="G130" i="206"/>
  <c r="H130" i="206"/>
  <c r="I130" i="206"/>
  <c r="J130" i="206"/>
  <c r="K130" i="206"/>
  <c r="D99" i="206"/>
  <c r="E99" i="206"/>
  <c r="F99" i="206"/>
  <c r="G99" i="206"/>
  <c r="H99" i="206"/>
  <c r="I99" i="206"/>
  <c r="J99" i="206"/>
  <c r="K99" i="206"/>
  <c r="D100" i="206"/>
  <c r="E100" i="206"/>
  <c r="F100" i="206"/>
  <c r="G100" i="206"/>
  <c r="H100" i="206"/>
  <c r="I100" i="206"/>
  <c r="J100" i="206"/>
  <c r="K100" i="206"/>
  <c r="D101" i="206"/>
  <c r="E101" i="206"/>
  <c r="F101" i="206"/>
  <c r="G101" i="206"/>
  <c r="H101" i="206"/>
  <c r="I101" i="206"/>
  <c r="J101" i="206"/>
  <c r="K101" i="206"/>
  <c r="E62" i="206"/>
  <c r="F62" i="206"/>
  <c r="G62" i="206"/>
  <c r="H62" i="206"/>
  <c r="I62" i="206"/>
  <c r="J62" i="206"/>
  <c r="K62" i="206"/>
  <c r="Y99" i="206" l="1"/>
  <c r="Y109" i="206"/>
  <c r="Y111" i="206"/>
  <c r="Y113" i="206"/>
  <c r="Y115" i="206"/>
  <c r="Y121" i="206"/>
  <c r="Y123" i="206"/>
  <c r="Y125" i="206"/>
  <c r="Y128" i="206"/>
  <c r="Y130" i="206"/>
  <c r="Y110" i="206"/>
  <c r="Y114" i="206"/>
  <c r="Y100" i="206"/>
  <c r="Y108" i="206"/>
  <c r="Y112" i="206"/>
  <c r="Y124" i="206"/>
  <c r="L118" i="206"/>
  <c r="Y126" i="206"/>
  <c r="Y129" i="206"/>
  <c r="Y101" i="206"/>
  <c r="Y102" i="206"/>
  <c r="Y116" i="206"/>
  <c r="Y103" i="206"/>
  <c r="Y117" i="206"/>
  <c r="Y104" i="206"/>
  <c r="Y118" i="206"/>
  <c r="Y105" i="206"/>
  <c r="Y119" i="206"/>
  <c r="Y106" i="206"/>
  <c r="Y120" i="206"/>
  <c r="Y107" i="206"/>
  <c r="Y122" i="206"/>
  <c r="L100" i="206"/>
  <c r="L124" i="206"/>
  <c r="L110" i="206"/>
  <c r="L103" i="206"/>
  <c r="L106" i="206"/>
  <c r="L129" i="206"/>
  <c r="L121" i="206"/>
  <c r="L114" i="206"/>
  <c r="L130" i="206"/>
  <c r="L113" i="206"/>
  <c r="L119" i="206"/>
  <c r="L115" i="206"/>
  <c r="L112" i="206"/>
  <c r="L105" i="206"/>
  <c r="L117" i="206"/>
  <c r="L122" i="206"/>
  <c r="L108" i="206"/>
  <c r="L104" i="206"/>
  <c r="L102" i="206"/>
  <c r="L99" i="206"/>
  <c r="L128" i="206"/>
  <c r="L120" i="206"/>
  <c r="L101" i="206"/>
  <c r="L125" i="206"/>
  <c r="L123" i="206"/>
  <c r="L111" i="206"/>
  <c r="L116" i="206"/>
  <c r="L107" i="206"/>
  <c r="L126" i="206"/>
  <c r="L109" i="206"/>
  <c r="Q57" i="206"/>
  <c r="R57" i="206"/>
  <c r="S57" i="206"/>
  <c r="T57" i="206"/>
  <c r="U57" i="206"/>
  <c r="V57" i="206"/>
  <c r="W57" i="206"/>
  <c r="X57" i="206"/>
  <c r="Q58" i="206"/>
  <c r="R58" i="206"/>
  <c r="S58" i="206"/>
  <c r="T58" i="206"/>
  <c r="U58" i="206"/>
  <c r="V58" i="206"/>
  <c r="W58" i="206"/>
  <c r="X58" i="206"/>
  <c r="H58" i="206"/>
  <c r="D57" i="206"/>
  <c r="E57" i="206"/>
  <c r="F57" i="206"/>
  <c r="G57" i="206"/>
  <c r="H57" i="206"/>
  <c r="I57" i="206"/>
  <c r="J57" i="206"/>
  <c r="K57" i="206"/>
  <c r="D58" i="206"/>
  <c r="E58" i="206"/>
  <c r="F58" i="206"/>
  <c r="G58" i="206"/>
  <c r="I58" i="206"/>
  <c r="J58" i="206"/>
  <c r="K58" i="206"/>
  <c r="Z25" i="206"/>
  <c r="X25" i="206"/>
  <c r="W25" i="206"/>
  <c r="V25" i="206"/>
  <c r="T25" i="206"/>
  <c r="S25" i="206"/>
  <c r="R25" i="206"/>
  <c r="Q25" i="206"/>
  <c r="P25" i="206"/>
  <c r="O25" i="206"/>
  <c r="N25" i="206"/>
  <c r="L25" i="206"/>
  <c r="J25" i="206"/>
  <c r="I25" i="206"/>
  <c r="H25" i="206"/>
  <c r="F25" i="206"/>
  <c r="E25" i="206"/>
  <c r="D25" i="206"/>
  <c r="B25" i="206"/>
  <c r="Z15" i="206"/>
  <c r="Z16" i="206"/>
  <c r="X15" i="206"/>
  <c r="X16" i="206"/>
  <c r="W15" i="206"/>
  <c r="W16" i="206"/>
  <c r="V15" i="206"/>
  <c r="V16" i="206"/>
  <c r="T15" i="206"/>
  <c r="T16" i="206"/>
  <c r="S15" i="206"/>
  <c r="S16" i="206"/>
  <c r="R16" i="206"/>
  <c r="R15" i="206"/>
  <c r="Q15" i="206"/>
  <c r="Q16" i="206"/>
  <c r="P15" i="206"/>
  <c r="P16" i="206"/>
  <c r="O15" i="206"/>
  <c r="O16" i="206"/>
  <c r="N15" i="206"/>
  <c r="N16" i="206"/>
  <c r="L15" i="206"/>
  <c r="L16" i="206"/>
  <c r="J15" i="206"/>
  <c r="J16" i="206"/>
  <c r="I15" i="206"/>
  <c r="I16" i="206"/>
  <c r="H15" i="206"/>
  <c r="H16" i="206"/>
  <c r="F15" i="206"/>
  <c r="F16" i="206"/>
  <c r="E15" i="206"/>
  <c r="E16" i="206"/>
  <c r="D15" i="206"/>
  <c r="D16" i="206"/>
  <c r="B16" i="206"/>
  <c r="B15" i="206"/>
  <c r="L57" i="206" l="1"/>
  <c r="Y57" i="206"/>
  <c r="Y58" i="206"/>
  <c r="L58" i="206"/>
  <c r="B144" i="206" l="1"/>
  <c r="Q56" i="206"/>
  <c r="R56" i="206"/>
  <c r="S56" i="206"/>
  <c r="T56" i="206"/>
  <c r="U56" i="206"/>
  <c r="V56" i="206"/>
  <c r="W56" i="206"/>
  <c r="X56" i="206"/>
  <c r="Q59" i="206"/>
  <c r="R59" i="206"/>
  <c r="S59" i="206"/>
  <c r="T59" i="206"/>
  <c r="U59" i="206"/>
  <c r="V59" i="206"/>
  <c r="W59" i="206"/>
  <c r="X59" i="206"/>
  <c r="D56" i="206"/>
  <c r="E56" i="206"/>
  <c r="F56" i="206"/>
  <c r="G56" i="206"/>
  <c r="H56" i="206"/>
  <c r="I56" i="206"/>
  <c r="J56" i="206"/>
  <c r="K56" i="206"/>
  <c r="D59" i="206"/>
  <c r="E59" i="206"/>
  <c r="F59" i="206"/>
  <c r="G59" i="206"/>
  <c r="H59" i="206"/>
  <c r="I59" i="206"/>
  <c r="J59" i="206"/>
  <c r="K59" i="206"/>
  <c r="Z14" i="206"/>
  <c r="X14" i="206"/>
  <c r="W14" i="206"/>
  <c r="V14" i="206"/>
  <c r="T14" i="206"/>
  <c r="S14" i="206"/>
  <c r="R14" i="206"/>
  <c r="Q14" i="206"/>
  <c r="P14" i="206"/>
  <c r="O14" i="206"/>
  <c r="N14" i="206"/>
  <c r="L14" i="206"/>
  <c r="J14" i="206"/>
  <c r="I14" i="206"/>
  <c r="H14" i="206"/>
  <c r="F14" i="206"/>
  <c r="E14" i="206"/>
  <c r="D14" i="206"/>
  <c r="B14" i="206"/>
  <c r="Z19" i="206"/>
  <c r="X19" i="206"/>
  <c r="W19" i="206"/>
  <c r="V19" i="206"/>
  <c r="T19" i="206"/>
  <c r="S19" i="206"/>
  <c r="R19" i="206"/>
  <c r="Q19" i="206"/>
  <c r="P19" i="206"/>
  <c r="O19" i="206"/>
  <c r="N19" i="206"/>
  <c r="L19" i="206"/>
  <c r="J19" i="206"/>
  <c r="I19" i="206"/>
  <c r="H19" i="206"/>
  <c r="F19" i="206"/>
  <c r="E19" i="206"/>
  <c r="D19" i="206"/>
  <c r="B19" i="206"/>
  <c r="B163" i="206"/>
  <c r="B160" i="206"/>
  <c r="B157" i="206"/>
  <c r="B154" i="206"/>
  <c r="B151" i="206"/>
  <c r="B148" i="206"/>
  <c r="B147" i="206"/>
  <c r="B146" i="206"/>
  <c r="B145" i="206"/>
  <c r="B143" i="206"/>
  <c r="B141" i="206"/>
  <c r="B140" i="206"/>
  <c r="B139" i="206"/>
  <c r="B138" i="206"/>
  <c r="B137" i="206"/>
  <c r="B136" i="206"/>
  <c r="B135" i="206"/>
  <c r="B134" i="206"/>
  <c r="A123" i="203"/>
  <c r="A122" i="203"/>
  <c r="Z7" i="206"/>
  <c r="Z8" i="206"/>
  <c r="Z9" i="206"/>
  <c r="Z10" i="206"/>
  <c r="Z11" i="206"/>
  <c r="Z6" i="206"/>
  <c r="X7" i="206"/>
  <c r="X8" i="206"/>
  <c r="X9" i="206"/>
  <c r="X10" i="206"/>
  <c r="X11" i="206"/>
  <c r="X6" i="206"/>
  <c r="W7" i="206"/>
  <c r="W8" i="206"/>
  <c r="W9" i="206"/>
  <c r="W10" i="206"/>
  <c r="W11" i="206"/>
  <c r="W6" i="206"/>
  <c r="V7" i="206"/>
  <c r="V8" i="206"/>
  <c r="V9" i="206"/>
  <c r="V10" i="206"/>
  <c r="V11" i="206"/>
  <c r="V6" i="206"/>
  <c r="T7" i="206"/>
  <c r="T8" i="206"/>
  <c r="T9" i="206"/>
  <c r="T10" i="206"/>
  <c r="T11" i="206"/>
  <c r="T6" i="206"/>
  <c r="S7" i="206"/>
  <c r="S8" i="206"/>
  <c r="S9" i="206"/>
  <c r="S10" i="206"/>
  <c r="S11" i="206"/>
  <c r="S6" i="206"/>
  <c r="R7" i="206"/>
  <c r="R8" i="206"/>
  <c r="R9" i="206"/>
  <c r="R10" i="206"/>
  <c r="R11" i="206"/>
  <c r="R6" i="206"/>
  <c r="Q7" i="206"/>
  <c r="Q8" i="206"/>
  <c r="Q9" i="206"/>
  <c r="Q10" i="206"/>
  <c r="Q11" i="206"/>
  <c r="Q6" i="206"/>
  <c r="P7" i="206"/>
  <c r="P8" i="206"/>
  <c r="P9" i="206"/>
  <c r="P10" i="206"/>
  <c r="P11" i="206"/>
  <c r="P6" i="206"/>
  <c r="O7" i="206"/>
  <c r="O8" i="206"/>
  <c r="O9" i="206"/>
  <c r="O10" i="206"/>
  <c r="O11" i="206"/>
  <c r="O6" i="206"/>
  <c r="N7" i="206"/>
  <c r="N8" i="206"/>
  <c r="N9" i="206"/>
  <c r="N10" i="206"/>
  <c r="N11" i="206"/>
  <c r="N6" i="206"/>
  <c r="L7" i="206"/>
  <c r="L8" i="206"/>
  <c r="L9" i="206"/>
  <c r="L10" i="206"/>
  <c r="L11" i="206"/>
  <c r="L6" i="206"/>
  <c r="J7" i="206"/>
  <c r="J8" i="206"/>
  <c r="J9" i="206"/>
  <c r="J10" i="206"/>
  <c r="J11" i="206"/>
  <c r="J6" i="206"/>
  <c r="I7" i="206"/>
  <c r="I8" i="206"/>
  <c r="I9" i="206"/>
  <c r="I10" i="206"/>
  <c r="I11" i="206"/>
  <c r="I6" i="206"/>
  <c r="H7" i="206"/>
  <c r="H8" i="206"/>
  <c r="H9" i="206"/>
  <c r="H10" i="206"/>
  <c r="H11" i="206"/>
  <c r="H6" i="206"/>
  <c r="F7" i="206"/>
  <c r="F8" i="206"/>
  <c r="F9" i="206"/>
  <c r="F10" i="206"/>
  <c r="F11" i="206"/>
  <c r="F6" i="206"/>
  <c r="E7" i="206"/>
  <c r="E8" i="206"/>
  <c r="E9" i="206"/>
  <c r="E10" i="206"/>
  <c r="E11" i="206"/>
  <c r="E6" i="206"/>
  <c r="D7" i="206"/>
  <c r="D8" i="206"/>
  <c r="D9" i="206"/>
  <c r="D10" i="206"/>
  <c r="D11" i="206"/>
  <c r="D6" i="206"/>
  <c r="B7" i="206"/>
  <c r="B8" i="206"/>
  <c r="B9" i="206"/>
  <c r="B10" i="206"/>
  <c r="B11" i="206"/>
  <c r="B6" i="206"/>
  <c r="A119" i="203"/>
  <c r="A116" i="203"/>
  <c r="A113" i="203"/>
  <c r="A110" i="203"/>
  <c r="A107" i="203"/>
  <c r="A120" i="203"/>
  <c r="A117" i="203"/>
  <c r="A114" i="203"/>
  <c r="A111" i="203"/>
  <c r="A108" i="203"/>
  <c r="K54" i="206"/>
  <c r="H53" i="206"/>
  <c r="V24" i="206"/>
  <c r="T24" i="206"/>
  <c r="S24" i="206"/>
  <c r="R24" i="206"/>
  <c r="Q24" i="206"/>
  <c r="P24" i="206"/>
  <c r="O24" i="206"/>
  <c r="N24" i="206"/>
  <c r="L24" i="206"/>
  <c r="J24" i="206"/>
  <c r="I24" i="206"/>
  <c r="W24" i="206"/>
  <c r="X24" i="206"/>
  <c r="Z24" i="206"/>
  <c r="X23" i="206"/>
  <c r="Z23" i="206"/>
  <c r="W23" i="206"/>
  <c r="V23" i="206"/>
  <c r="T23" i="206"/>
  <c r="S23" i="206"/>
  <c r="R23" i="206"/>
  <c r="Q23" i="206"/>
  <c r="P23" i="206"/>
  <c r="O23" i="206"/>
  <c r="N23" i="206"/>
  <c r="L23" i="206"/>
  <c r="J23" i="206"/>
  <c r="I23" i="206"/>
  <c r="H24" i="206"/>
  <c r="H23" i="206"/>
  <c r="F24" i="206"/>
  <c r="F23" i="206"/>
  <c r="E24" i="206"/>
  <c r="E23" i="206"/>
  <c r="D24" i="206"/>
  <c r="D23" i="206"/>
  <c r="B24" i="206"/>
  <c r="B23" i="206"/>
  <c r="B155" i="206" l="1"/>
  <c r="B158" i="206"/>
  <c r="B164" i="206"/>
  <c r="B161" i="206"/>
  <c r="B165" i="206"/>
  <c r="B150" i="206"/>
  <c r="B153" i="206"/>
  <c r="B156" i="206"/>
  <c r="B159" i="206"/>
  <c r="B162" i="206"/>
  <c r="B149" i="206"/>
  <c r="B152" i="206"/>
  <c r="Y56" i="206"/>
  <c r="Y59" i="206"/>
  <c r="L56" i="206"/>
  <c r="L59" i="206"/>
  <c r="M59" i="206" s="1" a="1"/>
  <c r="M59" i="206" s="1"/>
  <c r="Z22" i="206" l="1"/>
  <c r="X22" i="206"/>
  <c r="W22" i="206"/>
  <c r="V22" i="206"/>
  <c r="T22" i="206"/>
  <c r="S22" i="206"/>
  <c r="R22" i="206"/>
  <c r="Q22" i="206"/>
  <c r="P22" i="206"/>
  <c r="O22" i="206"/>
  <c r="N22" i="206"/>
  <c r="L22" i="206"/>
  <c r="J22" i="206"/>
  <c r="I22" i="206"/>
  <c r="H22" i="206"/>
  <c r="F22" i="206"/>
  <c r="E22" i="206"/>
  <c r="D22" i="206"/>
  <c r="B22" i="206"/>
  <c r="Z21" i="206"/>
  <c r="X21" i="206"/>
  <c r="W21" i="206"/>
  <c r="V21" i="206"/>
  <c r="T21" i="206"/>
  <c r="S21" i="206"/>
  <c r="R21" i="206"/>
  <c r="Q21" i="206"/>
  <c r="P21" i="206" l="1"/>
  <c r="O21" i="206"/>
  <c r="N21" i="206"/>
  <c r="L21" i="206"/>
  <c r="J21" i="206"/>
  <c r="I21" i="206"/>
  <c r="H21" i="206"/>
  <c r="F21" i="206"/>
  <c r="E21" i="206"/>
  <c r="D21" i="206"/>
  <c r="B21" i="206"/>
  <c r="E34" i="206"/>
  <c r="X131" i="206"/>
  <c r="W98" i="206"/>
  <c r="V98" i="206"/>
  <c r="U98" i="206"/>
  <c r="T98" i="206"/>
  <c r="S98" i="206"/>
  <c r="R98" i="206"/>
  <c r="Q98" i="206"/>
  <c r="K98" i="206"/>
  <c r="J98" i="206"/>
  <c r="I98" i="206"/>
  <c r="H98" i="206"/>
  <c r="G98" i="206"/>
  <c r="F98" i="206"/>
  <c r="E98" i="206"/>
  <c r="D98" i="206"/>
  <c r="K84" i="206"/>
  <c r="J84" i="206"/>
  <c r="I84" i="206"/>
  <c r="H84" i="206"/>
  <c r="G84" i="206"/>
  <c r="F84" i="206"/>
  <c r="D84" i="206"/>
  <c r="K73" i="206"/>
  <c r="J73" i="206"/>
  <c r="I73" i="206"/>
  <c r="H73" i="206"/>
  <c r="G73" i="206"/>
  <c r="F73" i="206"/>
  <c r="E73" i="206"/>
  <c r="D73" i="206"/>
  <c r="X62" i="206"/>
  <c r="W62" i="206"/>
  <c r="V62" i="206"/>
  <c r="U62" i="206"/>
  <c r="T62" i="206"/>
  <c r="S62" i="206"/>
  <c r="R62" i="206"/>
  <c r="Q62" i="206"/>
  <c r="D62" i="206"/>
  <c r="L62" i="206" s="1"/>
  <c r="K55" i="206"/>
  <c r="J55" i="206"/>
  <c r="I55" i="206"/>
  <c r="H55" i="206"/>
  <c r="G55" i="206"/>
  <c r="F55" i="206"/>
  <c r="E55" i="206"/>
  <c r="D55" i="206"/>
  <c r="J54" i="206"/>
  <c r="I54" i="206"/>
  <c r="H54" i="206"/>
  <c r="G54" i="206"/>
  <c r="F54" i="206"/>
  <c r="E54" i="206"/>
  <c r="K53" i="206"/>
  <c r="J53" i="206"/>
  <c r="I53" i="206"/>
  <c r="G53" i="206"/>
  <c r="F53" i="206"/>
  <c r="E53" i="206"/>
  <c r="K52" i="206"/>
  <c r="J52" i="206"/>
  <c r="I52" i="206"/>
  <c r="H52" i="206"/>
  <c r="G52" i="206"/>
  <c r="F52" i="206"/>
  <c r="E52" i="206"/>
  <c r="K51" i="206"/>
  <c r="J51" i="206"/>
  <c r="I51" i="206"/>
  <c r="H51" i="206"/>
  <c r="G51" i="206"/>
  <c r="F51" i="206"/>
  <c r="E51" i="206"/>
  <c r="K50" i="206"/>
  <c r="J50" i="206"/>
  <c r="I50" i="206"/>
  <c r="H50" i="206"/>
  <c r="G50" i="206"/>
  <c r="F50" i="206"/>
  <c r="E50" i="206"/>
  <c r="K49" i="206"/>
  <c r="J49" i="206"/>
  <c r="I49" i="206"/>
  <c r="H49" i="206"/>
  <c r="G49" i="206"/>
  <c r="F49" i="206"/>
  <c r="E49" i="206"/>
  <c r="K48" i="206"/>
  <c r="J48" i="206"/>
  <c r="I48" i="206"/>
  <c r="H48" i="206"/>
  <c r="G48" i="206"/>
  <c r="F48" i="206"/>
  <c r="E48" i="206"/>
  <c r="K47" i="206"/>
  <c r="J47" i="206"/>
  <c r="I47" i="206"/>
  <c r="H47" i="206"/>
  <c r="G47" i="206"/>
  <c r="F47" i="206"/>
  <c r="E47" i="206"/>
  <c r="K46" i="206"/>
  <c r="J46" i="206"/>
  <c r="I46" i="206"/>
  <c r="H46" i="206"/>
  <c r="G46" i="206"/>
  <c r="F46" i="206"/>
  <c r="E46" i="206"/>
  <c r="X44" i="206"/>
  <c r="W44" i="206"/>
  <c r="V44" i="206"/>
  <c r="U44" i="206"/>
  <c r="T44" i="206"/>
  <c r="S44" i="206"/>
  <c r="R44" i="206"/>
  <c r="Q44" i="206"/>
  <c r="K44" i="206"/>
  <c r="J44" i="206"/>
  <c r="I44" i="206"/>
  <c r="H44" i="206"/>
  <c r="G44" i="206"/>
  <c r="F44" i="206"/>
  <c r="E44" i="206"/>
  <c r="D44" i="206"/>
  <c r="X43" i="206"/>
  <c r="W43" i="206"/>
  <c r="V43" i="206"/>
  <c r="U43" i="206"/>
  <c r="T43" i="206"/>
  <c r="S43" i="206"/>
  <c r="R43" i="206"/>
  <c r="Q43" i="206"/>
  <c r="K43" i="206"/>
  <c r="J43" i="206"/>
  <c r="I43" i="206"/>
  <c r="H43" i="206"/>
  <c r="G43" i="206"/>
  <c r="F43" i="206"/>
  <c r="E43" i="206"/>
  <c r="D43" i="206"/>
  <c r="X42" i="206"/>
  <c r="W42" i="206"/>
  <c r="V42" i="206"/>
  <c r="U42" i="206"/>
  <c r="T42" i="206"/>
  <c r="S42" i="206"/>
  <c r="R42" i="206"/>
  <c r="Q42" i="206"/>
  <c r="K42" i="206"/>
  <c r="J42" i="206"/>
  <c r="I42" i="206"/>
  <c r="H42" i="206"/>
  <c r="G42" i="206"/>
  <c r="F42" i="206"/>
  <c r="E42" i="206"/>
  <c r="D42" i="206"/>
  <c r="X41" i="206"/>
  <c r="W41" i="206"/>
  <c r="V41" i="206"/>
  <c r="U41" i="206"/>
  <c r="T41" i="206"/>
  <c r="S41" i="206"/>
  <c r="R41" i="206"/>
  <c r="Q41" i="206"/>
  <c r="K41" i="206"/>
  <c r="J41" i="206"/>
  <c r="I41" i="206"/>
  <c r="H41" i="206"/>
  <c r="G41" i="206"/>
  <c r="F41" i="206"/>
  <c r="E41" i="206"/>
  <c r="D41" i="206"/>
  <c r="X40" i="206"/>
  <c r="W40" i="206"/>
  <c r="V40" i="206"/>
  <c r="U40" i="206"/>
  <c r="T40" i="206"/>
  <c r="S40" i="206"/>
  <c r="R40" i="206"/>
  <c r="Q40" i="206"/>
  <c r="K40" i="206"/>
  <c r="J40" i="206"/>
  <c r="I40" i="206"/>
  <c r="H40" i="206"/>
  <c r="G40" i="206"/>
  <c r="F40" i="206"/>
  <c r="E40" i="206"/>
  <c r="D40" i="206"/>
  <c r="X39" i="206"/>
  <c r="W39" i="206"/>
  <c r="V39" i="206"/>
  <c r="U39" i="206"/>
  <c r="T39" i="206"/>
  <c r="S39" i="206"/>
  <c r="R39" i="206"/>
  <c r="Q39" i="206"/>
  <c r="K39" i="206"/>
  <c r="J39" i="206"/>
  <c r="I39" i="206"/>
  <c r="H39" i="206"/>
  <c r="G39" i="206"/>
  <c r="F39" i="206"/>
  <c r="E39" i="206"/>
  <c r="D39" i="206"/>
  <c r="X38" i="206"/>
  <c r="W38" i="206"/>
  <c r="V38" i="206"/>
  <c r="U38" i="206"/>
  <c r="T38" i="206"/>
  <c r="S38" i="206"/>
  <c r="R38" i="206"/>
  <c r="Q38" i="206"/>
  <c r="K38" i="206"/>
  <c r="J38" i="206"/>
  <c r="I38" i="206"/>
  <c r="H38" i="206"/>
  <c r="G38" i="206"/>
  <c r="F38" i="206"/>
  <c r="E38" i="206"/>
  <c r="D38" i="206"/>
  <c r="X37" i="206"/>
  <c r="W37" i="206"/>
  <c r="V37" i="206"/>
  <c r="U37" i="206"/>
  <c r="T37" i="206"/>
  <c r="S37" i="206"/>
  <c r="R37" i="206"/>
  <c r="Q37" i="206"/>
  <c r="K37" i="206"/>
  <c r="J37" i="206"/>
  <c r="I37" i="206"/>
  <c r="H37" i="206"/>
  <c r="G37" i="206"/>
  <c r="F37" i="206"/>
  <c r="E37" i="206"/>
  <c r="D37" i="206"/>
  <c r="X36" i="206"/>
  <c r="W36" i="206"/>
  <c r="V36" i="206"/>
  <c r="U36" i="206"/>
  <c r="T36" i="206"/>
  <c r="S36" i="206"/>
  <c r="R36" i="206"/>
  <c r="Q36" i="206"/>
  <c r="K36" i="206"/>
  <c r="J36" i="206"/>
  <c r="I36" i="206"/>
  <c r="H36" i="206"/>
  <c r="G36" i="206"/>
  <c r="F36" i="206"/>
  <c r="E36" i="206"/>
  <c r="D36" i="206"/>
  <c r="X35" i="206"/>
  <c r="W35" i="206"/>
  <c r="V35" i="206"/>
  <c r="U35" i="206"/>
  <c r="T35" i="206"/>
  <c r="S35" i="206"/>
  <c r="R35" i="206"/>
  <c r="Q35" i="206"/>
  <c r="K35" i="206"/>
  <c r="J35" i="206"/>
  <c r="I35" i="206"/>
  <c r="H35" i="206"/>
  <c r="G35" i="206"/>
  <c r="F35" i="206"/>
  <c r="E35" i="206"/>
  <c r="D35" i="206"/>
  <c r="X34" i="206"/>
  <c r="W34" i="206"/>
  <c r="V34" i="206"/>
  <c r="U34" i="206"/>
  <c r="T34" i="206"/>
  <c r="S34" i="206"/>
  <c r="R34" i="206"/>
  <c r="Q34" i="206"/>
  <c r="K34" i="206"/>
  <c r="J34" i="206"/>
  <c r="I34" i="206"/>
  <c r="H34" i="206"/>
  <c r="G34" i="206"/>
  <c r="F34" i="206"/>
  <c r="D34" i="206"/>
  <c r="I60" i="206" l="1"/>
  <c r="F60" i="206"/>
  <c r="D60" i="206"/>
  <c r="E60" i="206"/>
  <c r="G60" i="206"/>
  <c r="H60" i="206"/>
  <c r="J60" i="206"/>
  <c r="K60" i="206"/>
  <c r="Y98" i="206"/>
  <c r="Y43" i="206"/>
  <c r="L40" i="206"/>
  <c r="L48" i="206"/>
  <c r="L34" i="206"/>
  <c r="L43" i="206"/>
  <c r="W60" i="206"/>
  <c r="L38" i="206"/>
  <c r="Y62" i="206"/>
  <c r="Y38" i="206"/>
  <c r="L42" i="206"/>
  <c r="Y35" i="206"/>
  <c r="E131" i="206"/>
  <c r="V131" i="206"/>
  <c r="V60" i="206"/>
  <c r="L35" i="206"/>
  <c r="L41" i="206"/>
  <c r="L52" i="206"/>
  <c r="L53" i="206"/>
  <c r="E96" i="206"/>
  <c r="X96" i="206"/>
  <c r="U131" i="206"/>
  <c r="L55" i="206"/>
  <c r="R60" i="206"/>
  <c r="S60" i="206"/>
  <c r="L39" i="206"/>
  <c r="L54" i="206"/>
  <c r="L84" i="206"/>
  <c r="Y44" i="206"/>
  <c r="U60" i="206"/>
  <c r="Y36" i="206"/>
  <c r="L47" i="206"/>
  <c r="L98" i="206"/>
  <c r="W131" i="206"/>
  <c r="F131" i="206"/>
  <c r="H131" i="206"/>
  <c r="I131" i="206"/>
  <c r="X60" i="206"/>
  <c r="L50" i="206"/>
  <c r="J131" i="206"/>
  <c r="Y37" i="206"/>
  <c r="G131" i="206"/>
  <c r="Y39" i="206"/>
  <c r="S96" i="206"/>
  <c r="U96" i="206"/>
  <c r="K131" i="206"/>
  <c r="L46" i="206"/>
  <c r="L37" i="206"/>
  <c r="T96" i="206"/>
  <c r="R96" i="206"/>
  <c r="Q131" i="206"/>
  <c r="L49" i="206"/>
  <c r="R131" i="206"/>
  <c r="Y42" i="206"/>
  <c r="Q60" i="206"/>
  <c r="L36" i="206"/>
  <c r="L44" i="206"/>
  <c r="L51" i="206"/>
  <c r="V96" i="206"/>
  <c r="S131" i="206"/>
  <c r="Y41" i="206"/>
  <c r="D96" i="206"/>
  <c r="W96" i="206"/>
  <c r="T131" i="206"/>
  <c r="F96" i="206"/>
  <c r="G96" i="206"/>
  <c r="H96" i="206"/>
  <c r="I96" i="206"/>
  <c r="L73" i="206"/>
  <c r="K96" i="206"/>
  <c r="J96" i="206"/>
  <c r="Y34" i="206"/>
  <c r="D131" i="206"/>
  <c r="T60" i="206"/>
  <c r="Y40" i="206"/>
  <c r="Q96" i="206"/>
  <c r="L60" i="206" l="1"/>
  <c r="M45" i="206" s="1" a="1"/>
  <c r="M45" i="206" s="1"/>
  <c r="Y96" i="206"/>
  <c r="L131" i="206"/>
  <c r="M127" i="206" s="1" a="1"/>
  <c r="M127" i="206" s="1"/>
  <c r="Y131" i="206"/>
  <c r="L96" i="206"/>
  <c r="M84" i="206" s="1"/>
  <c r="Y60" i="206"/>
  <c r="Z36" i="206" s="1" a="1"/>
  <c r="Z36" i="206" s="1"/>
  <c r="Z98" i="206" l="1" a="1"/>
  <c r="Z98" i="206" s="1"/>
  <c r="Z127" i="206" a="1"/>
  <c r="Z127" i="206" s="1"/>
  <c r="Z92" i="206" a="1"/>
  <c r="Z92" i="206" s="1"/>
  <c r="Z69" i="206" a="1"/>
  <c r="Z69" i="206" s="1"/>
  <c r="Z83" i="206" a="1"/>
  <c r="Z83" i="206" s="1"/>
  <c r="Z66" i="206" a="1"/>
  <c r="Z66" i="206" s="1"/>
  <c r="Z78" i="206" a="1"/>
  <c r="Z78" i="206" s="1"/>
  <c r="Z82" i="206" a="1"/>
  <c r="Z82" i="206" s="1"/>
  <c r="Z87" i="206" a="1"/>
  <c r="Z87" i="206" s="1"/>
  <c r="Z71" i="206" a="1"/>
  <c r="Z71" i="206" s="1"/>
  <c r="Z75" i="206" a="1"/>
  <c r="Z75" i="206" s="1"/>
  <c r="Z80" i="206" a="1"/>
  <c r="Z80" i="206" s="1"/>
  <c r="Z74" i="206" a="1"/>
  <c r="Z74" i="206" s="1"/>
  <c r="Z85" i="206" a="1"/>
  <c r="Z85" i="206" s="1"/>
  <c r="Z76" i="206" a="1"/>
  <c r="Z76" i="206" s="1"/>
  <c r="Z88" i="206" a="1"/>
  <c r="Z88" i="206" s="1"/>
  <c r="Z86" i="206" a="1"/>
  <c r="Z86" i="206" s="1"/>
  <c r="Z95" i="206" a="1"/>
  <c r="Z95" i="206" s="1"/>
  <c r="Z91" i="206" a="1"/>
  <c r="Z91" i="206" s="1"/>
  <c r="Z90" i="206" a="1"/>
  <c r="Z90" i="206" s="1"/>
  <c r="Z72" i="206" a="1"/>
  <c r="Z72" i="206" s="1"/>
  <c r="Z93" i="206" a="1"/>
  <c r="Z93" i="206" s="1"/>
  <c r="Z67" i="206" a="1"/>
  <c r="Z67" i="206" s="1"/>
  <c r="Z81" i="206" a="1"/>
  <c r="Z81" i="206" s="1"/>
  <c r="Z68" i="206" a="1"/>
  <c r="Z68" i="206" s="1"/>
  <c r="Z77" i="206" a="1"/>
  <c r="Z77" i="206" s="1"/>
  <c r="Z65" i="206" a="1"/>
  <c r="Z65" i="206" s="1"/>
  <c r="Z63" i="206" a="1"/>
  <c r="Z63" i="206" s="1"/>
  <c r="Z79" i="206" a="1"/>
  <c r="Z79" i="206" s="1"/>
  <c r="Z84" i="206" a="1"/>
  <c r="Z84" i="206" s="1"/>
  <c r="Z70" i="206" a="1"/>
  <c r="Z70" i="206" s="1"/>
  <c r="Z94" i="206" a="1"/>
  <c r="Z94" i="206" s="1"/>
  <c r="Z89" i="206" a="1"/>
  <c r="Z89" i="206" s="1"/>
  <c r="Z64" i="206" a="1"/>
  <c r="Z64" i="206" s="1"/>
  <c r="Z73" i="206" a="1"/>
  <c r="Z73" i="206" s="1"/>
  <c r="Z38" i="206" a="1"/>
  <c r="Z38" i="206" s="1"/>
  <c r="Z35" i="206" a="1"/>
  <c r="Z35" i="206" s="1"/>
  <c r="Z42" i="206" a="1"/>
  <c r="Z42" i="206" s="1"/>
  <c r="Z37" i="206" a="1"/>
  <c r="Z37" i="206" s="1"/>
  <c r="Z40" i="206" a="1"/>
  <c r="Z40" i="206" s="1"/>
  <c r="Z44" i="206" a="1"/>
  <c r="Z44" i="206" s="1"/>
  <c r="Z39" i="206" a="1"/>
  <c r="Z39" i="206" s="1"/>
  <c r="Z43" i="206" a="1"/>
  <c r="Z43" i="206" s="1"/>
  <c r="Z53" i="206" a="1"/>
  <c r="Z53" i="206" s="1"/>
  <c r="Z45" i="206" a="1"/>
  <c r="Z45" i="206" s="1"/>
  <c r="Z47" i="206" a="1"/>
  <c r="Z47" i="206" s="1"/>
  <c r="Z54" i="206" a="1"/>
  <c r="Z54" i="206" s="1"/>
  <c r="Z52" i="206" a="1"/>
  <c r="Z52" i="206" s="1"/>
  <c r="Z51" i="206" a="1"/>
  <c r="Z51" i="206" s="1"/>
  <c r="Z48" i="206" a="1"/>
  <c r="Z48" i="206" s="1"/>
  <c r="Z50" i="206" a="1"/>
  <c r="Z50" i="206" s="1"/>
  <c r="Z46" i="206" a="1"/>
  <c r="Z46" i="206" s="1"/>
  <c r="Z49" i="206" a="1"/>
  <c r="Z49" i="206" s="1"/>
  <c r="Z55" i="206" a="1"/>
  <c r="Z55" i="206" s="1"/>
  <c r="Z57" i="206" a="1"/>
  <c r="Z57" i="206" s="1"/>
  <c r="Z58" i="206" a="1"/>
  <c r="Z58" i="206" s="1"/>
  <c r="Z59" i="206" a="1"/>
  <c r="Z59" i="206" s="1"/>
  <c r="Z56" i="206" a="1"/>
  <c r="Z56" i="206" s="1"/>
  <c r="Z34" i="206" a="1"/>
  <c r="Z34" i="206" s="1"/>
  <c r="Z41" i="206" a="1"/>
  <c r="Z41" i="206" s="1"/>
  <c r="Z120" i="206" a="1"/>
  <c r="Z120" i="206" s="1"/>
  <c r="Z110" i="206" a="1"/>
  <c r="Z110" i="206" s="1"/>
  <c r="Z108" i="206" a="1"/>
  <c r="Z108" i="206" s="1"/>
  <c r="Z109" i="206" a="1"/>
  <c r="Z109" i="206" s="1"/>
  <c r="Z101" i="206" a="1"/>
  <c r="Z101" i="206" s="1"/>
  <c r="Z116" i="206" a="1"/>
  <c r="Z116" i="206" s="1"/>
  <c r="Z115" i="206" a="1"/>
  <c r="Z115" i="206" s="1"/>
  <c r="Z113" i="206" a="1"/>
  <c r="Z113" i="206" s="1"/>
  <c r="Z117" i="206" a="1"/>
  <c r="Z117" i="206" s="1"/>
  <c r="Z124" i="206" a="1"/>
  <c r="Z124" i="206" s="1"/>
  <c r="Z123" i="206" a="1"/>
  <c r="Z123" i="206" s="1"/>
  <c r="Z118" i="206" a="1"/>
  <c r="Z118" i="206" s="1"/>
  <c r="Z125" i="206" a="1"/>
  <c r="Z125" i="206" s="1"/>
  <c r="Z114" i="206" a="1"/>
  <c r="Z114" i="206" s="1"/>
  <c r="Z130" i="206" a="1"/>
  <c r="Z130" i="206" s="1"/>
  <c r="Z122" i="206" a="1"/>
  <c r="Z122" i="206" s="1"/>
  <c r="Z107" i="206" a="1"/>
  <c r="Z107" i="206" s="1"/>
  <c r="Z99" i="206" a="1"/>
  <c r="Z99" i="206" s="1"/>
  <c r="Z121" i="206" a="1"/>
  <c r="Z121" i="206" s="1"/>
  <c r="Z111" i="206" a="1"/>
  <c r="Z111" i="206" s="1"/>
  <c r="Z119" i="206" a="1"/>
  <c r="Z119" i="206" s="1"/>
  <c r="Z128" i="206" a="1"/>
  <c r="Z128" i="206" s="1"/>
  <c r="Z103" i="206" a="1"/>
  <c r="Z103" i="206" s="1"/>
  <c r="Z105" i="206" a="1"/>
  <c r="Z105" i="206" s="1"/>
  <c r="Z129" i="206" a="1"/>
  <c r="Z129" i="206" s="1"/>
  <c r="Z100" i="206" a="1"/>
  <c r="Z100" i="206" s="1"/>
  <c r="Z102" i="206" a="1"/>
  <c r="Z102" i="206" s="1"/>
  <c r="Z112" i="206" a="1"/>
  <c r="Z112" i="206" s="1"/>
  <c r="Z104" i="206" a="1"/>
  <c r="Z104" i="206" s="1"/>
  <c r="Z126" i="206" a="1"/>
  <c r="Z126" i="206" s="1"/>
  <c r="Z106" i="206" a="1"/>
  <c r="Z106" i="206" s="1"/>
  <c r="M98" i="206" a="1"/>
  <c r="M98" i="206" s="1"/>
  <c r="M123" i="206" a="1"/>
  <c r="M123" i="206" s="1"/>
  <c r="M110" i="206" a="1"/>
  <c r="M110" i="206" s="1"/>
  <c r="M121" i="206" a="1"/>
  <c r="M121" i="206" s="1"/>
  <c r="M129" i="206" a="1"/>
  <c r="M129" i="206" s="1"/>
  <c r="M126" i="206" a="1"/>
  <c r="M126" i="206" s="1"/>
  <c r="M106" i="206" a="1"/>
  <c r="M106" i="206" s="1"/>
  <c r="M114" i="206" a="1"/>
  <c r="M114" i="206" s="1"/>
  <c r="M109" i="206" a="1"/>
  <c r="M109" i="206" s="1"/>
  <c r="M125" i="206" a="1"/>
  <c r="M125" i="206" s="1"/>
  <c r="M112" i="206" a="1"/>
  <c r="M112" i="206" s="1"/>
  <c r="M128" i="206" a="1"/>
  <c r="M128" i="206" s="1"/>
  <c r="M119" i="206" a="1"/>
  <c r="M119" i="206" s="1"/>
  <c r="M130" i="206" a="1"/>
  <c r="M130" i="206" s="1"/>
  <c r="M101" i="206" a="1"/>
  <c r="M101" i="206" s="1"/>
  <c r="M113" i="206" a="1"/>
  <c r="M113" i="206" s="1"/>
  <c r="M118" i="206" a="1"/>
  <c r="M118" i="206" s="1"/>
  <c r="M100" i="206" a="1"/>
  <c r="M100" i="206" s="1"/>
  <c r="M103" i="206" a="1"/>
  <c r="M103" i="206" s="1"/>
  <c r="M115" i="206" a="1"/>
  <c r="M115" i="206" s="1"/>
  <c r="M122" i="206" a="1"/>
  <c r="M122" i="206" s="1"/>
  <c r="M99" i="206" a="1"/>
  <c r="M99" i="206" s="1"/>
  <c r="M102" i="206" a="1"/>
  <c r="M102" i="206" s="1"/>
  <c r="M105" i="206" a="1"/>
  <c r="M105" i="206" s="1"/>
  <c r="M124" i="206" a="1"/>
  <c r="M124" i="206" s="1"/>
  <c r="M117" i="206" a="1"/>
  <c r="M117" i="206" s="1"/>
  <c r="M111" i="206" a="1"/>
  <c r="M111" i="206" s="1"/>
  <c r="M108" i="206" a="1"/>
  <c r="M108" i="206" s="1"/>
  <c r="M107" i="206" a="1"/>
  <c r="M107" i="206" s="1"/>
  <c r="M120" i="206" a="1"/>
  <c r="M120" i="206" s="1"/>
  <c r="M116" i="206" a="1"/>
  <c r="M116" i="206" s="1"/>
  <c r="M104" i="206" a="1"/>
  <c r="M104" i="206" s="1"/>
  <c r="Z62" i="206" a="1"/>
  <c r="Z62" i="206" s="1"/>
  <c r="M57" i="206" a="1"/>
  <c r="M57" i="206" s="1"/>
  <c r="M56" i="206" a="1"/>
  <c r="M56" i="206" s="1"/>
  <c r="M55" i="206" a="1"/>
  <c r="M55" i="206" s="1"/>
  <c r="M54" i="206" a="1"/>
  <c r="M54" i="206" s="1"/>
  <c r="M58" i="206" a="1"/>
  <c r="M58" i="206" s="1"/>
  <c r="M46" i="206" a="1"/>
  <c r="M46" i="206" s="1"/>
  <c r="M34" i="206" a="1"/>
  <c r="M34" i="206" s="1"/>
  <c r="M48" i="206" a="1"/>
  <c r="M48" i="206" s="1"/>
  <c r="M47" i="206" a="1"/>
  <c r="M47" i="206" s="1"/>
  <c r="M52" i="206" a="1"/>
  <c r="M52" i="206" s="1"/>
  <c r="M35" i="206" a="1"/>
  <c r="M35" i="206" s="1"/>
  <c r="M44" i="206" a="1"/>
  <c r="M44" i="206" s="1"/>
  <c r="M40" i="206" a="1"/>
  <c r="M40" i="206" s="1"/>
  <c r="M36" i="206" a="1"/>
  <c r="M36" i="206" s="1"/>
  <c r="M51" i="206" a="1"/>
  <c r="M51" i="206" s="1"/>
  <c r="M53" i="206" a="1"/>
  <c r="M53" i="206" s="1"/>
  <c r="M42" i="206" a="1"/>
  <c r="M42" i="206" s="1"/>
  <c r="M38" i="206" a="1"/>
  <c r="M38" i="206" s="1"/>
  <c r="M49" i="206" a="1"/>
  <c r="M49" i="206" s="1"/>
  <c r="M50" i="206" a="1"/>
  <c r="M50" i="206" s="1"/>
  <c r="M39" i="206" a="1"/>
  <c r="M39" i="206" s="1"/>
  <c r="M41" i="206" a="1"/>
  <c r="M41" i="206" s="1"/>
  <c r="M37" i="206" a="1"/>
  <c r="M37" i="206" s="1"/>
  <c r="M43" i="206" a="1"/>
  <c r="M43" i="206" s="1"/>
  <c r="M62" i="206" a="1"/>
  <c r="M62" i="206" s="1"/>
  <c r="M73" i="206"/>
  <c r="M60" i="206" l="1"/>
  <c r="M131" i="206"/>
  <c r="Z96" i="206"/>
  <c r="Z131" i="206"/>
  <c r="Z60" i="206"/>
  <c r="M96" i="206"/>
  <c r="B143" i="205" l="1"/>
  <c r="B142" i="205"/>
  <c r="B141" i="205"/>
  <c r="B140" i="205"/>
  <c r="B139" i="205"/>
  <c r="B138" i="205"/>
  <c r="B137" i="205"/>
  <c r="B136" i="205"/>
  <c r="B135" i="205"/>
  <c r="B134" i="205"/>
  <c r="B133" i="205"/>
  <c r="B132" i="205"/>
  <c r="B131" i="205"/>
  <c r="B130" i="205"/>
  <c r="B129" i="205"/>
  <c r="Y22" i="205"/>
  <c r="Y23" i="205"/>
  <c r="Y24" i="205"/>
  <c r="Y25" i="205"/>
  <c r="W22" i="205"/>
  <c r="W23" i="205"/>
  <c r="W24" i="205"/>
  <c r="W25" i="205"/>
  <c r="V22" i="205"/>
  <c r="V23" i="205"/>
  <c r="V24" i="205"/>
  <c r="V25" i="205"/>
  <c r="T22" i="205"/>
  <c r="T23" i="205"/>
  <c r="T24" i="205"/>
  <c r="T25" i="205"/>
  <c r="S22" i="205"/>
  <c r="S23" i="205"/>
  <c r="S24" i="205"/>
  <c r="S25" i="205"/>
  <c r="R22" i="205"/>
  <c r="R23" i="205"/>
  <c r="R24" i="205"/>
  <c r="R25" i="205"/>
  <c r="Q22" i="205"/>
  <c r="Q23" i="205"/>
  <c r="Q24" i="205"/>
  <c r="Q25" i="205"/>
  <c r="P22" i="205"/>
  <c r="P23" i="205"/>
  <c r="P24" i="205"/>
  <c r="P25" i="205"/>
  <c r="Y21" i="205"/>
  <c r="W21" i="205"/>
  <c r="V21" i="205"/>
  <c r="T21" i="205"/>
  <c r="S21" i="205"/>
  <c r="R21" i="205"/>
  <c r="Q21" i="205"/>
  <c r="P21" i="205"/>
  <c r="O22" i="205"/>
  <c r="O23" i="205"/>
  <c r="O24" i="205"/>
  <c r="O25" i="205"/>
  <c r="O21" i="205"/>
  <c r="N22" i="205"/>
  <c r="N23" i="205"/>
  <c r="N24" i="205"/>
  <c r="N25" i="205"/>
  <c r="N21" i="205"/>
  <c r="L22" i="205"/>
  <c r="L23" i="205"/>
  <c r="L24" i="205"/>
  <c r="L25" i="205"/>
  <c r="L21" i="205"/>
  <c r="J22" i="205"/>
  <c r="J23" i="205"/>
  <c r="J24" i="205"/>
  <c r="J25" i="205"/>
  <c r="J21" i="205"/>
  <c r="I22" i="205"/>
  <c r="I23" i="205"/>
  <c r="I24" i="205"/>
  <c r="I25" i="205"/>
  <c r="I21" i="205"/>
  <c r="H22" i="205"/>
  <c r="H23" i="205"/>
  <c r="H24" i="205"/>
  <c r="H25" i="205"/>
  <c r="H21" i="205"/>
  <c r="F22" i="205"/>
  <c r="F23" i="205"/>
  <c r="F24" i="205"/>
  <c r="F25" i="205"/>
  <c r="F21" i="205"/>
  <c r="E22" i="205"/>
  <c r="E23" i="205"/>
  <c r="E24" i="205"/>
  <c r="E25" i="205"/>
  <c r="E21" i="205"/>
  <c r="D22" i="205"/>
  <c r="D23" i="205"/>
  <c r="D24" i="205"/>
  <c r="D25" i="205"/>
  <c r="D21" i="205"/>
  <c r="B22" i="205"/>
  <c r="B23" i="205"/>
  <c r="B24" i="205"/>
  <c r="B25" i="205"/>
  <c r="B21" i="205"/>
  <c r="Z22" i="205"/>
  <c r="Z23" i="205"/>
  <c r="Z24" i="205"/>
  <c r="Z25" i="205"/>
  <c r="Z21" i="205"/>
  <c r="Q54" i="205" l="1"/>
  <c r="R54" i="205"/>
  <c r="S54" i="205"/>
  <c r="T54" i="205"/>
  <c r="U54" i="205"/>
  <c r="V54" i="205"/>
  <c r="W54" i="205"/>
  <c r="X54" i="205"/>
  <c r="Q55" i="205"/>
  <c r="R55" i="205"/>
  <c r="S55" i="205"/>
  <c r="T55" i="205"/>
  <c r="U55" i="205"/>
  <c r="V55" i="205"/>
  <c r="W55" i="205"/>
  <c r="X55" i="205"/>
  <c r="Q56" i="205"/>
  <c r="R56" i="205"/>
  <c r="S56" i="205"/>
  <c r="T56" i="205"/>
  <c r="U56" i="205"/>
  <c r="V56" i="205"/>
  <c r="W56" i="205"/>
  <c r="X56" i="205"/>
  <c r="Q57" i="205"/>
  <c r="R57" i="205"/>
  <c r="S57" i="205"/>
  <c r="T57" i="205"/>
  <c r="U57" i="205"/>
  <c r="V57" i="205"/>
  <c r="W57" i="205"/>
  <c r="X57" i="205"/>
  <c r="Q58" i="205"/>
  <c r="R58" i="205"/>
  <c r="S58" i="205"/>
  <c r="T58" i="205"/>
  <c r="U58" i="205"/>
  <c r="V58" i="205"/>
  <c r="W58" i="205"/>
  <c r="X58" i="205"/>
  <c r="Q59" i="205"/>
  <c r="R59" i="205"/>
  <c r="S59" i="205"/>
  <c r="T59" i="205"/>
  <c r="U59" i="205"/>
  <c r="V59" i="205"/>
  <c r="W59" i="205"/>
  <c r="X59" i="205"/>
  <c r="Q60" i="205"/>
  <c r="R60" i="205"/>
  <c r="S60" i="205"/>
  <c r="T60" i="205"/>
  <c r="U60" i="205"/>
  <c r="V60" i="205"/>
  <c r="W60" i="205"/>
  <c r="X60" i="205"/>
  <c r="Q61" i="205"/>
  <c r="R61" i="205"/>
  <c r="S61" i="205"/>
  <c r="T61" i="205"/>
  <c r="U61" i="205"/>
  <c r="V61" i="205"/>
  <c r="W61" i="205"/>
  <c r="X61" i="205"/>
  <c r="Q62" i="205"/>
  <c r="R62" i="205"/>
  <c r="S62" i="205"/>
  <c r="T62" i="205"/>
  <c r="U62" i="205"/>
  <c r="V62" i="205"/>
  <c r="W62" i="205"/>
  <c r="X62" i="205"/>
  <c r="Q63" i="205"/>
  <c r="R63" i="205"/>
  <c r="S63" i="205"/>
  <c r="T63" i="205"/>
  <c r="U63" i="205"/>
  <c r="V63" i="205"/>
  <c r="W63" i="205"/>
  <c r="X63" i="205"/>
  <c r="Q64" i="205"/>
  <c r="R64" i="205"/>
  <c r="S64" i="205"/>
  <c r="T64" i="205"/>
  <c r="U64" i="205"/>
  <c r="V64" i="205"/>
  <c r="W64" i="205"/>
  <c r="X64" i="205"/>
  <c r="Q65" i="205"/>
  <c r="R65" i="205"/>
  <c r="S65" i="205"/>
  <c r="T65" i="205"/>
  <c r="U65" i="205"/>
  <c r="V65" i="205"/>
  <c r="W65" i="205"/>
  <c r="X65" i="205"/>
  <c r="Q66" i="205"/>
  <c r="R66" i="205"/>
  <c r="S66" i="205"/>
  <c r="T66" i="205"/>
  <c r="U66" i="205"/>
  <c r="V66" i="205"/>
  <c r="W66" i="205"/>
  <c r="X66" i="205"/>
  <c r="Y61" i="205" l="1"/>
  <c r="Y64" i="205"/>
  <c r="Y66" i="205"/>
  <c r="Y62" i="205"/>
  <c r="Y55" i="205"/>
  <c r="Y60" i="205"/>
  <c r="Y65" i="205"/>
  <c r="Y58" i="205"/>
  <c r="Y59" i="205"/>
  <c r="Y63" i="205"/>
  <c r="Y57" i="205"/>
  <c r="Y56" i="205"/>
  <c r="Y54" i="205"/>
  <c r="X67" i="205"/>
  <c r="X53" i="205"/>
  <c r="X52" i="205"/>
  <c r="X51" i="205"/>
  <c r="Q48" i="205"/>
  <c r="R48" i="205"/>
  <c r="S48" i="205"/>
  <c r="T48" i="205"/>
  <c r="U48" i="205"/>
  <c r="V48" i="205"/>
  <c r="W48" i="205"/>
  <c r="X48" i="205"/>
  <c r="V28" i="205"/>
  <c r="U28" i="205"/>
  <c r="T28" i="205"/>
  <c r="S28" i="205"/>
  <c r="R28" i="205"/>
  <c r="Q28" i="205"/>
  <c r="X47" i="205"/>
  <c r="X46" i="205"/>
  <c r="X45" i="205"/>
  <c r="X44" i="205"/>
  <c r="X43" i="205"/>
  <c r="X42" i="205"/>
  <c r="X41" i="205"/>
  <c r="X40" i="205"/>
  <c r="X39" i="205"/>
  <c r="X38" i="205"/>
  <c r="X37" i="205"/>
  <c r="X36" i="205"/>
  <c r="X35" i="205"/>
  <c r="X34" i="205"/>
  <c r="X33" i="205"/>
  <c r="X32" i="205"/>
  <c r="X31" i="205"/>
  <c r="X30" i="205"/>
  <c r="X29" i="205"/>
  <c r="X28" i="205"/>
  <c r="X27" i="205"/>
  <c r="W27" i="205"/>
  <c r="X94" i="205"/>
  <c r="J93" i="205"/>
  <c r="J72" i="205"/>
  <c r="J73" i="205"/>
  <c r="J74" i="205"/>
  <c r="J75" i="205"/>
  <c r="J76" i="205"/>
  <c r="J77" i="205"/>
  <c r="J78" i="205"/>
  <c r="J79" i="205"/>
  <c r="J80" i="205"/>
  <c r="J81" i="205"/>
  <c r="J82" i="205"/>
  <c r="J83" i="205"/>
  <c r="J84" i="205"/>
  <c r="J85" i="205"/>
  <c r="J86" i="205"/>
  <c r="J87" i="205"/>
  <c r="J88" i="205"/>
  <c r="J89" i="205"/>
  <c r="J90" i="205"/>
  <c r="J91" i="205"/>
  <c r="J92" i="205"/>
  <c r="J71" i="205"/>
  <c r="I71" i="205"/>
  <c r="H93" i="205"/>
  <c r="H72" i="205"/>
  <c r="H73" i="205"/>
  <c r="H74" i="205"/>
  <c r="H75" i="205"/>
  <c r="H76" i="205"/>
  <c r="H77" i="205"/>
  <c r="H78" i="205"/>
  <c r="H79" i="205"/>
  <c r="H80" i="205"/>
  <c r="H81" i="205"/>
  <c r="H82" i="205"/>
  <c r="H83" i="205"/>
  <c r="H84" i="205"/>
  <c r="H85" i="205"/>
  <c r="H86" i="205"/>
  <c r="H87" i="205"/>
  <c r="H88" i="205"/>
  <c r="H89" i="205"/>
  <c r="H90" i="205"/>
  <c r="H91" i="205"/>
  <c r="H92" i="205"/>
  <c r="H71" i="205"/>
  <c r="G72" i="205"/>
  <c r="F93" i="205"/>
  <c r="F72" i="205"/>
  <c r="F73" i="205"/>
  <c r="F74" i="205"/>
  <c r="F75" i="205"/>
  <c r="F76" i="205"/>
  <c r="F77" i="205"/>
  <c r="F78" i="205"/>
  <c r="F79" i="205"/>
  <c r="F80" i="205"/>
  <c r="F81" i="205"/>
  <c r="F82" i="205"/>
  <c r="F83" i="205"/>
  <c r="F84" i="205"/>
  <c r="F85" i="205"/>
  <c r="F86" i="205"/>
  <c r="F87" i="205"/>
  <c r="F88" i="205"/>
  <c r="F89" i="205"/>
  <c r="F90" i="205"/>
  <c r="F91" i="205"/>
  <c r="F92" i="205"/>
  <c r="F71" i="205"/>
  <c r="E93" i="205"/>
  <c r="E72" i="205"/>
  <c r="E73" i="205"/>
  <c r="E74" i="205"/>
  <c r="E75" i="205"/>
  <c r="E76" i="205"/>
  <c r="E77" i="205"/>
  <c r="E78" i="205"/>
  <c r="E79" i="205"/>
  <c r="E80" i="205"/>
  <c r="E81" i="205"/>
  <c r="E82" i="205"/>
  <c r="E83" i="205"/>
  <c r="E84" i="205"/>
  <c r="E85" i="205"/>
  <c r="E86" i="205"/>
  <c r="E87" i="205"/>
  <c r="E88" i="205"/>
  <c r="E89" i="205"/>
  <c r="E90" i="205"/>
  <c r="E91" i="205"/>
  <c r="E92" i="205"/>
  <c r="E71" i="205"/>
  <c r="D93" i="205"/>
  <c r="D72" i="205"/>
  <c r="D73" i="205"/>
  <c r="D74" i="205"/>
  <c r="D75" i="205"/>
  <c r="D76" i="205"/>
  <c r="D77" i="205"/>
  <c r="D78" i="205"/>
  <c r="D79" i="205"/>
  <c r="D80" i="205"/>
  <c r="D81" i="205"/>
  <c r="D82" i="205"/>
  <c r="D83" i="205"/>
  <c r="D84" i="205"/>
  <c r="D85" i="205"/>
  <c r="D86" i="205"/>
  <c r="D87" i="205"/>
  <c r="D88" i="205"/>
  <c r="D89" i="205"/>
  <c r="D90" i="205"/>
  <c r="D91" i="205"/>
  <c r="D92" i="205"/>
  <c r="D71" i="205"/>
  <c r="I93" i="205"/>
  <c r="I72" i="205"/>
  <c r="I73" i="205"/>
  <c r="I74" i="205"/>
  <c r="I75" i="205"/>
  <c r="I76" i="205"/>
  <c r="I77" i="205"/>
  <c r="I78" i="205"/>
  <c r="I79" i="205"/>
  <c r="I80" i="205"/>
  <c r="I81" i="205"/>
  <c r="I82" i="205"/>
  <c r="I83" i="205"/>
  <c r="I84" i="205"/>
  <c r="I85" i="205"/>
  <c r="I86" i="205"/>
  <c r="I87" i="205"/>
  <c r="I88" i="205"/>
  <c r="I89" i="205"/>
  <c r="I90" i="205"/>
  <c r="I91" i="205"/>
  <c r="I92" i="205"/>
  <c r="I70" i="205"/>
  <c r="G93" i="205"/>
  <c r="G73" i="205"/>
  <c r="G74" i="205"/>
  <c r="G75" i="205"/>
  <c r="G76" i="205"/>
  <c r="G77" i="205"/>
  <c r="G78" i="205"/>
  <c r="G79" i="205"/>
  <c r="G80" i="205"/>
  <c r="G81" i="205"/>
  <c r="G82" i="205"/>
  <c r="G83" i="205"/>
  <c r="G84" i="205"/>
  <c r="G85" i="205"/>
  <c r="G86" i="205"/>
  <c r="G87" i="205"/>
  <c r="G88" i="205"/>
  <c r="G89" i="205"/>
  <c r="G90" i="205"/>
  <c r="G91" i="205"/>
  <c r="G92" i="205"/>
  <c r="G71" i="205"/>
  <c r="G70" i="205"/>
  <c r="K84" i="205"/>
  <c r="K93" i="205"/>
  <c r="K92" i="205"/>
  <c r="K91" i="205"/>
  <c r="K90" i="205"/>
  <c r="K89" i="205"/>
  <c r="K88" i="205"/>
  <c r="K87" i="205"/>
  <c r="K86" i="205"/>
  <c r="K85" i="205"/>
  <c r="K83" i="205"/>
  <c r="K82" i="205"/>
  <c r="K81" i="205"/>
  <c r="K80" i="205"/>
  <c r="K79" i="205"/>
  <c r="K78" i="205"/>
  <c r="K77" i="205"/>
  <c r="K76" i="205"/>
  <c r="K75" i="205"/>
  <c r="K74" i="205"/>
  <c r="K73" i="205"/>
  <c r="K72" i="205"/>
  <c r="K71" i="205"/>
  <c r="K70" i="205"/>
  <c r="K62" i="205"/>
  <c r="K56" i="205"/>
  <c r="K51" i="205"/>
  <c r="K47" i="205"/>
  <c r="K46" i="205"/>
  <c r="K45" i="205"/>
  <c r="K44" i="205"/>
  <c r="K43" i="205"/>
  <c r="K42" i="205"/>
  <c r="K41" i="205"/>
  <c r="K40" i="205"/>
  <c r="K39" i="205"/>
  <c r="K38" i="205"/>
  <c r="K37" i="205"/>
  <c r="K36" i="205"/>
  <c r="K35" i="205"/>
  <c r="K34" i="205"/>
  <c r="K33" i="205"/>
  <c r="K32" i="205"/>
  <c r="K31" i="205"/>
  <c r="K30" i="205"/>
  <c r="K29" i="205"/>
  <c r="K28" i="205"/>
  <c r="K27" i="205"/>
  <c r="J27" i="205"/>
  <c r="A39" i="203"/>
  <c r="A36" i="203"/>
  <c r="A38" i="203"/>
  <c r="A35" i="203"/>
  <c r="A34" i="203"/>
  <c r="A33" i="203"/>
  <c r="A32" i="203"/>
  <c r="X68" i="205" l="1"/>
  <c r="Y48" i="205"/>
  <c r="L73" i="205"/>
  <c r="L76" i="205"/>
  <c r="X49" i="205"/>
  <c r="L72" i="205"/>
  <c r="L74" i="205"/>
  <c r="L75" i="205"/>
  <c r="L91" i="205"/>
  <c r="L92" i="205"/>
  <c r="L93" i="205"/>
  <c r="L71" i="205"/>
  <c r="K94" i="205"/>
  <c r="K49" i="205"/>
  <c r="X86" i="201"/>
  <c r="X85" i="201"/>
  <c r="X84" i="201"/>
  <c r="X83" i="201"/>
  <c r="X82" i="201"/>
  <c r="X81" i="201"/>
  <c r="X80" i="201"/>
  <c r="X79" i="201"/>
  <c r="X78" i="201"/>
  <c r="X77" i="201"/>
  <c r="X76" i="201"/>
  <c r="X75" i="201"/>
  <c r="X74" i="201"/>
  <c r="X73" i="201"/>
  <c r="X72" i="201"/>
  <c r="X71" i="201"/>
  <c r="X70" i="201"/>
  <c r="X69" i="201"/>
  <c r="X68" i="201"/>
  <c r="X67" i="201"/>
  <c r="X66" i="201"/>
  <c r="X65" i="201"/>
  <c r="X64" i="201"/>
  <c r="X63" i="201"/>
  <c r="K63" i="201"/>
  <c r="J63" i="201"/>
  <c r="X60" i="201"/>
  <c r="X59" i="201"/>
  <c r="X58" i="201"/>
  <c r="X57" i="201"/>
  <c r="X56" i="201"/>
  <c r="X55" i="201"/>
  <c r="X54" i="201"/>
  <c r="X53" i="201"/>
  <c r="X52" i="201"/>
  <c r="X51" i="201"/>
  <c r="X50" i="201"/>
  <c r="X49" i="201"/>
  <c r="X48" i="201"/>
  <c r="X47" i="201"/>
  <c r="X46" i="201"/>
  <c r="S49" i="201"/>
  <c r="T49" i="201"/>
  <c r="U49" i="201"/>
  <c r="V49" i="201"/>
  <c r="W49" i="201"/>
  <c r="S50" i="201"/>
  <c r="T50" i="201"/>
  <c r="U50" i="201"/>
  <c r="V50" i="201"/>
  <c r="W50" i="201"/>
  <c r="S51" i="201"/>
  <c r="T51" i="201"/>
  <c r="U51" i="201"/>
  <c r="V51" i="201"/>
  <c r="W51" i="201"/>
  <c r="S52" i="201"/>
  <c r="T52" i="201"/>
  <c r="U52" i="201"/>
  <c r="V52" i="201"/>
  <c r="W52" i="201"/>
  <c r="S53" i="201"/>
  <c r="T53" i="201"/>
  <c r="U53" i="201"/>
  <c r="V53" i="201"/>
  <c r="W53" i="201"/>
  <c r="S54" i="201"/>
  <c r="T54" i="201"/>
  <c r="U54" i="201"/>
  <c r="V54" i="201"/>
  <c r="W54" i="201"/>
  <c r="S55" i="201"/>
  <c r="T55" i="201"/>
  <c r="U55" i="201"/>
  <c r="V55" i="201"/>
  <c r="W55" i="201"/>
  <c r="S56" i="201"/>
  <c r="T56" i="201"/>
  <c r="U56" i="201"/>
  <c r="V56" i="201"/>
  <c r="W56" i="201"/>
  <c r="S57" i="201"/>
  <c r="T57" i="201"/>
  <c r="U57" i="201"/>
  <c r="V57" i="201"/>
  <c r="W57" i="201"/>
  <c r="S58" i="201"/>
  <c r="T58" i="201"/>
  <c r="U58" i="201"/>
  <c r="V58" i="201"/>
  <c r="W58" i="201"/>
  <c r="S59" i="201"/>
  <c r="T59" i="201"/>
  <c r="U59" i="201"/>
  <c r="V59" i="201"/>
  <c r="W59" i="201"/>
  <c r="R49" i="201"/>
  <c r="R50" i="201"/>
  <c r="R51" i="201"/>
  <c r="R52" i="201"/>
  <c r="R53" i="201"/>
  <c r="R54" i="201"/>
  <c r="R55" i="201"/>
  <c r="R56" i="201"/>
  <c r="R57" i="201"/>
  <c r="R58" i="201"/>
  <c r="R59" i="201"/>
  <c r="Q49" i="201"/>
  <c r="Q50" i="201"/>
  <c r="Q51" i="201"/>
  <c r="Q52" i="201"/>
  <c r="Q53" i="201"/>
  <c r="Q54" i="201"/>
  <c r="Q55" i="201"/>
  <c r="Q56" i="201"/>
  <c r="Q57" i="201"/>
  <c r="Q58" i="201"/>
  <c r="Q59" i="201"/>
  <c r="X43" i="201"/>
  <c r="X42" i="201"/>
  <c r="X41" i="201"/>
  <c r="X40" i="201"/>
  <c r="X39" i="201"/>
  <c r="X38" i="201"/>
  <c r="X37" i="201"/>
  <c r="X36" i="201"/>
  <c r="X35" i="201"/>
  <c r="X34" i="201"/>
  <c r="X33" i="201"/>
  <c r="X32" i="201"/>
  <c r="X31" i="201"/>
  <c r="X30" i="201"/>
  <c r="X29" i="201"/>
  <c r="X28" i="201"/>
  <c r="X27" i="201"/>
  <c r="X26" i="201"/>
  <c r="X25" i="201"/>
  <c r="X24" i="201"/>
  <c r="X23" i="201"/>
  <c r="K86" i="201"/>
  <c r="K85" i="201"/>
  <c r="K84" i="201"/>
  <c r="K83" i="201"/>
  <c r="K82" i="201"/>
  <c r="K81" i="201"/>
  <c r="K80" i="201"/>
  <c r="K79" i="201"/>
  <c r="K78" i="201"/>
  <c r="K77" i="201"/>
  <c r="K76" i="201"/>
  <c r="K75" i="201"/>
  <c r="K74" i="201"/>
  <c r="K73" i="201"/>
  <c r="K72" i="201"/>
  <c r="K71" i="201"/>
  <c r="K70" i="201"/>
  <c r="K69" i="201"/>
  <c r="K68" i="201"/>
  <c r="K67" i="201"/>
  <c r="K66" i="201"/>
  <c r="K65" i="201"/>
  <c r="K64" i="201"/>
  <c r="K56" i="201"/>
  <c r="K51" i="201"/>
  <c r="K46" i="201"/>
  <c r="K42" i="201"/>
  <c r="K43" i="201"/>
  <c r="K41" i="201"/>
  <c r="K40" i="201"/>
  <c r="K39" i="201"/>
  <c r="K38" i="201"/>
  <c r="K37" i="201"/>
  <c r="K36" i="201"/>
  <c r="K35" i="201"/>
  <c r="K34" i="201"/>
  <c r="K33" i="201"/>
  <c r="K32" i="201"/>
  <c r="K31" i="201"/>
  <c r="K30" i="201"/>
  <c r="K29" i="201"/>
  <c r="K28" i="201"/>
  <c r="K27" i="201"/>
  <c r="K26" i="201"/>
  <c r="K25" i="201"/>
  <c r="K24" i="201"/>
  <c r="K23" i="201"/>
  <c r="Z20" i="201"/>
  <c r="Z21" i="201"/>
  <c r="Z19" i="201"/>
  <c r="Y20" i="201"/>
  <c r="Y21" i="201"/>
  <c r="Y19" i="201"/>
  <c r="V20" i="201"/>
  <c r="W20" i="201"/>
  <c r="V21" i="201"/>
  <c r="W21" i="201"/>
  <c r="W19" i="201"/>
  <c r="V19" i="201"/>
  <c r="T20" i="201"/>
  <c r="T21" i="201"/>
  <c r="T19" i="201"/>
  <c r="S20" i="201"/>
  <c r="S21" i="201"/>
  <c r="S19" i="201"/>
  <c r="R20" i="201"/>
  <c r="B123" i="201" s="1"/>
  <c r="R21" i="201"/>
  <c r="B126" i="201" s="1"/>
  <c r="R19" i="201"/>
  <c r="B120" i="201" s="1"/>
  <c r="O20" i="201"/>
  <c r="P20" i="201"/>
  <c r="Q20" i="201"/>
  <c r="O21" i="201"/>
  <c r="P21" i="201"/>
  <c r="Q21" i="201"/>
  <c r="Q19" i="201"/>
  <c r="P19" i="201"/>
  <c r="O19" i="201"/>
  <c r="N20" i="201"/>
  <c r="N21" i="201"/>
  <c r="N19" i="201"/>
  <c r="L20" i="201"/>
  <c r="L21" i="201"/>
  <c r="L19" i="201"/>
  <c r="J20" i="201"/>
  <c r="J21" i="201"/>
  <c r="J19" i="201"/>
  <c r="I20" i="201"/>
  <c r="I21" i="201"/>
  <c r="I19" i="201"/>
  <c r="H20" i="201"/>
  <c r="B124" i="201" s="1"/>
  <c r="H21" i="201"/>
  <c r="B127" i="201" s="1"/>
  <c r="H19" i="201"/>
  <c r="B121" i="201" s="1"/>
  <c r="F21" i="201"/>
  <c r="F20" i="201"/>
  <c r="F19" i="201"/>
  <c r="E20" i="201"/>
  <c r="E21" i="201"/>
  <c r="E19" i="201"/>
  <c r="D20" i="201"/>
  <c r="D21" i="201"/>
  <c r="D19" i="201"/>
  <c r="B20" i="201"/>
  <c r="B122" i="201" s="1"/>
  <c r="B21" i="201"/>
  <c r="B125" i="201" s="1"/>
  <c r="B19" i="201"/>
  <c r="B119" i="201" s="1"/>
  <c r="A40" i="203"/>
  <c r="A37" i="203"/>
  <c r="Y55" i="201" l="1"/>
  <c r="Y53" i="201"/>
  <c r="Y50" i="201"/>
  <c r="Y58" i="201"/>
  <c r="Y57" i="201"/>
  <c r="Y49" i="201"/>
  <c r="Y54" i="201"/>
  <c r="Y52" i="201"/>
  <c r="Y51" i="201"/>
  <c r="X61" i="201"/>
  <c r="Y56" i="201"/>
  <c r="Y59" i="201"/>
  <c r="X87" i="201"/>
  <c r="X44" i="201"/>
  <c r="K87" i="201"/>
  <c r="K44" i="201"/>
  <c r="B128" i="205"/>
  <c r="B127" i="205"/>
  <c r="B126" i="205"/>
  <c r="B125" i="205"/>
  <c r="B124" i="205"/>
  <c r="B123" i="205"/>
  <c r="B122" i="205"/>
  <c r="B121" i="205"/>
  <c r="B120" i="205"/>
  <c r="B119" i="205"/>
  <c r="B118" i="205"/>
  <c r="B117" i="205"/>
  <c r="B116" i="205"/>
  <c r="B115" i="205"/>
  <c r="B114" i="205"/>
  <c r="U67" i="205" l="1"/>
  <c r="W67" i="205"/>
  <c r="V67" i="205"/>
  <c r="T67" i="205"/>
  <c r="S67" i="205"/>
  <c r="R67" i="205"/>
  <c r="Q67" i="205"/>
  <c r="Q27" i="205"/>
  <c r="Z17" i="205"/>
  <c r="Y17" i="205"/>
  <c r="W17" i="205"/>
  <c r="V17" i="205"/>
  <c r="T17" i="205"/>
  <c r="S17" i="205"/>
  <c r="R17" i="205"/>
  <c r="Q17" i="205"/>
  <c r="P17" i="205"/>
  <c r="O17" i="205"/>
  <c r="N17" i="205"/>
  <c r="L17" i="205"/>
  <c r="J17" i="205"/>
  <c r="I17" i="205"/>
  <c r="H17" i="205"/>
  <c r="F17" i="205"/>
  <c r="E17" i="205"/>
  <c r="D17" i="205"/>
  <c r="B17" i="205"/>
  <c r="Z12" i="205"/>
  <c r="Z13" i="205"/>
  <c r="Z14" i="205"/>
  <c r="Z15" i="205"/>
  <c r="Y12" i="205"/>
  <c r="Y13" i="205"/>
  <c r="Y14" i="205"/>
  <c r="Y15" i="205"/>
  <c r="W12" i="205"/>
  <c r="W13" i="205"/>
  <c r="W14" i="205"/>
  <c r="W15" i="205"/>
  <c r="V12" i="205"/>
  <c r="V13" i="205"/>
  <c r="V14" i="205"/>
  <c r="V15" i="205"/>
  <c r="T12" i="205"/>
  <c r="T13" i="205"/>
  <c r="T14" i="205"/>
  <c r="T15" i="205"/>
  <c r="S12" i="205"/>
  <c r="S13" i="205"/>
  <c r="S14" i="205"/>
  <c r="S15" i="205"/>
  <c r="R12" i="205"/>
  <c r="R13" i="205"/>
  <c r="R14" i="205"/>
  <c r="R15" i="205"/>
  <c r="Q12" i="205"/>
  <c r="Q13" i="205"/>
  <c r="Q14" i="205"/>
  <c r="Q15" i="205"/>
  <c r="P12" i="205"/>
  <c r="P13" i="205"/>
  <c r="P14" i="205"/>
  <c r="P15" i="205"/>
  <c r="O13" i="205"/>
  <c r="O14" i="205"/>
  <c r="O15" i="205"/>
  <c r="O12" i="205"/>
  <c r="N12" i="205"/>
  <c r="N13" i="205"/>
  <c r="N14" i="205"/>
  <c r="N15" i="205"/>
  <c r="L12" i="205"/>
  <c r="L13" i="205"/>
  <c r="L14" i="205"/>
  <c r="L15" i="205"/>
  <c r="J12" i="205"/>
  <c r="J13" i="205"/>
  <c r="J14" i="205"/>
  <c r="J15" i="205"/>
  <c r="I12" i="205"/>
  <c r="I13" i="205"/>
  <c r="I14" i="205"/>
  <c r="I15" i="205"/>
  <c r="H12" i="205"/>
  <c r="H13" i="205"/>
  <c r="H14" i="205"/>
  <c r="H15" i="205"/>
  <c r="F15" i="205"/>
  <c r="F12" i="205"/>
  <c r="F13" i="205"/>
  <c r="F14" i="205"/>
  <c r="E12" i="205"/>
  <c r="E13" i="205"/>
  <c r="E14" i="205"/>
  <c r="E15" i="205"/>
  <c r="D12" i="205"/>
  <c r="D13" i="205"/>
  <c r="D14" i="205"/>
  <c r="D15" i="205"/>
  <c r="B14" i="205"/>
  <c r="B15" i="205"/>
  <c r="B13" i="205"/>
  <c r="B12" i="205"/>
  <c r="Y67" i="205" l="1"/>
  <c r="L79" i="205"/>
  <c r="W7" i="205"/>
  <c r="Y7" i="205"/>
  <c r="Z7" i="205"/>
  <c r="W8" i="205"/>
  <c r="Y8" i="205"/>
  <c r="Z8" i="205"/>
  <c r="W9" i="205"/>
  <c r="Y9" i="205"/>
  <c r="Z9" i="205"/>
  <c r="W10" i="205"/>
  <c r="Y10" i="205"/>
  <c r="Z10" i="205"/>
  <c r="W11" i="205"/>
  <c r="Y11" i="205"/>
  <c r="Z11" i="205"/>
  <c r="V7" i="205"/>
  <c r="V8" i="205"/>
  <c r="V9" i="205"/>
  <c r="V10" i="205"/>
  <c r="V11" i="205"/>
  <c r="T7" i="205"/>
  <c r="T8" i="205"/>
  <c r="T9" i="205"/>
  <c r="T10" i="205"/>
  <c r="T11" i="205"/>
  <c r="R7" i="205"/>
  <c r="S7" i="205"/>
  <c r="R8" i="205"/>
  <c r="S8" i="205"/>
  <c r="R9" i="205"/>
  <c r="S9" i="205"/>
  <c r="R10" i="205"/>
  <c r="S10" i="205"/>
  <c r="R11" i="205"/>
  <c r="S11" i="205"/>
  <c r="O7" i="205"/>
  <c r="P7" i="205"/>
  <c r="Q7" i="205"/>
  <c r="O8" i="205"/>
  <c r="P8" i="205"/>
  <c r="Q8" i="205"/>
  <c r="O9" i="205"/>
  <c r="P9" i="205"/>
  <c r="Q9" i="205"/>
  <c r="O10" i="205"/>
  <c r="P10" i="205"/>
  <c r="Q10" i="205"/>
  <c r="O11" i="205"/>
  <c r="P11" i="205"/>
  <c r="Q11" i="205"/>
  <c r="N7" i="205"/>
  <c r="N8" i="205"/>
  <c r="N9" i="205"/>
  <c r="N10" i="205"/>
  <c r="N11" i="205"/>
  <c r="L7" i="205"/>
  <c r="L8" i="205"/>
  <c r="L9" i="205"/>
  <c r="L10" i="205"/>
  <c r="L11" i="205"/>
  <c r="J7" i="205"/>
  <c r="J6" i="205"/>
  <c r="J8" i="205"/>
  <c r="J9" i="205"/>
  <c r="J10" i="205"/>
  <c r="J11" i="205"/>
  <c r="I7" i="205"/>
  <c r="I8" i="205"/>
  <c r="I9" i="205"/>
  <c r="I10" i="205"/>
  <c r="I11" i="205"/>
  <c r="H7" i="205"/>
  <c r="H8" i="205"/>
  <c r="H9" i="205"/>
  <c r="H10" i="205"/>
  <c r="H11" i="205"/>
  <c r="F7" i="205"/>
  <c r="F8" i="205"/>
  <c r="F9" i="205"/>
  <c r="F10" i="205"/>
  <c r="F11" i="205"/>
  <c r="E7" i="205"/>
  <c r="E8" i="205"/>
  <c r="E9" i="205"/>
  <c r="E10" i="205"/>
  <c r="E11" i="205"/>
  <c r="D7" i="205"/>
  <c r="D8" i="205"/>
  <c r="D9" i="205"/>
  <c r="D10" i="205"/>
  <c r="D11" i="205"/>
  <c r="B10" i="205"/>
  <c r="B11" i="205"/>
  <c r="B9" i="205"/>
  <c r="B8" i="205"/>
  <c r="B7" i="205"/>
  <c r="B113" i="205"/>
  <c r="B112" i="205"/>
  <c r="B111" i="205"/>
  <c r="B110" i="205"/>
  <c r="B109" i="205"/>
  <c r="B108" i="205"/>
  <c r="B107" i="205"/>
  <c r="B106" i="205"/>
  <c r="B105" i="205"/>
  <c r="B104" i="205"/>
  <c r="B103" i="205"/>
  <c r="B102" i="205"/>
  <c r="B100" i="205"/>
  <c r="B99" i="205"/>
  <c r="B98" i="205" l="1"/>
  <c r="B97" i="205"/>
  <c r="B96" i="205"/>
  <c r="G38" i="205"/>
  <c r="Z6" i="205"/>
  <c r="Y6" i="205"/>
  <c r="W6" i="205"/>
  <c r="V6" i="205"/>
  <c r="T6" i="205"/>
  <c r="S6" i="205"/>
  <c r="R6" i="205"/>
  <c r="Q6" i="205"/>
  <c r="P6" i="205"/>
  <c r="O6" i="205"/>
  <c r="N6" i="205"/>
  <c r="L6" i="205"/>
  <c r="I6" i="205"/>
  <c r="H6" i="205"/>
  <c r="F6" i="205"/>
  <c r="E6" i="205"/>
  <c r="D6" i="205"/>
  <c r="B6" i="205"/>
  <c r="W93" i="205"/>
  <c r="V93" i="205"/>
  <c r="U93" i="205"/>
  <c r="T93" i="205"/>
  <c r="S93" i="205"/>
  <c r="R93" i="205"/>
  <c r="Q93" i="205"/>
  <c r="W92" i="205"/>
  <c r="V92" i="205"/>
  <c r="U92" i="205"/>
  <c r="T92" i="205"/>
  <c r="S92" i="205"/>
  <c r="R92" i="205"/>
  <c r="Q92" i="205"/>
  <c r="W91" i="205"/>
  <c r="V91" i="205"/>
  <c r="U91" i="205"/>
  <c r="T91" i="205"/>
  <c r="S91" i="205"/>
  <c r="R91" i="205"/>
  <c r="Q91" i="205"/>
  <c r="W90" i="205"/>
  <c r="V90" i="205"/>
  <c r="U90" i="205"/>
  <c r="T90" i="205"/>
  <c r="S90" i="205"/>
  <c r="R90" i="205"/>
  <c r="Q90" i="205"/>
  <c r="L90" i="205"/>
  <c r="W89" i="205"/>
  <c r="V89" i="205"/>
  <c r="U89" i="205"/>
  <c r="T89" i="205"/>
  <c r="S89" i="205"/>
  <c r="R89" i="205"/>
  <c r="Q89" i="205"/>
  <c r="L89" i="205"/>
  <c r="W88" i="205"/>
  <c r="V88" i="205"/>
  <c r="U88" i="205"/>
  <c r="T88" i="205"/>
  <c r="S88" i="205"/>
  <c r="R88" i="205"/>
  <c r="Q88" i="205"/>
  <c r="W87" i="205"/>
  <c r="V87" i="205"/>
  <c r="U87" i="205"/>
  <c r="T87" i="205"/>
  <c r="S87" i="205"/>
  <c r="R87" i="205"/>
  <c r="Q87" i="205"/>
  <c r="W86" i="205"/>
  <c r="V86" i="205"/>
  <c r="U86" i="205"/>
  <c r="T86" i="205"/>
  <c r="S86" i="205"/>
  <c r="R86" i="205"/>
  <c r="Q86" i="205"/>
  <c r="W85" i="205"/>
  <c r="V85" i="205"/>
  <c r="U85" i="205"/>
  <c r="T85" i="205"/>
  <c r="S85" i="205"/>
  <c r="R85" i="205"/>
  <c r="Q85" i="205"/>
  <c r="W84" i="205"/>
  <c r="V84" i="205"/>
  <c r="U84" i="205"/>
  <c r="T84" i="205"/>
  <c r="S84" i="205"/>
  <c r="R84" i="205"/>
  <c r="Q84" i="205"/>
  <c r="W83" i="205"/>
  <c r="V83" i="205"/>
  <c r="U83" i="205"/>
  <c r="T83" i="205"/>
  <c r="S83" i="205"/>
  <c r="R83" i="205"/>
  <c r="Q83" i="205"/>
  <c r="L83" i="205"/>
  <c r="W82" i="205"/>
  <c r="V82" i="205"/>
  <c r="U82" i="205"/>
  <c r="T82" i="205"/>
  <c r="S82" i="205"/>
  <c r="R82" i="205"/>
  <c r="Q82" i="205"/>
  <c r="W81" i="205"/>
  <c r="V81" i="205"/>
  <c r="U81" i="205"/>
  <c r="T81" i="205"/>
  <c r="S81" i="205"/>
  <c r="R81" i="205"/>
  <c r="Q81" i="205"/>
  <c r="L81" i="205"/>
  <c r="W80" i="205"/>
  <c r="V80" i="205"/>
  <c r="U80" i="205"/>
  <c r="T80" i="205"/>
  <c r="S80" i="205"/>
  <c r="R80" i="205"/>
  <c r="Q80" i="205"/>
  <c r="L80" i="205"/>
  <c r="W79" i="205"/>
  <c r="V79" i="205"/>
  <c r="U79" i="205"/>
  <c r="T79" i="205"/>
  <c r="S79" i="205"/>
  <c r="R79" i="205"/>
  <c r="Q79" i="205"/>
  <c r="W78" i="205"/>
  <c r="V78" i="205"/>
  <c r="U78" i="205"/>
  <c r="T78" i="205"/>
  <c r="S78" i="205"/>
  <c r="R78" i="205"/>
  <c r="Q78" i="205"/>
  <c r="L78" i="205"/>
  <c r="W77" i="205"/>
  <c r="V77" i="205"/>
  <c r="U77" i="205"/>
  <c r="T77" i="205"/>
  <c r="S77" i="205"/>
  <c r="R77" i="205"/>
  <c r="Q77" i="205"/>
  <c r="W76" i="205"/>
  <c r="V76" i="205"/>
  <c r="U76" i="205"/>
  <c r="T76" i="205"/>
  <c r="S76" i="205"/>
  <c r="R76" i="205"/>
  <c r="Q76" i="205"/>
  <c r="W75" i="205"/>
  <c r="V75" i="205"/>
  <c r="U75" i="205"/>
  <c r="T75" i="205"/>
  <c r="S75" i="205"/>
  <c r="R75" i="205"/>
  <c r="Q75" i="205"/>
  <c r="W74" i="205"/>
  <c r="V74" i="205"/>
  <c r="U74" i="205"/>
  <c r="T74" i="205"/>
  <c r="S74" i="205"/>
  <c r="R74" i="205"/>
  <c r="Q74" i="205"/>
  <c r="W73" i="205"/>
  <c r="V73" i="205"/>
  <c r="U73" i="205"/>
  <c r="T73" i="205"/>
  <c r="S73" i="205"/>
  <c r="R73" i="205"/>
  <c r="Q73" i="205"/>
  <c r="W72" i="205"/>
  <c r="V72" i="205"/>
  <c r="U72" i="205"/>
  <c r="T72" i="205"/>
  <c r="S72" i="205"/>
  <c r="R72" i="205"/>
  <c r="Q72" i="205"/>
  <c r="W71" i="205"/>
  <c r="V71" i="205"/>
  <c r="U71" i="205"/>
  <c r="T71" i="205"/>
  <c r="S71" i="205"/>
  <c r="R71" i="205"/>
  <c r="Q71" i="205"/>
  <c r="W70" i="205"/>
  <c r="V70" i="205"/>
  <c r="U70" i="205"/>
  <c r="T70" i="205"/>
  <c r="S70" i="205"/>
  <c r="R70" i="205"/>
  <c r="Q70" i="205"/>
  <c r="J70" i="205"/>
  <c r="H70" i="205"/>
  <c r="F70" i="205"/>
  <c r="E70" i="205"/>
  <c r="D70" i="205"/>
  <c r="J62" i="205"/>
  <c r="I62" i="205"/>
  <c r="H62" i="205"/>
  <c r="G62" i="205"/>
  <c r="F62" i="205"/>
  <c r="E62" i="205"/>
  <c r="D62" i="205"/>
  <c r="E61" i="205"/>
  <c r="G61" i="205" s="1"/>
  <c r="I61" i="205" s="1"/>
  <c r="K61" i="205" s="1"/>
  <c r="D61" i="205"/>
  <c r="F61" i="205" s="1"/>
  <c r="H61" i="205" s="1"/>
  <c r="J61" i="205" s="1"/>
  <c r="E58" i="205"/>
  <c r="G58" i="205" s="1"/>
  <c r="I58" i="205" s="1"/>
  <c r="K58" i="205" s="1"/>
  <c r="D58" i="205"/>
  <c r="F58" i="205" s="1"/>
  <c r="H58" i="205" s="1"/>
  <c r="J58" i="205" s="1"/>
  <c r="E57" i="205"/>
  <c r="G57" i="205" s="1"/>
  <c r="I57" i="205" s="1"/>
  <c r="K57" i="205" s="1"/>
  <c r="D57" i="205"/>
  <c r="F57" i="205" s="1"/>
  <c r="H57" i="205" s="1"/>
  <c r="J57" i="205" s="1"/>
  <c r="J56" i="205"/>
  <c r="I56" i="205"/>
  <c r="H56" i="205"/>
  <c r="G56" i="205"/>
  <c r="F56" i="205"/>
  <c r="E56" i="205"/>
  <c r="D56" i="205"/>
  <c r="E55" i="205"/>
  <c r="G55" i="205" s="1"/>
  <c r="I55" i="205" s="1"/>
  <c r="K55" i="205" s="1"/>
  <c r="D55" i="205"/>
  <c r="F55" i="205" s="1"/>
  <c r="H55" i="205" s="1"/>
  <c r="J55" i="205" s="1"/>
  <c r="W53" i="205"/>
  <c r="V53" i="205"/>
  <c r="U53" i="205"/>
  <c r="T53" i="205"/>
  <c r="S53" i="205"/>
  <c r="R53" i="205"/>
  <c r="Q53" i="205"/>
  <c r="E53" i="205"/>
  <c r="G53" i="205" s="1"/>
  <c r="I53" i="205" s="1"/>
  <c r="K53" i="205" s="1"/>
  <c r="D53" i="205"/>
  <c r="F53" i="205" s="1"/>
  <c r="H53" i="205" s="1"/>
  <c r="J53" i="205" s="1"/>
  <c r="W52" i="205"/>
  <c r="V52" i="205"/>
  <c r="U52" i="205"/>
  <c r="T52" i="205"/>
  <c r="S52" i="205"/>
  <c r="R52" i="205"/>
  <c r="Q52" i="205"/>
  <c r="E52" i="205"/>
  <c r="G52" i="205" s="1"/>
  <c r="I52" i="205" s="1"/>
  <c r="K52" i="205" s="1"/>
  <c r="D52" i="205"/>
  <c r="F52" i="205" s="1"/>
  <c r="H52" i="205" s="1"/>
  <c r="W51" i="205"/>
  <c r="V51" i="205"/>
  <c r="U51" i="205"/>
  <c r="T51" i="205"/>
  <c r="S51" i="205"/>
  <c r="R51" i="205"/>
  <c r="Q51" i="205"/>
  <c r="J51" i="205"/>
  <c r="I51" i="205"/>
  <c r="H51" i="205"/>
  <c r="G51" i="205"/>
  <c r="F51" i="205"/>
  <c r="E51" i="205"/>
  <c r="D51" i="205"/>
  <c r="W47" i="205"/>
  <c r="V47" i="205"/>
  <c r="U47" i="205"/>
  <c r="T47" i="205"/>
  <c r="S47" i="205"/>
  <c r="R47" i="205"/>
  <c r="Q47" i="205"/>
  <c r="J47" i="205"/>
  <c r="I47" i="205"/>
  <c r="H47" i="205"/>
  <c r="G47" i="205"/>
  <c r="F47" i="205"/>
  <c r="E47" i="205"/>
  <c r="D47" i="205"/>
  <c r="W46" i="205"/>
  <c r="V46" i="205"/>
  <c r="U46" i="205"/>
  <c r="T46" i="205"/>
  <c r="S46" i="205"/>
  <c r="R46" i="205"/>
  <c r="Q46" i="205"/>
  <c r="J46" i="205"/>
  <c r="I46" i="205"/>
  <c r="G46" i="205"/>
  <c r="F46" i="205"/>
  <c r="E46" i="205"/>
  <c r="D46" i="205"/>
  <c r="W45" i="205"/>
  <c r="V45" i="205"/>
  <c r="U45" i="205"/>
  <c r="T45" i="205"/>
  <c r="S45" i="205"/>
  <c r="R45" i="205"/>
  <c r="Q45" i="205"/>
  <c r="J45" i="205"/>
  <c r="I45" i="205"/>
  <c r="H46" i="205"/>
  <c r="G45" i="205"/>
  <c r="F45" i="205"/>
  <c r="E45" i="205"/>
  <c r="D45" i="205"/>
  <c r="W44" i="205"/>
  <c r="V44" i="205"/>
  <c r="U44" i="205"/>
  <c r="T44" i="205"/>
  <c r="S44" i="205"/>
  <c r="R44" i="205"/>
  <c r="Q44" i="205"/>
  <c r="J44" i="205"/>
  <c r="I44" i="205"/>
  <c r="H44" i="205"/>
  <c r="G44" i="205"/>
  <c r="F44" i="205"/>
  <c r="E44" i="205"/>
  <c r="D44" i="205"/>
  <c r="W43" i="205"/>
  <c r="V43" i="205"/>
  <c r="U43" i="205"/>
  <c r="T43" i="205"/>
  <c r="S43" i="205"/>
  <c r="R43" i="205"/>
  <c r="Q43" i="205"/>
  <c r="J43" i="205"/>
  <c r="I43" i="205"/>
  <c r="H43" i="205"/>
  <c r="G43" i="205"/>
  <c r="F43" i="205"/>
  <c r="E43" i="205"/>
  <c r="D43" i="205"/>
  <c r="W42" i="205"/>
  <c r="V42" i="205"/>
  <c r="U42" i="205"/>
  <c r="T42" i="205"/>
  <c r="S42" i="205"/>
  <c r="R42" i="205"/>
  <c r="Q42" i="205"/>
  <c r="J42" i="205"/>
  <c r="I42" i="205"/>
  <c r="H42" i="205"/>
  <c r="G42" i="205"/>
  <c r="F42" i="205"/>
  <c r="E42" i="205"/>
  <c r="D42" i="205"/>
  <c r="W41" i="205"/>
  <c r="V41" i="205"/>
  <c r="U41" i="205"/>
  <c r="T41" i="205"/>
  <c r="S41" i="205"/>
  <c r="R41" i="205"/>
  <c r="Q41" i="205"/>
  <c r="J41" i="205"/>
  <c r="I41" i="205"/>
  <c r="H41" i="205"/>
  <c r="G41" i="205"/>
  <c r="F41" i="205"/>
  <c r="E41" i="205"/>
  <c r="D41" i="205"/>
  <c r="W40" i="205"/>
  <c r="V40" i="205"/>
  <c r="U40" i="205"/>
  <c r="T40" i="205"/>
  <c r="S40" i="205"/>
  <c r="R40" i="205"/>
  <c r="Q40" i="205"/>
  <c r="J40" i="205"/>
  <c r="I40" i="205"/>
  <c r="H40" i="205"/>
  <c r="G40" i="205"/>
  <c r="F40" i="205"/>
  <c r="E40" i="205"/>
  <c r="D40" i="205"/>
  <c r="W39" i="205"/>
  <c r="V39" i="205"/>
  <c r="U39" i="205"/>
  <c r="T39" i="205"/>
  <c r="S39" i="205"/>
  <c r="R39" i="205"/>
  <c r="Q39" i="205"/>
  <c r="J39" i="205"/>
  <c r="I39" i="205"/>
  <c r="H39" i="205"/>
  <c r="G39" i="205"/>
  <c r="F39" i="205"/>
  <c r="E39" i="205"/>
  <c r="D39" i="205"/>
  <c r="W38" i="205"/>
  <c r="V38" i="205"/>
  <c r="U38" i="205"/>
  <c r="T38" i="205"/>
  <c r="S38" i="205"/>
  <c r="R38" i="205"/>
  <c r="Q38" i="205"/>
  <c r="J38" i="205"/>
  <c r="I38" i="205"/>
  <c r="H38" i="205"/>
  <c r="F38" i="205"/>
  <c r="E38" i="205"/>
  <c r="D38" i="205"/>
  <c r="W37" i="205"/>
  <c r="V37" i="205"/>
  <c r="U37" i="205"/>
  <c r="T37" i="205"/>
  <c r="S37" i="205"/>
  <c r="R37" i="205"/>
  <c r="Q37" i="205"/>
  <c r="J37" i="205"/>
  <c r="I37" i="205"/>
  <c r="H37" i="205"/>
  <c r="G37" i="205"/>
  <c r="F37" i="205"/>
  <c r="E37" i="205"/>
  <c r="D37" i="205"/>
  <c r="W36" i="205"/>
  <c r="V36" i="205"/>
  <c r="U36" i="205"/>
  <c r="T36" i="205"/>
  <c r="S36" i="205"/>
  <c r="R36" i="205"/>
  <c r="Q36" i="205"/>
  <c r="J36" i="205"/>
  <c r="I36" i="205"/>
  <c r="H36" i="205"/>
  <c r="G36" i="205"/>
  <c r="F36" i="205"/>
  <c r="E36" i="205"/>
  <c r="D36" i="205"/>
  <c r="W35" i="205"/>
  <c r="V35" i="205"/>
  <c r="U35" i="205"/>
  <c r="T35" i="205"/>
  <c r="S35" i="205"/>
  <c r="R35" i="205"/>
  <c r="Q35" i="205"/>
  <c r="J35" i="205"/>
  <c r="I35" i="205"/>
  <c r="H35" i="205"/>
  <c r="G35" i="205"/>
  <c r="F35" i="205"/>
  <c r="E35" i="205"/>
  <c r="D35" i="205"/>
  <c r="W34" i="205"/>
  <c r="V34" i="205"/>
  <c r="U34" i="205"/>
  <c r="T34" i="205"/>
  <c r="S34" i="205"/>
  <c r="R34" i="205"/>
  <c r="Q34" i="205"/>
  <c r="J34" i="205"/>
  <c r="I34" i="205"/>
  <c r="H34" i="205"/>
  <c r="G34" i="205"/>
  <c r="F34" i="205"/>
  <c r="E34" i="205"/>
  <c r="D34" i="205"/>
  <c r="W33" i="205"/>
  <c r="V33" i="205"/>
  <c r="U33" i="205"/>
  <c r="T33" i="205"/>
  <c r="S33" i="205"/>
  <c r="R33" i="205"/>
  <c r="Q33" i="205"/>
  <c r="J33" i="205"/>
  <c r="I33" i="205"/>
  <c r="H33" i="205"/>
  <c r="G33" i="205"/>
  <c r="F33" i="205"/>
  <c r="E33" i="205"/>
  <c r="D33" i="205"/>
  <c r="W32" i="205"/>
  <c r="V32" i="205"/>
  <c r="U32" i="205"/>
  <c r="T32" i="205"/>
  <c r="S32" i="205"/>
  <c r="R32" i="205"/>
  <c r="Q32" i="205"/>
  <c r="J32" i="205"/>
  <c r="I32" i="205"/>
  <c r="H32" i="205"/>
  <c r="G32" i="205"/>
  <c r="F32" i="205"/>
  <c r="E32" i="205"/>
  <c r="D32" i="205"/>
  <c r="W31" i="205"/>
  <c r="V31" i="205"/>
  <c r="U31" i="205"/>
  <c r="T31" i="205"/>
  <c r="S31" i="205"/>
  <c r="R31" i="205"/>
  <c r="Q31" i="205"/>
  <c r="J31" i="205"/>
  <c r="I31" i="205"/>
  <c r="H31" i="205"/>
  <c r="G31" i="205"/>
  <c r="F31" i="205"/>
  <c r="E31" i="205"/>
  <c r="D31" i="205"/>
  <c r="W30" i="205"/>
  <c r="V30" i="205"/>
  <c r="U30" i="205"/>
  <c r="T30" i="205"/>
  <c r="S30" i="205"/>
  <c r="R30" i="205"/>
  <c r="Q30" i="205"/>
  <c r="J30" i="205"/>
  <c r="I30" i="205"/>
  <c r="H30" i="205"/>
  <c r="G30" i="205"/>
  <c r="F30" i="205"/>
  <c r="E30" i="205"/>
  <c r="D30" i="205"/>
  <c r="W29" i="205"/>
  <c r="V29" i="205"/>
  <c r="U29" i="205"/>
  <c r="T29" i="205"/>
  <c r="S29" i="205"/>
  <c r="R29" i="205"/>
  <c r="Q29" i="205"/>
  <c r="J29" i="205"/>
  <c r="I29" i="205"/>
  <c r="H29" i="205"/>
  <c r="G29" i="205"/>
  <c r="F29" i="205"/>
  <c r="E29" i="205"/>
  <c r="D29" i="205"/>
  <c r="W28" i="205"/>
  <c r="J28" i="205"/>
  <c r="I28" i="205"/>
  <c r="H28" i="205"/>
  <c r="G28" i="205"/>
  <c r="F28" i="205"/>
  <c r="E28" i="205"/>
  <c r="D28" i="205"/>
  <c r="V27" i="205"/>
  <c r="U27" i="205"/>
  <c r="T27" i="205"/>
  <c r="S27" i="205"/>
  <c r="R27" i="205"/>
  <c r="I27" i="205"/>
  <c r="H27" i="205"/>
  <c r="G27" i="205"/>
  <c r="F27" i="205"/>
  <c r="E27" i="205"/>
  <c r="D27" i="205"/>
  <c r="W86" i="201"/>
  <c r="V86" i="201"/>
  <c r="U86" i="201"/>
  <c r="T86" i="201"/>
  <c r="S86" i="201"/>
  <c r="R86" i="201"/>
  <c r="Q86" i="201"/>
  <c r="W85" i="201"/>
  <c r="V85" i="201"/>
  <c r="U85" i="201"/>
  <c r="T85" i="201"/>
  <c r="S85" i="201"/>
  <c r="R85" i="201"/>
  <c r="Q85" i="201"/>
  <c r="W84" i="201"/>
  <c r="V84" i="201"/>
  <c r="U84" i="201"/>
  <c r="T84" i="201"/>
  <c r="S84" i="201"/>
  <c r="R84" i="201"/>
  <c r="Q84" i="201"/>
  <c r="W83" i="201"/>
  <c r="V83" i="201"/>
  <c r="U83" i="201"/>
  <c r="T83" i="201"/>
  <c r="S83" i="201"/>
  <c r="R83" i="201"/>
  <c r="Q83" i="201"/>
  <c r="W82" i="201"/>
  <c r="V82" i="201"/>
  <c r="U82" i="201"/>
  <c r="T82" i="201"/>
  <c r="S82" i="201"/>
  <c r="R82" i="201"/>
  <c r="Q82" i="201"/>
  <c r="W81" i="201"/>
  <c r="V81" i="201"/>
  <c r="U81" i="201"/>
  <c r="T81" i="201"/>
  <c r="S81" i="201"/>
  <c r="R81" i="201"/>
  <c r="Q81" i="201"/>
  <c r="W80" i="201"/>
  <c r="V80" i="201"/>
  <c r="U80" i="201"/>
  <c r="T80" i="201"/>
  <c r="S80" i="201"/>
  <c r="R80" i="201"/>
  <c r="Q80" i="201"/>
  <c r="W79" i="201"/>
  <c r="V79" i="201"/>
  <c r="U79" i="201"/>
  <c r="T79" i="201"/>
  <c r="S79" i="201"/>
  <c r="R79" i="201"/>
  <c r="Q79" i="201"/>
  <c r="W78" i="201"/>
  <c r="V78" i="201"/>
  <c r="U78" i="201"/>
  <c r="T78" i="201"/>
  <c r="S78" i="201"/>
  <c r="R78" i="201"/>
  <c r="Q78" i="201"/>
  <c r="W77" i="201"/>
  <c r="V77" i="201"/>
  <c r="U77" i="201"/>
  <c r="T77" i="201"/>
  <c r="S77" i="201"/>
  <c r="R77" i="201"/>
  <c r="Q77" i="201"/>
  <c r="W76" i="201"/>
  <c r="V76" i="201"/>
  <c r="U76" i="201"/>
  <c r="T76" i="201"/>
  <c r="S76" i="201"/>
  <c r="R76" i="201"/>
  <c r="Q76" i="201"/>
  <c r="W75" i="201"/>
  <c r="V75" i="201"/>
  <c r="U75" i="201"/>
  <c r="T75" i="201"/>
  <c r="S75" i="201"/>
  <c r="R75" i="201"/>
  <c r="Q75" i="201"/>
  <c r="W74" i="201"/>
  <c r="V74" i="201"/>
  <c r="U74" i="201"/>
  <c r="T74" i="201"/>
  <c r="S74" i="201"/>
  <c r="R74" i="201"/>
  <c r="Q74" i="201"/>
  <c r="W73" i="201"/>
  <c r="V73" i="201"/>
  <c r="U73" i="201"/>
  <c r="T73" i="201"/>
  <c r="S73" i="201"/>
  <c r="R73" i="201"/>
  <c r="Q73" i="201"/>
  <c r="W72" i="201"/>
  <c r="V72" i="201"/>
  <c r="U72" i="201"/>
  <c r="T72" i="201"/>
  <c r="S72" i="201"/>
  <c r="R72" i="201"/>
  <c r="Q72" i="201"/>
  <c r="W71" i="201"/>
  <c r="V71" i="201"/>
  <c r="U71" i="201"/>
  <c r="T71" i="201"/>
  <c r="S71" i="201"/>
  <c r="R71" i="201"/>
  <c r="Q71" i="201"/>
  <c r="W70" i="201"/>
  <c r="V70" i="201"/>
  <c r="U70" i="201"/>
  <c r="T70" i="201"/>
  <c r="S70" i="201"/>
  <c r="R70" i="201"/>
  <c r="Q70" i="201"/>
  <c r="W69" i="201"/>
  <c r="V69" i="201"/>
  <c r="U69" i="201"/>
  <c r="T69" i="201"/>
  <c r="S69" i="201"/>
  <c r="R69" i="201"/>
  <c r="Q69" i="201"/>
  <c r="W68" i="201"/>
  <c r="V68" i="201"/>
  <c r="U68" i="201"/>
  <c r="T68" i="201"/>
  <c r="S68" i="201"/>
  <c r="R68" i="201"/>
  <c r="Q68" i="201"/>
  <c r="W67" i="201"/>
  <c r="V67" i="201"/>
  <c r="U67" i="201"/>
  <c r="T67" i="201"/>
  <c r="S67" i="201"/>
  <c r="R67" i="201"/>
  <c r="Q67" i="201"/>
  <c r="W66" i="201"/>
  <c r="V66" i="201"/>
  <c r="U66" i="201"/>
  <c r="T66" i="201"/>
  <c r="S66" i="201"/>
  <c r="R66" i="201"/>
  <c r="Q66" i="201"/>
  <c r="W65" i="201"/>
  <c r="V65" i="201"/>
  <c r="U65" i="201"/>
  <c r="T65" i="201"/>
  <c r="S65" i="201"/>
  <c r="R65" i="201"/>
  <c r="Q65" i="201"/>
  <c r="W64" i="201"/>
  <c r="V64" i="201"/>
  <c r="U64" i="201"/>
  <c r="T64" i="201"/>
  <c r="S64" i="201"/>
  <c r="R64" i="201"/>
  <c r="Q64" i="201"/>
  <c r="W63" i="201"/>
  <c r="V63" i="201"/>
  <c r="U63" i="201"/>
  <c r="T63" i="201"/>
  <c r="S63" i="201"/>
  <c r="R63" i="201"/>
  <c r="Q63" i="201"/>
  <c r="J86" i="201"/>
  <c r="I86" i="201"/>
  <c r="H86" i="201"/>
  <c r="G86" i="201"/>
  <c r="F86" i="201"/>
  <c r="E86" i="201"/>
  <c r="D86" i="201"/>
  <c r="J85" i="201"/>
  <c r="I85" i="201"/>
  <c r="H85" i="201"/>
  <c r="G85" i="201"/>
  <c r="F85" i="201"/>
  <c r="E85" i="201"/>
  <c r="D85" i="201"/>
  <c r="J84" i="201"/>
  <c r="I84" i="201"/>
  <c r="H84" i="201"/>
  <c r="G84" i="201"/>
  <c r="F84" i="201"/>
  <c r="E84" i="201"/>
  <c r="D84" i="201"/>
  <c r="J83" i="201"/>
  <c r="I83" i="201"/>
  <c r="H83" i="201"/>
  <c r="G83" i="201"/>
  <c r="F83" i="201"/>
  <c r="E83" i="201"/>
  <c r="D83" i="201"/>
  <c r="J82" i="201"/>
  <c r="I82" i="201"/>
  <c r="H82" i="201"/>
  <c r="G82" i="201"/>
  <c r="F82" i="201"/>
  <c r="E82" i="201"/>
  <c r="D82" i="201"/>
  <c r="J81" i="201"/>
  <c r="I81" i="201"/>
  <c r="H81" i="201"/>
  <c r="G81" i="201"/>
  <c r="F81" i="201"/>
  <c r="E81" i="201"/>
  <c r="D81" i="201"/>
  <c r="J80" i="201"/>
  <c r="I80" i="201"/>
  <c r="H80" i="201"/>
  <c r="G80" i="201"/>
  <c r="F80" i="201"/>
  <c r="E80" i="201"/>
  <c r="D80" i="201"/>
  <c r="J79" i="201"/>
  <c r="I79" i="201"/>
  <c r="H79" i="201"/>
  <c r="G79" i="201"/>
  <c r="F79" i="201"/>
  <c r="E79" i="201"/>
  <c r="D79" i="201"/>
  <c r="J78" i="201"/>
  <c r="I78" i="201"/>
  <c r="H78" i="201"/>
  <c r="G78" i="201"/>
  <c r="F78" i="201"/>
  <c r="E78" i="201"/>
  <c r="D78" i="201"/>
  <c r="J77" i="201"/>
  <c r="I77" i="201"/>
  <c r="H77" i="201"/>
  <c r="G77" i="201"/>
  <c r="F77" i="201"/>
  <c r="E77" i="201"/>
  <c r="D77" i="201"/>
  <c r="J76" i="201"/>
  <c r="I76" i="201"/>
  <c r="H76" i="201"/>
  <c r="G76" i="201"/>
  <c r="F76" i="201"/>
  <c r="E76" i="201"/>
  <c r="D76" i="201"/>
  <c r="J75" i="201"/>
  <c r="I75" i="201"/>
  <c r="H75" i="201"/>
  <c r="G75" i="201"/>
  <c r="F75" i="201"/>
  <c r="E75" i="201"/>
  <c r="D75" i="201"/>
  <c r="J74" i="201"/>
  <c r="I74" i="201"/>
  <c r="H74" i="201"/>
  <c r="G74" i="201"/>
  <c r="F74" i="201"/>
  <c r="E74" i="201"/>
  <c r="D74" i="201"/>
  <c r="J73" i="201"/>
  <c r="I73" i="201"/>
  <c r="H73" i="201"/>
  <c r="G73" i="201"/>
  <c r="F73" i="201"/>
  <c r="E73" i="201"/>
  <c r="D73" i="201"/>
  <c r="J72" i="201"/>
  <c r="I72" i="201"/>
  <c r="H72" i="201"/>
  <c r="G72" i="201"/>
  <c r="F72" i="201"/>
  <c r="E72" i="201"/>
  <c r="D72" i="201"/>
  <c r="J71" i="201"/>
  <c r="I71" i="201"/>
  <c r="H71" i="201"/>
  <c r="G71" i="201"/>
  <c r="F71" i="201"/>
  <c r="E71" i="201"/>
  <c r="D71" i="201"/>
  <c r="J70" i="201"/>
  <c r="I70" i="201"/>
  <c r="H70" i="201"/>
  <c r="G70" i="201"/>
  <c r="F70" i="201"/>
  <c r="E70" i="201"/>
  <c r="D70" i="201"/>
  <c r="J69" i="201"/>
  <c r="I69" i="201"/>
  <c r="H69" i="201"/>
  <c r="G69" i="201"/>
  <c r="F69" i="201"/>
  <c r="E69" i="201"/>
  <c r="D69" i="201"/>
  <c r="J68" i="201"/>
  <c r="I68" i="201"/>
  <c r="H68" i="201"/>
  <c r="G68" i="201"/>
  <c r="F68" i="201"/>
  <c r="E68" i="201"/>
  <c r="D68" i="201"/>
  <c r="J67" i="201"/>
  <c r="I67" i="201"/>
  <c r="H67" i="201"/>
  <c r="G67" i="201"/>
  <c r="F67" i="201"/>
  <c r="E67" i="201"/>
  <c r="D67" i="201"/>
  <c r="J66" i="201"/>
  <c r="I66" i="201"/>
  <c r="H66" i="201"/>
  <c r="G66" i="201"/>
  <c r="F66" i="201"/>
  <c r="E66" i="201"/>
  <c r="D66" i="201"/>
  <c r="J65" i="201"/>
  <c r="I65" i="201"/>
  <c r="H65" i="201"/>
  <c r="G65" i="201"/>
  <c r="F65" i="201"/>
  <c r="E65" i="201"/>
  <c r="D65" i="201"/>
  <c r="J64" i="201"/>
  <c r="I64" i="201"/>
  <c r="H64" i="201"/>
  <c r="G64" i="201"/>
  <c r="F64" i="201"/>
  <c r="E64" i="201"/>
  <c r="D64" i="201"/>
  <c r="I63" i="201"/>
  <c r="H63" i="201"/>
  <c r="G63" i="201"/>
  <c r="F63" i="201"/>
  <c r="E63" i="201"/>
  <c r="D63" i="201"/>
  <c r="W60" i="201"/>
  <c r="V60" i="201"/>
  <c r="U60" i="201"/>
  <c r="T60" i="201"/>
  <c r="S60" i="201"/>
  <c r="R60" i="201"/>
  <c r="Q60" i="201"/>
  <c r="W48" i="201"/>
  <c r="V48" i="201"/>
  <c r="U48" i="201"/>
  <c r="T48" i="201"/>
  <c r="S48" i="201"/>
  <c r="R48" i="201"/>
  <c r="Q48" i="201"/>
  <c r="W47" i="201"/>
  <c r="V47" i="201"/>
  <c r="U47" i="201"/>
  <c r="T47" i="201"/>
  <c r="S47" i="201"/>
  <c r="R47" i="201"/>
  <c r="Q47" i="201"/>
  <c r="W46" i="201"/>
  <c r="V46" i="201"/>
  <c r="U46" i="201"/>
  <c r="T46" i="201"/>
  <c r="S46" i="201"/>
  <c r="R46" i="201"/>
  <c r="Q46" i="201"/>
  <c r="E60" i="201"/>
  <c r="G60" i="201" s="1"/>
  <c r="I60" i="201" s="1"/>
  <c r="K60" i="201" s="1"/>
  <c r="D60" i="201"/>
  <c r="F60" i="201" s="1"/>
  <c r="H60" i="201" s="1"/>
  <c r="J60" i="201" s="1"/>
  <c r="E58" i="201"/>
  <c r="G58" i="201" s="1"/>
  <c r="I58" i="201" s="1"/>
  <c r="K58" i="201" s="1"/>
  <c r="D58" i="201"/>
  <c r="F58" i="201" s="1"/>
  <c r="H58" i="201" s="1"/>
  <c r="J58" i="201" s="1"/>
  <c r="E57" i="201"/>
  <c r="G57" i="201" s="1"/>
  <c r="I57" i="201" s="1"/>
  <c r="K57" i="201" s="1"/>
  <c r="D57" i="201"/>
  <c r="F57" i="201" s="1"/>
  <c r="H57" i="201" s="1"/>
  <c r="J57" i="201" s="1"/>
  <c r="J56" i="201"/>
  <c r="I56" i="201"/>
  <c r="H56" i="201"/>
  <c r="G56" i="201"/>
  <c r="F56" i="201"/>
  <c r="E56" i="201"/>
  <c r="D56" i="201"/>
  <c r="E55" i="201"/>
  <c r="G55" i="201" s="1"/>
  <c r="I55" i="201" s="1"/>
  <c r="K55" i="201" s="1"/>
  <c r="D55" i="201"/>
  <c r="F55" i="201" s="1"/>
  <c r="H55" i="201" s="1"/>
  <c r="J55" i="201" s="1"/>
  <c r="E54" i="201"/>
  <c r="G54" i="201" s="1"/>
  <c r="I54" i="201" s="1"/>
  <c r="K54" i="201" s="1"/>
  <c r="D54" i="201"/>
  <c r="F54" i="201" s="1"/>
  <c r="H54" i="201" s="1"/>
  <c r="J54" i="201" s="1"/>
  <c r="E52" i="201"/>
  <c r="G52" i="201" s="1"/>
  <c r="I52" i="201" s="1"/>
  <c r="K52" i="201" s="1"/>
  <c r="D52" i="201"/>
  <c r="F52" i="201" s="1"/>
  <c r="H52" i="201" s="1"/>
  <c r="J52" i="201" s="1"/>
  <c r="J51" i="201"/>
  <c r="I51" i="201"/>
  <c r="H51" i="201"/>
  <c r="G51" i="201"/>
  <c r="F51" i="201"/>
  <c r="E51" i="201"/>
  <c r="D51" i="201"/>
  <c r="J46" i="201"/>
  <c r="I46" i="201"/>
  <c r="H46" i="201"/>
  <c r="G46" i="201"/>
  <c r="F46" i="201"/>
  <c r="E46" i="201"/>
  <c r="E47" i="201"/>
  <c r="G47" i="201" s="1"/>
  <c r="I47" i="201" s="1"/>
  <c r="K47" i="201" s="1"/>
  <c r="E48" i="201"/>
  <c r="G48" i="201" s="1"/>
  <c r="I48" i="201" s="1"/>
  <c r="K48" i="201" s="1"/>
  <c r="E50" i="201"/>
  <c r="G50" i="201" s="1"/>
  <c r="I50" i="201" s="1"/>
  <c r="K50" i="201" s="1"/>
  <c r="D46" i="201"/>
  <c r="W43" i="201"/>
  <c r="V43" i="201"/>
  <c r="U43" i="201"/>
  <c r="T43" i="201"/>
  <c r="S43" i="201"/>
  <c r="R43" i="201"/>
  <c r="Q43" i="201"/>
  <c r="W42" i="201"/>
  <c r="V42" i="201"/>
  <c r="U42" i="201"/>
  <c r="T42" i="201"/>
  <c r="S42" i="201"/>
  <c r="R42" i="201"/>
  <c r="Q42" i="201"/>
  <c r="W41" i="201"/>
  <c r="V41" i="201"/>
  <c r="U41" i="201"/>
  <c r="T41" i="201"/>
  <c r="S41" i="201"/>
  <c r="R41" i="201"/>
  <c r="Q41" i="201"/>
  <c r="W40" i="201"/>
  <c r="V40" i="201"/>
  <c r="U40" i="201"/>
  <c r="T40" i="201"/>
  <c r="S40" i="201"/>
  <c r="R40" i="201"/>
  <c r="Q40" i="201"/>
  <c r="W39" i="201"/>
  <c r="V39" i="201"/>
  <c r="U39" i="201"/>
  <c r="T39" i="201"/>
  <c r="S39" i="201"/>
  <c r="R39" i="201"/>
  <c r="Q39" i="201"/>
  <c r="W38" i="201"/>
  <c r="V38" i="201"/>
  <c r="U38" i="201"/>
  <c r="T38" i="201"/>
  <c r="S38" i="201"/>
  <c r="R38" i="201"/>
  <c r="Q38" i="201"/>
  <c r="W37" i="201"/>
  <c r="V37" i="201"/>
  <c r="U37" i="201"/>
  <c r="T37" i="201"/>
  <c r="S37" i="201"/>
  <c r="R37" i="201"/>
  <c r="Q37" i="201"/>
  <c r="W36" i="201"/>
  <c r="V36" i="201"/>
  <c r="U36" i="201"/>
  <c r="T36" i="201"/>
  <c r="S36" i="201"/>
  <c r="R36" i="201"/>
  <c r="Q36" i="201"/>
  <c r="W35" i="201"/>
  <c r="V35" i="201"/>
  <c r="U35" i="201"/>
  <c r="T35" i="201"/>
  <c r="S35" i="201"/>
  <c r="R35" i="201"/>
  <c r="Q35" i="201"/>
  <c r="W34" i="201"/>
  <c r="V34" i="201"/>
  <c r="U34" i="201"/>
  <c r="T34" i="201"/>
  <c r="S34" i="201"/>
  <c r="R34" i="201"/>
  <c r="Q34" i="201"/>
  <c r="W33" i="201"/>
  <c r="V33" i="201"/>
  <c r="U33" i="201"/>
  <c r="T33" i="201"/>
  <c r="S33" i="201"/>
  <c r="R33" i="201"/>
  <c r="Q33" i="201"/>
  <c r="W32" i="201"/>
  <c r="V32" i="201"/>
  <c r="U32" i="201"/>
  <c r="T32" i="201"/>
  <c r="S32" i="201"/>
  <c r="R32" i="201"/>
  <c r="Q32" i="201"/>
  <c r="W31" i="201"/>
  <c r="V31" i="201"/>
  <c r="U31" i="201"/>
  <c r="T31" i="201"/>
  <c r="S31" i="201"/>
  <c r="R31" i="201"/>
  <c r="Q31" i="201"/>
  <c r="W30" i="201"/>
  <c r="V30" i="201"/>
  <c r="U30" i="201"/>
  <c r="T30" i="201"/>
  <c r="S30" i="201"/>
  <c r="R30" i="201"/>
  <c r="Q30" i="201"/>
  <c r="W29" i="201"/>
  <c r="V29" i="201"/>
  <c r="U29" i="201"/>
  <c r="T29" i="201"/>
  <c r="S29" i="201"/>
  <c r="R29" i="201"/>
  <c r="Q29" i="201"/>
  <c r="W28" i="201"/>
  <c r="V28" i="201"/>
  <c r="U28" i="201"/>
  <c r="T28" i="201"/>
  <c r="S28" i="201"/>
  <c r="R28" i="201"/>
  <c r="Q28" i="201"/>
  <c r="W27" i="201"/>
  <c r="V27" i="201"/>
  <c r="U27" i="201"/>
  <c r="T27" i="201"/>
  <c r="S27" i="201"/>
  <c r="R27" i="201"/>
  <c r="Q27" i="201"/>
  <c r="W26" i="201"/>
  <c r="V26" i="201"/>
  <c r="U26" i="201"/>
  <c r="T26" i="201"/>
  <c r="S26" i="201"/>
  <c r="R26" i="201"/>
  <c r="Q26" i="201"/>
  <c r="W25" i="201"/>
  <c r="V25" i="201"/>
  <c r="U25" i="201"/>
  <c r="T25" i="201"/>
  <c r="S25" i="201"/>
  <c r="R25" i="201"/>
  <c r="Q25" i="201"/>
  <c r="W24" i="201"/>
  <c r="V24" i="201"/>
  <c r="U24" i="201"/>
  <c r="T24" i="201"/>
  <c r="S24" i="201"/>
  <c r="R24" i="201"/>
  <c r="Q24" i="201"/>
  <c r="W23" i="201"/>
  <c r="V23" i="201"/>
  <c r="U23" i="201"/>
  <c r="T23" i="201"/>
  <c r="S23" i="201"/>
  <c r="R23" i="201"/>
  <c r="Q23" i="201"/>
  <c r="J23" i="201"/>
  <c r="J43" i="201"/>
  <c r="I43" i="201"/>
  <c r="H43" i="201"/>
  <c r="G43" i="201"/>
  <c r="F43" i="201"/>
  <c r="E43" i="201"/>
  <c r="D43" i="201"/>
  <c r="J42" i="201"/>
  <c r="I42" i="201"/>
  <c r="H42" i="201"/>
  <c r="G42" i="201"/>
  <c r="F42" i="201"/>
  <c r="E42" i="201"/>
  <c r="D42" i="201"/>
  <c r="J41" i="201"/>
  <c r="I41" i="201"/>
  <c r="H41" i="201"/>
  <c r="G41" i="201"/>
  <c r="F41" i="201"/>
  <c r="E41" i="201"/>
  <c r="D41" i="201"/>
  <c r="J40" i="201"/>
  <c r="I40" i="201"/>
  <c r="H40" i="201"/>
  <c r="G40" i="201"/>
  <c r="F40" i="201"/>
  <c r="E40" i="201"/>
  <c r="D40" i="201"/>
  <c r="J39" i="201"/>
  <c r="I39" i="201"/>
  <c r="H39" i="201"/>
  <c r="G39" i="201"/>
  <c r="F39" i="201"/>
  <c r="E39" i="201"/>
  <c r="D39" i="201"/>
  <c r="J38" i="201"/>
  <c r="I38" i="201"/>
  <c r="H38" i="201"/>
  <c r="G38" i="201"/>
  <c r="F38" i="201"/>
  <c r="E38" i="201"/>
  <c r="D38" i="201"/>
  <c r="J37" i="201"/>
  <c r="I37" i="201"/>
  <c r="H37" i="201"/>
  <c r="G37" i="201"/>
  <c r="F37" i="201"/>
  <c r="E37" i="201"/>
  <c r="D37" i="201"/>
  <c r="J36" i="201"/>
  <c r="I36" i="201"/>
  <c r="H36" i="201"/>
  <c r="G36" i="201"/>
  <c r="F36" i="201"/>
  <c r="E36" i="201"/>
  <c r="D36" i="201"/>
  <c r="J35" i="201"/>
  <c r="I35" i="201"/>
  <c r="H35" i="201"/>
  <c r="G35" i="201"/>
  <c r="F35" i="201"/>
  <c r="E35" i="201"/>
  <c r="D35" i="201"/>
  <c r="J34" i="201"/>
  <c r="I34" i="201"/>
  <c r="H34" i="201"/>
  <c r="G34" i="201"/>
  <c r="F34" i="201"/>
  <c r="E34" i="201"/>
  <c r="D34" i="201"/>
  <c r="J33" i="201"/>
  <c r="I33" i="201"/>
  <c r="H33" i="201"/>
  <c r="G33" i="201"/>
  <c r="F33" i="201"/>
  <c r="E33" i="201"/>
  <c r="D33" i="201"/>
  <c r="J32" i="201"/>
  <c r="I32" i="201"/>
  <c r="H32" i="201"/>
  <c r="G32" i="201"/>
  <c r="F32" i="201"/>
  <c r="E32" i="201"/>
  <c r="D32" i="201"/>
  <c r="J31" i="201"/>
  <c r="I31" i="201"/>
  <c r="H31" i="201"/>
  <c r="G31" i="201"/>
  <c r="F31" i="201"/>
  <c r="E31" i="201"/>
  <c r="D31" i="201"/>
  <c r="J30" i="201"/>
  <c r="I30" i="201"/>
  <c r="H30" i="201"/>
  <c r="G30" i="201"/>
  <c r="F30" i="201"/>
  <c r="E30" i="201"/>
  <c r="D30" i="201"/>
  <c r="J29" i="201"/>
  <c r="I29" i="201"/>
  <c r="H29" i="201"/>
  <c r="G29" i="201"/>
  <c r="F29" i="201"/>
  <c r="E29" i="201"/>
  <c r="D29" i="201"/>
  <c r="J28" i="201"/>
  <c r="I28" i="201"/>
  <c r="H28" i="201"/>
  <c r="G28" i="201"/>
  <c r="F28" i="201"/>
  <c r="E28" i="201"/>
  <c r="D28" i="201"/>
  <c r="J27" i="201"/>
  <c r="I27" i="201"/>
  <c r="H27" i="201"/>
  <c r="G27" i="201"/>
  <c r="F27" i="201"/>
  <c r="E27" i="201"/>
  <c r="D27" i="201"/>
  <c r="J26" i="201"/>
  <c r="I26" i="201"/>
  <c r="H26" i="201"/>
  <c r="G26" i="201"/>
  <c r="F26" i="201"/>
  <c r="E26" i="201"/>
  <c r="D26" i="201"/>
  <c r="J25" i="201"/>
  <c r="I25" i="201"/>
  <c r="H25" i="201"/>
  <c r="G25" i="201"/>
  <c r="F25" i="201"/>
  <c r="E25" i="201"/>
  <c r="D25" i="201"/>
  <c r="J24" i="201"/>
  <c r="I24" i="201"/>
  <c r="H24" i="201"/>
  <c r="G24" i="201"/>
  <c r="F24" i="201"/>
  <c r="E24" i="201"/>
  <c r="D24" i="201"/>
  <c r="D23" i="201"/>
  <c r="I23" i="201"/>
  <c r="H23" i="201"/>
  <c r="G23" i="201"/>
  <c r="F23" i="201"/>
  <c r="E23" i="201"/>
  <c r="A31" i="203"/>
  <c r="A30" i="203"/>
  <c r="A29" i="203"/>
  <c r="A28" i="203"/>
  <c r="A27" i="203"/>
  <c r="A26" i="203"/>
  <c r="A24" i="203"/>
  <c r="A23" i="203"/>
  <c r="D49" i="205" l="1"/>
  <c r="Y51" i="205"/>
  <c r="S49" i="205"/>
  <c r="T49" i="205"/>
  <c r="U49" i="205"/>
  <c r="Y53" i="205"/>
  <c r="L45" i="205"/>
  <c r="L46" i="205"/>
  <c r="L47" i="205"/>
  <c r="Y52" i="205"/>
  <c r="L56" i="205"/>
  <c r="Y28" i="205"/>
  <c r="W49" i="205"/>
  <c r="Y27" i="205"/>
  <c r="R49" i="205"/>
  <c r="V49" i="205"/>
  <c r="Q49" i="205"/>
  <c r="L62" i="205"/>
  <c r="L30" i="205"/>
  <c r="L31" i="205"/>
  <c r="L32" i="205"/>
  <c r="L33" i="205"/>
  <c r="L35" i="205"/>
  <c r="K68" i="205"/>
  <c r="L70" i="205"/>
  <c r="L28" i="205"/>
  <c r="Y38" i="205"/>
  <c r="Y39" i="205"/>
  <c r="Y40" i="205"/>
  <c r="Y41" i="205"/>
  <c r="Y42" i="205"/>
  <c r="Y43" i="205"/>
  <c r="Y44" i="205"/>
  <c r="Y45" i="205"/>
  <c r="Z45" i="205" s="1" a="1"/>
  <c r="Z45" i="205" s="1"/>
  <c r="Y46" i="205"/>
  <c r="Y47" i="205"/>
  <c r="Y29" i="205"/>
  <c r="Y30" i="205"/>
  <c r="Y31" i="205"/>
  <c r="Y32" i="205"/>
  <c r="Y33" i="205"/>
  <c r="Y34" i="205"/>
  <c r="Y35" i="205"/>
  <c r="Y36" i="205"/>
  <c r="Y37" i="205"/>
  <c r="L85" i="205"/>
  <c r="L86" i="205"/>
  <c r="L87" i="205"/>
  <c r="L77" i="205"/>
  <c r="L84" i="205"/>
  <c r="L82" i="205"/>
  <c r="L88" i="205"/>
  <c r="L43" i="205"/>
  <c r="L44" i="205"/>
  <c r="L29" i="205"/>
  <c r="L39" i="205"/>
  <c r="L40" i="205"/>
  <c r="L41" i="205"/>
  <c r="L42" i="205"/>
  <c r="L34" i="205"/>
  <c r="L36" i="205"/>
  <c r="L38" i="205"/>
  <c r="L37" i="205"/>
  <c r="L27" i="205"/>
  <c r="Y81" i="201"/>
  <c r="Y83" i="201"/>
  <c r="Y85" i="201"/>
  <c r="Y79" i="201"/>
  <c r="Y77" i="201"/>
  <c r="Y71" i="201"/>
  <c r="Y67" i="201"/>
  <c r="Y63" i="201"/>
  <c r="Y69" i="201"/>
  <c r="Y65" i="201"/>
  <c r="Y66" i="201"/>
  <c r="Y68" i="201"/>
  <c r="Y70" i="201"/>
  <c r="Y72" i="201"/>
  <c r="Y74" i="201"/>
  <c r="Y76" i="201"/>
  <c r="Y78" i="201"/>
  <c r="Y80" i="201"/>
  <c r="Y82" i="201"/>
  <c r="Y84" i="201"/>
  <c r="Y86" i="201"/>
  <c r="Y64" i="201"/>
  <c r="Y73" i="201"/>
  <c r="Y75" i="201"/>
  <c r="Y46" i="201"/>
  <c r="Y48" i="201"/>
  <c r="Y60" i="201"/>
  <c r="Y25" i="201"/>
  <c r="Y27" i="201"/>
  <c r="Y33" i="201"/>
  <c r="Y35" i="201"/>
  <c r="Y39" i="201"/>
  <c r="Y43" i="201"/>
  <c r="Y29" i="201"/>
  <c r="Y37" i="201"/>
  <c r="Y31" i="201"/>
  <c r="Y41" i="201"/>
  <c r="Y47" i="201"/>
  <c r="Y23" i="201"/>
  <c r="Y24" i="201"/>
  <c r="Y26" i="201"/>
  <c r="Y28" i="201"/>
  <c r="Y30" i="201"/>
  <c r="Y32" i="201"/>
  <c r="Y34" i="201"/>
  <c r="Y36" i="201"/>
  <c r="Y38" i="201"/>
  <c r="Y40" i="201"/>
  <c r="Y42" i="201"/>
  <c r="L63" i="201"/>
  <c r="L65" i="201"/>
  <c r="L67" i="201"/>
  <c r="L69" i="201"/>
  <c r="L71" i="201"/>
  <c r="L73" i="201"/>
  <c r="L75" i="201"/>
  <c r="L77" i="201"/>
  <c r="L79" i="201"/>
  <c r="L81" i="201"/>
  <c r="L83" i="201"/>
  <c r="L85" i="201"/>
  <c r="L56" i="201"/>
  <c r="L51" i="201"/>
  <c r="L64" i="201"/>
  <c r="L66" i="201"/>
  <c r="L68" i="201"/>
  <c r="L70" i="201"/>
  <c r="L72" i="201"/>
  <c r="L74" i="201"/>
  <c r="L76" i="201"/>
  <c r="L78" i="201"/>
  <c r="L80" i="201"/>
  <c r="L82" i="201"/>
  <c r="L84" i="201"/>
  <c r="L86" i="201"/>
  <c r="K61" i="201"/>
  <c r="L23" i="201"/>
  <c r="L26" i="201"/>
  <c r="L28" i="201"/>
  <c r="L30" i="201"/>
  <c r="L32" i="201"/>
  <c r="L34" i="201"/>
  <c r="L36" i="201"/>
  <c r="L38" i="201"/>
  <c r="L40" i="201"/>
  <c r="L42" i="201"/>
  <c r="L25" i="201"/>
  <c r="L27" i="201"/>
  <c r="L29" i="201"/>
  <c r="L31" i="201"/>
  <c r="L33" i="201"/>
  <c r="L35" i="201"/>
  <c r="L37" i="201"/>
  <c r="L39" i="201"/>
  <c r="L41" i="201"/>
  <c r="L43" i="201"/>
  <c r="L24" i="201"/>
  <c r="E68" i="205"/>
  <c r="V94" i="205"/>
  <c r="S94" i="205"/>
  <c r="W94" i="205"/>
  <c r="T94" i="205"/>
  <c r="F94" i="205"/>
  <c r="E94" i="205"/>
  <c r="I49" i="205"/>
  <c r="U94" i="205"/>
  <c r="R94" i="205"/>
  <c r="J94" i="205"/>
  <c r="G94" i="205"/>
  <c r="I94" i="205"/>
  <c r="H94" i="205"/>
  <c r="E49" i="205"/>
  <c r="F49" i="205"/>
  <c r="U68" i="205"/>
  <c r="G49" i="205"/>
  <c r="J49" i="205"/>
  <c r="R68" i="205"/>
  <c r="S68" i="205"/>
  <c r="V68" i="205"/>
  <c r="F68" i="205"/>
  <c r="Y85" i="205"/>
  <c r="Y86" i="205"/>
  <c r="Y87" i="205"/>
  <c r="Y89" i="205"/>
  <c r="Y91" i="205"/>
  <c r="Y92" i="205"/>
  <c r="Y93" i="205"/>
  <c r="Q68" i="205"/>
  <c r="Y77" i="205"/>
  <c r="Y84" i="205"/>
  <c r="Y88" i="205"/>
  <c r="Y90" i="205"/>
  <c r="H49" i="205"/>
  <c r="T68" i="205"/>
  <c r="D68" i="205"/>
  <c r="W68" i="205"/>
  <c r="Y70" i="205"/>
  <c r="Y71" i="205"/>
  <c r="Y72" i="205"/>
  <c r="Y73" i="205"/>
  <c r="Y74" i="205"/>
  <c r="Y75" i="205"/>
  <c r="Y76" i="205"/>
  <c r="Y78" i="205"/>
  <c r="Y79" i="205"/>
  <c r="Y80" i="205"/>
  <c r="Y81" i="205"/>
  <c r="Y82" i="205"/>
  <c r="Y83" i="205"/>
  <c r="I68" i="205"/>
  <c r="J52" i="205"/>
  <c r="J68" i="205" s="1"/>
  <c r="H68" i="205"/>
  <c r="G68" i="205"/>
  <c r="Q94" i="205"/>
  <c r="D94" i="205"/>
  <c r="A21" i="203"/>
  <c r="A20" i="203"/>
  <c r="A17" i="203"/>
  <c r="B106" i="201"/>
  <c r="Z17" i="201"/>
  <c r="Z14" i="201"/>
  <c r="Z15" i="201"/>
  <c r="Z13" i="201"/>
  <c r="Y17" i="201"/>
  <c r="Y15" i="201"/>
  <c r="Y14" i="201"/>
  <c r="Y13" i="201"/>
  <c r="W17" i="201"/>
  <c r="W15" i="201"/>
  <c r="W14" i="201"/>
  <c r="W13" i="201"/>
  <c r="V17" i="201"/>
  <c r="V14" i="201"/>
  <c r="V15" i="201"/>
  <c r="V13" i="201"/>
  <c r="T17" i="201"/>
  <c r="T14" i="201"/>
  <c r="T15" i="201"/>
  <c r="T13" i="201"/>
  <c r="S17" i="201"/>
  <c r="S15" i="201"/>
  <c r="S14" i="201"/>
  <c r="S13" i="201"/>
  <c r="R17" i="201"/>
  <c r="B117" i="201" s="1"/>
  <c r="R15" i="201"/>
  <c r="B114" i="201" s="1"/>
  <c r="R14" i="201"/>
  <c r="B111" i="201" s="1"/>
  <c r="R13" i="201"/>
  <c r="B108" i="201" s="1"/>
  <c r="Q17" i="201"/>
  <c r="Q15" i="201"/>
  <c r="Q14" i="201"/>
  <c r="Q13" i="201"/>
  <c r="P17" i="201"/>
  <c r="P14" i="201"/>
  <c r="P15" i="201"/>
  <c r="P13" i="201"/>
  <c r="O17" i="201"/>
  <c r="O15" i="201"/>
  <c r="O14" i="201"/>
  <c r="O13" i="201"/>
  <c r="N17" i="201"/>
  <c r="N14" i="201"/>
  <c r="N15" i="201"/>
  <c r="N13" i="201"/>
  <c r="L17" i="201"/>
  <c r="L15" i="201"/>
  <c r="L14" i="201"/>
  <c r="L13" i="201"/>
  <c r="J17" i="201"/>
  <c r="J14" i="201"/>
  <c r="J15" i="201"/>
  <c r="J13" i="201"/>
  <c r="I17" i="201"/>
  <c r="I14" i="201"/>
  <c r="I15" i="201"/>
  <c r="I13" i="201"/>
  <c r="H17" i="201"/>
  <c r="B118" i="201" s="1"/>
  <c r="H14" i="201"/>
  <c r="B112" i="201" s="1"/>
  <c r="H15" i="201"/>
  <c r="B115" i="201" s="1"/>
  <c r="H13" i="201"/>
  <c r="B109" i="201" s="1"/>
  <c r="F15" i="201"/>
  <c r="F14" i="201"/>
  <c r="F13" i="201"/>
  <c r="F17" i="201"/>
  <c r="E17" i="201"/>
  <c r="E14" i="201"/>
  <c r="E15" i="201"/>
  <c r="E13" i="201"/>
  <c r="D17" i="201"/>
  <c r="D15" i="201"/>
  <c r="D14" i="201"/>
  <c r="D13" i="201"/>
  <c r="B17" i="201"/>
  <c r="B116" i="201" s="1"/>
  <c r="B14" i="201"/>
  <c r="B110" i="201" s="1"/>
  <c r="B15" i="201"/>
  <c r="B113" i="201" s="1"/>
  <c r="B13" i="201"/>
  <c r="B107" i="201" s="1"/>
  <c r="Z11" i="201"/>
  <c r="Y11" i="201"/>
  <c r="W11" i="201"/>
  <c r="V11" i="201"/>
  <c r="T11" i="201"/>
  <c r="S11" i="201"/>
  <c r="R11" i="201"/>
  <c r="B105" i="201" s="1"/>
  <c r="Q11" i="201"/>
  <c r="P11" i="201"/>
  <c r="O11" i="201"/>
  <c r="N11" i="201"/>
  <c r="L11" i="201"/>
  <c r="J11" i="201"/>
  <c r="I11" i="201"/>
  <c r="H11" i="201"/>
  <c r="F11" i="201"/>
  <c r="E11" i="201"/>
  <c r="D11" i="201"/>
  <c r="B11" i="201"/>
  <c r="B104" i="201" s="1"/>
  <c r="L49" i="205" l="1"/>
  <c r="M27" i="205" s="1" a="1"/>
  <c r="M27" i="205" s="1"/>
  <c r="Y68" i="205"/>
  <c r="Z67" i="205" s="1" a="1"/>
  <c r="Z67" i="205" s="1"/>
  <c r="Y49" i="205"/>
  <c r="Z48" i="205" s="1" a="1"/>
  <c r="Z48" i="205" s="1"/>
  <c r="L94" i="205"/>
  <c r="M74" i="205" s="1" a="1"/>
  <c r="M74" i="205" s="1"/>
  <c r="L51" i="205"/>
  <c r="L68" i="205" s="1"/>
  <c r="M51" i="205" s="1" a="1"/>
  <c r="M51" i="205" s="1"/>
  <c r="L44" i="201"/>
  <c r="Y94" i="205"/>
  <c r="Z79" i="205" s="1" a="1"/>
  <c r="Z79" i="205" s="1"/>
  <c r="D50" i="201"/>
  <c r="F50" i="201" s="1"/>
  <c r="H50" i="201" s="1"/>
  <c r="J50" i="201" s="1"/>
  <c r="D48" i="201"/>
  <c r="F48" i="201" s="1"/>
  <c r="H48" i="201" s="1"/>
  <c r="J48" i="201" s="1"/>
  <c r="D47" i="201"/>
  <c r="B103" i="201"/>
  <c r="B100" i="201"/>
  <c r="B94" i="201"/>
  <c r="B97" i="201"/>
  <c r="B91" i="201"/>
  <c r="Z7" i="201"/>
  <c r="Z8" i="201"/>
  <c r="Z9" i="201"/>
  <c r="Z10" i="201"/>
  <c r="Z6" i="201"/>
  <c r="W7" i="201"/>
  <c r="Y7" i="201"/>
  <c r="W8" i="201"/>
  <c r="Y8" i="201"/>
  <c r="W9" i="201"/>
  <c r="Y9" i="201"/>
  <c r="W10" i="201"/>
  <c r="Y10" i="201"/>
  <c r="Y6" i="201"/>
  <c r="W6" i="201"/>
  <c r="V7" i="201"/>
  <c r="V8" i="201"/>
  <c r="V9" i="201"/>
  <c r="V10" i="201"/>
  <c r="V6" i="201"/>
  <c r="T7" i="201"/>
  <c r="T8" i="201"/>
  <c r="T9" i="201"/>
  <c r="T10" i="201"/>
  <c r="T6" i="201"/>
  <c r="S7" i="201"/>
  <c r="S8" i="201"/>
  <c r="S9" i="201"/>
  <c r="S10" i="201"/>
  <c r="S6" i="201"/>
  <c r="R7" i="201"/>
  <c r="B93" i="201" s="1"/>
  <c r="R8" i="201"/>
  <c r="B96" i="201" s="1"/>
  <c r="R9" i="201"/>
  <c r="B99" i="201" s="1"/>
  <c r="R10" i="201"/>
  <c r="B102" i="201" s="1"/>
  <c r="R6" i="201"/>
  <c r="B90" i="201" s="1"/>
  <c r="P7" i="201"/>
  <c r="Q7" i="201"/>
  <c r="P8" i="201"/>
  <c r="Q8" i="201"/>
  <c r="P9" i="201"/>
  <c r="Q9" i="201"/>
  <c r="P10" i="201"/>
  <c r="Q10" i="201"/>
  <c r="Q6" i="201"/>
  <c r="P6" i="201"/>
  <c r="O7" i="201"/>
  <c r="O8" i="201"/>
  <c r="O9" i="201"/>
  <c r="O10" i="201"/>
  <c r="O6" i="201"/>
  <c r="N7" i="201"/>
  <c r="N8" i="201"/>
  <c r="N9" i="201"/>
  <c r="N10" i="201"/>
  <c r="N6" i="201"/>
  <c r="L7" i="201"/>
  <c r="L8" i="201"/>
  <c r="L9" i="201"/>
  <c r="L10" i="201"/>
  <c r="L6" i="201"/>
  <c r="J7" i="201"/>
  <c r="J8" i="201"/>
  <c r="J9" i="201"/>
  <c r="J10" i="201"/>
  <c r="J6" i="201"/>
  <c r="I7" i="201"/>
  <c r="I8" i="201"/>
  <c r="I9" i="201"/>
  <c r="I10" i="201"/>
  <c r="I6" i="201"/>
  <c r="A14" i="203"/>
  <c r="A11" i="203"/>
  <c r="A8" i="203"/>
  <c r="A5" i="203"/>
  <c r="H7" i="201"/>
  <c r="H8" i="201"/>
  <c r="H9" i="201"/>
  <c r="H10" i="201"/>
  <c r="H6" i="201"/>
  <c r="F7" i="201"/>
  <c r="F8" i="201"/>
  <c r="F9" i="201"/>
  <c r="F10" i="201"/>
  <c r="F6" i="201"/>
  <c r="E7" i="201"/>
  <c r="E8" i="201"/>
  <c r="E9" i="201"/>
  <c r="E10" i="201"/>
  <c r="E6" i="201"/>
  <c r="D7" i="201"/>
  <c r="D8" i="201"/>
  <c r="D9" i="201"/>
  <c r="D10" i="201"/>
  <c r="D6" i="201"/>
  <c r="B10" i="201"/>
  <c r="B101" i="201" s="1"/>
  <c r="B7" i="201"/>
  <c r="B92" i="201" s="1"/>
  <c r="B8" i="201"/>
  <c r="B95" i="201" s="1"/>
  <c r="B9" i="201"/>
  <c r="B98" i="201" s="1"/>
  <c r="B6" i="201"/>
  <c r="B89" i="201" s="1"/>
  <c r="A2" i="203"/>
  <c r="K166" i="200"/>
  <c r="J166" i="200"/>
  <c r="I166" i="200"/>
  <c r="Q165" i="200"/>
  <c r="Q164" i="200"/>
  <c r="Q163" i="200"/>
  <c r="R163" i="200" s="1"/>
  <c r="Q162" i="200"/>
  <c r="Q161" i="200"/>
  <c r="Q160" i="200"/>
  <c r="Q159" i="200"/>
  <c r="Q158" i="200"/>
  <c r="Q157" i="200"/>
  <c r="R157" i="200" s="1"/>
  <c r="Q156" i="200"/>
  <c r="Q155" i="200"/>
  <c r="R155" i="200" s="1"/>
  <c r="Q154" i="200"/>
  <c r="Q153" i="200"/>
  <c r="Q152" i="200"/>
  <c r="Q151" i="200"/>
  <c r="Q150" i="200"/>
  <c r="Q149" i="200"/>
  <c r="Q148" i="200"/>
  <c r="R148" i="200" s="1"/>
  <c r="Q147" i="200"/>
  <c r="Q146" i="200"/>
  <c r="Q145" i="200"/>
  <c r="Q144" i="200"/>
  <c r="R144" i="200" s="1"/>
  <c r="Q143" i="200"/>
  <c r="Q142" i="200"/>
  <c r="Q141" i="200"/>
  <c r="Q140" i="200"/>
  <c r="Q139" i="200"/>
  <c r="R139" i="200" s="1"/>
  <c r="E136" i="200"/>
  <c r="E166" i="200" s="1"/>
  <c r="F136" i="200"/>
  <c r="F166" i="200" s="1"/>
  <c r="G136" i="200"/>
  <c r="G166" i="200" s="1"/>
  <c r="H136" i="200"/>
  <c r="H166" i="200" s="1"/>
  <c r="I136" i="200"/>
  <c r="J136" i="200"/>
  <c r="K136" i="200"/>
  <c r="L136" i="200"/>
  <c r="L166" i="200" s="1"/>
  <c r="M136" i="200"/>
  <c r="M166" i="200" s="1"/>
  <c r="N136" i="200"/>
  <c r="N166" i="200" s="1"/>
  <c r="O136" i="200"/>
  <c r="O166" i="200" s="1"/>
  <c r="P136" i="200"/>
  <c r="P166" i="200" s="1"/>
  <c r="Q103" i="200"/>
  <c r="Q104" i="200"/>
  <c r="Q105" i="200"/>
  <c r="Q106" i="200"/>
  <c r="Q107" i="200"/>
  <c r="Q108" i="200"/>
  <c r="Q109" i="200"/>
  <c r="Q110" i="200"/>
  <c r="Q111" i="200"/>
  <c r="Q112" i="200"/>
  <c r="Q113" i="200"/>
  <c r="Q114" i="200"/>
  <c r="Q115" i="200"/>
  <c r="Q116" i="200"/>
  <c r="Q117" i="200"/>
  <c r="Q118" i="200"/>
  <c r="Q119" i="200"/>
  <c r="Q120" i="200"/>
  <c r="Q121" i="200"/>
  <c r="Q122" i="200"/>
  <c r="Q123" i="200"/>
  <c r="Q124" i="200"/>
  <c r="Q125" i="200"/>
  <c r="Q126" i="200"/>
  <c r="Q127" i="200"/>
  <c r="Q128" i="200"/>
  <c r="Q129" i="200"/>
  <c r="Q130" i="200"/>
  <c r="Q131" i="200"/>
  <c r="Q132" i="200"/>
  <c r="Q133" i="200"/>
  <c r="Q134" i="200"/>
  <c r="Q135" i="200"/>
  <c r="Q102" i="200"/>
  <c r="F99" i="200"/>
  <c r="G99" i="200"/>
  <c r="H99" i="200"/>
  <c r="I99" i="200"/>
  <c r="J99" i="200"/>
  <c r="K99" i="200"/>
  <c r="L99" i="200"/>
  <c r="M99" i="200"/>
  <c r="N99" i="200"/>
  <c r="O99" i="200"/>
  <c r="P99" i="200"/>
  <c r="E99" i="200"/>
  <c r="Q84" i="200"/>
  <c r="Q85" i="200"/>
  <c r="Q86" i="200"/>
  <c r="Q87" i="200"/>
  <c r="Q88" i="200"/>
  <c r="Q89" i="200"/>
  <c r="Q90" i="200"/>
  <c r="Q91" i="200"/>
  <c r="Q92" i="200"/>
  <c r="Q93" i="200"/>
  <c r="Q94" i="200"/>
  <c r="Q95" i="200"/>
  <c r="Q96" i="200"/>
  <c r="Q97" i="200"/>
  <c r="Q98" i="200"/>
  <c r="Q83" i="200"/>
  <c r="Z36" i="205" l="1" a="1"/>
  <c r="Z36" i="205" s="1"/>
  <c r="Z60" i="205" a="1"/>
  <c r="Z60" i="205" s="1"/>
  <c r="Z66" i="205" a="1"/>
  <c r="Z66" i="205" s="1"/>
  <c r="Z59" i="205" a="1"/>
  <c r="Z59" i="205" s="1"/>
  <c r="Z58" i="205" a="1"/>
  <c r="Z58" i="205" s="1"/>
  <c r="Z57" i="205" a="1"/>
  <c r="Z57" i="205" s="1"/>
  <c r="Z56" i="205" a="1"/>
  <c r="Z56" i="205" s="1"/>
  <c r="Z62" i="205" a="1"/>
  <c r="Z62" i="205" s="1"/>
  <c r="Z65" i="205" a="1"/>
  <c r="Z65" i="205" s="1"/>
  <c r="Z64" i="205" a="1"/>
  <c r="Z64" i="205" s="1"/>
  <c r="Z55" i="205" a="1"/>
  <c r="Z55" i="205" s="1"/>
  <c r="Z54" i="205" a="1"/>
  <c r="Z54" i="205" s="1"/>
  <c r="Z63" i="205" a="1"/>
  <c r="Z63" i="205" s="1"/>
  <c r="Z61" i="205" a="1"/>
  <c r="Z61" i="205" s="1"/>
  <c r="F47" i="201"/>
  <c r="H47" i="201" s="1"/>
  <c r="J47" i="201" s="1"/>
  <c r="J61" i="201" s="1"/>
  <c r="Z51" i="205" a="1"/>
  <c r="Z51" i="205" s="1"/>
  <c r="Z35" i="205" a="1"/>
  <c r="Z35" i="205" s="1"/>
  <c r="Z27" i="205" a="1"/>
  <c r="Z27" i="205" s="1"/>
  <c r="Z34" i="205" a="1"/>
  <c r="Z34" i="205" s="1"/>
  <c r="Z28" i="205" a="1"/>
  <c r="Z28" i="205" s="1"/>
  <c r="M91" i="205" a="1"/>
  <c r="M91" i="205" s="1"/>
  <c r="Z33" i="205" a="1"/>
  <c r="Z33" i="205" s="1"/>
  <c r="Z32" i="205" a="1"/>
  <c r="Z32" i="205" s="1"/>
  <c r="M62" i="205"/>
  <c r="M85" i="205" a="1"/>
  <c r="M85" i="205" s="1"/>
  <c r="M56" i="205"/>
  <c r="M92" i="205" a="1"/>
  <c r="M92" i="205" s="1"/>
  <c r="M88" i="205" a="1"/>
  <c r="M88" i="205" s="1"/>
  <c r="Z86" i="205" a="1"/>
  <c r="Z86" i="205" s="1"/>
  <c r="Z89" i="205" a="1"/>
  <c r="Z89" i="205" s="1"/>
  <c r="M87" i="205" a="1"/>
  <c r="M87" i="205" s="1"/>
  <c r="M70" i="205" a="1"/>
  <c r="M70" i="205" s="1"/>
  <c r="M77" i="205" a="1"/>
  <c r="M77" i="205" s="1"/>
  <c r="Z84" i="205" a="1"/>
  <c r="Z84" i="205" s="1"/>
  <c r="Z75" i="205" a="1"/>
  <c r="Z75" i="205" s="1"/>
  <c r="Z80" i="205" a="1"/>
  <c r="Z80" i="205" s="1"/>
  <c r="Z87" i="205" a="1"/>
  <c r="Z87" i="205" s="1"/>
  <c r="Z90" i="205" a="1"/>
  <c r="Z90" i="205" s="1"/>
  <c r="Z71" i="205" a="1"/>
  <c r="Z71" i="205" s="1"/>
  <c r="Z88" i="205" a="1"/>
  <c r="Z88" i="205" s="1"/>
  <c r="Z85" i="205" a="1"/>
  <c r="Z85" i="205" s="1"/>
  <c r="Z92" i="205" a="1"/>
  <c r="Z92" i="205" s="1"/>
  <c r="Z82" i="205" a="1"/>
  <c r="Z82" i="205" s="1"/>
  <c r="Z73" i="205" a="1"/>
  <c r="Z73" i="205" s="1"/>
  <c r="Z93" i="205" a="1"/>
  <c r="Z93" i="205" s="1"/>
  <c r="Z72" i="205" a="1"/>
  <c r="Z72" i="205" s="1"/>
  <c r="M93" i="205" a="1"/>
  <c r="M93" i="205" s="1"/>
  <c r="Z70" i="205" a="1"/>
  <c r="Z70" i="205" s="1"/>
  <c r="Z77" i="205" a="1"/>
  <c r="Z77" i="205" s="1"/>
  <c r="Z31" i="205" a="1"/>
  <c r="Z31" i="205" s="1"/>
  <c r="Z91" i="205" a="1"/>
  <c r="Z91" i="205" s="1"/>
  <c r="Z76" i="205" a="1"/>
  <c r="Z76" i="205" s="1"/>
  <c r="Z74" i="205" a="1"/>
  <c r="Z74" i="205" s="1"/>
  <c r="Z83" i="205" a="1"/>
  <c r="Z83" i="205" s="1"/>
  <c r="Z81" i="205" a="1"/>
  <c r="Z81" i="205" s="1"/>
  <c r="Z78" i="205" a="1"/>
  <c r="Z78" i="205" s="1"/>
  <c r="Z39" i="205" a="1"/>
  <c r="Z39" i="205" s="1"/>
  <c r="M89" i="205" a="1"/>
  <c r="M89" i="205" s="1"/>
  <c r="Z40" i="205" a="1"/>
  <c r="Z40" i="205" s="1"/>
  <c r="Z38" i="205" a="1"/>
  <c r="Z38" i="205" s="1"/>
  <c r="M72" i="205" a="1"/>
  <c r="M72" i="205" s="1"/>
  <c r="Z43" i="205" a="1"/>
  <c r="Z43" i="205" s="1"/>
  <c r="M75" i="205" a="1"/>
  <c r="M75" i="205" s="1"/>
  <c r="Z42" i="205" a="1"/>
  <c r="Z42" i="205" s="1"/>
  <c r="Z37" i="205" a="1"/>
  <c r="Z37" i="205" s="1"/>
  <c r="Z47" i="205" a="1"/>
  <c r="Z47" i="205" s="1"/>
  <c r="Z30" i="205" a="1"/>
  <c r="Z30" i="205" s="1"/>
  <c r="M79" i="205" a="1"/>
  <c r="M79" i="205" s="1"/>
  <c r="M83" i="205" a="1"/>
  <c r="M83" i="205" s="1"/>
  <c r="M90" i="205" a="1"/>
  <c r="M90" i="205" s="1"/>
  <c r="M71" i="205" a="1"/>
  <c r="M71" i="205" s="1"/>
  <c r="M81" i="205" a="1"/>
  <c r="M81" i="205" s="1"/>
  <c r="M82" i="205" a="1"/>
  <c r="M82" i="205" s="1"/>
  <c r="M86" i="205" a="1"/>
  <c r="M86" i="205" s="1"/>
  <c r="M73" i="205" a="1"/>
  <c r="M73" i="205" s="1"/>
  <c r="Z41" i="205" a="1"/>
  <c r="Z41" i="205" s="1"/>
  <c r="M80" i="205" a="1"/>
  <c r="M80" i="205" s="1"/>
  <c r="M76" i="205" a="1"/>
  <c r="M76" i="205" s="1"/>
  <c r="M84" i="205" a="1"/>
  <c r="M84" i="205" s="1"/>
  <c r="M78" i="205" a="1"/>
  <c r="M78" i="205" s="1"/>
  <c r="Z46" i="205" a="1"/>
  <c r="Z46" i="205" s="1"/>
  <c r="Z44" i="205" a="1"/>
  <c r="Z44" i="205" s="1"/>
  <c r="Z29" i="205" a="1"/>
  <c r="Z29" i="205" s="1"/>
  <c r="Z53" i="205" a="1"/>
  <c r="Z53" i="205" s="1"/>
  <c r="Z52" i="205" a="1"/>
  <c r="Z52" i="205" s="1"/>
  <c r="M30" i="205" a="1"/>
  <c r="M30" i="205" s="1"/>
  <c r="M32" i="205" a="1"/>
  <c r="M32" i="205" s="1"/>
  <c r="M43" i="205" a="1"/>
  <c r="M43" i="205" s="1"/>
  <c r="M37" i="205" a="1"/>
  <c r="M37" i="205" s="1"/>
  <c r="M47" i="205" a="1"/>
  <c r="M47" i="205" s="1"/>
  <c r="M42" i="205" a="1"/>
  <c r="M42" i="205" s="1"/>
  <c r="M35" i="205" a="1"/>
  <c r="M35" i="205" s="1"/>
  <c r="M39" i="205" a="1"/>
  <c r="M39" i="205" s="1"/>
  <c r="M44" i="205" a="1"/>
  <c r="M44" i="205" s="1"/>
  <c r="M36" i="205" a="1"/>
  <c r="M36" i="205" s="1"/>
  <c r="M46" i="205" a="1"/>
  <c r="M46" i="205" s="1"/>
  <c r="M38" i="205" a="1"/>
  <c r="M38" i="205" s="1"/>
  <c r="M34" i="205" a="1"/>
  <c r="M34" i="205" s="1"/>
  <c r="M40" i="205" a="1"/>
  <c r="M40" i="205" s="1"/>
  <c r="M41" i="205" a="1"/>
  <c r="M41" i="205" s="1"/>
  <c r="M45" i="205" a="1"/>
  <c r="M45" i="205" s="1"/>
  <c r="M28" i="205" a="1"/>
  <c r="M28" i="205" s="1"/>
  <c r="M31" i="205" a="1"/>
  <c r="M31" i="205" s="1"/>
  <c r="M29" i="205" a="1"/>
  <c r="M29" i="205" s="1"/>
  <c r="M33" i="205" a="1"/>
  <c r="M33" i="205" s="1"/>
  <c r="V44" i="201"/>
  <c r="W44" i="201"/>
  <c r="S44" i="201"/>
  <c r="Q44" i="201"/>
  <c r="U44" i="201"/>
  <c r="R44" i="201"/>
  <c r="T44" i="201"/>
  <c r="J44" i="201"/>
  <c r="R161" i="200"/>
  <c r="Q136" i="200"/>
  <c r="R83" i="200"/>
  <c r="R93" i="200"/>
  <c r="R88" i="200"/>
  <c r="Q166" i="200"/>
  <c r="Q99" i="200"/>
  <c r="E26" i="200"/>
  <c r="F26" i="200"/>
  <c r="G26" i="200"/>
  <c r="H26" i="200"/>
  <c r="I26" i="200"/>
  <c r="J26" i="200"/>
  <c r="L26" i="200"/>
  <c r="M26" i="200"/>
  <c r="N26" i="200"/>
  <c r="O26" i="200"/>
  <c r="P26" i="200"/>
  <c r="K26" i="200"/>
  <c r="Q32" i="200"/>
  <c r="Q33" i="200"/>
  <c r="Q34" i="200"/>
  <c r="Q35" i="200"/>
  <c r="Q36" i="200"/>
  <c r="Q37" i="200"/>
  <c r="Q38" i="200"/>
  <c r="Q39" i="200"/>
  <c r="Q40" i="200"/>
  <c r="Q41" i="200"/>
  <c r="Q42" i="200"/>
  <c r="Q43" i="200"/>
  <c r="Q44" i="200"/>
  <c r="Q45" i="200"/>
  <c r="Q46" i="200"/>
  <c r="Q47" i="200"/>
  <c r="Q48" i="200"/>
  <c r="Q49" i="200"/>
  <c r="Q50" i="200"/>
  <c r="Q51" i="200"/>
  <c r="Q52" i="200"/>
  <c r="Q53" i="200"/>
  <c r="Q54" i="200"/>
  <c r="Q55" i="200"/>
  <c r="Q56" i="200"/>
  <c r="Q57" i="200"/>
  <c r="Q58" i="200"/>
  <c r="Q59" i="200"/>
  <c r="Q60" i="200"/>
  <c r="Q61" i="200"/>
  <c r="Q62" i="200"/>
  <c r="Q63" i="200"/>
  <c r="Q64" i="200"/>
  <c r="Q65" i="200"/>
  <c r="Q66" i="200"/>
  <c r="Q67" i="200"/>
  <c r="Q68" i="200"/>
  <c r="Q69" i="200"/>
  <c r="Q70" i="200"/>
  <c r="Q71" i="200"/>
  <c r="Q72" i="200"/>
  <c r="Q73" i="200"/>
  <c r="Q74" i="200"/>
  <c r="Q75" i="200"/>
  <c r="Q76" i="200"/>
  <c r="Q77" i="200"/>
  <c r="Q78" i="200"/>
  <c r="Q79" i="200"/>
  <c r="Q31" i="200"/>
  <c r="E80" i="200"/>
  <c r="F80" i="200"/>
  <c r="G80" i="200"/>
  <c r="H80" i="200"/>
  <c r="I80" i="200"/>
  <c r="J80" i="200"/>
  <c r="K80" i="200"/>
  <c r="L80" i="200"/>
  <c r="M80" i="200"/>
  <c r="N80" i="200"/>
  <c r="O80" i="200"/>
  <c r="P80" i="200"/>
  <c r="Q25" i="200"/>
  <c r="Q7" i="200"/>
  <c r="Q8" i="200"/>
  <c r="W87" i="201"/>
  <c r="V87" i="201"/>
  <c r="U87" i="201"/>
  <c r="T87" i="201"/>
  <c r="S87" i="201"/>
  <c r="R87" i="201"/>
  <c r="Q87" i="201"/>
  <c r="J87" i="201"/>
  <c r="I87" i="201"/>
  <c r="H87" i="201"/>
  <c r="G87" i="201"/>
  <c r="F87" i="201"/>
  <c r="E87" i="201"/>
  <c r="D87" i="201"/>
  <c r="W61" i="201"/>
  <c r="V61" i="201"/>
  <c r="U61" i="201"/>
  <c r="T61" i="201"/>
  <c r="S61" i="201"/>
  <c r="R61" i="201"/>
  <c r="Q61" i="201"/>
  <c r="I61" i="201"/>
  <c r="G61" i="201"/>
  <c r="E61" i="201"/>
  <c r="D61" i="201"/>
  <c r="I44" i="201"/>
  <c r="F44" i="201"/>
  <c r="E44" i="201"/>
  <c r="D44" i="201"/>
  <c r="Z41" i="201" a="1"/>
  <c r="Z41" i="201" s="1"/>
  <c r="CJ50" i="199"/>
  <c r="CI50" i="199"/>
  <c r="CH50" i="199"/>
  <c r="CG50" i="199"/>
  <c r="CF50" i="199"/>
  <c r="CE50" i="199"/>
  <c r="CD50" i="199"/>
  <c r="CC50" i="199"/>
  <c r="CB50" i="199"/>
  <c r="CA50" i="199"/>
  <c r="BZ50" i="199"/>
  <c r="BY50" i="199"/>
  <c r="BX50" i="199"/>
  <c r="BW50" i="199"/>
  <c r="BV50" i="199"/>
  <c r="BU50" i="199"/>
  <c r="BT50" i="199"/>
  <c r="BS50" i="199"/>
  <c r="BR50" i="199"/>
  <c r="BQ50" i="199"/>
  <c r="BP50" i="199"/>
  <c r="BO50" i="199"/>
  <c r="BN50" i="199"/>
  <c r="BM50" i="199"/>
  <c r="BL50" i="199"/>
  <c r="BK50" i="199"/>
  <c r="BJ50" i="199"/>
  <c r="BI50" i="199"/>
  <c r="BH50" i="199"/>
  <c r="BG50" i="199"/>
  <c r="BF50" i="199"/>
  <c r="BE50" i="199"/>
  <c r="BD50" i="199"/>
  <c r="BC50" i="199"/>
  <c r="BB50" i="199"/>
  <c r="BA50" i="199"/>
  <c r="AZ50" i="199"/>
  <c r="AY50" i="199"/>
  <c r="AX50" i="199"/>
  <c r="AW50" i="199"/>
  <c r="AV50" i="199"/>
  <c r="AU50" i="199"/>
  <c r="AT50" i="199"/>
  <c r="AS50" i="199"/>
  <c r="AR50" i="199"/>
  <c r="AQ50" i="199"/>
  <c r="AP50" i="199"/>
  <c r="AO50" i="199"/>
  <c r="AN50" i="199"/>
  <c r="AM50" i="199"/>
  <c r="AL50" i="199"/>
  <c r="AK50" i="199"/>
  <c r="AJ50" i="199"/>
  <c r="AI50" i="199"/>
  <c r="AH50" i="199"/>
  <c r="AG50" i="199"/>
  <c r="AF50" i="199"/>
  <c r="AE50" i="199"/>
  <c r="AD50" i="199"/>
  <c r="AC50" i="199"/>
  <c r="AB50" i="199"/>
  <c r="AA50" i="199"/>
  <c r="Z50" i="199"/>
  <c r="Y50" i="199"/>
  <c r="X50" i="199"/>
  <c r="W50" i="199"/>
  <c r="V50" i="199"/>
  <c r="U50" i="199"/>
  <c r="T50" i="199"/>
  <c r="S50" i="199"/>
  <c r="R50" i="199"/>
  <c r="Q50" i="199"/>
  <c r="K50" i="199"/>
  <c r="L50" i="199"/>
  <c r="M50" i="199"/>
  <c r="N50" i="199"/>
  <c r="O50" i="199"/>
  <c r="P50" i="199"/>
  <c r="J50" i="199"/>
  <c r="D50" i="199"/>
  <c r="E50" i="199"/>
  <c r="F50" i="199"/>
  <c r="G50" i="199"/>
  <c r="H50" i="199"/>
  <c r="I50" i="199"/>
  <c r="C50" i="199"/>
  <c r="Q5" i="200"/>
  <c r="Q6" i="200"/>
  <c r="Q9" i="200"/>
  <c r="Q10" i="200"/>
  <c r="Q11" i="200"/>
  <c r="Q12" i="200"/>
  <c r="Q13" i="200"/>
  <c r="Q14" i="200"/>
  <c r="Q15" i="200"/>
  <c r="Q16" i="200"/>
  <c r="Q17" i="200"/>
  <c r="Q18" i="200"/>
  <c r="Q19" i="200"/>
  <c r="Q20" i="200"/>
  <c r="Q21" i="200"/>
  <c r="R21" i="200" s="1"/>
  <c r="Q22" i="200"/>
  <c r="Q23" i="200"/>
  <c r="Q24" i="200"/>
  <c r="Q4" i="200"/>
  <c r="CI4" i="199"/>
  <c r="CI5" i="199"/>
  <c r="CI6" i="199"/>
  <c r="CI7" i="199"/>
  <c r="CI8" i="199"/>
  <c r="CI9" i="199"/>
  <c r="CI10" i="199"/>
  <c r="CI11" i="199"/>
  <c r="CI12" i="199"/>
  <c r="CI13" i="199"/>
  <c r="CI14" i="199"/>
  <c r="CI15" i="199"/>
  <c r="CI16" i="199"/>
  <c r="CI17" i="199"/>
  <c r="CI18" i="199"/>
  <c r="CI19" i="199"/>
  <c r="CI20" i="199"/>
  <c r="CI21" i="199"/>
  <c r="CI22" i="199"/>
  <c r="CI23" i="199"/>
  <c r="CI24" i="199"/>
  <c r="CI3" i="199"/>
  <c r="BG25" i="199"/>
  <c r="BH25" i="199"/>
  <c r="BI25" i="199"/>
  <c r="BJ25" i="199"/>
  <c r="BK25" i="199"/>
  <c r="BL25" i="199"/>
  <c r="BM25" i="199"/>
  <c r="BN25" i="199"/>
  <c r="BO25" i="199"/>
  <c r="BP25" i="199"/>
  <c r="BQ25" i="199"/>
  <c r="BR25" i="199"/>
  <c r="BS25" i="199"/>
  <c r="BT25" i="199"/>
  <c r="BU25" i="199"/>
  <c r="BV25" i="199"/>
  <c r="BW25" i="199"/>
  <c r="BX25" i="199"/>
  <c r="BY25" i="199"/>
  <c r="BZ25" i="199"/>
  <c r="CA25" i="199"/>
  <c r="CB25" i="199"/>
  <c r="CC25" i="199"/>
  <c r="CD25" i="199"/>
  <c r="CE25" i="199"/>
  <c r="CF25" i="199"/>
  <c r="CG25" i="199"/>
  <c r="CH25" i="199"/>
  <c r="AS25" i="199"/>
  <c r="AT25" i="199"/>
  <c r="AU25" i="199"/>
  <c r="AV25" i="199"/>
  <c r="AW25" i="199"/>
  <c r="AX25" i="199"/>
  <c r="AY25" i="199"/>
  <c r="AZ25" i="199"/>
  <c r="BA25" i="199"/>
  <c r="BB25" i="199"/>
  <c r="BC25" i="199"/>
  <c r="BD25" i="199"/>
  <c r="BE25" i="199"/>
  <c r="BF25" i="199"/>
  <c r="AL25" i="199"/>
  <c r="AM25" i="199"/>
  <c r="AN25" i="199"/>
  <c r="AO25" i="199"/>
  <c r="AP25" i="199"/>
  <c r="AQ25" i="199"/>
  <c r="AR25" i="199"/>
  <c r="AK25" i="199"/>
  <c r="AJ25" i="199"/>
  <c r="AI25" i="199"/>
  <c r="AH25" i="199"/>
  <c r="AG25" i="199"/>
  <c r="AF25" i="199"/>
  <c r="AE25" i="199"/>
  <c r="AD25" i="199"/>
  <c r="AC25" i="199"/>
  <c r="AB25" i="199"/>
  <c r="AA25" i="199"/>
  <c r="Z25" i="199"/>
  <c r="Y25" i="199"/>
  <c r="X25" i="199"/>
  <c r="W25" i="199"/>
  <c r="V25" i="199"/>
  <c r="U25" i="199"/>
  <c r="T25" i="199"/>
  <c r="S25" i="199"/>
  <c r="R25" i="199"/>
  <c r="Q25" i="199"/>
  <c r="P25" i="199"/>
  <c r="O25" i="199"/>
  <c r="N25" i="199"/>
  <c r="M25" i="199"/>
  <c r="L25" i="199"/>
  <c r="K25" i="199"/>
  <c r="J25" i="199"/>
  <c r="I25" i="199"/>
  <c r="H25" i="199"/>
  <c r="G25" i="199"/>
  <c r="F25" i="199"/>
  <c r="E25" i="199"/>
  <c r="D25" i="199"/>
  <c r="C25" i="199"/>
  <c r="Z49" i="205" l="1"/>
  <c r="F61" i="201"/>
  <c r="H61" i="201"/>
  <c r="L46" i="201"/>
  <c r="L61" i="201" s="1"/>
  <c r="M56" i="201" s="1"/>
  <c r="Z68" i="205"/>
  <c r="M68" i="205"/>
  <c r="Z94" i="205"/>
  <c r="M94" i="205"/>
  <c r="M49" i="205"/>
  <c r="Y44" i="201"/>
  <c r="Y61" i="201"/>
  <c r="Z48" i="201" s="1" a="1"/>
  <c r="Z48" i="201" s="1"/>
  <c r="G44" i="201"/>
  <c r="H44" i="201"/>
  <c r="R31" i="200"/>
  <c r="R69" i="200"/>
  <c r="R53" i="200"/>
  <c r="Q80" i="200"/>
  <c r="Q26" i="200"/>
  <c r="R19" i="200"/>
  <c r="R5" i="200"/>
  <c r="R22" i="200"/>
  <c r="R4" i="200"/>
  <c r="R9" i="200"/>
  <c r="L87" i="201"/>
  <c r="M76" i="201" s="1" a="1"/>
  <c r="M76" i="201" s="1"/>
  <c r="Y87" i="201"/>
  <c r="CI25" i="199"/>
  <c r="CJ22" i="199" s="1" a="1"/>
  <c r="CJ22" i="199" s="1"/>
  <c r="CJ15" i="199" a="1"/>
  <c r="CJ15" i="199" s="1"/>
  <c r="CJ6" i="199" a="1"/>
  <c r="CJ6" i="199" s="1"/>
  <c r="Z55" i="201" l="1" a="1"/>
  <c r="Z55" i="201" s="1"/>
  <c r="Z51" i="201" a="1"/>
  <c r="Z51" i="201" s="1"/>
  <c r="Z53" i="201" a="1"/>
  <c r="Z53" i="201" s="1"/>
  <c r="Z52" i="201" a="1"/>
  <c r="Z52" i="201" s="1"/>
  <c r="Z59" i="201" a="1"/>
  <c r="Z59" i="201" s="1"/>
  <c r="Z50" i="201" a="1"/>
  <c r="Z50" i="201" s="1"/>
  <c r="Z56" i="201" a="1"/>
  <c r="Z56" i="201" s="1"/>
  <c r="Z54" i="201" a="1"/>
  <c r="Z54" i="201" s="1"/>
  <c r="Z49" i="201" a="1"/>
  <c r="Z49" i="201" s="1"/>
  <c r="Z58" i="201" a="1"/>
  <c r="Z58" i="201" s="1"/>
  <c r="Z57" i="201" a="1"/>
  <c r="Z57" i="201" s="1"/>
  <c r="M28" i="201" a="1"/>
  <c r="M28" i="201" s="1"/>
  <c r="Z31" i="201" a="1"/>
  <c r="Z31" i="201" s="1"/>
  <c r="R80" i="200"/>
  <c r="R26" i="200"/>
  <c r="Z38" i="201" a="1"/>
  <c r="Z38" i="201" s="1"/>
  <c r="Z80" i="201" a="1"/>
  <c r="Z80" i="201" s="1"/>
  <c r="Z65" i="201" a="1"/>
  <c r="Z65" i="201" s="1"/>
  <c r="Z73" i="201" a="1"/>
  <c r="Z73" i="201" s="1"/>
  <c r="Z66" i="201" a="1"/>
  <c r="Z66" i="201" s="1"/>
  <c r="Z74" i="201" a="1"/>
  <c r="Z74" i="201" s="1"/>
  <c r="Z75" i="201" a="1"/>
  <c r="Z75" i="201" s="1"/>
  <c r="Z68" i="201" a="1"/>
  <c r="Z68" i="201" s="1"/>
  <c r="Z67" i="201" a="1"/>
  <c r="Z67" i="201" s="1"/>
  <c r="Z70" i="201" a="1"/>
  <c r="Z70" i="201" s="1"/>
  <c r="Z71" i="201" a="1"/>
  <c r="Z71" i="201" s="1"/>
  <c r="Z72" i="201" a="1"/>
  <c r="Z72" i="201" s="1"/>
  <c r="Z69" i="201" a="1"/>
  <c r="Z69" i="201" s="1"/>
  <c r="Z27" i="201" a="1"/>
  <c r="Z27" i="201" s="1"/>
  <c r="Z63" i="201" a="1"/>
  <c r="Z63" i="201" s="1"/>
  <c r="Z42" i="201" a="1"/>
  <c r="Z42" i="201" s="1"/>
  <c r="Z28" i="201" a="1"/>
  <c r="Z28" i="201" s="1"/>
  <c r="Z25" i="201" a="1"/>
  <c r="Z25" i="201" s="1"/>
  <c r="Z36" i="201" a="1"/>
  <c r="Z36" i="201" s="1"/>
  <c r="Z30" i="201" a="1"/>
  <c r="Z30" i="201" s="1"/>
  <c r="Z32" i="201" a="1"/>
  <c r="Z32" i="201" s="1"/>
  <c r="M51" i="201"/>
  <c r="Z43" i="201" a="1"/>
  <c r="Z43" i="201" s="1"/>
  <c r="Z26" i="201" a="1"/>
  <c r="Z26" i="201" s="1"/>
  <c r="Z37" i="201" a="1"/>
  <c r="Z37" i="201" s="1"/>
  <c r="Z33" i="201" a="1"/>
  <c r="Z33" i="201" s="1"/>
  <c r="Z34" i="201" a="1"/>
  <c r="Z34" i="201" s="1"/>
  <c r="Z82" i="201" a="1"/>
  <c r="Z82" i="201" s="1"/>
  <c r="Z24" i="201" a="1"/>
  <c r="Z24" i="201" s="1"/>
  <c r="M72" i="201" a="1"/>
  <c r="M72" i="201" s="1"/>
  <c r="Z39" i="201" a="1"/>
  <c r="Z39" i="201" s="1"/>
  <c r="M46" i="201" a="1"/>
  <c r="M46" i="201" s="1"/>
  <c r="Z79" i="201" a="1"/>
  <c r="Z79" i="201" s="1"/>
  <c r="Z23" i="201" a="1"/>
  <c r="Z23" i="201" s="1"/>
  <c r="Z85" i="201" a="1"/>
  <c r="Z85" i="201" s="1"/>
  <c r="Z81" i="201" a="1"/>
  <c r="Z81" i="201" s="1"/>
  <c r="M81" i="201" a="1"/>
  <c r="M81" i="201" s="1"/>
  <c r="Z47" i="201" a="1"/>
  <c r="Z47" i="201" s="1"/>
  <c r="Z29" i="201" a="1"/>
  <c r="Z29" i="201" s="1"/>
  <c r="Z40" i="201" a="1"/>
  <c r="Z40" i="201" s="1"/>
  <c r="Z35" i="201" a="1"/>
  <c r="Z35" i="201" s="1"/>
  <c r="Z83" i="201" a="1"/>
  <c r="Z83" i="201" s="1"/>
  <c r="Z64" i="201" a="1"/>
  <c r="Z64" i="201" s="1"/>
  <c r="Z84" i="201" a="1"/>
  <c r="Z84" i="201" s="1"/>
  <c r="Z77" i="201" a="1"/>
  <c r="Z77" i="201" s="1"/>
  <c r="Z76" i="201" a="1"/>
  <c r="Z76" i="201" s="1"/>
  <c r="M86" i="201" a="1"/>
  <c r="M86" i="201" s="1"/>
  <c r="M64" i="201" a="1"/>
  <c r="M64" i="201" s="1"/>
  <c r="M65" i="201" a="1"/>
  <c r="M65" i="201" s="1"/>
  <c r="M67" i="201" a="1"/>
  <c r="M67" i="201" s="1"/>
  <c r="M69" i="201" a="1"/>
  <c r="M69" i="201" s="1"/>
  <c r="M83" i="201" a="1"/>
  <c r="M83" i="201" s="1"/>
  <c r="Z60" i="201" a="1"/>
  <c r="Z60" i="201" s="1"/>
  <c r="M71" i="201" a="1"/>
  <c r="M71" i="201" s="1"/>
  <c r="Z46" i="201" a="1"/>
  <c r="Z46" i="201" s="1"/>
  <c r="M79" i="201" a="1"/>
  <c r="M79" i="201" s="1"/>
  <c r="M80" i="201" a="1"/>
  <c r="M80" i="201" s="1"/>
  <c r="M84" i="201" a="1"/>
  <c r="M84" i="201" s="1"/>
  <c r="M82" i="201" a="1"/>
  <c r="M82" i="201" s="1"/>
  <c r="M70" i="201" a="1"/>
  <c r="M70" i="201" s="1"/>
  <c r="M75" i="201" a="1"/>
  <c r="M75" i="201" s="1"/>
  <c r="Z78" i="201" a="1"/>
  <c r="Z78" i="201" s="1"/>
  <c r="M85" i="201" a="1"/>
  <c r="M85" i="201" s="1"/>
  <c r="M78" i="201" a="1"/>
  <c r="M78" i="201" s="1"/>
  <c r="M73" i="201" a="1"/>
  <c r="M73" i="201" s="1"/>
  <c r="M68" i="201" a="1"/>
  <c r="M68" i="201" s="1"/>
  <c r="M63" i="201" a="1"/>
  <c r="M63" i="201" s="1"/>
  <c r="M74" i="201" a="1"/>
  <c r="M74" i="201" s="1"/>
  <c r="Z86" i="201" a="1"/>
  <c r="Z86" i="201" s="1"/>
  <c r="M77" i="201" a="1"/>
  <c r="M77" i="201" s="1"/>
  <c r="M66" i="201" a="1"/>
  <c r="M66" i="201" s="1"/>
  <c r="CJ11" i="199" a="1"/>
  <c r="CJ11" i="199" s="1"/>
  <c r="CJ10" i="199" a="1"/>
  <c r="CJ10" i="199" s="1"/>
  <c r="CJ21" i="199" a="1"/>
  <c r="CJ21" i="199" s="1"/>
  <c r="CJ8" i="199" a="1"/>
  <c r="CJ8" i="199" s="1"/>
  <c r="CJ18" i="199" a="1"/>
  <c r="CJ18" i="199" s="1"/>
  <c r="CJ7" i="199" a="1"/>
  <c r="CJ7" i="199" s="1"/>
  <c r="CJ17" i="199" a="1"/>
  <c r="CJ17" i="199" s="1"/>
  <c r="CJ16" i="199" a="1"/>
  <c r="CJ16" i="199" s="1"/>
  <c r="CJ5" i="199" a="1"/>
  <c r="CJ5" i="199" s="1"/>
  <c r="CJ4" i="199" a="1"/>
  <c r="CJ4" i="199" s="1"/>
  <c r="CJ14" i="199" a="1"/>
  <c r="CJ14" i="199" s="1"/>
  <c r="CJ3" i="199" a="1"/>
  <c r="CJ3" i="199" s="1"/>
  <c r="CJ13" i="199" a="1"/>
  <c r="CJ13" i="199" s="1"/>
  <c r="CJ24" i="199" a="1"/>
  <c r="CJ24" i="199" s="1"/>
  <c r="CJ12" i="199" a="1"/>
  <c r="CJ12" i="199" s="1"/>
  <c r="CJ9" i="199" a="1"/>
  <c r="CJ9" i="199" s="1"/>
  <c r="CJ20" i="199" a="1"/>
  <c r="CJ20" i="199" s="1"/>
  <c r="CJ23" i="199" a="1"/>
  <c r="CJ23" i="199" s="1"/>
  <c r="CJ19" i="199" a="1"/>
  <c r="CJ19" i="199" s="1"/>
  <c r="M42" i="201" l="1" a="1"/>
  <c r="M42" i="201" s="1"/>
  <c r="M40" i="201" a="1"/>
  <c r="M40" i="201" s="1"/>
  <c r="M38" i="201" a="1"/>
  <c r="M38" i="201" s="1"/>
  <c r="M30" i="201" a="1"/>
  <c r="M30" i="201" s="1"/>
  <c r="M37" i="201" a="1"/>
  <c r="M37" i="201" s="1"/>
  <c r="M41" i="201" a="1"/>
  <c r="M41" i="201" s="1"/>
  <c r="M31" i="201" a="1"/>
  <c r="M31" i="201" s="1"/>
  <c r="M33" i="201" a="1"/>
  <c r="M33" i="201" s="1"/>
  <c r="M24" i="201" a="1"/>
  <c r="M24" i="201" s="1"/>
  <c r="M43" i="201" a="1"/>
  <c r="M43" i="201" s="1"/>
  <c r="M32" i="201" a="1"/>
  <c r="M32" i="201" s="1"/>
  <c r="M39" i="201" a="1"/>
  <c r="M39" i="201" s="1"/>
  <c r="M23" i="201" a="1"/>
  <c r="M23" i="201" s="1"/>
  <c r="M29" i="201" a="1"/>
  <c r="M29" i="201" s="1"/>
  <c r="M34" i="201" a="1"/>
  <c r="M34" i="201" s="1"/>
  <c r="M36" i="201" a="1"/>
  <c r="M36" i="201" s="1"/>
  <c r="M25" i="201" a="1"/>
  <c r="M25" i="201" s="1"/>
  <c r="M35" i="201" a="1"/>
  <c r="M35" i="201" s="1"/>
  <c r="M27" i="201" a="1"/>
  <c r="M27" i="201" s="1"/>
  <c r="M26" i="201" a="1"/>
  <c r="M26" i="201" s="1"/>
  <c r="M61" i="201"/>
  <c r="Z44" i="201"/>
  <c r="Z87" i="201"/>
  <c r="M87" i="201"/>
  <c r="Z61" i="201"/>
  <c r="CJ25" i="199"/>
  <c r="M44" i="20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<sst xmlns="http://schemas.openxmlformats.org/spreadsheetml/2006/main" count="7981" uniqueCount="2462">
  <si>
    <t>NM</t>
  </si>
  <si>
    <t>FAC</t>
  </si>
  <si>
    <t>LTA-NF</t>
  </si>
  <si>
    <t>NLTA</t>
  </si>
  <si>
    <t>TOTAL</t>
  </si>
  <si>
    <t>Total</t>
  </si>
  <si>
    <t>LTA-F</t>
  </si>
  <si>
    <t>Shift</t>
  </si>
  <si>
    <t>Time</t>
  </si>
  <si>
    <t>Date</t>
  </si>
  <si>
    <t>Nature of Injury</t>
  </si>
  <si>
    <t>Type of Incident</t>
  </si>
  <si>
    <t>PD</t>
  </si>
  <si>
    <t>First</t>
  </si>
  <si>
    <t>Second</t>
  </si>
  <si>
    <t>Third</t>
  </si>
  <si>
    <t>Brief Description of Incident (s):</t>
  </si>
  <si>
    <t>Struck by object</t>
  </si>
  <si>
    <t>Lead Miner</t>
  </si>
  <si>
    <t>Fall on same level</t>
  </si>
  <si>
    <t>Caught in between</t>
  </si>
  <si>
    <t>Level</t>
  </si>
  <si>
    <t>Occupation/ Equipment</t>
  </si>
  <si>
    <t>Stope</t>
  </si>
  <si>
    <t>Punctured</t>
  </si>
  <si>
    <t>Caught on</t>
  </si>
  <si>
    <t>UNDERGROUND:</t>
  </si>
  <si>
    <t>Fall on Lower Level</t>
  </si>
  <si>
    <t>Loco. Optr./ Helper</t>
  </si>
  <si>
    <t>UG Warehouse Man (IMD)</t>
  </si>
  <si>
    <t>MDGI</t>
  </si>
  <si>
    <t>Driller/ Drill Helper</t>
  </si>
  <si>
    <t>Occupation / Designation</t>
  </si>
  <si>
    <t>Assistant Miner</t>
  </si>
  <si>
    <t>Shift of Incident</t>
  </si>
  <si>
    <t>Safety Inspector On-duty</t>
  </si>
  <si>
    <t>Dep't Head</t>
  </si>
  <si>
    <t>Section Head</t>
  </si>
  <si>
    <t>Name of Person Injured / Damaged Property</t>
  </si>
  <si>
    <t>CN / Unit #</t>
  </si>
  <si>
    <t>% Distribution</t>
  </si>
  <si>
    <t>Shiftboss</t>
  </si>
  <si>
    <t>Property Damage</t>
  </si>
  <si>
    <t>Recorded By</t>
  </si>
  <si>
    <t>Spvr. of Injured Individual / Damaged Property</t>
  </si>
  <si>
    <t>Immediate Supervisor</t>
  </si>
  <si>
    <t>900L</t>
  </si>
  <si>
    <t>DDCP</t>
  </si>
  <si>
    <t>AOV</t>
  </si>
  <si>
    <t>MPG</t>
  </si>
  <si>
    <t>Locomotive Optr./ Helper</t>
  </si>
  <si>
    <t>SURFACE:</t>
  </si>
  <si>
    <t>Cuddy</t>
  </si>
  <si>
    <t>OI</t>
  </si>
  <si>
    <t>MOG</t>
  </si>
  <si>
    <t>Raise</t>
  </si>
  <si>
    <t>Eye contact with foreign object</t>
  </si>
  <si>
    <t>N/A</t>
  </si>
  <si>
    <t>Service Vehicle</t>
  </si>
  <si>
    <t>Work Place / Area</t>
  </si>
  <si>
    <t>Group</t>
  </si>
  <si>
    <t>Department</t>
  </si>
  <si>
    <t>On-Going Activity</t>
  </si>
  <si>
    <t>Section</t>
  </si>
  <si>
    <t>Fall of material or structure</t>
  </si>
  <si>
    <t>Over-exertion in lifting objects</t>
  </si>
  <si>
    <t>Over-exertion in pushing or pulling objects</t>
  </si>
  <si>
    <t>Over-exertion in handling or throwing objects</t>
  </si>
  <si>
    <t>Contact or exposure to extreme temperatures</t>
  </si>
  <si>
    <t>Exposure to radiation</t>
  </si>
  <si>
    <t>Group / Dept. / Section or Contractor</t>
  </si>
  <si>
    <t>MEGG - Mine Engineering</t>
  </si>
  <si>
    <t>MEGG - Mine Geology</t>
  </si>
  <si>
    <t>MEGG - Mine Ventilation</t>
  </si>
  <si>
    <t>MPG - Mill Operations</t>
  </si>
  <si>
    <t>MPG - Mill Mechanical</t>
  </si>
  <si>
    <t>MPG - Mill Electrical</t>
  </si>
  <si>
    <t>MPG - R&amp;D Metallurgy</t>
  </si>
  <si>
    <t>MPG - Mill Management</t>
  </si>
  <si>
    <t>GMS</t>
  </si>
  <si>
    <t>PROPERTY DAMAGE:</t>
  </si>
  <si>
    <t>UG Patrol</t>
  </si>
  <si>
    <t>Occupational Illness/Pain</t>
  </si>
  <si>
    <t>Mainline / Access</t>
  </si>
  <si>
    <t>Foreign Object in the eye/s</t>
  </si>
  <si>
    <t>Stope Services Crew</t>
  </si>
  <si>
    <t>Struck by Falling Rock</t>
  </si>
  <si>
    <t>GMS Supervisor</t>
  </si>
  <si>
    <t>LHD/ LPT Optr</t>
  </si>
  <si>
    <t>Loading Bay</t>
  </si>
  <si>
    <t>Chute</t>
  </si>
  <si>
    <t>ASG</t>
  </si>
  <si>
    <t>Mill Mechanical Supervisor</t>
  </si>
  <si>
    <t>Maintenance Man (GMS)</t>
  </si>
  <si>
    <t>Maintenance Man (MME)</t>
  </si>
  <si>
    <t>Contact with smoke</t>
  </si>
  <si>
    <t>IMD Hauler</t>
  </si>
  <si>
    <t>Track Man</t>
  </si>
  <si>
    <t>IOSD</t>
  </si>
  <si>
    <t>Mine Patrol</t>
  </si>
  <si>
    <t>Mill Production</t>
  </si>
  <si>
    <t>Sandfill Line #2</t>
  </si>
  <si>
    <t>Main Entry Door of Housing</t>
  </si>
  <si>
    <t>Development</t>
  </si>
  <si>
    <t>Gate 4</t>
  </si>
  <si>
    <t>Grinding Operator</t>
  </si>
  <si>
    <t>Grinding Plant</t>
  </si>
  <si>
    <t>WCSS</t>
  </si>
  <si>
    <t>Lower Tram</t>
  </si>
  <si>
    <t>MBK</t>
  </si>
  <si>
    <t>Mill Operations Aide</t>
  </si>
  <si>
    <t>Contact with Electricity</t>
  </si>
  <si>
    <t>TSG</t>
  </si>
  <si>
    <t>SMED</t>
  </si>
  <si>
    <t>Lime Tender</t>
  </si>
  <si>
    <t>Contact with Chemical</t>
  </si>
  <si>
    <t>Lime Plant</t>
  </si>
  <si>
    <t>Rock Mechanics Aide</t>
  </si>
  <si>
    <t>MEGG</t>
  </si>
  <si>
    <t>Mine Geology</t>
  </si>
  <si>
    <t>Mine Planning Engr.</t>
  </si>
  <si>
    <t>Mine Engineering</t>
  </si>
  <si>
    <t>Fire</t>
  </si>
  <si>
    <t>Nayak Road</t>
  </si>
  <si>
    <t>LHD Operator</t>
  </si>
  <si>
    <t>Mill Mechanical</t>
  </si>
  <si>
    <t>Crushing Plant</t>
  </si>
  <si>
    <t>Bathing Bay</t>
  </si>
  <si>
    <t>Shift Boss</t>
  </si>
  <si>
    <t>Electrical Lines</t>
  </si>
  <si>
    <t>Mill Mechanical Fitter</t>
  </si>
  <si>
    <t>Ventilation Inspector</t>
  </si>
  <si>
    <t>Ventilation</t>
  </si>
  <si>
    <t>Safety</t>
  </si>
  <si>
    <t>Laboratory Analyst</t>
  </si>
  <si>
    <t>Contact with object</t>
  </si>
  <si>
    <t>Assay</t>
  </si>
  <si>
    <t>Service Crew</t>
  </si>
  <si>
    <t>Struck Against</t>
  </si>
  <si>
    <t>PCES</t>
  </si>
  <si>
    <t>Sanitary Aide</t>
  </si>
  <si>
    <t>Contact with Object</t>
  </si>
  <si>
    <t>Repair Bay</t>
  </si>
  <si>
    <t>Laboratory</t>
  </si>
  <si>
    <t>Office</t>
  </si>
  <si>
    <t>Metallurgical Aide</t>
  </si>
  <si>
    <t>Occupational Illness</t>
  </si>
  <si>
    <t>KTA</t>
  </si>
  <si>
    <t>Jr. Electrician</t>
  </si>
  <si>
    <t>GMS Aide</t>
  </si>
  <si>
    <t>Geologic Aide</t>
  </si>
  <si>
    <t>Maintenance Man</t>
  </si>
  <si>
    <t>1000L</t>
  </si>
  <si>
    <t>Explo</t>
  </si>
  <si>
    <t>Washing Area</t>
  </si>
  <si>
    <t>Control Room Tender</t>
  </si>
  <si>
    <t>Mine Management</t>
  </si>
  <si>
    <t>LPT Operator</t>
  </si>
  <si>
    <t>Stripping Area</t>
  </si>
  <si>
    <t>Reagent Man</t>
  </si>
  <si>
    <t>Metallurgy</t>
  </si>
  <si>
    <t>Services Crew</t>
  </si>
  <si>
    <t>TSF</t>
  </si>
  <si>
    <t>GMG</t>
  </si>
  <si>
    <t>MEPEO</t>
  </si>
  <si>
    <t>Workplace / Area</t>
  </si>
  <si>
    <t>Contracts</t>
  </si>
  <si>
    <t>970L</t>
  </si>
  <si>
    <t>Workshop</t>
  </si>
  <si>
    <t>Kalalaw Truck</t>
  </si>
  <si>
    <t>Crane #2</t>
  </si>
  <si>
    <t>LHD #144</t>
  </si>
  <si>
    <t>Jr. Maintenance Man</t>
  </si>
  <si>
    <t>Perimeter Fence</t>
  </si>
  <si>
    <t>Mill Starter Sump</t>
  </si>
  <si>
    <t>Sr. Fabricator</t>
  </si>
  <si>
    <t>Geotech &amp; Magsus Aide</t>
  </si>
  <si>
    <t>Exploration</t>
  </si>
  <si>
    <t>Fabrication Shop</t>
  </si>
  <si>
    <t>MWSO</t>
  </si>
  <si>
    <t>Welding Machine</t>
  </si>
  <si>
    <t>UG Crusher</t>
  </si>
  <si>
    <t>Findings / Observations / Recommendations:</t>
  </si>
  <si>
    <t>FAC - Struck Against</t>
  </si>
  <si>
    <t>FAC - Caught in Between</t>
  </si>
  <si>
    <t>Tails Treatment Aide</t>
  </si>
  <si>
    <t>Sampling Area</t>
  </si>
  <si>
    <t>Tubo Core Shed</t>
  </si>
  <si>
    <t>Contracts - DDCP</t>
  </si>
  <si>
    <t>Mechanic</t>
  </si>
  <si>
    <t>January</t>
  </si>
  <si>
    <t>February</t>
  </si>
  <si>
    <t>March</t>
  </si>
  <si>
    <t>April</t>
  </si>
  <si>
    <t>May</t>
  </si>
  <si>
    <t>June</t>
  </si>
  <si>
    <t>July</t>
  </si>
  <si>
    <t>August</t>
  </si>
  <si>
    <t>September</t>
  </si>
  <si>
    <t>October</t>
  </si>
  <si>
    <t>November</t>
  </si>
  <si>
    <t>December</t>
  </si>
  <si>
    <t>FAC - Struck by Falling Rock</t>
  </si>
  <si>
    <t>Occupational Illness / Pain</t>
  </si>
  <si>
    <t>LTA-NF - Caught in Between</t>
  </si>
  <si>
    <t>FAC - Punctured</t>
  </si>
  <si>
    <t>NM - Fall on Lower Level</t>
  </si>
  <si>
    <t>FAC - Contact with Smoke</t>
  </si>
  <si>
    <t>FAC - Contact with Electricity</t>
  </si>
  <si>
    <t>LTA-NF -  Struck by Falling Rock</t>
  </si>
  <si>
    <t>FAC - Fall on Same Level</t>
  </si>
  <si>
    <t>FAC - Contact with Chemical</t>
  </si>
  <si>
    <t>LTA-F - Struck by Falling Rock</t>
  </si>
  <si>
    <t>LTA-NF - Struck by Object</t>
  </si>
  <si>
    <t>FAC - Struck by Object</t>
  </si>
  <si>
    <t>FAC - Contact with Object</t>
  </si>
  <si>
    <t>Property Damage - Fire</t>
  </si>
  <si>
    <t>NM - Struck by Falling Rock</t>
  </si>
  <si>
    <t>Property Damage - NM</t>
  </si>
  <si>
    <t>Property Damage - Struck by Object</t>
  </si>
  <si>
    <t>Total by Classification</t>
  </si>
  <si>
    <t>Total by Nature of Accident</t>
  </si>
  <si>
    <t xml:space="preserve">who </t>
  </si>
  <si>
    <t>what</t>
  </si>
  <si>
    <t>where</t>
  </si>
  <si>
    <t>when</t>
  </si>
  <si>
    <t>sndv</t>
  </si>
  <si>
    <t>mdsvlksnd</t>
  </si>
  <si>
    <t>mlsdnvl</t>
  </si>
  <si>
    <t>lsvdnsdv</t>
  </si>
  <si>
    <t>enter</t>
  </si>
  <si>
    <t>Geologist</t>
  </si>
  <si>
    <t>MAT</t>
  </si>
  <si>
    <t>UG Sampler</t>
  </si>
  <si>
    <t>Conveyor</t>
  </si>
  <si>
    <t>LTA-NF - Caught On</t>
  </si>
  <si>
    <t>Drill Trainee</t>
  </si>
  <si>
    <t>Locomotive Operator / Helper</t>
  </si>
  <si>
    <t>Sandfill line #2</t>
  </si>
  <si>
    <t>Housing (Main Door)</t>
  </si>
  <si>
    <t>Electrical Engr.</t>
  </si>
  <si>
    <t>Nayak Electrical Post</t>
  </si>
  <si>
    <t>Drill Helper / Assistant Driller</t>
  </si>
  <si>
    <t>Blower Switch</t>
  </si>
  <si>
    <t>Safey Inspector</t>
  </si>
  <si>
    <t>Occupation / Designation / Property</t>
  </si>
  <si>
    <t>Elf Truck (Windshield)</t>
  </si>
  <si>
    <t>Ventilation Installation Man</t>
  </si>
  <si>
    <t>UG Station/s</t>
  </si>
  <si>
    <t>Above Casubigan</t>
  </si>
  <si>
    <t>Housing</t>
  </si>
  <si>
    <t>Nayak Lumber Yard / Portal</t>
  </si>
  <si>
    <t>Tower 4, Marivic</t>
  </si>
  <si>
    <t>Carpentry</t>
  </si>
  <si>
    <t>Perimeter</t>
  </si>
  <si>
    <t>Tailings Pond</t>
  </si>
  <si>
    <t>Group - Department</t>
  </si>
  <si>
    <t>Department 1</t>
  </si>
  <si>
    <t>Department 2</t>
  </si>
  <si>
    <t>MMME</t>
  </si>
  <si>
    <t>Mill Electrical</t>
  </si>
  <si>
    <t>Mill Management</t>
  </si>
  <si>
    <t>TechRock EsCo</t>
  </si>
  <si>
    <t>HR</t>
  </si>
  <si>
    <t>OCCUPATION / DESIGNATION</t>
  </si>
  <si>
    <t>TYPE OF INCIDENT</t>
  </si>
  <si>
    <t>WORKPLACE / AREA</t>
  </si>
  <si>
    <t>LEVEL</t>
  </si>
  <si>
    <t>DATE</t>
  </si>
  <si>
    <t>TIME</t>
  </si>
  <si>
    <t>SHIFT</t>
  </si>
  <si>
    <t>DEPARTMENT HEAD</t>
  </si>
  <si>
    <t>SECTION HEAD</t>
  </si>
  <si>
    <t>IMMEDIATE SUPERVISOR</t>
  </si>
  <si>
    <t>NATURE OF INJURY</t>
  </si>
  <si>
    <t>SAFETY INSPECTOR ON DUTY</t>
  </si>
  <si>
    <t>RECORDED BY</t>
  </si>
  <si>
    <t>RP No. 22</t>
  </si>
  <si>
    <t>Cleaning of canal.</t>
  </si>
  <si>
    <t>Section 6</t>
  </si>
  <si>
    <t>JOEY A. LASSIN</t>
  </si>
  <si>
    <t>21516 4M4</t>
  </si>
  <si>
    <t>Rock Bolting</t>
  </si>
  <si>
    <t>Section 2</t>
  </si>
  <si>
    <t>MANUEL D. BALAIS</t>
  </si>
  <si>
    <t>Ramp</t>
  </si>
  <si>
    <t>305 RAMP</t>
  </si>
  <si>
    <t>1100L</t>
  </si>
  <si>
    <t>Operating the breaker</t>
  </si>
  <si>
    <t>Section 4</t>
  </si>
  <si>
    <t>WILBUR D. AWIS</t>
  </si>
  <si>
    <t>Preparing for task</t>
  </si>
  <si>
    <t>SUU</t>
  </si>
  <si>
    <t xml:space="preserve">DUMAGUING M. LIBAN	</t>
  </si>
  <si>
    <t>207 K Ramp, 1012 Elevation</t>
  </si>
  <si>
    <t>Descending towards 900L</t>
  </si>
  <si>
    <t>Section 3</t>
  </si>
  <si>
    <t>SECTION
(SURFACE / UNDERGROUND)</t>
  </si>
  <si>
    <t>VICTIM / 
DAMAGED PROPERTY</t>
  </si>
  <si>
    <t>ON-GOING ACTIVITY</t>
  </si>
  <si>
    <t>GROUP</t>
  </si>
  <si>
    <t>DEPARTMENT</t>
  </si>
  <si>
    <t>SECTION</t>
  </si>
  <si>
    <t>RYAN DAVE MAWI-IT</t>
  </si>
  <si>
    <t>Surface</t>
  </si>
  <si>
    <t>Underground</t>
  </si>
  <si>
    <t>Department Heads</t>
  </si>
  <si>
    <t>Hilbert G. Andong</t>
  </si>
  <si>
    <t>Mariel T. Ayong</t>
  </si>
  <si>
    <t>Venancio A. Bad-ay</t>
  </si>
  <si>
    <t>Fernando A. Bustillo Jr.</t>
  </si>
  <si>
    <t>Stephen Adams D. Mamanteo</t>
  </si>
  <si>
    <t>Allab B. Lal-wet</t>
  </si>
  <si>
    <t>June O. Golocan</t>
  </si>
  <si>
    <t>Section Heads</t>
  </si>
  <si>
    <t>Reynaldo P. Kiking</t>
  </si>
  <si>
    <t>Leonard K. Fawayan</t>
  </si>
  <si>
    <t>John Pauline M. Refugia</t>
  </si>
  <si>
    <t>Danilo M. Galande</t>
  </si>
  <si>
    <t>Dept. 1</t>
  </si>
  <si>
    <t>Dept. 2</t>
  </si>
  <si>
    <t>Mobile</t>
  </si>
  <si>
    <t>Non-Mobile</t>
  </si>
  <si>
    <t>Surface Safety</t>
  </si>
  <si>
    <t>Nayak/UG Safety</t>
  </si>
  <si>
    <t>Electrical</t>
  </si>
  <si>
    <t>Recorder</t>
  </si>
  <si>
    <t>Underground Crusher</t>
  </si>
  <si>
    <t>RP NO.22 900L</t>
  </si>
  <si>
    <t>21516 4M4, 970L</t>
  </si>
  <si>
    <t>305 RAMP, 1100L</t>
  </si>
  <si>
    <t>207 K Ramp, 1012 Elevation, 1000L</t>
  </si>
  <si>
    <t>On January 26, 2026, LHD operator Mr. Liban descended to the ramp after conducting scraping from the upper elevation. During his descent, a crew noticed him approaching them who were conducting timbering in a section of the Ramp. At approximately 07:30 PM, Mr. Liban engaged the park brake of his loader and subsequently alighted to engage the shut-off valve engine. 
The loader suddenly moved in a free wheeled and downward the ramp towards the crew timbering crew so he immediately warned the crew nearby. 
Apparently, he attempted to re- ride in his unit to stop. The crew fled from the area upon hearing the warning of Mr. Liban, few moments later, they already found him unresponsive, lying on his left side and his head was positioned almost underneath of the stepping board of the unit. 
Rescuers extricated him and was brought to hospital where he already lifeless.</t>
  </si>
  <si>
    <t>Locomotive Optr. / Helper</t>
  </si>
  <si>
    <t>Maintenance Man (MMME)</t>
  </si>
  <si>
    <t>Struck by Object</t>
  </si>
  <si>
    <t>Caught in Between</t>
  </si>
  <si>
    <t>Fall on Same Level</t>
  </si>
  <si>
    <t>Fall on Lower level</t>
  </si>
  <si>
    <t>Over-Excertion in Pushing / Pulling Objects</t>
  </si>
  <si>
    <t>Contact with Smoke</t>
  </si>
  <si>
    <t>Contact / Exposure to Extreme Temperatures</t>
  </si>
  <si>
    <t>Exposure to Extreme Temperatures</t>
  </si>
  <si>
    <t>Exposure to Radiation</t>
  </si>
  <si>
    <t>Foreign Object in the Eye/s</t>
  </si>
  <si>
    <t>Eye Contact with Foreign Object</t>
  </si>
  <si>
    <t>RML</t>
  </si>
  <si>
    <t>Dummory Joseff Febrei O. Estepa</t>
  </si>
  <si>
    <t>Section 1</t>
  </si>
  <si>
    <t>Section 5</t>
  </si>
  <si>
    <t>OTHER INFO.: LOCATION</t>
  </si>
  <si>
    <t>Janauary 10, 2026: The victim, together with his companions, was assigned to clean the canal along the drift at the RP. 22 Area. After completing the activity, he took a bath and suddenly felt chills accompanied by shivering. As a result, his on-shift supervisor, Reynaldo P. Kiking, advised him to rest at eating station and immediately called an ambulance for medical check up.</t>
  </si>
  <si>
    <t>January 16, 2026: At approximately 11:00 AM, Messrs. Ladwingon and the victim were assigned to 21516 4M4. Their supervisor, Engr. Fawayan, instructed them to conduct barring down and update ground support (rock bolting) after noticing a five-meter backlog in rock bolting from the previous shift. Messrs. Ladwingon and Lassin began their work, performing barring down and reinstalling the disturbed stull caused by the previous shift’s blasting activity. While conducting the rock bolting operation, the victim was collaring the 18th hole when a loose rock unexpectedly fell from behind, resulting in an abrasion injury to his back.Immediately after the incident, Mr. Ladwingon sought assistance from a nearby LHD operator and reported the injury to their supervisor.</t>
  </si>
  <si>
    <t>Janauary 25, 2026: The victim was at the eating station while preparing to conduct his work when he suddenly felt dizzy. Later on, it was found out that the victim forgot to take his maintenance medicine.</t>
  </si>
  <si>
    <t>Janauary 24, 2026: The victim did his routine in all working areas, at arround 3:00 am. He returned at 305 Ramp to double check his crew working thereat. The crew were eating their snack so the victim continued breaking the uneven roadway using the breaker. On the process, the air nozzle of the breaker flashes to the ground and a particle hit the left eye of the victim.</t>
  </si>
  <si>
    <t>On January 26, 2026, LHD operator Mr. Liban descended to the ramp after conducting scraping from the upper elevation. During his descent, a crew noticed him approaching them who were conducting timbering in a section of the Ramp. At approximately 07:30 PM, Mr. Liban engaged the park brake of his loader and subsequently alighted to engage the shut-off valve engine. The loader suddenly moved in a free wheeled and downward the ramp towards the crew timbering crew so he immediately warned the crew nearby. Apparently, he attempted to re- ride in his unit to stop. The crew fled from the area upon hearing the warning of Mr. Liban, few moments later, they already found him unresponsive, lying on his left side and his head was positioned almost underneath of the stepping board of the unit. Rescuers extricated him and was brought to hospital where he already lifeless.</t>
  </si>
  <si>
    <t>Shaft Station / Resting Area</t>
  </si>
  <si>
    <t>HGA / RPK / SADM</t>
  </si>
  <si>
    <t>VAB / MTA / LKF</t>
  </si>
  <si>
    <t>HGA / ABL / DJFOE</t>
  </si>
  <si>
    <t>VAB / JOG / DMG</t>
  </si>
  <si>
    <t>Contracts - MD&amp;C Construction</t>
  </si>
  <si>
    <t>Contracts - VSAI</t>
  </si>
  <si>
    <t>Contracts - SNSAI</t>
  </si>
  <si>
    <t>Contracts - RBDanao</t>
  </si>
  <si>
    <t>Alfon B. Yodong</t>
  </si>
  <si>
    <t>FABJr. / ABY / JPMR</t>
  </si>
  <si>
    <t>HEADS</t>
  </si>
  <si>
    <t>GRP/DEPT/SECT</t>
  </si>
  <si>
    <t>Group / Dept. / Sect.</t>
  </si>
  <si>
    <t>MOG - 1: Section 1</t>
  </si>
  <si>
    <t>MOG - 1: Section 2</t>
  </si>
  <si>
    <t>MOG - 1: Section 3</t>
  </si>
  <si>
    <t>MOG - 2: Section 4</t>
  </si>
  <si>
    <t>MOG - 2: Section 5</t>
  </si>
  <si>
    <t>MOG - 2: Section 6</t>
  </si>
  <si>
    <t>MOG - MMME - Mobile</t>
  </si>
  <si>
    <t>MOG - Safety - Surface Safety</t>
  </si>
  <si>
    <t>MOG - MMME - Non-Mobile</t>
  </si>
  <si>
    <t>MOG - MMME - Electrical</t>
  </si>
  <si>
    <t>MOG - GMS - Tubo Shaft</t>
  </si>
  <si>
    <t>MOG - GMS - Drift and Track Maintenance</t>
  </si>
  <si>
    <t>MOG - GMS - Underground Crusher</t>
  </si>
  <si>
    <t>MOG - GMS - Adit 1&amp;2</t>
  </si>
  <si>
    <t>MOG - GMS - Air and Water</t>
  </si>
  <si>
    <t>MOG - Safety - Nayak/UG Safety</t>
  </si>
  <si>
    <t>Min Geology</t>
  </si>
  <si>
    <t>Mine Ventilation</t>
  </si>
  <si>
    <t>Mine Study</t>
  </si>
  <si>
    <t>TSF 5A</t>
  </si>
  <si>
    <t>MPG - TSF 5A</t>
  </si>
  <si>
    <t>Mill Operations</t>
  </si>
  <si>
    <t>Refinery</t>
  </si>
  <si>
    <t>CIP</t>
  </si>
  <si>
    <t>Services</t>
  </si>
  <si>
    <t>ComRel</t>
  </si>
  <si>
    <t>Overhauling Shop</t>
  </si>
  <si>
    <t>900L Mine Shop</t>
  </si>
  <si>
    <t>Machine Shop</t>
  </si>
  <si>
    <t>Surface Electrical</t>
  </si>
  <si>
    <t>Energy Conservation</t>
  </si>
  <si>
    <t>Instrument Calibration</t>
  </si>
  <si>
    <t>Powerplant, Nayak &amp; Tubo Compressor</t>
  </si>
  <si>
    <t>Motorpool / Transport</t>
  </si>
  <si>
    <t>Underground Patrol</t>
  </si>
  <si>
    <t>Investigations</t>
  </si>
  <si>
    <t>MD&amp;C Construction</t>
  </si>
  <si>
    <t>VSAI</t>
  </si>
  <si>
    <t>SNSAI</t>
  </si>
  <si>
    <t>RBDanao</t>
  </si>
  <si>
    <t>LHD Optr</t>
  </si>
  <si>
    <t>LPT Optr</t>
  </si>
  <si>
    <t>BINSON I. ZAPARITA</t>
  </si>
  <si>
    <t>Jr. Machinist</t>
  </si>
  <si>
    <t>Steel Yard</t>
  </si>
  <si>
    <t>Hospital</t>
  </si>
  <si>
    <t>S (N/A)</t>
  </si>
  <si>
    <t>Larry A. Arigue</t>
  </si>
  <si>
    <t>James I. Consolacion</t>
  </si>
  <si>
    <t>Unloading via crane operation</t>
  </si>
  <si>
    <t>MBK / RML</t>
  </si>
  <si>
    <t>WDL / MAT</t>
  </si>
  <si>
    <t>JAW / EAR / MAT / AOV</t>
  </si>
  <si>
    <t>WLT / SUU / FPP</t>
  </si>
  <si>
    <t>WLT / EAR</t>
  </si>
  <si>
    <t>TSG - MWSO - Machine Shop</t>
  </si>
  <si>
    <t xml:space="preserve">Contracts - VSAI - </t>
  </si>
  <si>
    <t xml:space="preserve">Contracts - SNSAI - </t>
  </si>
  <si>
    <t xml:space="preserve">Contracts - RBDanao - </t>
  </si>
  <si>
    <t>FSG</t>
  </si>
  <si>
    <t>Accounting</t>
  </si>
  <si>
    <t>IMD</t>
  </si>
  <si>
    <t>Planning &amp; Budgeting</t>
  </si>
  <si>
    <t>Cashier</t>
  </si>
  <si>
    <t>General Accounting</t>
  </si>
  <si>
    <t>Cost Accounting</t>
  </si>
  <si>
    <t>Payroll</t>
  </si>
  <si>
    <t>Surface Warehouse</t>
  </si>
  <si>
    <t>Inventory Control</t>
  </si>
  <si>
    <t>Disposal</t>
  </si>
  <si>
    <t>Underground Warehouse</t>
  </si>
  <si>
    <t>MOG - Mine Management</t>
  </si>
  <si>
    <t>MEGG - Mine Study</t>
  </si>
  <si>
    <t>MPG - Mill Operations - Refinery</t>
  </si>
  <si>
    <t>MPG - Mill Operations - CIP</t>
  </si>
  <si>
    <t>MPG - Mill Operations - Services</t>
  </si>
  <si>
    <t>Project Engineering</t>
  </si>
  <si>
    <t>Surface Survey</t>
  </si>
  <si>
    <t>Solid Waste &amp; Tamangan ESL Management</t>
  </si>
  <si>
    <t>Carpentry Shop</t>
  </si>
  <si>
    <t>Plumbing and Water Supply</t>
  </si>
  <si>
    <t>Jobs in Progress</t>
  </si>
  <si>
    <t>Water Source Management &amp; Maintenance</t>
  </si>
  <si>
    <t>Building Maintenance</t>
  </si>
  <si>
    <t>Sand &amp; Gravel Plant</t>
  </si>
  <si>
    <t>Legal Office</t>
  </si>
  <si>
    <t>Human Resources</t>
  </si>
  <si>
    <t>Medical Services</t>
  </si>
  <si>
    <t>LAA / JIC / -</t>
  </si>
  <si>
    <t>ROWELL C. DELA CRUZ</t>
  </si>
  <si>
    <t>Surface Warehouseman</t>
  </si>
  <si>
    <t>Fe Marie W. Mates</t>
  </si>
  <si>
    <t>Julian Manuel S. Casuga</t>
  </si>
  <si>
    <t>Karl Lloyd S. Valentin</t>
  </si>
  <si>
    <t>Loading of Causic Soda</t>
  </si>
  <si>
    <t>ENC / RML</t>
  </si>
  <si>
    <t>FMWM / JMSC / KLSV</t>
  </si>
  <si>
    <t>FSG - IMD - Surface Warehouse</t>
  </si>
  <si>
    <t>FSG - IMD - Inventory Control</t>
  </si>
  <si>
    <t>FSG - IMD - Disposal</t>
  </si>
  <si>
    <t>JOHN REY BAGUIYAC</t>
  </si>
  <si>
    <t>N/A - Contracts</t>
  </si>
  <si>
    <t>Carpenter</t>
  </si>
  <si>
    <t>Nathaneal D. Jugal</t>
  </si>
  <si>
    <t>Abraham L. Davis</t>
  </si>
  <si>
    <t>Kathy M. Domogo</t>
  </si>
  <si>
    <t>Hauling of H-beams</t>
  </si>
  <si>
    <t>Crushing &amp; Grinding</t>
  </si>
  <si>
    <t>Proposed Hemodialysis Station</t>
  </si>
  <si>
    <t>TSG - PCES - Building Maintenance</t>
  </si>
  <si>
    <t>Road &amp; Camp Maintenance</t>
  </si>
  <si>
    <t>FSG - IMD - Underground Warehouse</t>
  </si>
  <si>
    <t>UG Senior Warehouseman</t>
  </si>
  <si>
    <t>Fuel Storage Area</t>
  </si>
  <si>
    <t>Samson A. Fotyong</t>
  </si>
  <si>
    <t>Marvin B. Caligner</t>
  </si>
  <si>
    <t>Unloading fuel oil drum</t>
  </si>
  <si>
    <t>MAT / AOV</t>
  </si>
  <si>
    <t>C30 Fuel Storage</t>
  </si>
  <si>
    <t>FMWM / SAF / MBC</t>
  </si>
  <si>
    <t>GLENN MARK B. LABOTAN</t>
  </si>
  <si>
    <t>FUSE CUT-OFF SWITCH</t>
  </si>
  <si>
    <t>N/A - PD</t>
  </si>
  <si>
    <t>Fuse Cut-Off Switch</t>
  </si>
  <si>
    <t>Neil Marcel F. Paquito</t>
  </si>
  <si>
    <t>Pedro B. Lambino</t>
  </si>
  <si>
    <t>Sudden Power Loss</t>
  </si>
  <si>
    <t>300 KVA Substation</t>
  </si>
  <si>
    <t>FABJr. / NMFP / PBL</t>
  </si>
  <si>
    <t>Near Miss</t>
  </si>
  <si>
    <t>Dexter B. Arevalo</t>
  </si>
  <si>
    <t>Christopher T. Baniaga</t>
  </si>
  <si>
    <t>Sand Production</t>
  </si>
  <si>
    <t>Water Recovery</t>
  </si>
  <si>
    <t>Nayak Shaft Operation / UG Construction</t>
  </si>
  <si>
    <t>Tubo Shaft Operation / 670L Pumping</t>
  </si>
  <si>
    <t>Main Haulage / Drift &amp; Track Maintenance</t>
  </si>
  <si>
    <t>MPG - Mill Operations - Sand Production</t>
  </si>
  <si>
    <t>MPG - Mill Operations - Water Recovery</t>
  </si>
  <si>
    <t xml:space="preserve">On January 30, 2026, at approximately 9:45 AM, Messrs. M. Caligner, A. Molano, and A. De Leon were engaged in storing fuel oil drum at the C30 Fuel Storage Area, Mr. Labotan observed the activity and voluntarily offered his assistance. During unloading, the drum was initailly placed in a resting position and subsequently rolled inside the storage area for proper placement.
While Mr. Caligner and Mr. labotan were lifting the drum to its rack, the drum suddenly shifted due to its weight. Mr. Labotan was unable to withdraw his hand in time resulting in his fingers being caught in a pich point and sustaining injury. 
The injured employee was immediately transported to the 1150L shaft station and subsequently conveyed by ambulance to the company hospital for further treatment. </t>
  </si>
  <si>
    <t>The material of ball mill #1 pinion shaft was already cut off at the power saw. The supervisor of the victim instructed him to assist in unloading the excess material from the machine. The victim measured the center of the shaft and placed the rope. His companion operates the crane while he and his other coworker are supporting at each end of the shaft. The lifting of the material was unbalanced on their first attempt so they adjusted the rope. They lifted the shaft but unfortunately the rope swung which resulted in the injury of the victim. The right ring finger of the victim was caught in between the shaft and the clamping vise.</t>
  </si>
  <si>
    <t>Around 7:45 AM of January 12, 2026 the victim and his companions are loading caustic sodas in the steelyard to be delivered at CIP. As they were lifting the caustic sodas, a bunch of sacks tipped over. The victim together with his workmate repiled the bags of caustic sodas. The victim did not realized that a small portion of caustic sodas was spilled into his left shoe. At around past 8:00 AM they delivered the caustic sodas to CIP and returned at the steelyard approximately 9:00 AM. The victim felt stingy on his left foot and reported to his supervisor. He was admitted at the hospital 10:02 AM.</t>
  </si>
  <si>
    <t>The victim together with his companions were deployed and assigned to repair termite-infested columns and beams at the proposed hemodialysis station of the hospital. The existing columns and beams were scheduled to be replaced with 6x6 H-beams to stabilize area. The crew was instructed that all cutting of H-beams should be performed outside the hospital premises. Due to the large number of hospital clients at the time, the crew decided to haul the H-beams inside the area. During the lowering of the H-beam while counting and coordinating the movement, the victim was delayed in pulling his hand resulting in his hand being caught in between the beam.</t>
  </si>
  <si>
    <t>There was a sudden power loss from the 220V transformer. Control group was called since the jaw crusher was not able to perform with the power loss. Upon inspection the team noticed that the fuse cut-off switch was sparking and producing smoke. The workers quenched the spark with fire extinguisher.</t>
  </si>
  <si>
    <t>MEDICAL FINDINGS</t>
  </si>
  <si>
    <t>AVULSED WOUND, OPEN FRACTURE 2ND/3RD DISTAL PHALANX LEFT HAND</t>
  </si>
  <si>
    <t>WOUND SUTURING WITH AMPUTATION OF DISTAL PHALANX 2ND DIGIT LEFT HAND</t>
  </si>
  <si>
    <t>DETAILS OF TREATMENT PROVIDED</t>
  </si>
  <si>
    <t>REHABILITATION PLAN</t>
  </si>
  <si>
    <t>FOR RUTHER MEDICAL EVALUATION</t>
  </si>
  <si>
    <t>AVULSED WOUND, 4TH DIGIT, RIGHT HAND</t>
  </si>
  <si>
    <t>WOUND IRRIGATION AND PACKING, ATS, TT VACCINE, ANALGESIC, XRAY.</t>
  </si>
  <si>
    <t>TRANSFERRED TO LUIS HORA FOR FURTHER MANAGEMENT</t>
  </si>
  <si>
    <t xml:space="preserve">MULTIPLE PHYSICAL INJURY </t>
  </si>
  <si>
    <t>WOUND CARE. XRAY OF LEFT KNEE,LSV,TCAGE, ANTIBIOTIC,  ANALGESIC, TETANUS TOXOID.</t>
  </si>
  <si>
    <t>CHEMICAL BURN LEFT FOOT SECONDARY TO METABISULFITE</t>
  </si>
  <si>
    <t>WOUND DEBRIDEMENT/DRESSING</t>
  </si>
  <si>
    <t>Findings: 
*Failure to secure self: Victim had not eaten breakfast prior to performing activity;
*Length of service: 2 DAYS
Recommendation: Ensure regular meals, especially breakfast, to prevent weakness, dizziness, or fatigue</t>
  </si>
  <si>
    <t>ADMITTED AT THE HOSPITAL FOR HEALING</t>
  </si>
  <si>
    <t>Findings:
*Medical Diagnosis: Multiple Physical Injury
*Scaly ground condition
*Uneven working platform
*Failure to install proper temporary umbrella support: Stull Support does not have a headboard
*Failure to follow Rock Bolting SOP: Ground support delay / backlog from previous shift increasing exposure to unstable ground
*Failure to secure: Victim positioned in a vulnerable area
Action Plan:
*Install appropriate umbrella stull support. Install additional if needed.
*Strict Compliance to SOP on Rock bolting</t>
  </si>
  <si>
    <t>Findings:
*Failure to use PPE properly: No eye protection
*Inadequate / Improper protective equipment
*Inadequate assessment</t>
  </si>
  <si>
    <t>Findings:
Failure to Secure: Victime forgot to take his BP Medicine</t>
  </si>
  <si>
    <t>IMMEDIATE CAUSE: MECHANICAL ASPHYXIA 
ANTECEDENT CAUSE: CRUSHING INJURY TO THE TORSO
UNDERLYING CAUSE: CAUGHT BETWEEN THE HEAVY EQUIPMENT AND A MUCK PILE</t>
  </si>
  <si>
    <t>Findings:
*Immediate cause: parking the loader on uneven ground without anchoring the bucket to the ground, which would have provided maximum restriction of loader movement
*Factors: sloping roadway where loader was parked; defective loader's parking brake system
*Victim's attempt riding the moving loader in order to stop it, increasing personal risks without effectively mitigating the situation
Recommendation &amp; Corrective Actions:
* Ensure that all underground equipment, once repaired, should be testes thoroughly prior to turning over to the operation together with documented hand over note / clearance from the mechanic responsible for repair and all units shall be tested on both even and uneven ground to ensure that the equipment is safe to use (c/o MMME)
* Install wheel chocks ot other mechanical restraints when loaders are parked on sloping terrain. This practice should be consistent with procedures for surface heavy equipment and other related machinery. (c/o All Operators).
* Conduct refresher training for all operators on safe parking procedures and emergency response actions. Include also the reinforcement of safety protocols requiring operators to acnhor the bucket to the ground whernever the loader is parked (c/o MMME).</t>
  </si>
  <si>
    <t>Findings:
*Failure to secure: The victim was unable to withdraw his hand in time when the drum lost balance; The victim's hand was positioned within a pinch point while lifting the drum; Improper placement of task
*Congested area: The fuel drum became unstable during the lifting due to its excessive weight in a congested area.
*Job factor: inadequate manpower due to undorseen activity during the shift.
Corrective Action:
*Provide lifting aids such as hoists for all heavy fuel oil drum handling 
*Conduct re-task safety briefings, including hazard identification (pinch points, load instability) and safe work practices.
*Ensure adequate availability of personnel specially during delivery of materials</t>
  </si>
  <si>
    <t>Findings:
*Failure to secure: The victim held the end of the shaft; Gloves were not worn; Crane was not aligned to the material being lifted.
*Lack of focus on the activity
*Inadequate training: further training on SOP is needed 
Recommendation:
*Daily safety reminder on loading / unloading of bigger materials i.e. shafting (c/o Supervisors during peptalk)
*Craft work instruction integrating safety aspect (c/o Shop Supervisor)
*Crane Safety Training to the employees (c/o MWSO)</t>
  </si>
  <si>
    <t xml:space="preserve">Findings:
*No protective film (cling wrap) on the pallet piled caustic soda to avoid tipping off during transport
*Failed to check damage packaging of caustic soda
Reconmmendation: Chemical stock on pallet should be wrapped with protective cover such as industrial stretch  film (cling wrap) to avoid tipping or falling during transport and also help contain the material when there is damage on the packaging. </t>
  </si>
  <si>
    <t>Findings:
*The crew deviated from the original instruction due to operational constraints
*Coordination and timing during the lowering process were insifficient, resulting in delayed hand withdrawal
Recommendations:
*Proper handling and positioning 
*Use of PPE
*Conduct Peptalk
*Precise coordination.</t>
  </si>
  <si>
    <t>Findings: 
*Old fuse cut-off switch
*Loose terminal
*Property damages sparked on its own
*fire and Explosion Hazards: The cut-off switch sparked causing a sudden power loss affecting all units tapped in it i.e. lightings, and controls of jaw crusher
*Inadwquate maintenance: communication of needs, scheduling of work, examination of units, part substitution: No PMS to check said units
Recommendation:
*Schedule PMS for the said electrical parts  / installation, including the other switch.
*change fuse cut-off switch to a newer model</t>
  </si>
  <si>
    <t>ACCIDENT MONITORING REPORT</t>
  </si>
  <si>
    <t>JANUARY,  2026</t>
  </si>
  <si>
    <t>MONTH - YEAR</t>
  </si>
  <si>
    <t>MMMM-YYYY</t>
  </si>
  <si>
    <t>NOREL ALAGON</t>
  </si>
  <si>
    <t>Drilling Aide</t>
  </si>
  <si>
    <t>DDCP - Allan Raymund Domalsin</t>
  </si>
  <si>
    <t>DDCP - Clarence Avila</t>
  </si>
  <si>
    <t>Retreiving inner drill tube</t>
  </si>
  <si>
    <t>WDL / RWV</t>
  </si>
  <si>
    <t>FEBRUARY,  2026</t>
  </si>
  <si>
    <t>MARCH, 2026</t>
  </si>
  <si>
    <t>APRIL, 2026</t>
  </si>
  <si>
    <t>MAY, 2026</t>
  </si>
  <si>
    <t>JUNE, 2026</t>
  </si>
  <si>
    <t>JULY, 2026</t>
  </si>
  <si>
    <t>AUGUST, 2026</t>
  </si>
  <si>
    <t>SEPTEMBER, 2026</t>
  </si>
  <si>
    <t>OCTOBER, 2026</t>
  </si>
  <si>
    <t>NOVEMBER, 2026</t>
  </si>
  <si>
    <t>DECEMBER, 2026</t>
  </si>
  <si>
    <t>LM90 Cuddy</t>
  </si>
  <si>
    <t>VAB / ARD / CTA</t>
  </si>
  <si>
    <t>Norel Alagon</t>
  </si>
  <si>
    <t>LM90 1000L Cuddy</t>
  </si>
  <si>
    <t>At approximately 3:00 PM (Day Shift), the victim, together with his co-workers was in the process of retrieving the inner tube. During the operation, the rod clamp wa connected to the rotating rods in an attempt to loosen them. Due to difficulty in loosening the rods, the victim used a pipe wrench size-36 to assist in the task. However, the pipe wrench failed to properly grip the rod and suddenly slipped, striking the victim on the right side of his lower back.</t>
  </si>
  <si>
    <t>ALJON J. VALDEZ</t>
  </si>
  <si>
    <t>Innitially, the victim felt dizziness while he was resting at the 249 station. Suddenly, he complained of pain on his stomach and was extricated from site to the company hospital.</t>
  </si>
  <si>
    <t>Aljon J. Valdez</t>
  </si>
  <si>
    <t>249 Station</t>
  </si>
  <si>
    <t>FAC - Lower Back</t>
  </si>
  <si>
    <t>OI - Stomach ache &amp; dizziness</t>
  </si>
  <si>
    <t>February 15, 2026</t>
  </si>
  <si>
    <t>Regie D. Espinosa</t>
  </si>
  <si>
    <t>Resting</t>
  </si>
  <si>
    <t>ACBJr.</t>
  </si>
  <si>
    <t>JULUIS M. FANGGOT</t>
  </si>
  <si>
    <t>February 11, 2026</t>
  </si>
  <si>
    <t>Dimas S. Gao-ay</t>
  </si>
  <si>
    <t>Jerry I. Garwageo</t>
  </si>
  <si>
    <t>Hand Mucking</t>
  </si>
  <si>
    <t>RWV / FPP</t>
  </si>
  <si>
    <t>21516 Raise Access</t>
  </si>
  <si>
    <t>RAMIL A BAYYOC</t>
  </si>
  <si>
    <t>WILLARD S. BAGYON</t>
  </si>
  <si>
    <t>980L</t>
  </si>
  <si>
    <t>870L</t>
  </si>
  <si>
    <t>February 16, 2027</t>
  </si>
  <si>
    <t>February 19, 2028</t>
  </si>
  <si>
    <t>February 20, 2029</t>
  </si>
  <si>
    <t>Jayson T. Capia-ao</t>
  </si>
  <si>
    <t>Ephraim K. Pitok</t>
  </si>
  <si>
    <t>Frank C. Samdao Jr.</t>
  </si>
  <si>
    <t>Allan F. Takayeng</t>
  </si>
  <si>
    <t>Waiting for the locomotive to charge</t>
  </si>
  <si>
    <t>Jack up Activity</t>
  </si>
  <si>
    <t>WDL/MAT/ AOV</t>
  </si>
  <si>
    <t>JAW</t>
  </si>
  <si>
    <t>249 Station 900L</t>
  </si>
  <si>
    <t>2091 Access 980L</t>
  </si>
  <si>
    <t>12541 G31S</t>
  </si>
  <si>
    <t>VAB / JOG / JIG</t>
  </si>
  <si>
    <t>VAB / DSG / RDE</t>
  </si>
  <si>
    <t>Julius B. Liban</t>
  </si>
  <si>
    <t>JTC / JBL / EKP</t>
  </si>
  <si>
    <t>VAB / MTA / FCSJr</t>
  </si>
  <si>
    <t>HGA / RPK / AFT</t>
  </si>
  <si>
    <t>MOG - GMS - Nayak Shaft / UG Construction</t>
  </si>
  <si>
    <t>Julius M. Fanggot</t>
  </si>
  <si>
    <t>21526 Raise Access</t>
  </si>
  <si>
    <t>The victim and his assigned buddy was assigned at 21516 Raise access, after conducting barring down and fixing their air and water pipes. His buddy proceeded to inspect the RDM for any defects while the victim went to hand muck at the left side of the panel while facing the right side. While the victime was on the midst of clearing rock materials intended for the lifter holes, he bowed down to remove some rocks that are hard to be removed by the shovel while his left hand is still holding the shovel on a standing position while his other hand was doing the work. Moments later a small rock fell, he was about to straighten his posture to inspect the source of the rock when a larger rock suddenly slide from the chest level of the side wall area.</t>
  </si>
  <si>
    <t>Ramil A. Bayyoc</t>
  </si>
  <si>
    <t>At approximately 8:20 AM, the victim was at the 900L resting station waiting for the locomotive battery to charge. While waiting, he suddenly experienced dizziness and cramping in his shoulder. He immediately reported the incident to his superior, who then contacted the control room to arrange for an ambulance to transport Mr. Bayyoc to the company hopital for further medical evaluation and treatment.</t>
  </si>
  <si>
    <t>William S. Bagyon</t>
  </si>
  <si>
    <t>2091 Access</t>
  </si>
  <si>
    <t>The victim and his companion was assigned at 2091 Access 980 el. Section 2 for jack up purposes at around 1:00 AM. He ignored the sudden pain on his stomach and continued drilling for blast holes (BH). Rright after drilling 12 BH his stomach ache intensified and decided to report the matter to his supervisor, who called the control room to ferry the victim via ambulance to LMD hospital for medical check-up.</t>
  </si>
  <si>
    <t>Jhon Jhon B. Angdason</t>
  </si>
  <si>
    <t>After blasting, the victim was pulling out the blasted boulders prior to rock bolting. Suddenly, a boulder nearby moved and his left hand (back of hand) was caught in between boulder causing laceration injury. The victim was then immediately transported at LMD hospital for medical check-up.</t>
  </si>
  <si>
    <t>JHON JHON B. ANGDASON</t>
  </si>
  <si>
    <t>JACKFORD L. PALSAAN</t>
  </si>
  <si>
    <t>CRAYTON B. CALSIYAO</t>
  </si>
  <si>
    <t>LEONARD D. SALINGSING</t>
  </si>
  <si>
    <t>JERRY L. BISTAYOK</t>
  </si>
  <si>
    <t>Geotech Aide</t>
  </si>
  <si>
    <t>890L</t>
  </si>
  <si>
    <t>880L</t>
  </si>
  <si>
    <t>Kurt Linis Ljomir Ursua</t>
  </si>
  <si>
    <t xml:space="preserve">Benito A. Islao Jr. </t>
  </si>
  <si>
    <t>Ruben T. Saliwey</t>
  </si>
  <si>
    <t>Ryan M. Macaburas</t>
  </si>
  <si>
    <t>Bernard M. Itliong</t>
  </si>
  <si>
    <t>Romy A. Domyong</t>
  </si>
  <si>
    <t>LHD Mucking Activity</t>
  </si>
  <si>
    <t>Pulling out Timber Logs</t>
  </si>
  <si>
    <t>Ground Condition &amp; Support Assessment</t>
  </si>
  <si>
    <t>Bar down</t>
  </si>
  <si>
    <t>JAW/SAU</t>
  </si>
  <si>
    <t>RWV</t>
  </si>
  <si>
    <t>AOV/ACB/WLT</t>
  </si>
  <si>
    <t>AOV/ACB/WLT/EAR/MAT</t>
  </si>
  <si>
    <t>MEGG - Rock Mechanics</t>
  </si>
  <si>
    <t>Rock Mechanics</t>
  </si>
  <si>
    <t xml:space="preserve">2325 6M4 </t>
  </si>
  <si>
    <t>205 4M4</t>
  </si>
  <si>
    <t>12508 H31N</t>
  </si>
  <si>
    <t>320 XCE</t>
  </si>
  <si>
    <t>VAB / DSG / RMM</t>
  </si>
  <si>
    <t>VAB / JOG / BMI</t>
  </si>
  <si>
    <t>KLLU / BAIJr. / RAD</t>
  </si>
  <si>
    <t>HGA / RTS / -</t>
  </si>
  <si>
    <t>2325 6M4 890L</t>
  </si>
  <si>
    <t>205 4M4 1000L</t>
  </si>
  <si>
    <t>12508 H31N, 880L</t>
  </si>
  <si>
    <t>Jackford D. Palsaan</t>
  </si>
  <si>
    <t>Crayton B. Calsiyao</t>
  </si>
  <si>
    <t>Leaonard D. Salingsing</t>
  </si>
  <si>
    <t>Jerry L. Bistayok</t>
  </si>
  <si>
    <t>320 Crosscut</t>
  </si>
  <si>
    <t>TALIWAN JR., SIMON A.</t>
  </si>
  <si>
    <t>Laboratory Technician</t>
  </si>
  <si>
    <t>Crushing Area</t>
  </si>
  <si>
    <t>John Paul C. Licot</t>
  </si>
  <si>
    <t>Descending the ramp</t>
  </si>
  <si>
    <t>RML / MBK</t>
  </si>
  <si>
    <t>MPG - Metallurgy - Laboratory</t>
  </si>
  <si>
    <t>Gap b/n conveyor and ramp</t>
  </si>
  <si>
    <t>Marry Joy S. Ronulo</t>
  </si>
  <si>
    <t>JPC / - / MJSR</t>
  </si>
  <si>
    <t>The victim was operating the LHD 124 about to muck at the stope. He noticed that the back and wall gave signs to fall (ag abiso) so he shifted the LHD to reverse. Unfortunately, the loader and his right middle finger causing his injury was caught in the action.</t>
  </si>
  <si>
    <t>The victim and the LHD Operator were pulling out 6x8 timber logs along the muckpile prior to mucking. They did not notice a sticking nail from the 6x8 log that cause puncture injury at the left leg of Mr. Calsiyao.the victim.</t>
  </si>
  <si>
    <t>A Rock Mechanics Assistant, conducted a ground condition and report assessment within the panel. While inspecting, he identified open cracks at distance 22-26. Determining that a bardown was necessary, he directed the victim to hand over a pinch bar partially covered in muck. As the victim was retrieving the tool, a boulder slab fell from the panel wall/ shoulder and struck him.</t>
  </si>
  <si>
    <t>The victim and his team were assigned to man 320 XCE. They proceeded to conduct barring down at the face. Upon completion, rock fragments had accumulated on the floor of the face. With the intent to clear the floor for lifter holes, the victim began hand mucking using a shovel. While bent down, a rock approximately the size of his skull guard sloughed off from the left side of the panel near the face. The rock struck his skull guard, dislodging it, and hit his right shoulder, causing numbness, abrasion, and dizziness.</t>
  </si>
  <si>
    <t>Simon A. Taliwan Jr.</t>
  </si>
  <si>
    <t xml:space="preserve"> 21516 Raise Access</t>
  </si>
  <si>
    <t>After conducting crushing product sampling for metallurgical testing, the victim proceeded to descend the ramp. His foot nearly slipped intot eh gap between the conveypr and the ramp, which could have resulted in loss of balance and fall.</t>
  </si>
  <si>
    <t>Access Ramp, Crushing Area</t>
  </si>
  <si>
    <t>EMERGENCY INCIDENT</t>
  </si>
  <si>
    <t>N/A - EI</t>
  </si>
  <si>
    <t>BURNT GARBAGE</t>
  </si>
  <si>
    <t>Golf Course, Sapid</t>
  </si>
  <si>
    <t>ASG - IOSD - Surface</t>
  </si>
  <si>
    <t>January 24, 2026, Golf Course, Sapid: GO Guard on duty received a phone call relayed by the Gate 3 guard regarding an onhoing fire at Golf Course, Sapid noticed by a Mr. Bustillo when he was passing through at the area. The powerhouse wa notified to sound the alarm. Other concerned departments were also notified. Responders arrived at 7:46 PM, who saw that the fire was on its dying-out stage as the onsite VSAI personnel used tree branches to suppress the fire. For certainty, the firetruck was used to thoroughly sweep burning ashes and smoky portions. Clearing and investigations was conducted after: at least 30 square meters was burnt and no damages was found. Fire our was announced at about 8:10PM followed by debriefing headed by Engr. Alfe C. Guaki.</t>
  </si>
  <si>
    <t>Garbage Fire</t>
  </si>
  <si>
    <t>Forest Fire</t>
  </si>
  <si>
    <t>PINE TREES</t>
  </si>
  <si>
    <t>Buaki, Sapid</t>
  </si>
  <si>
    <t xml:space="preserve">January 21, 2026: Buaki, Sapid: Around 4:00 PM, GO Guard received a phone call from Buaki Guard regarding an ongoing fire incident located at Buaki Area. They noticed that the fire was spreading so responders borded the firetruck and proceeded to the area. Upon arrival at 4:14PM, VSAI responders, along with the community began to suppress the fire by allowing them to utilize their water hoses, while safety responders on site were in charge of safety measures. After inspection, at least 25 grown pine trees were partially burnt in the 450 square meter of affected area. Witnesses from the community stated that they saw two (2) minor children roaming the affected area before the fire occured. No one identified the minors but they were advised to submit the names once found out. Fire-out was declared at 5:27 PM. Debriefing was headed by Mr. Alfe C. Guaki. </t>
  </si>
  <si>
    <t>Shipside - Volvo Truck</t>
  </si>
  <si>
    <t>VOLVO TRUCK</t>
  </si>
  <si>
    <t>TDQ 954</t>
  </si>
  <si>
    <t>Tubo, Sapid</t>
  </si>
  <si>
    <t xml:space="preserve">January 30, 2026: 6:54 AM: Shipside-operated delivery truck / hauler, was assigned to transport materials from Bulacan. Skid marks indicated that the truck lost traction on the right side, swung left and struck the parapet. The driver stated that whiledescending a curved section of Upper Golf Course Rd., he observed an oncoming SUV travelling upheil. To yield the right of way, he steered the  truck toward the right side of the road. However, the trucks' right-side wheel inadvertently entered a roadside canal approcimately two feet deep. In an effort to recover the vehicles and turn it to the roadway, he steered left, briefly accelerated, and then applied the breaks. unfortunately the brakes failed to function. Due to the vehicles' weight ant the slippery conditions caused by muddy soil and wet pine needles along the roadside, the ruck lost traction, skidded forward, and ultimately slid into the ditch on the left side of the roadway. The truck was found at the bottom of a ravine, sustaining extensive damage which scattered 10 sacks of Sodium metabisulphite (SMBS) around the site, resulting in a solid chemical spill, which were transferred into new sacks for safetkeeping before the materials were delivered to the Mill Detox Area. The driver and his companion was immediately transported to the LMD Hospital for medical assessment and treatment. The driver sustained a laceration on the right hand, fifth digit and back pain, while the passenger suffered a right infraorbital contusion with hematoma. The truck was recovered at around 11:00 PM using Loaders deployed by LMD and was temporarily parked at Mr. Negradas' plce in Tubo. As of the written report, the vehicle remains there pending a complete assessment by Shipside Maintenance. </t>
  </si>
  <si>
    <t>Delivery of goods</t>
  </si>
  <si>
    <t>ENC</t>
  </si>
  <si>
    <t>EI</t>
  </si>
  <si>
    <t>Gravel Pit, Sapid</t>
  </si>
  <si>
    <t xml:space="preserve">February 06, 2026; 5:05 PM, Gravel Pit: A VSAI Officer was notified via call from a concerned citizen, who was attending an ongoing IEC at Barangay Sapid, about a suspected bush-fire above the Barangay. This was also relayed to him via call so VSAI officers went to confirm the incident. After a positive sighting, the VSAI Officer radiod central base. The LMD ERT responded together with two Barangay Tanod. Fire suspension was made and at 5:50 PM, fire out was announced. Investigations reveal that approximately 100 square meter and seven (7) grown pine trees were affected, which started at the burnt garbages below the road mixed with dried leaves which evemtually spread out. </t>
  </si>
  <si>
    <t>IEC at Brgy. Sapid</t>
  </si>
  <si>
    <t>N/A - Community</t>
  </si>
  <si>
    <t>Community Area</t>
  </si>
  <si>
    <t>LMD Employees</t>
  </si>
  <si>
    <t>General Office Area</t>
  </si>
  <si>
    <t>February 16, 2026; 9:40 AM: An earthquake was felt, particularly by MEPEO, Accounting, and IMD employees, who proceeded to the evacuation point. However, not all individuals within the mine camp experienced the tremor. A comprehensive inspection on the physical stability of the GO buildings was conducted by the PCES department. During inspection one remaining employee was found to be left behind, who was excorted by Mr. Cabrera to the muster point. After confirming that there were no physical / structural damage, and no safety hazards identified, employees were advised that it was safe of return to their stations and resume normal operations. Personnel were reminded to remain vigilant and exercise caution in the event of possible aftershocks. Subsequent follow-up inquiries confirmed that the earthquake was slightly felt at DTC, Tubo Collar, and Nayak, but was not experienced in Mill, DAM 4&amp;5 areas.</t>
  </si>
  <si>
    <t>LMD EMPLOYEES</t>
  </si>
  <si>
    <t>Earthquake</t>
  </si>
  <si>
    <t>Surface LMD Camp</t>
  </si>
  <si>
    <t>Normal Surface Operations</t>
  </si>
  <si>
    <t>N/A - Emergency Incident</t>
  </si>
  <si>
    <t>February 21, 2026; 4:45 PM; Tagumbao, Sapid: Security personnel initially responded to the bush fire. When it began spreading to the bushes and can't be controlled through manual deed, centrall was called upon for ERT presonnel to respond. Responders immediately got to work and connected three (3) fire hose to suppress the fire. Arounf 5:12 PM, fire-out was declared. Inspection reveals 20 grown pine trees partially burnt. Source of the fire points to cigarette butts thrown away by bystanders / picknickers.</t>
  </si>
  <si>
    <t>Pine Trees</t>
  </si>
  <si>
    <t>February 26, 2026; 8:35 PM: Security personnel from carpentry area was monitoring from the radio and reported to central of the fire at the Tagumbao short cut area. Responders proceeded at the scene and declared fire-out at 9:00PM. Investigations reveal that the fire was started by burnt garbages. Approximately 200 square meters were affected and five (5) grown trees and bamboo were partially burnt.</t>
  </si>
  <si>
    <t>Tagumbao, Sapid</t>
  </si>
  <si>
    <t>Bush Fire</t>
  </si>
  <si>
    <t>February 26, 2026</t>
  </si>
  <si>
    <t>ACG</t>
  </si>
  <si>
    <t>HOSE</t>
  </si>
  <si>
    <t>Aerodome Area</t>
  </si>
  <si>
    <t>February 28, 2026</t>
  </si>
  <si>
    <t>Aerodome Area, Pukitan</t>
  </si>
  <si>
    <t>Hoses, and Fences</t>
  </si>
  <si>
    <t>A phone call from a concerned citizen from Pukitan was intercepted by Internal Operators. A fire was reported hence the fire brigade team responded along with the ER team. Fire-out was declared at 12:13 PM. Investigations point oit to unidentified suspects who started the fire using dry grass. Approximately 600 square meters was affected along with 30 plastic hose fence and two (2) water hoses.</t>
  </si>
  <si>
    <t>DDCP Head Office was notified of the issue for fast track of needed tools and equipments as reported by DDCP Safety: Marites B. Madao</t>
  </si>
  <si>
    <t>Fracture Closed Non-Displaces Medial Malleolus Left Tibia</t>
  </si>
  <si>
    <t>Short Posterior Mold L Foot</t>
  </si>
  <si>
    <t>Week 0-2: Immobilization. Maintain cast, non-weight bearing, with crutches;
Week 2-6: Continue Immobilization. Partial Weight bearing;
Week 6-8: Full weight bearing as tolerated. Light work and activity
Week 8-12: Return to full activity</t>
  </si>
  <si>
    <t>Failure to Secure of self: Do not proceed to work if not feeling well / not physically fit</t>
  </si>
  <si>
    <t>Failure to Secure of Self: Remember to take your maintenance medicines; Make sure to report to work physically and mentally fit</t>
  </si>
  <si>
    <t>Proper workplace hazard assessment before conducting manual labor; Use tools to move heavy objects like rocks instead of carrying / moving it with bare hands.</t>
  </si>
  <si>
    <t>Failure to Secure: Non-compliance barring down SOP (Barring down should be doen 20 meters from the active face);
Hazardous Environment Conditions: Source of boulder was noted with fault
Recommendation: Ensure proper assessment of area before starting the activity</t>
  </si>
  <si>
    <t>Failure to secure: Victim did not check the area of the sticking nail prior to pulling out; 
Recommendation: Conduct Hazard Identification, Risk Assessment and Risk Control (HRARC) before and after work.</t>
  </si>
  <si>
    <t>Findings / Observations: poor grouhd condition; moderately warm atmosphere; inadequate barring down
Cause Analysis: Failure to Secure; Inadequate mental . Psychological capability; poor judgement; lack of barring down
Recommendation: Conduct thorough barring down; Pep-talk / tool box meeting</t>
  </si>
  <si>
    <t>Install cover plate / guard to eliminate the gap between the conveyor and ramp.
Conduct workplace hazard assessment of all elevated walkways and access ramps.</t>
  </si>
  <si>
    <t>Advised occupants to properly segregate their wast and refrain from burning their garbage</t>
  </si>
  <si>
    <t>Inform smokers to make sure their cigarrette butts are properly doused off before disposing / use designated smoking area.</t>
  </si>
  <si>
    <t>Conduct IEC to Tagumbao residents to stop burning their garbage as part of EMS.</t>
  </si>
  <si>
    <t>Conduct IEC to nearby residents of Pukitan / Palpltogan to stop burning brushed grassess; Advise maintenance security guard to properly monitor the area.</t>
  </si>
  <si>
    <t>Supplier shall ensure regular vehicle inspection and maintenance prior to dispatch.
Drivers shall be reminded and monitored for compliance with safe driving practices and route risk awareness.</t>
  </si>
  <si>
    <t>Residents were advised to tell their children not to play with any fire related equipments specially this summer season.</t>
  </si>
  <si>
    <t>Security personnel in cahrge of the area were advised to monitor and observe picknickers activity.</t>
  </si>
  <si>
    <t>March 6, 2026</t>
  </si>
  <si>
    <t>TFQ 524</t>
  </si>
  <si>
    <t>LMD Roadway</t>
  </si>
  <si>
    <t>March 9, 2026</t>
  </si>
  <si>
    <t>Whilst backing: Parking inside GO</t>
  </si>
  <si>
    <t>Mill Engineering</t>
  </si>
  <si>
    <t>MPG - Mill Engineering</t>
  </si>
  <si>
    <t>OIL SPILL</t>
  </si>
  <si>
    <t>LIME SURGE TANK</t>
  </si>
  <si>
    <t>Lime Surge Tank</t>
  </si>
  <si>
    <t>March 14, 2026</t>
  </si>
  <si>
    <t>Lime Tank 17/25</t>
  </si>
  <si>
    <t>Jeric T. Dulawan</t>
  </si>
  <si>
    <t>Lawana Jr., Aquino P.</t>
  </si>
  <si>
    <t>Grinding</t>
  </si>
  <si>
    <t>On the third shift of March 14, 2026, Operators noticed Dossing of Lime to Starter Sump was of no / zero supply. Lime operators found out busted lime tank below tank 17/25. The tank was made out of fiber materials which does not meet standards to hold lime materials, which was th only available light materials transported to site by Engineering men who installed. 
Replacement of damaged area with steel plates was recommmended. This is to be done by the Mill Engineering Department.</t>
  </si>
  <si>
    <t>Oil Spill</t>
  </si>
  <si>
    <t>EI - TFQ 524</t>
  </si>
  <si>
    <t>At 9:51 PM, a fire incident was relayed within the IOSD Guards. The Fire Brigade Team proceeded to the scene, where it was already being secured. Three fire hoses were connected and the fire was suppressed and out at 11:12 PM. Invenstigation disclosed that the dry grass was ignited by unidentified suspect/s which made the fire to spread. Approximately 200 sqm of dry brushed grass was affected and 15 trees were partially damaged by the fire. An IEC to nearby residents were made to stop burning brushed grasses to avoid recurrence of the same event and adviced golf course maintenance and security guard to monitor the area properly.</t>
  </si>
  <si>
    <t>At approximately 9:39 AM, a vehicle (TFQ 524) arrived at the General Office Area. During the unloading / handling process, fuel was accidentally spilled from the vehicle, resulting in a minor fuel spill on the ground near the office vicinity. As stated from Central Operator, the vehicle intended to park at the G.O. area. Whilst backing, the assigned driver noticed the trouble and immediately rushed the vehicle to the Motorpool, which cause the minor spill to spread through its tracks. Spill response procedures were arried out on affected areas. Contaminated absorbent materials were properly turned over to IMD and no injuries were noted. The situation was secured at 9:58 AM.</t>
  </si>
  <si>
    <t>San Roque Area &amp; Tagumbao, Sapid</t>
  </si>
  <si>
    <t xml:space="preserve">At around 6:00 PM, a fire was reported from the Nayak Guard stating that the incident is ongoing at San Roque Area. Upon arrival of the Lepanto fire brigade, SME SH Anongos was on stand by for response, followed y the arrival of the BFP Mankayan. Fire hoses were immediatly connected alng with an ongoing manual suppression by other concerned citizens, while SI Kiblasan and the BFP Mankayan controlled the fire at the upper level near the Orient Cottages. The BFP Mankayak was left behind to suppress the incident while Lepanto Fire Brigade refilled at Tank #7 to proceed at Tagumbao, Sapid where another fire was reported. The Tagumbao fire was out at 8:45PM
Investigations disclosed that the fire at San Roque began from a bonfire or burnt dry woods / leaves of unidentified passerby / picknickers), while the fire at Tagumbao was started by burnt garbages from unidentifies suspects. 
Approximately 900 sqm was affected at San Roque Area while 400 sqm at Tagumbao, Sapid Area. </t>
  </si>
  <si>
    <t>Slaughter, San Roque</t>
  </si>
  <si>
    <t>Burning of dry grass</t>
  </si>
  <si>
    <t>Burning of Garbage</t>
  </si>
  <si>
    <t>Julius K. Finatec</t>
  </si>
  <si>
    <t>MPG - Mill Operations - Crushing &amp; Grinding</t>
  </si>
  <si>
    <t>DBA / JTD / APLJr.</t>
  </si>
  <si>
    <t>The victim and his assigned buddy was assigned at 21516 Raise access, after conducting barring down and fixing their air and water pipes. His buddy proceeded to inspect the RDM for any defects while the victim went to hand muck at the left side of the panel while facing the right side. While the victim was on the midst of clearing rock materials intended for the lifter holes, he bowed down to remove some rocks that are hard to be removed by the shovel while his left hand is still holding the shovel on a standing position while his other hand was doing the work. Moments later a small rock fell, he was about to straighten his posture to inspect the source of the rock when a larger rock suddenly slide from the chest level of the side wall area.</t>
  </si>
  <si>
    <t>Direct Causes: Failure to Secure due to lack of proper hazard assessment; Hazardous Work Environment due to poor visibility due to accumulated dust on the rock surface which contributed to difficulty in identifying hazards.
Recommendation 1: Remove unstable / stacked rock immediately after hauling muck to prevent potential sliding during stope clearance operations. (Responsible unit/s: On-Shift supervisor / Miner, MOG)
Recommendation 2: Ensure proper hazard assessment of face, wall and back before allowing any manual work (Responsible unit/s: On-Shift supervisor / Miner, MOG)</t>
  </si>
  <si>
    <t>Failure to Secure: lack of Hazard Assessment: Improper placement of tools, placed under unstable ground condition; Hazardous Workplace Environment;
Recommendation: Install tool racks in each stoping panel (by: Miners / Supervisors)
Recommendation: Conduct pre-task HIRARC before performing a task. Ensure that no further task is conducted if hazards have not been corrected (by: On-shift supervisor / Geologic aids)
Recommendation: Strictly follow espablished SOP (all tools be designated and stored at a safe distance of at least 20 meters away from the active working face to prevent exposure to ground instability and falling rock hazards (by: on-shift supervisors / miners)</t>
  </si>
  <si>
    <t>JUN JUN G. DAGYO</t>
  </si>
  <si>
    <t>Mill Engineering Service Vehicle</t>
  </si>
  <si>
    <t>NESTOR O. DUGAO</t>
  </si>
  <si>
    <t>JOMEL W. DAWING</t>
  </si>
  <si>
    <t>ALBERT M. ALIGA</t>
  </si>
  <si>
    <t>REYMARK L. LANGOEY</t>
  </si>
  <si>
    <t>KEVIN A. PALANGDAO</t>
  </si>
  <si>
    <t>Geologic Sampler</t>
  </si>
  <si>
    <t>Shaftman</t>
  </si>
  <si>
    <t>Rock Drill Shop</t>
  </si>
  <si>
    <t>Timber Yard, Nayak</t>
  </si>
  <si>
    <t>Bullet P. Tangcalagan</t>
  </si>
  <si>
    <t>Andy M. Delumen</t>
  </si>
  <si>
    <t>Edie S. Pacsay</t>
  </si>
  <si>
    <t>Mauricio D. Bangngayon</t>
  </si>
  <si>
    <t>Waiting for the LHD mucking activity</t>
  </si>
  <si>
    <t>Cleaning of Blast Hole through blow piping</t>
  </si>
  <si>
    <t>Going out of the Service Truck</t>
  </si>
  <si>
    <t>MAT/WDL/RWV</t>
  </si>
  <si>
    <t>AOV/WLT/EAR/MAT</t>
  </si>
  <si>
    <t>SAU</t>
  </si>
  <si>
    <t>WDL/RWV</t>
  </si>
  <si>
    <t>MAT/WLT</t>
  </si>
  <si>
    <t>225 6L1</t>
  </si>
  <si>
    <t>256 RB Access</t>
  </si>
  <si>
    <t>249 Rock Drill Shop</t>
  </si>
  <si>
    <t xml:space="preserve">Change Room, Tubo </t>
  </si>
  <si>
    <t>Nayak Adit Portal</t>
  </si>
  <si>
    <t>Jun Jun G. Dagyo</t>
  </si>
  <si>
    <t>225 6L1, 870L</t>
  </si>
  <si>
    <t>At approximately 11:00 am, March 9, 2026, the victim, assigned at 225 6L1 attempted to perform hand mucking activity. He suddenly felt body pain followed by dizziness that caused him to vomit on the spot. The incident then relayed to their supervisor who called the control operator. The victim was assited to the 1150L shaft station. Upon arrival of the ambulance, the site nurse immediately inserted a dextrose to hydrate the victim. They then transported the patient to Lepanto Hospital.</t>
  </si>
  <si>
    <t>Nestor O. Dugao</t>
  </si>
  <si>
    <t>Albert M. Aliga</t>
  </si>
  <si>
    <t>Jomel M. Dawing</t>
  </si>
  <si>
    <t>Reymark M. Langoey</t>
  </si>
  <si>
    <t>Kevin A. Palangdao</t>
  </si>
  <si>
    <t xml:space="preserve">Four (4) of one team, including hte victim just finished sampling the wall vein of 248 before proceeding to refresh at 256 R.B. Access. Section Head BPT gave them instruction to wait for the completion of of mucking at 2564 8M2 (SO) before sampling and then proceeded to inspect 2323&amp; 227 cavemuck. Minutes later, the victim complined that he has difficulty of breathing so he asked permission to exit earlier at the 248 resting station around 10 am. Supervisor BPT arrived at the resting station with the victim washing his boots and then complaining about his condition which has gotten worse. His supervisor immidiately called the control operator to report the matter. The victim was then assited and brought out via Tubo. </t>
  </si>
  <si>
    <t>The victim and his buddy were assigned at 320 XCE, 1000L. After completing the drilling of twenty-four (24) blastholes, the victim proceeded to clean the cut holes through blow piping in preparation for explosive charging. While carrying out this task, a rock suddenly sloughed off from the back, just above the top hole, and struck his forehead, causing a laceration injury.</t>
  </si>
  <si>
    <t>The victim was on the process of knocking the control valve assembly of RDM # 22013 using a fabricated chisel when it broke and hitting his middle finger causing his injury.</t>
  </si>
  <si>
    <t>The victim was resting in the Hoist Room when he suddenly experienced stomach pain. He proceeded to the change room to change his working clothes but the pain intensified and became severe. Shortly after, the victim was found by Mr. Moses Salio-an in a fetal position and having difficulty breathing due to the severity of the pain.</t>
  </si>
  <si>
    <r>
      <t>The victim opened the tailgate of the shuttle truck service (“</t>
    </r>
    <r>
      <rPr>
        <i/>
        <sz val="12"/>
        <rFont val="Century Gothic"/>
        <family val="2"/>
      </rPr>
      <t>Kalalaw</t>
    </r>
    <r>
      <rPr>
        <sz val="12"/>
        <rFont val="Century Gothic"/>
        <family val="2"/>
      </rPr>
      <t>”) at the Nayak Portal. Upon alighting via the step board, he accidentally slipped on the first step and fell to the ground. The incident was further influenced by the force of several men behind him who were rushing to disembark from the service.
As a result of the fall, the victim’s forehead (above the left eyebrow) and the lower part of his eyelid struck the ground at Adit #1, causing a laceration injury. First aid was immediately administered to control the wound and the victim was subsequently transported by ambulance to Lepanto Hospital for further medical treatment.</t>
    </r>
  </si>
  <si>
    <t>In the process of knocking out the control valve assembly of RDM #22013</t>
  </si>
  <si>
    <t>Changing his working clothes</t>
  </si>
  <si>
    <t>GUERICK LEE B. BALONG</t>
  </si>
  <si>
    <t>Maintenance Man (TSF)</t>
  </si>
  <si>
    <t>Guerick Lee B. Balong</t>
  </si>
  <si>
    <t xml:space="preserve">At around 8:30 AM, the TSF crew is conducting tree cutting and retrieval of logs at proposed quarry area. Suddenly, the victim slipped on the process of clearing branches. This resulted to a lacerated left hand. </t>
  </si>
  <si>
    <t>Bonanza Quarry, TSF</t>
  </si>
  <si>
    <t>Fabrian Roderick S. Likigan</t>
  </si>
  <si>
    <t>Jordan P. Masidong</t>
  </si>
  <si>
    <t>Clearing vegetation</t>
  </si>
  <si>
    <t>Bonanza Quarry</t>
  </si>
  <si>
    <t>Angelito A. Delim</t>
  </si>
  <si>
    <t>Mine Geology Operations</t>
  </si>
  <si>
    <t>Sandro Daniel G. Cababa</t>
  </si>
  <si>
    <t>The victim opened the tailgate of the shuttle truck service (“Kalalaw”) at the Nayak Portal. Upon alighting via the step board, he accidentally slipped on the first step and fell to the ground. The incident was further influenced by the force of several men behind him who were rushing to disembark from the service.
As a result of the fall, the victim’s forehead (above the left eyebrow) and the lower part of his eyelid struck the ground at Adit #1, causing a laceration injury. First aid was immediately administered to control the wound and the victim was subsequently transported by ambulance to Lepanto Hospital for further medical treatment.</t>
  </si>
  <si>
    <t>ALD / JKF / -</t>
  </si>
  <si>
    <t>KLLU / BPT / SDGC</t>
  </si>
  <si>
    <t>HGA / RTS / AMD</t>
  </si>
  <si>
    <t>JTC / ESP / AAD</t>
  </si>
  <si>
    <t>VAB / DSG / MDB</t>
  </si>
  <si>
    <t>Lacerated Wound, Left Hand</t>
  </si>
  <si>
    <t>Fit to Work</t>
  </si>
  <si>
    <t>Superficial Avulsed Wound, 3rd Digit Left Hand</t>
  </si>
  <si>
    <t>Xray of Left Hand, Anti-Tetanous Vaccine, Antibiotics, Analgesic</t>
  </si>
  <si>
    <t>Wound Suturing, Anti-Tetanous Vaccine, Antibiotics, Analgesics</t>
  </si>
  <si>
    <t>Smoke Inhalation Injury</t>
  </si>
  <si>
    <t>Admission</t>
  </si>
  <si>
    <t>For further Medical Evaluation: For in-patient management</t>
  </si>
  <si>
    <t>Multiple Physical Injuryies, Secondary to fall</t>
  </si>
  <si>
    <t>Skull Xray, Wound Suturing, Anti-Tetanous Vaccine, Antibiotics, Analgesics</t>
  </si>
  <si>
    <t>Acute Gastritis</t>
  </si>
  <si>
    <t>Admitted for IV Hydration and Medication</t>
  </si>
  <si>
    <t>T/C Electrolyte Imbalance</t>
  </si>
  <si>
    <t>IVF Hydration</t>
  </si>
  <si>
    <t xml:space="preserve">Multiple Lacerated Wound on Forehead </t>
  </si>
  <si>
    <t>Findings: 
1. Superficial Avulsed Wound, 3rd Digit Left Hand
2. Using defective equipment / fabricated tool due to absence of proper tool for the job at the moment of need on the area.
3. Poor judgement: Assuming the fabricated tools are proper for the job. 
4. Lack of supervision
Recommendations:
1. Use the right tools for the job.
2. Report defective tools for repair.
3. Request for the right tools to be used. Plan ahead.</t>
  </si>
  <si>
    <t>Findings:
1. Failure to secure self: Acute Gastritis
Recommendation:
1. All Employees: Ensure schedules meal breaks are strictly observes to avoid prolonged fasting
2. All Employees: Encourage workers to maintain proper hydration during shifts
3. Victim / Concerned Employees: Conduct regular medical check-ups with focus on gastro-intestinal conditions.</t>
  </si>
  <si>
    <t>Baker S. Calbid</t>
  </si>
  <si>
    <t>Findings:
1. Lacerated Wound, Left Hand
2. Uneven and slippery surface on work area
3. Bolo caused the laceration
Recommendation:
1. All Employees: Secure, monitor and observe the working area at all times
2. All workers involved: Use mechanical devises or taglines to retrieve cut logs and move it to a more flat area for further clearing.</t>
  </si>
  <si>
    <t>NORVY P. FRANCISCO</t>
  </si>
  <si>
    <t>Mill Mechanical ADH</t>
  </si>
  <si>
    <t>March 24, 2026</t>
  </si>
  <si>
    <t>Kay B. Lacambra</t>
  </si>
  <si>
    <t>Wound Suturing</t>
  </si>
  <si>
    <t>JOEBERT G. BITOT</t>
  </si>
  <si>
    <t>Reynaldo G. Cawi</t>
  </si>
  <si>
    <t>Boiler Room Extension</t>
  </si>
  <si>
    <t>Roof Installment</t>
  </si>
  <si>
    <t>Mill Projects</t>
  </si>
  <si>
    <t>KBL / RGC / -</t>
  </si>
  <si>
    <t>Jefferson V. Ramos</t>
  </si>
  <si>
    <t>March 25, 2026</t>
  </si>
  <si>
    <t>KBL / RGC / JVR</t>
  </si>
  <si>
    <t>FRSL / JPM / -</t>
  </si>
  <si>
    <t>FABJr. / BSC / -</t>
  </si>
  <si>
    <t xml:space="preserve">While the Mill Engineering crew installed roofing on the boiler room extension, victim no. 1 removed an 8mm x 400mm rebar with a guide string welded to the rafter. After placing it atop the roof, the string snagged on his work glove, causing the rebar to fall and strike victim no. 2's skull guard, who was talking with the ENERTECH Supervisor below victim no. 1's work area at the time. </t>
  </si>
  <si>
    <t>Joebert G. Bitot &amp; Norvy P. Francisco</t>
  </si>
  <si>
    <t>Gate 3, Casubigan, Sapid Crusher</t>
  </si>
  <si>
    <t>At around 6:00 PM, G.O. Guard was informed of a n ongoing bush fire at Gate 3 road, Casubigan, and Sapic Crusher. Upon immediate verification, they noticed that the fire is spreading so the powerhouse was informed along with ERT. Arriving at the Gate 3 scene, other IOSD team members present were manually suppressing the fire. This was followed by the dispensing of water from the fire truck via its water canon to suppress the incident and respond to the other two reported fire. Sapid Crusher was next in line to be responded. Present ERT thereat were manually suppressing the fire thriugh a fire line. Immediate suppression was conducted  with the fire truck. During clearing and investigation, findings are as follows: Approximately:
* 30 sqm and 1 grown pine tree partially burnt (Gate 3)
* 8 sqm burnt (Casubigan)
* 16 sqm and 2 grown pine trees partially burnt (Sapid Crusher)
Responders conducted briefing and agreed to advise the community not to carry or play any fire related equipment things of throwing of cigarette butts specially this summer season.</t>
  </si>
  <si>
    <t>FOREST FIRE</t>
  </si>
  <si>
    <t>March 26, 2026</t>
  </si>
  <si>
    <t>REYMAR M. GINPAC</t>
  </si>
  <si>
    <t>860L</t>
  </si>
  <si>
    <t>Finding for a resting place after sampling on Section 1</t>
  </si>
  <si>
    <t>AOV/MAT/JAW/WDL</t>
  </si>
  <si>
    <t xml:space="preserve">249 Roadway </t>
  </si>
  <si>
    <t>Old Gate 3</t>
  </si>
  <si>
    <t>Sapid Crusher</t>
  </si>
  <si>
    <t>ENC / KTA / ACG</t>
  </si>
  <si>
    <t>Lee L. Deya-As Jr.</t>
  </si>
  <si>
    <t>LEE L. DEYA-AS JR.</t>
  </si>
  <si>
    <t>Maintenance Man (PCES)</t>
  </si>
  <si>
    <t>March 28, 2026</t>
  </si>
  <si>
    <t>March 30, 2026</t>
  </si>
  <si>
    <t>Resizing salvaged lumber using an arbor saw</t>
  </si>
  <si>
    <t>RML / ENC / ACG</t>
  </si>
  <si>
    <t>T/C Electrolyte Imbalance vs. Heat Exhaustion</t>
  </si>
  <si>
    <t>Oral Hydration</t>
  </si>
  <si>
    <t>For further Medical Evaluation: For Serum Electrolytes;
Fit to work</t>
  </si>
  <si>
    <t>ALD / - / NDJ</t>
  </si>
  <si>
    <t>Non Penetrating Chest Injury</t>
  </si>
  <si>
    <t>Reymar M. Ginpac</t>
  </si>
  <si>
    <t>249 Roadway, 860L</t>
  </si>
  <si>
    <t>At around 8:15 AM, the victim and his companion went to the newly opened panel (24901 8N2). After taking measurements at the said panel, they went to check another 248 8N2 panel. However, the panel visited was being mucked out making them opt for another resting area. Another three panels (256 RB; 255I LPT Loading bay, 230 J Decline) were already visited, yet the presence of excessive smoke from loaders was still felt. By the 3rd area visited, the victim felt cramps on his right leg before deciding to retreat at the 249 station. This is where the victim felt uneasy and the cramps on his leg became severe. They then decided to call the incident. At around 10:10 AM, Mr. Ginpac was picked up by the ambulance and was sent to the hospital.</t>
  </si>
  <si>
    <t xml:space="preserve">The victim and two (2) of his companions were tasked with resizing salvaged lumber for use as purlins using an arbor saw. At approximately 11:00 AM, while resizing the wood, an embeded nail flew out and punctured the victim's left chest. The victim did not notice this at first. When he felt difficulty in breathing, the victim thought to check himself. It is then when he found the nail embedded in his chest. They immediately stopped the operation, and the victim removed the nail himself. Noticing that he was becoming dizzy, his co workers immediately called the medical team for first aid. The victim was then rushed to the emergency room for immediate medical attention. </t>
  </si>
  <si>
    <t>Panad Roadway, Poblacion</t>
  </si>
  <si>
    <t>Panad Roadway to Gate 1, Poblacion</t>
  </si>
  <si>
    <t>Remar M. Ginpac</t>
  </si>
  <si>
    <t>Casubigan, Sapid</t>
  </si>
  <si>
    <t>For further Medical Evaluation: Recommended for light works, 7 days subject to re-evaluation;
Fit to work</t>
  </si>
  <si>
    <t>Findings: 
1. T/C Electrolyte Imbalance vs. Heat Exhaustion; Treatment Provided: Wound Suturing, Anti-Tetanous Vaccine, Antibiotics, Analgesics; For further Medical Evaluation: For Serum Electrolytes;
Fit to work
2. Contact with Heat: Inadequate Ventilation / Hazardous Environment Conditions: Inadequate Engineering, Inadequate standards, specifications, and/or design criteria, Inadequate evaluation of changes. 
3. Lack of Rest by the victim
Recommendations: 
1. Ventilation team should fix the air quality or quantity in the area
2. Report to work well rested and in condition of work; have a regular check up</t>
  </si>
  <si>
    <t>Findings: 
1. Non Penetrating Chest Injury; Details of Treatment Provided: Wound Suturing, Anti-Tetanous Vaccine, Antibiotics, Analgesics; For further Medical Evaluation: Recommended for light works, 7 days subject to re-evaluation; Fit to work
2. Failure to Secure: Inadequate / no sufficientact of thorough inspection
3. Inadequate use of PPE
4. Inadequate work standards: No procedures / rules stating that all lumbers being reused has to undertake thorough checking nor were there SOP that salvaged lumbers should not undergo resizing using powered saws.
5. There was insufficient condoning of unsafe act on the use of appropriate PPE
Recommendations: 
1. Salvaged lumbers shall not be resized using an arbor saw
2. Thorough inspection of equipment / tools / other materials prior to starting a task to eliminate hazards
3. Use appropriate PPE - approved apron should be used</t>
  </si>
  <si>
    <t>At prroximately 1:50 PM, Old crusher Residents reported a bush fire at the LMD Old Crusher Golf Area. Upon confirmation, details were relayed immediately to Central who disseminated the information to concerned responders. Incoming 3rd shifters and outgoing 2nd from the Fire Brigade responded immediately to the site with the fire truck. Response was assisted by the BFP Mankayan via the TFQ 514 vehicle, who was then conducting an IEC at Mill Residantials. 
Upon arrival at the site on 2:04 PM, the team immediately connected the fire hose to the fire truck abd began fire suppression. Concerned citizens present assisted in the fire suppression. Joint efforts was made until fire out was declared at 2:50 PM.</t>
  </si>
  <si>
    <t xml:space="preserve">At prroximately 1:50 PM, Old crusher Residents reported a bush fire at the LMD Old Crusher Golf Area. Upon confirmation, details were relayed immediately to Central who disseminated the information to concerned responders. Incoming 3rd shifters and outgoing 2nd from the Fire Brigade responded immediately to the site with the fire truck. Response was assisted by the BFP Mankayan via the TFQ 514 vehicle, who was then conducting an IEC at Mill Residantials. 
Upon arrival at the site on 2:04 PM, the team immediately connected the fire hose to the fire truck abd began fire suppression. Concerned citizens present assisted in the fire suppression. Joint efforts was made until fire out was declared at 2:50 PM. Forest fire resulted in several pine trees partially burnt. </t>
  </si>
  <si>
    <t>Sapid Crusher Area</t>
  </si>
  <si>
    <t>March 29, 2026</t>
  </si>
  <si>
    <t>left upon entrance from Marivic of the Golf area</t>
  </si>
  <si>
    <t>At around 1:39 AM, Central has received a celllphone call from rounding VSAI Patrol of a bush fire at golf / old crusher area. After, all concerned responders were alerted. Move out strated at 1:44 PM and arrived at the scene at 1:51 PM. Fire hose was connected to the fire truck and fire suppression began. The BFP Mankayan Arrived moments later and assisted until the fire was declared out at 2:02 PM</t>
  </si>
  <si>
    <t>Findings:
1. The said fire originated from dry vegetation (grass, leaves, shrubs) in the old crusher / Golf area.
2. The area accumulated combustible materials due to seasonal dryness and lack of vegetation clearing. 
Corrective Actions:
1. Install "No Burning / No Open Flame" signages in Old crusher and Golf Area
2. Conduct Awareness drives for residents and workers on bushfire risks and safe practices.
3. Enforece strict penalties for unauthorized burning or negligent activities.</t>
  </si>
  <si>
    <t>At around 1:39 AM, G.O. Central has received a celllphone call from rounding VSAI Patrol of a bush fire at golf / old crusher area. After, all concerned responders were alerted. Move out strated at 1:44 PM and arrived at the scene at 1:51 PM. Fire hose was connected to the fire truck and fire suppression began. The BFP Mankayan Arrived moments later and assisted until the fire was declared out at 2:02 PM</t>
  </si>
  <si>
    <t>During a fire and evacuation drill at the Carpentry Section arounf 9:50 AM, a radio call from G.O. Central was relayed. Reporting about a bush fire at Gate 1 of the LMD / Panad Area. Upon confirmation, Fire Brigade responders proceeded to the location. After assessment of the situation after arriving, fire fighting operations were applied to avoid reaching nearby properties and areas. Fire out was successfully contained and extinguished at around 10:29 AM.</t>
  </si>
  <si>
    <t>Findings:
1. No actual evidence: Fire was believed to have been started by unidentified person.
Corrective Actions:
1. Install "No Burning / No Open Flame" signages at LMD Gate 1 / Panad Area.
2. Conduct Awareness drives for residents and workers on bushfire risks and safe practices.
3. Enforece strict penalties for unauthorized burning or negligent activities.</t>
  </si>
  <si>
    <t>March 31, 2026</t>
  </si>
  <si>
    <t>Near Executive House</t>
  </si>
  <si>
    <t>Near Basketball Court / Bridge</t>
  </si>
  <si>
    <t>Casubigan / Marivic Area</t>
  </si>
  <si>
    <t>Around 3:07 PM, Environment Officer relayed a telephone call to G.O. Central regarding a Bush fire incident at the Casubigan Area. Information was initially reported by a concerned citizen / MALEJODA Driver. Upon receiving the report, information was relared to the responders. After confirmation, Fire Brigade responders immediately proceeded to the fire truck and prepared necessary equipment. Surface Responders were already began fire suppression on the area supported by the Fire Brigade responders, preventing further spread of the fire. The area was monitored after the operation to ensure that no remaining fire or possible re-ignition would occur. Fire out was declared at 4:09 PM. The BFP Assisted in the fire suppression as well.</t>
  </si>
  <si>
    <t>Findings: 
1. Fire was believed to have been started by unidentified suspects
Corrective Actions: 
1. Install "No Burning / No Open Flame" signages at the Old Crusher and Golf Area
2. Conduct awareness for residents and workers on bushfire risks and safe practices
3. Enforce strict penalties for unauthorized burning or negligent activities.</t>
  </si>
  <si>
    <t>Findings:
1. The incident was believed to have originated from human activity involving an unidentified individual. Due to the absence of confirmed evidence, the exact nature of the act, whether intentional (arson) or accidental (negligence) remains undetermined. Environmental conditions such as dry vegetation and weather may have contributed to the rapid spread of the fire.
Corrective Actions:
1. Increase Public Awareness
2. Conduct Fire Safety Campaigns on: Proper disposal of cigarettes and safe use of open flames
3. Install visible "No Open Fire" / "Fire Danger" signages in vulnerable areas.
4. Enforce regulations and penalties: Striclty onplement laws on illegal burning and fire safety violations; Increase penalties to deter negligent or intentional acts.</t>
  </si>
  <si>
    <t>Industrial Fire Drill at Carpentry Area</t>
  </si>
  <si>
    <t xml:space="preserve">Unsafe Acts </t>
  </si>
  <si>
    <t>Unsafe Conditions</t>
  </si>
  <si>
    <t>System Cause Analysis Technique (SCAT)</t>
  </si>
  <si>
    <t>Types of Contact</t>
  </si>
  <si>
    <t>Struck Against (Running or Bumping Into)</t>
  </si>
  <si>
    <t>Struck By (Hit by Moving Object)</t>
  </si>
  <si>
    <t>Fall on Same Level (Slip &amp; Fall, Trip Over)</t>
  </si>
  <si>
    <t>Caught Between or Under (Crushed or Amputated)</t>
  </si>
  <si>
    <t>Contact With (Electricity, Heat, Cold, Radiation, Caustics, Toxics, Biological, Noise)</t>
  </si>
  <si>
    <t>Fall From Elevation to Lower Level</t>
  </si>
  <si>
    <t>Caught On (Snegged / Hung)</t>
  </si>
  <si>
    <t>Overstress (Overexertion, Overload, Overexposure, Ergonomic)</t>
  </si>
  <si>
    <t>1,2,4,5,12,14-19,26</t>
  </si>
  <si>
    <t>1,2,4-6,9,10,12-16,20,26</t>
  </si>
  <si>
    <t>1,3,5-7,11-17,22</t>
  </si>
  <si>
    <t>4,9,13-16,19,22,26</t>
  </si>
  <si>
    <t>5,6,11,13,14-16,18</t>
  </si>
  <si>
    <t>5,6,11-16,18</t>
  </si>
  <si>
    <t>1,2,5,6,9,11-16,22,28</t>
  </si>
  <si>
    <t>5-7,11-18,20,21,23-25, 27,28</t>
  </si>
  <si>
    <t>Substandard Acts</t>
  </si>
  <si>
    <t>Operating Equipment without Authority</t>
  </si>
  <si>
    <t>Failure to Warn</t>
  </si>
  <si>
    <t>Failure to Secure</t>
  </si>
  <si>
    <t>Operating at Improper Speed</t>
  </si>
  <si>
    <t>Making Safety Devices Inoperative</t>
  </si>
  <si>
    <t>Substandard Conditions</t>
  </si>
  <si>
    <t>Inadequate Guards / Barriers</t>
  </si>
  <si>
    <t>Inadequate / Improper Protective Equipment</t>
  </si>
  <si>
    <t>Defective Tools, Equipment or Materials</t>
  </si>
  <si>
    <t>Congestion or Restricted Action</t>
  </si>
  <si>
    <t>Inadequate Warning System</t>
  </si>
  <si>
    <t>Immediate / Direct Causes</t>
  </si>
  <si>
    <t>I/D Causes</t>
  </si>
  <si>
    <t>B/U Causes</t>
  </si>
  <si>
    <t>2,4,5,7,8,12,13,15</t>
  </si>
  <si>
    <t>1-9,12,13,15</t>
  </si>
  <si>
    <t>2-9,12,13,15</t>
  </si>
  <si>
    <t>2-9,11-13,15</t>
  </si>
  <si>
    <t>5,7-13,15</t>
  </si>
  <si>
    <t>5,7-10,12,13</t>
  </si>
  <si>
    <t>8,9,13</t>
  </si>
  <si>
    <t>8-13</t>
  </si>
  <si>
    <t>8-15</t>
  </si>
  <si>
    <t>Improper Loading</t>
  </si>
  <si>
    <t>Improper Placement</t>
  </si>
  <si>
    <t>Using Defective Equipment</t>
  </si>
  <si>
    <t>Failing to Use PPE Properly</t>
  </si>
  <si>
    <t>Improper Lifting</t>
  </si>
  <si>
    <t>Improper Position for Task</t>
  </si>
  <si>
    <t>Servicing Equipment in Operation</t>
  </si>
  <si>
    <t>Horseplay</t>
  </si>
  <si>
    <t>Under Influence of Alcohol and / or Other Drugs</t>
  </si>
  <si>
    <t>Using Equipment Improperly</t>
  </si>
  <si>
    <t>2-15</t>
  </si>
  <si>
    <t>2-5,7,8,10,12,13,15</t>
  </si>
  <si>
    <t>1-9,11-13,15</t>
  </si>
  <si>
    <t>2-5,7,8,13,15</t>
  </si>
  <si>
    <t>1-10,12,13,15</t>
  </si>
  <si>
    <t>Fire and Explosion Hazards</t>
  </si>
  <si>
    <t>Poor Housekeeping / Disporder</t>
  </si>
  <si>
    <t>Noise Exposure</t>
  </si>
  <si>
    <t>Radiation Exposure</t>
  </si>
  <si>
    <t>Temperature Extremes</t>
  </si>
  <si>
    <t>Inadequate / Excess Illumination</t>
  </si>
  <si>
    <t>Inadequate Ventilation</t>
  </si>
  <si>
    <t>Hazardous Environment Conditions</t>
  </si>
  <si>
    <t>5-13, 15</t>
  </si>
  <si>
    <t>5-14</t>
  </si>
  <si>
    <t>1-3,8,9,11,12</t>
  </si>
  <si>
    <t>8-12</t>
  </si>
  <si>
    <t>8-11</t>
  </si>
  <si>
    <t>Basic / Underlying Causes</t>
  </si>
  <si>
    <t>CAN</t>
  </si>
  <si>
    <t>Personal Factors</t>
  </si>
  <si>
    <t>Inadequate Physical / Physiological Capabality</t>
  </si>
  <si>
    <t>1.10</t>
  </si>
  <si>
    <t>Inappropriate height, weight, size, strength, reach, etc.</t>
  </si>
  <si>
    <t>Restricted range of body movement</t>
  </si>
  <si>
    <t>Limited ability to sustain body positions</t>
  </si>
  <si>
    <t>Substance sensitivities / allergies</t>
  </si>
  <si>
    <t>Sensitivities to sensory extremes (temperature, sound, etc.)</t>
  </si>
  <si>
    <t>Vision deficiency</t>
  </si>
  <si>
    <t>Hearing deficiency</t>
  </si>
  <si>
    <t>Other sensory deficiency (touch, taste, smell, balance)</t>
  </si>
  <si>
    <t>Respiratory Incapability</t>
  </si>
  <si>
    <t>Other permanent physical capabilities</t>
  </si>
  <si>
    <t>Temporary disabilities</t>
  </si>
  <si>
    <t>6,9,12,15,18</t>
  </si>
  <si>
    <t>Inadequate Mental / Psychological Capability</t>
  </si>
  <si>
    <t>2.2</t>
  </si>
  <si>
    <t>2.3</t>
  </si>
  <si>
    <t>2.4</t>
  </si>
  <si>
    <t>2.5</t>
  </si>
  <si>
    <t>2.6</t>
  </si>
  <si>
    <t>2.7</t>
  </si>
  <si>
    <t>2.8</t>
  </si>
  <si>
    <t>2.9</t>
  </si>
  <si>
    <t>2.10</t>
  </si>
  <si>
    <t>2.11</t>
  </si>
  <si>
    <t>Fear and phobias</t>
  </si>
  <si>
    <t>Emotional disturbance</t>
  </si>
  <si>
    <t>Mental Illness</t>
  </si>
  <si>
    <t>Intelligence level</t>
  </si>
  <si>
    <t>Inability to comprehend</t>
  </si>
  <si>
    <t>Poor judgement</t>
  </si>
  <si>
    <t>Poor coordination</t>
  </si>
  <si>
    <t>Slow reaction time</t>
  </si>
  <si>
    <t>Low learning aptitude</t>
  </si>
  <si>
    <t>Low mechanical aptitude</t>
  </si>
  <si>
    <t>Memory failure</t>
  </si>
  <si>
    <t>6,9,10,15,18</t>
  </si>
  <si>
    <t>3.1</t>
  </si>
  <si>
    <t>3.2</t>
  </si>
  <si>
    <t>3.3</t>
  </si>
  <si>
    <t>3.4</t>
  </si>
  <si>
    <t>3.5</t>
  </si>
  <si>
    <t>3.6</t>
  </si>
  <si>
    <t>3.7</t>
  </si>
  <si>
    <t>3.8</t>
  </si>
  <si>
    <t>3.9</t>
  </si>
  <si>
    <t>3.10</t>
  </si>
  <si>
    <t>3.11</t>
  </si>
  <si>
    <t>Physical / Physiological Stress</t>
  </si>
  <si>
    <t>4,6,9,11-13,15,18,20</t>
  </si>
  <si>
    <t>Fatigue due to task load / duration</t>
  </si>
  <si>
    <t>Injury / Illness</t>
  </si>
  <si>
    <t>Fatigue dur to lack of rest</t>
  </si>
  <si>
    <t>Fatigue due to sensory overload</t>
  </si>
  <si>
    <t>Exposure to health hazards</t>
  </si>
  <si>
    <t>Exposure to temperature extremes</t>
  </si>
  <si>
    <t>Oxygen deficiency</t>
  </si>
  <si>
    <t>Atmospheric pressure constrained movement</t>
  </si>
  <si>
    <t>Blood sugar insufficiency</t>
  </si>
  <si>
    <t>Drugs</t>
  </si>
  <si>
    <t>Constrained movement</t>
  </si>
  <si>
    <t>Mental / Psychological Stress</t>
  </si>
  <si>
    <t>1,4,-6,9-12,15,16,18,20</t>
  </si>
  <si>
    <t>4.1</t>
  </si>
  <si>
    <t>4.2</t>
  </si>
  <si>
    <t>4.3</t>
  </si>
  <si>
    <t>4.4</t>
  </si>
  <si>
    <t>4.5</t>
  </si>
  <si>
    <t>4.6</t>
  </si>
  <si>
    <t>4.7</t>
  </si>
  <si>
    <t>4.8</t>
  </si>
  <si>
    <t>4.9</t>
  </si>
  <si>
    <t>4.10</t>
  </si>
  <si>
    <t>4.11</t>
  </si>
  <si>
    <t>Emotional Overload</t>
  </si>
  <si>
    <t>Fatigue due to mental task load / speed</t>
  </si>
  <si>
    <t>Extreme judgement / decision demands</t>
  </si>
  <si>
    <t>Routine, monotony, demand for uneventful vigilance</t>
  </si>
  <si>
    <t>Extreme concentration / perception demands</t>
  </si>
  <si>
    <t>"Meaningless" / "Degrading Activities"</t>
  </si>
  <si>
    <t>Confusing directions / demands</t>
  </si>
  <si>
    <t>Conflicting directions / demands</t>
  </si>
  <si>
    <t>Preoccupation with problems</t>
  </si>
  <si>
    <t>Frustration</t>
  </si>
  <si>
    <t>Lack of Knowledge</t>
  </si>
  <si>
    <t>2,4-13,15,16,18,20</t>
  </si>
  <si>
    <t>5.1</t>
  </si>
  <si>
    <t>5.2</t>
  </si>
  <si>
    <t>5.3</t>
  </si>
  <si>
    <t>5.4</t>
  </si>
  <si>
    <t>5.5</t>
  </si>
  <si>
    <t>Lack of experience</t>
  </si>
  <si>
    <t>Inadequate orientation</t>
  </si>
  <si>
    <t>Inadequate initial training</t>
  </si>
  <si>
    <t>Inadequate update training</t>
  </si>
  <si>
    <t>Misunderstood directions</t>
  </si>
  <si>
    <t>Lack of Skill</t>
  </si>
  <si>
    <t>2,4-10,13,15,16</t>
  </si>
  <si>
    <t>6.1</t>
  </si>
  <si>
    <t>6.2</t>
  </si>
  <si>
    <t>6.3</t>
  </si>
  <si>
    <t>6.4</t>
  </si>
  <si>
    <t>6.5</t>
  </si>
  <si>
    <t>Inadequate initial instruction</t>
  </si>
  <si>
    <t>Inadequate practice</t>
  </si>
  <si>
    <t>Infrequent performance</t>
  </si>
  <si>
    <t>Lack of coaching</t>
  </si>
  <si>
    <t>Inadequate review instruction</t>
  </si>
  <si>
    <t>Improper Motivation</t>
  </si>
  <si>
    <t>7.1</t>
  </si>
  <si>
    <t>7.2</t>
  </si>
  <si>
    <t>7.3</t>
  </si>
  <si>
    <t>7.4</t>
  </si>
  <si>
    <t>7.5</t>
  </si>
  <si>
    <t>7.6</t>
  </si>
  <si>
    <t>7.7</t>
  </si>
  <si>
    <t>7.8</t>
  </si>
  <si>
    <t>7.9</t>
  </si>
  <si>
    <t>7.10</t>
  </si>
  <si>
    <t>7.11</t>
  </si>
  <si>
    <t>7.12</t>
  </si>
  <si>
    <t>7.13</t>
  </si>
  <si>
    <t>7.14</t>
  </si>
  <si>
    <t>1,2,4-6,8,10,11,13,14,17,18</t>
  </si>
  <si>
    <t>Improper performance is rewarded (tolerated)</t>
  </si>
  <si>
    <t>Proper performance is punished</t>
  </si>
  <si>
    <t>Lack of incentives</t>
  </si>
  <si>
    <t>Excessive frustration</t>
  </si>
  <si>
    <t>Inappropriate aggression</t>
  </si>
  <si>
    <t>Improper attempt to save time and effort</t>
  </si>
  <si>
    <t>Improper attempt to avoid discomfort</t>
  </si>
  <si>
    <t>Improper attempt to gain attention</t>
  </si>
  <si>
    <t>Inadequate discipline</t>
  </si>
  <si>
    <t>Inappropriate peer pressure</t>
  </si>
  <si>
    <t>Improper Supervisory example</t>
  </si>
  <si>
    <t>Inadequate performance feedback</t>
  </si>
  <si>
    <t>Inadequate reinforcement of proper behavior</t>
  </si>
  <si>
    <t>Improper production incentives</t>
  </si>
  <si>
    <t>8.1</t>
  </si>
  <si>
    <t>8.2</t>
  </si>
  <si>
    <t>8.3</t>
  </si>
  <si>
    <t>8.4</t>
  </si>
  <si>
    <t>8.5</t>
  </si>
  <si>
    <t>8.6</t>
  </si>
  <si>
    <t>8.7</t>
  </si>
  <si>
    <t>8.8</t>
  </si>
  <si>
    <t>8.9</t>
  </si>
  <si>
    <t>8.10</t>
  </si>
  <si>
    <t>8.11</t>
  </si>
  <si>
    <t>8.12</t>
  </si>
  <si>
    <t>8.13</t>
  </si>
  <si>
    <t>Job Factors</t>
  </si>
  <si>
    <t>Inadequate Leadership &amp;/or Supervision</t>
  </si>
  <si>
    <t>1-6,8-18</t>
  </si>
  <si>
    <t>Unclear / Conflicting reporting relationships</t>
  </si>
  <si>
    <t>Unclear / Conflicting assignment of activity</t>
  </si>
  <si>
    <t>Improper / Insufficient delegation</t>
  </si>
  <si>
    <t>Giving inadequate policy, procedure, practices of guidelines</t>
  </si>
  <si>
    <t>Giving objectives, goals, or standards that conflict</t>
  </si>
  <si>
    <t>Inadequate work planning / programming</t>
  </si>
  <si>
    <t>Inadequate instructions, orientation and/or training</t>
  </si>
  <si>
    <t>Providing inadequate reference documents, directives &amp; guidance publications</t>
  </si>
  <si>
    <t>Inadequate identification &amp; evaluation of loss exposure</t>
  </si>
  <si>
    <t>Lack of supervisory / management job knowledge</t>
  </si>
  <si>
    <t>Inadequate matching of individuak qualifications &amp; job / task requirements</t>
  </si>
  <si>
    <t>Inadequate performance measurement and evaluation</t>
  </si>
  <si>
    <t>Inadequate / Incorrect performance feedback</t>
  </si>
  <si>
    <t>9.1</t>
  </si>
  <si>
    <t>9.2</t>
  </si>
  <si>
    <t>9.3</t>
  </si>
  <si>
    <t>9.4</t>
  </si>
  <si>
    <t>9.5</t>
  </si>
  <si>
    <t>9.6</t>
  </si>
  <si>
    <t>9.7</t>
  </si>
  <si>
    <t>9.8</t>
  </si>
  <si>
    <t>Inadequate Engineering</t>
  </si>
  <si>
    <t>Inadequate assessment of loss exposures</t>
  </si>
  <si>
    <t xml:space="preserve">At 9:51 PM, a fire incident was relayed within the IOSD Guards. The Fire Brigade Team proceeded to the scene, where it was already being secured. Three fire hoses were connected and the fire was suppressed and out at 11:12 PM. Invenstigation disclosed that the dry grass was ignited by unidentified suspect/s which made the fire to spread. Approximately 200 sqm of dry brushed grass was affected and 15 trees were partially damaged by the fire. An IEC to nearby residents were made to stop burning brushed grasses to avoid recurrence of the same event and adviced golf course maintenance and security guard to monitor the area properly. </t>
  </si>
  <si>
    <t>On the third shift of March 14, 2026, Operators noticed Dossing of Lime to Starter Sump was of no / zero supply. Lime operators found out busted lime tank below tank 17/25. The tank was made out of fiber materials which does not meet standards to hold lime materials, which was the only available light materials transported to site by Engineering men who installed. 
Replacement of damaged area with steel plates was recommended. This is to be done by the Mill Engineering Department.</t>
  </si>
  <si>
    <t>Findings:
1. The victim failed to eat breakfast
2. T/C Electrolyte Imbalance
Recommendations:
1. Ventilation: Provide ventilation control on the area
2. All Employees: To ensure proper hydration when working in a warm working environment. 
3. Secure yourself: Report to work conditioned.</t>
  </si>
  <si>
    <t>At approximately 11:00 am, March 9, 2026, the victim, assigned at 225 6L1 attempted to perform hand mucking activity. He suddenly felt body pain followed by dizziness that caused him to vomit on the spot. The incident then relayed to their supervisor who called the control operator. The victim was assisted to the 1150L shaft station. Upon arrival of the ambulance, the site nurse immediately inserted a dextrose to hydrate the victim. They then transported the patient to Lepanto Hospital.</t>
  </si>
  <si>
    <t xml:space="preserve">Four (4) of one team, including the victim just finished sampling the wall vein of 248 before proceeding to refresh at 256 R.B. Access. Section Head BPT gave them instruction to wait for the completion of mucking at 2564 8M2 (SO) before sampling and then proceeded to inspect 2323&amp; 227 cave muck. Minutes later, the victim complained that he has difficulty of breathing so he asked permission to exit earlier at the 248 resting station around 10 am. Supervisor BPT arrived at the resting station with the victim washing his boots and then complaining about his condition which has gotten worse. His supervisor immediately called the control operator to report the matter. The victim was then assisted and brought out via Tubo Shaft. </t>
  </si>
  <si>
    <t>Findings:
1. The location where they rested is along the active roadway so smoke accumulates thereat during mucking activity of adjacent panels
2. Physical / psychological stress; Exposure to Health Hazard: Causing Smoke Inhalation Injury
3. Inadequate maintenance; prevention meassures; assessment of needs
Recommendations:
1. All Employees: Report to work well rested and physically fit
2. Ventilation: Provide adequate ventilation on the area</t>
  </si>
  <si>
    <t>Findings:
1. Multiple Lacerated Wound on Forehead due to being struck by falling rock
2. Failure to secure self: Lack of proper hazard assessment and barring down: The victim was positioned directly beneath the back area where loose rock was present.
3. Hazardous work environment: Clay altered with fault ground condition.
Action Plan:
1. On Shift Supervisor / Miner: Conduct thorough barring down of the back and walls using appropriate scaling tools to remove loose rocks before performing blow piping or other work at the face.
2. On Shift Supervisor / Miner: Ensure proper hazard assessment of face, wall and back before allowing any manual work.</t>
  </si>
  <si>
    <r>
      <t xml:space="preserve">Findings:
1. Multiple Physical Injuries, Secondary to fall
2. Slippery step board of the truck
3. Inadequate supervision: Out going shift rushing and pushing each other in moving out from the </t>
    </r>
    <r>
      <rPr>
        <b/>
        <i/>
        <sz val="72"/>
        <rFont val="Century Gothic"/>
        <family val="2"/>
      </rPr>
      <t>kalalaw.</t>
    </r>
    <r>
      <rPr>
        <b/>
        <sz val="72"/>
        <rFont val="Century Gothic"/>
        <family val="2"/>
      </rPr>
      <t xml:space="preserve">
Recommendations:
1. All Passengers: Ensure proper balance and position in stepping down from a fabricated step board.
2. MMME: Ensure all step boards are repaired and in safe condition to use
3. Supervisors: Strictly implement and ensure discipline while alighting to and from the service, including the man cage.</t>
    </r>
  </si>
  <si>
    <t>Below LMD Morgue</t>
  </si>
  <si>
    <t>At approximately 5:42 PM, G.O. Central Operator received a report from CPJ regarding a bush fire happening below the LMD Morgue. The Fire Brigade was informed of the situation and deployment was ordered. Other responders were informed  as well. Fire brigade arrived at the scene at 5:45PM and began fire suppression. Vulcan Security Agency Inc. was there to assist. Fire out was declared at 6:11PM. 
Sustected cause was due to kaingin (slach-and-burn farming) as well as the accumulation of dry leaves in the area. Approximately 50sqm of vegetation were affectedand two (2) fruit bearing trees (banana and avocado) were damaged.</t>
  </si>
  <si>
    <t xml:space="preserve">At approximately 5:42 PM, G.O. Central Operator received a report from CPJ regarding a bush fire happening below the LMD Morgue. The Fire Brigade was informed of the situation and deployment was ordered. Other responders were informed  as well. Fire brigade arrived at the scene at 5:45PM and began fire suppression. Vulcan Security Agency Inc. was there to assist. Fire out was declared at 6:11PM. </t>
  </si>
  <si>
    <t xml:space="preserve">Findings:
1. Sustected cause was due to kaingin (slach-and-burn farming) as well as the accumulation of dry leaves in the area. Approximately 50sqm of vegetation were affectedand two (2) fruit bearing trees (banana and avocado) were damaged.
Corrective Actions:
1.Conduct regular clearing of dry grass, shrubs, and combustible vegetation around the LMD Morgue area
2. Establish Fire Breaks / Fire lines to contain potential spread of fire. </t>
  </si>
  <si>
    <t>LMD Morgue</t>
  </si>
  <si>
    <t>LMD Morgue Area</t>
  </si>
  <si>
    <t>Below LMD Morgue Area</t>
  </si>
  <si>
    <t>Inadequate consideration of human factors / ergonomics</t>
  </si>
  <si>
    <t>Inadequate standards, specifications and/or design criteria</t>
  </si>
  <si>
    <t>Inadequate monitoring of construction</t>
  </si>
  <si>
    <t>Inadequate assessment of operational readiness</t>
  </si>
  <si>
    <t>Inadequate or improper controls</t>
  </si>
  <si>
    <t>Inadequate monitoring or initial operation</t>
  </si>
  <si>
    <t>Inadequate evaluation of changes</t>
  </si>
  <si>
    <t>Inadequate Purchasing</t>
  </si>
  <si>
    <t>10.1</t>
  </si>
  <si>
    <t>10.2</t>
  </si>
  <si>
    <t>10.3</t>
  </si>
  <si>
    <t>10.4</t>
  </si>
  <si>
    <t>10.5</t>
  </si>
  <si>
    <t>10.6</t>
  </si>
  <si>
    <t>10.7</t>
  </si>
  <si>
    <t>10.8</t>
  </si>
  <si>
    <t>10.9</t>
  </si>
  <si>
    <t>10.10</t>
  </si>
  <si>
    <t>10.11</t>
  </si>
  <si>
    <t>10.12</t>
  </si>
  <si>
    <t>Inadequate specification on requisitions</t>
  </si>
  <si>
    <t>Inadequate Research on materials / equipment</t>
  </si>
  <si>
    <t>Inadequate specifications to vendors</t>
  </si>
  <si>
    <t>Inadequate mode or route of shipment</t>
  </si>
  <si>
    <t>Inadequate receiving inspection and acceptance</t>
  </si>
  <si>
    <t>Inadequate communication of safety and health data</t>
  </si>
  <si>
    <t>Improper handling of materials</t>
  </si>
  <si>
    <t>Improper storage of materials</t>
  </si>
  <si>
    <t>Improper transporting of materials</t>
  </si>
  <si>
    <t>Inadequate identification of hazardous materials</t>
  </si>
  <si>
    <t>Improper salvage and / or waste disposal</t>
  </si>
  <si>
    <t>Inadequate contractor selection</t>
  </si>
  <si>
    <t>Inadequate Maintenance</t>
  </si>
  <si>
    <t>1,3,4,9,12,14</t>
  </si>
  <si>
    <t>1,3,4,6,9,12-15,19</t>
  </si>
  <si>
    <t>1,3,4,6,9,10,13,15,19</t>
  </si>
  <si>
    <t>11.1</t>
  </si>
  <si>
    <t>11.1.2</t>
  </si>
  <si>
    <t>11.1.1</t>
  </si>
  <si>
    <t>11.1.3</t>
  </si>
  <si>
    <t>11.1.4</t>
  </si>
  <si>
    <t>11.2</t>
  </si>
  <si>
    <t>11.2.1</t>
  </si>
  <si>
    <t>11.2.2</t>
  </si>
  <si>
    <t>11.2.3</t>
  </si>
  <si>
    <t>11.2.4</t>
  </si>
  <si>
    <t>Inadequate Preventive</t>
  </si>
  <si>
    <t>Assessment of needs</t>
  </si>
  <si>
    <t>Lubrication and Servicing</t>
  </si>
  <si>
    <t>Adjustment / Assembly</t>
  </si>
  <si>
    <t>Cleaning / Resurfacing</t>
  </si>
  <si>
    <t>Inadequate Reparative</t>
  </si>
  <si>
    <t>Communication of Needs</t>
  </si>
  <si>
    <t>Scheduling of work</t>
  </si>
  <si>
    <t>Examination of units</t>
  </si>
  <si>
    <t>Part Substitution</t>
  </si>
  <si>
    <t>Inadequate Tools and Equipment</t>
  </si>
  <si>
    <t>12.1</t>
  </si>
  <si>
    <t>12.2</t>
  </si>
  <si>
    <t>12.3</t>
  </si>
  <si>
    <t>12.4</t>
  </si>
  <si>
    <t>12.5</t>
  </si>
  <si>
    <t>12.6</t>
  </si>
  <si>
    <t>12.7</t>
  </si>
  <si>
    <t>Inadequate assessment of needs and risks</t>
  </si>
  <si>
    <t>Inadequate human factors / ergonomics considerations</t>
  </si>
  <si>
    <t>Inadequate standards / specifications</t>
  </si>
  <si>
    <t>Inadequate availability</t>
  </si>
  <si>
    <t>Inadequate adjustment / repair / maintenance</t>
  </si>
  <si>
    <t>Inadequate salvage and reclamation</t>
  </si>
  <si>
    <t>Inadequate removal and replacement of unsuitable items</t>
  </si>
  <si>
    <t>1,3,4,6,7,9,11,12,14,15,19</t>
  </si>
  <si>
    <t>Inadequate Work Standards</t>
  </si>
  <si>
    <t>13.1</t>
  </si>
  <si>
    <t>Inadequate development of standards for:</t>
  </si>
  <si>
    <t>13.1.1</t>
  </si>
  <si>
    <t>13.1.2</t>
  </si>
  <si>
    <t>13.1.3</t>
  </si>
  <si>
    <t>13.1.4</t>
  </si>
  <si>
    <t>Inventory and evaluation of exposures and needs</t>
  </si>
  <si>
    <t>Coordination with process design</t>
  </si>
  <si>
    <t>Employee involvement</t>
  </si>
  <si>
    <t>Procedures / Practices / Rules</t>
  </si>
  <si>
    <t>1-11,13-16,19</t>
  </si>
  <si>
    <t>13.2</t>
  </si>
  <si>
    <t>Inadequate communication of standards for:</t>
  </si>
  <si>
    <t>13.2.1</t>
  </si>
  <si>
    <t>13.2.2</t>
  </si>
  <si>
    <t>13.2.3</t>
  </si>
  <si>
    <t>13.2.4</t>
  </si>
  <si>
    <t>13.2.5</t>
  </si>
  <si>
    <t>Publication</t>
  </si>
  <si>
    <t>Distribution</t>
  </si>
  <si>
    <t>Translation of Appropriate languages</t>
  </si>
  <si>
    <t>Training</t>
  </si>
  <si>
    <t>Reinforcing with signs, color codes, and job aids</t>
  </si>
  <si>
    <t>13.3</t>
  </si>
  <si>
    <t>Inadequate maintenance of standards for:</t>
  </si>
  <si>
    <t>13.3.1</t>
  </si>
  <si>
    <t>13.3.2</t>
  </si>
  <si>
    <t>13.3.3</t>
  </si>
  <si>
    <t>Tracking of workflow</t>
  </si>
  <si>
    <t>Updating</t>
  </si>
  <si>
    <t>Monitoring use of procedures / practices / rules</t>
  </si>
  <si>
    <t>13.4</t>
  </si>
  <si>
    <t>Inadequate Monitoring of compliance</t>
  </si>
  <si>
    <t>Excessive Wear and Tear</t>
  </si>
  <si>
    <t>3,4,6,9,10,13-15</t>
  </si>
  <si>
    <t>14.1</t>
  </si>
  <si>
    <t>14.2</t>
  </si>
  <si>
    <t>14.3</t>
  </si>
  <si>
    <t>14.4</t>
  </si>
  <si>
    <t>14.5</t>
  </si>
  <si>
    <t>14.6</t>
  </si>
  <si>
    <t>14.7</t>
  </si>
  <si>
    <t>Inadequate Planning of Use</t>
  </si>
  <si>
    <t>Improper extension of life</t>
  </si>
  <si>
    <t>Inadequate inspection and / or monitoring</t>
  </si>
  <si>
    <t>Improper loading / rate of use</t>
  </si>
  <si>
    <t>Inadequate maintenance</t>
  </si>
  <si>
    <t>Use by unqualified / untrained people</t>
  </si>
  <si>
    <t>use for strong purpose</t>
  </si>
  <si>
    <t>Abuse or Misuse</t>
  </si>
  <si>
    <t>15.1</t>
  </si>
  <si>
    <t>1,3,4,6,8-11,13-17,19</t>
  </si>
  <si>
    <t>Improper conduct that is condoned</t>
  </si>
  <si>
    <t>15.1.1</t>
  </si>
  <si>
    <t>15.1.2</t>
  </si>
  <si>
    <t>Intentional</t>
  </si>
  <si>
    <t>Unintentional</t>
  </si>
  <si>
    <t>15.2</t>
  </si>
  <si>
    <t>Improper conduct that is not condoned</t>
  </si>
  <si>
    <t>15.2.1</t>
  </si>
  <si>
    <t>15.2.2</t>
  </si>
  <si>
    <t>#</t>
  </si>
  <si>
    <t>Control Action Needs</t>
  </si>
  <si>
    <t>Leadership and Administration</t>
  </si>
  <si>
    <t>1.11</t>
  </si>
  <si>
    <t>1.12</t>
  </si>
  <si>
    <t>1.13</t>
  </si>
  <si>
    <t>1.14</t>
  </si>
  <si>
    <t>1.15</t>
  </si>
  <si>
    <t>1.16</t>
  </si>
  <si>
    <t>Loss Control Coordinator</t>
  </si>
  <si>
    <t>Senior and Middle Management Participation</t>
  </si>
  <si>
    <t>Establish Loss Control Performance Strandards</t>
  </si>
  <si>
    <t>Participation in Special Loss Control Activities</t>
  </si>
  <si>
    <t>Agenda Item in Management Meetings</t>
  </si>
  <si>
    <t>Loss Control Reference Manual</t>
  </si>
  <si>
    <t>Internal Audits Conducted</t>
  </si>
  <si>
    <t>Individual  Responsibility for Loss Control Assigned</t>
  </si>
  <si>
    <t>Annual Loss Control Objectives Established</t>
  </si>
  <si>
    <t>Joint Safety and Health Committees and / or Safety and Health Representatives</t>
  </si>
  <si>
    <t>Policy on Refusal to work due to hazards</t>
  </si>
  <si>
    <t>Reference Library</t>
  </si>
  <si>
    <t>Document Control System</t>
  </si>
  <si>
    <t>Applicable regulations, Codes and Standards Identified</t>
  </si>
  <si>
    <t>Communicating with External parties</t>
  </si>
  <si>
    <t xml:space="preserve"> GENERAL MANAGEMENT: </t>
  </si>
  <si>
    <t xml:space="preserve"> General Management Office </t>
  </si>
  <si>
    <t xml:space="preserve"> Safety Department </t>
  </si>
  <si>
    <t xml:space="preserve"> MEPEO </t>
  </si>
  <si>
    <t xml:space="preserve"> SDD </t>
  </si>
  <si>
    <t xml:space="preserve"> Communication Dept. </t>
  </si>
  <si>
    <t xml:space="preserve"> MISD </t>
  </si>
  <si>
    <t xml:space="preserve"> Tailings Storage Facility </t>
  </si>
  <si>
    <t xml:space="preserve"> Waste Water Management </t>
  </si>
  <si>
    <t xml:space="preserve"> Assay  </t>
  </si>
  <si>
    <t xml:space="preserve"> ADMINISTRATIVE SVCS. GROUP: </t>
  </si>
  <si>
    <t xml:space="preserve"> Legal Services </t>
  </si>
  <si>
    <t xml:space="preserve"> Administrative Management </t>
  </si>
  <si>
    <t xml:space="preserve"> IOSD-Communication &amp; AS </t>
  </si>
  <si>
    <t xml:space="preserve"> Medical Dept. </t>
  </si>
  <si>
    <t xml:space="preserve"> HR </t>
  </si>
  <si>
    <t xml:space="preserve"> FINANCE SERVICES GROUP: </t>
  </si>
  <si>
    <t xml:space="preserve"> Accounting </t>
  </si>
  <si>
    <t xml:space="preserve"> Purchasing </t>
  </si>
  <si>
    <t xml:space="preserve"> Inventory Management Dept. </t>
  </si>
  <si>
    <t xml:space="preserve"> TECHNICAL SERVICES GROUP: </t>
  </si>
  <si>
    <t xml:space="preserve"> Technical Management Office </t>
  </si>
  <si>
    <t xml:space="preserve"> Enercon </t>
  </si>
  <si>
    <t xml:space="preserve"> Project Engineering, Surf. Survey &amp; SWM </t>
  </si>
  <si>
    <t xml:space="preserve"> Mechanical Workshops (Machine,Fabrication, Overhauling &amp; TSG-Mine Shops) </t>
  </si>
  <si>
    <t xml:space="preserve"> Surface Mechanical &amp; Electrical (Trans.Svcs., Power Plant, Surface Elect'l.Svcs., Instrument Calib.) </t>
  </si>
  <si>
    <t xml:space="preserve"> MINE GROUP: </t>
  </si>
  <si>
    <t xml:space="preserve"> Mining </t>
  </si>
  <si>
    <t xml:space="preserve"> Mine Management </t>
  </si>
  <si>
    <t xml:space="preserve"> General Mine Services( A&amp;W,TSO,NSO, UG Sandfilling, UG Crushing, Haulage,UG Cons. &amp; Special Projects) </t>
  </si>
  <si>
    <t xml:space="preserve"> Mine Mechanical &amp; Electrical </t>
  </si>
  <si>
    <t xml:space="preserve"> ADIT Rehab </t>
  </si>
  <si>
    <t xml:space="preserve"> MINE ENG'G,GEOLOGY AND VENT: </t>
  </si>
  <si>
    <t xml:space="preserve"> Engineering </t>
  </si>
  <si>
    <t xml:space="preserve"> Geology </t>
  </si>
  <si>
    <t xml:space="preserve"> Mine Ventilation </t>
  </si>
  <si>
    <t xml:space="preserve"> EXPLORATION GROUP: </t>
  </si>
  <si>
    <t xml:space="preserve"> Exploration   </t>
  </si>
  <si>
    <t xml:space="preserve"> MILL GROUP: </t>
  </si>
  <si>
    <t xml:space="preserve"> Mill Management </t>
  </si>
  <si>
    <t xml:space="preserve"> Mill Operations </t>
  </si>
  <si>
    <t xml:space="preserve"> Metallurgical Laboratory </t>
  </si>
  <si>
    <t xml:space="preserve"> Tamangan Lime Plant </t>
  </si>
  <si>
    <t xml:space="preserve"> Upper and Lower Tram Operations </t>
  </si>
  <si>
    <t xml:space="preserve"> Mill Mechanical &amp; Electrical </t>
  </si>
  <si>
    <t xml:space="preserve"> Mill Eng'g.-PCEA's </t>
  </si>
  <si>
    <t>TP3 Dam Area</t>
  </si>
  <si>
    <t>April 17, 2026</t>
  </si>
  <si>
    <t xml:space="preserve">On or about 4:30 PM on April 17, 2026, Vulcan Agents proceeded to DAM 4 area to verify a reported forest fire reported by their co-worker that was passed by to the G.O. Central. At 4:32 PM, fire brigade responsers initiated the fire truck and proceeded to the scene. Due to the terrain and location, the area was not accessible to the fire truck. The responding team established a fire line instead to prevent the spread of the fire. At 5:30 PM, the fire was officially declared extinguished. </t>
  </si>
  <si>
    <t>April 1, 2026</t>
  </si>
  <si>
    <t>Beside Golf Club Hanging Bridge</t>
  </si>
  <si>
    <t>At approximately 9:20 PM, G.O. Central received a fire rport ongoing besides the Golf Club Hanging Foot Bridge. Responders were alerted and the fire brigade hirried to the said area. Upon arrival, fire suppression started. Suppression operations were completed at 9:37Pm follwed by a survey of the area to ensure no re-ignition. The Fire out was officially declared at 9:41 PM.</t>
  </si>
  <si>
    <t>April 4, 2026</t>
  </si>
  <si>
    <t>Beside Golf Club</t>
  </si>
  <si>
    <t>At approximately 9:20 PM, G.O. Central received a fire report ongoing besides the Golf Club Hanging Foot Bridge. Responders were alerted and the fire brigade hirried to the said area. Upon arrival, fire suppression started. Suppression operations were completed at 9:37Pm follwed by a survey of the area to ensure no re-ignition. The Fire out was officially declared at 9:41 PM.</t>
  </si>
  <si>
    <t>At approximately 12:33 PM, G.O. Central received a fire report from BFP Mankayan ongoing at the Golf Area. At the time, LMD fire truck was also assisting another ongoing fire at Colalo Area with the BFP. Around 12:47 PM, the LMD Fire truck pulled out from hte garbage fire at Colalo and immediately proceeded to the bushfire incident at the Golf Area. They arrived at the Scene on 1:00 PM, connected the fire hose to the fire truck and began fire suppression. Fire out was declared at 1:20 PM.</t>
  </si>
  <si>
    <t>April 7, 2026</t>
  </si>
  <si>
    <t>Pathway Shortcut Going to Marivic, Near Waiting Shed</t>
  </si>
  <si>
    <t>At 9:31 AM, two (2) callers confirmed an ongoing fire at the Marivic Area. G.O. Central immediately informed the responders on duty at 9:35 AM. The fire brigade and Safety Responders arrived at the scene at 9:39. Traffic control was conducted by the IOSD-Vulcan ans Safety responders while the others proceeded to suppress the fire. At 9:50 AM, BFP Mankayan Arrived for assistance until the fire was fully suppressed. Fire our was declared at 10:10 PM.</t>
  </si>
  <si>
    <t>Findings:
1. Affected area: approximately 150sqm
2. Affected flora: five (5) pine trees partially burnt
3. Actual response time: 20 minutes
4. Materials used: fire truck, fire hose, PPE
5. Participation: Fire Brigade and Vulcan Responders present; Safety and MEPEO Responders absent
6. Suspected Root Cause: Bonfire left by picknickers
7. Corrective Actions: Conduct regular monitoring and patrolling; Establish fire breaks / fire lines to contain potential spread of fire</t>
  </si>
  <si>
    <t>Findings:
1. Affected area: approximately 70sqm
2. Affected flora: 12 pine trees
3. Response time: 20 Minutes excluding travel to scene
4. Responders: Fire Brigade present, Safety and MEPEO responders are absent.
5. Materials Used: Fire truck, fire hose, PPE
6. Suspected root cause: garbage burning, accumulation of combustible vegetation, and preventive measures
7. Corrective Actions: Conduct regular monitoring and patrolling; Establish fire breaks / fire lines to contain potential spread of fire</t>
  </si>
  <si>
    <t>Findings:
1. Affected area: approximately 200 sqm
2. Affected flora: 19 Pine trees partially burnt
3. Actual response time: 20 minutes
4. Material used: one water hose partially burnt as a result of the process; fire truck, fire hose, PPE
5. Participation: Fire Brigade and Safety present; MEPEO absent
6. Suspected Rood Cause: passerbys using the trail
7. Corrective Actions: Enhancing patrols and monitoring, reinforcing traffic and safety measures</t>
  </si>
  <si>
    <t>Tamangan Area, Lime 2</t>
  </si>
  <si>
    <t>April 8, 2026</t>
  </si>
  <si>
    <t>Temporary Storage Area</t>
  </si>
  <si>
    <t xml:space="preserve">At 11:05 AM, G.O. Central Received a phone call from Gate #4 (Mill) Guard on duty about a reported bushfire at the Tamangan Area. This was relayed to responders on duty for awareness and response. At 11:10 AM, responders started their route and arrived at 11:17 AM. Upon arrival, SNSAI agents were already on the scene. The fire truck was set up immediately and suppression began. Fire Brigade and Safety responders concentrated on flushing the fire while MEPEO established a fire line to prevent the fire from spreading. By 11:25 AM, the fire was controlled. However, the fire truck had to be refilled and so it went to Tank #7 to do so before it returned to continue extinguish the fire. Fire out was finally declared at 12:06. </t>
  </si>
  <si>
    <t>San Antonio Area</t>
  </si>
  <si>
    <t>April 9, 2026</t>
  </si>
  <si>
    <t>Near Tank 10</t>
  </si>
  <si>
    <t xml:space="preserve">Findings:
1. Affected area: approximately 400 sqm
2. Affected flora: 4 pine trees, 1 mango tree, 1 avocado tree partially burnt
3. Actual response time: 50 minutes 
4. Materials used: Fire truck, fire hose, rake, PPE, supply of water is noted to be becoming scarce, radio was used for communication
5. Participation: Fire Brigade, Safety, MEPEO present
6. Suspected Root Cause: unidentified suspect; chemical reaction brought about by acumulated storage of garbage.
7. Corrective Action: Install visible signage warning against garbage burning and open fires; Conduct seasonal inspections during dry months to minimize fire risk </t>
  </si>
  <si>
    <t>At about 11:12 AM, HR Advisor reported a fire near Tank 10 to the G.O. Central Through phone call. Responders were informed and arived at the scene on 11:18 AM. Upon arrival, concerned citizens already started responding to the fire together with Vulcan Agents present. Response required additional time due to the fire truck being positioned far from the site of the incident. At 12:00 PM, fire out was declared.</t>
  </si>
  <si>
    <t>Findings: 
1. Affected area: approximately 150 sqm
2. Affected flora: 6 pine trees partially burnt
3. Actual response time: 30 Minutes
4. Materials used: Fire truck, fire hose, PPE, Hose from nearby lines that were included in the damages
5. Participation: Fire Brigade and Safety Present; MEPEO absent
6. Suspected Root Cause: unidentified sustects (Garbage was nearby and accumulated which was suspected to be where the fire started)
7. Corrective Actions: Install visible signage warning against garbage burning  and oven fires; Conduct seasonal inspections during dry months to minimize fire risk; Install fire hydrants near tanks, particularly Tank 10.</t>
  </si>
  <si>
    <t>Old Crusher, Golf Course</t>
  </si>
  <si>
    <t xml:space="preserve">About 7:28 PM, UG Patrol reported a forest fire at the old crusher. Upon receiving information, responders hurried to the area and suppressed the fire that was extinguished at 7:45PM. The teamfocused on monitoring the fire situation and implementing necessary control measures upon arrival. </t>
  </si>
  <si>
    <t>Findings:
1. Affected Area: Approximately 800 sqm
2. Affected Vegetation: Estimated 24 Pime Trees Partially Burnt
3. Actual duration of response: 47 Minutes including 11 minutes travel from site to scene
4. Participation: Fire brigade Responders only; No Safety and MEPEO responders present
5. Material used: Due to the inaccessible terrain, the fire hose could not reach the affected area, limiting direct supression efforts. Fire lines and manual tools were used effectively as an alternative. However, specialized equipment suitable for difficult terrain may improve future response effectively.
6. Suspected Root Cause: unidentified suspect
7. Corrective Actions: Conduct community awareness campaigns on fire prevention, specially regarding open burning and proper waste disposal; Coordinate with local authorities for regular inspection and monitoring of vulnerable areas</t>
  </si>
  <si>
    <t>Findings:
1. Affected area: approximately 200 sqm
2. Affected flora: 3 Pine trees partially burnt
3. Actual duration of response: 11 Minutes
4. Participation:  Fire brigade present; Safety and MEPEO responders absent
5. Material used: fire truck, fire hose, PPE
6. Suspected Root Cause: unidentified suspect
7. Corrective Actions: Conduct community awareness campaigns on fire prevention, specially regarding open burning and proper waste disposal; Coordinate with local authorities for regular inspection and monitoring of vulnerable areas</t>
  </si>
  <si>
    <t>Gate 1, Panad</t>
  </si>
  <si>
    <t>April 19, 2026</t>
  </si>
  <si>
    <t>Gate 1 Shortcut to Casubigan, Marivic</t>
  </si>
  <si>
    <t xml:space="preserve">About 4:58 PM, Gate 1 Guard reported a bushfire on the area. Fire truck was dispatched along with its responders. Upon arrival, initial assessment was made on the actively spreading fire. Suppression was conducted, along with the aide of the BFP and PNP Mankayan, and declared out at approximately 6:12 PM. Continuous monitoring was made to ensure no reignition. </t>
  </si>
  <si>
    <t>Findings:
1. Affected area: approximately 1500 sqm
2. Affected flora: 25 Pine trees partially burnt
3. Actual duration of response: 63 minutes
4. Participation: Fire brigade present; Safety and MEPEO absent
5. Materials used: fire truck, fire hose, PPE
6. Suspected Root Cause: Possible human-related factors such as unattended ignition sources but no direct evidence was immediately established at the time of response. 
7. Corrective Actions: Conduct community awareness campaigns on fire prevention, specially regarding open burning and proper waste disposal; Coordinate with local authorities for regular inspection and monitoring of vulnerable areas; Conduct regular clrearing of dry grass, leaves, and other combustible materials in and around the area, particularly near Gate 1 and adjacent routes.</t>
  </si>
  <si>
    <t>LUCKY F. GERONILLA</t>
  </si>
  <si>
    <t>RUBEN C. MIANA</t>
  </si>
  <si>
    <t>BAGNI G. DOMONGIT</t>
  </si>
  <si>
    <t>GASPAR T. BANGGUIYAO JR.</t>
  </si>
  <si>
    <t>FELIPE A. DIWAG</t>
  </si>
  <si>
    <t>LEONITO PEROLINO</t>
  </si>
  <si>
    <t>JERON P. MEDRANO</t>
  </si>
  <si>
    <t>JOSEPH A. BANTIYAG</t>
  </si>
  <si>
    <t>Grade Application Analyst</t>
  </si>
  <si>
    <t>QA/QC Aide</t>
  </si>
  <si>
    <t>In front of Mine Office</t>
  </si>
  <si>
    <t>6KB 900L Mainline</t>
  </si>
  <si>
    <t>Nayak Mine Office Compound</t>
  </si>
  <si>
    <t>249 Area</t>
  </si>
  <si>
    <t>1150 Rock Drill Shop</t>
  </si>
  <si>
    <t xml:space="preserve">745 Tubo switch point </t>
  </si>
  <si>
    <t>800 ME-2 CUDDY</t>
  </si>
  <si>
    <t>24048 Access</t>
  </si>
  <si>
    <t>320 B Ramp 1150L</t>
  </si>
  <si>
    <t>1150L</t>
  </si>
  <si>
    <t>800L</t>
  </si>
  <si>
    <t>Keziah C. Chamollog</t>
  </si>
  <si>
    <t>Mark D. Banasan</t>
  </si>
  <si>
    <t>Outgoing : Running in an attempt to ride the bus.</t>
  </si>
  <si>
    <t>Control</t>
  </si>
  <si>
    <t>Mine Resource and Ore Reserves</t>
  </si>
  <si>
    <t>Left Knee Strain; Left Shoulder Abrasion</t>
  </si>
  <si>
    <t>Celecoxib 200mg cap, Elastic Bandage Placed on left knee</t>
  </si>
  <si>
    <t>Rest affected knee, pain meds as needed. Follow up if with persistense of pain; otherwise, Fit to Work</t>
  </si>
  <si>
    <t>Silvestre L. Miguel</t>
  </si>
  <si>
    <t>Randolf O. Anongos</t>
  </si>
  <si>
    <t>Cutting of trabessa along 6KB</t>
  </si>
  <si>
    <t>Community Acquired Pneumonia; Bronchitis, Pulmonary TB</t>
  </si>
  <si>
    <t>Admitted</t>
  </si>
  <si>
    <t>To complete 2 weeks of Anti-Koch's Theraphy</t>
  </si>
  <si>
    <t>To conduct sampling activity along Section 1</t>
  </si>
  <si>
    <t>Migraine Headache</t>
  </si>
  <si>
    <t>Pain Control, Hydration</t>
  </si>
  <si>
    <t>Arthur M. Padica</t>
  </si>
  <si>
    <t>Manual handling of an LHD tire</t>
  </si>
  <si>
    <t>Antonio D. Siyao</t>
  </si>
  <si>
    <t>Traversing the access of 900L while operating the Locomotive</t>
  </si>
  <si>
    <t>FPP</t>
  </si>
  <si>
    <t>Fracture Digital Phalanges 2nd Digit Right Hand</t>
  </si>
  <si>
    <t>For Debridement</t>
  </si>
  <si>
    <t>Contusion Hematoma; Abrasion Right Periorbital Area</t>
  </si>
  <si>
    <t>"Treated" according to Hospital Records</t>
  </si>
  <si>
    <t>DDCP - A.R. Domalsin</t>
  </si>
  <si>
    <t>Jarring and pulling out of rods</t>
  </si>
  <si>
    <t>Barring Down</t>
  </si>
  <si>
    <t>Blast Holes Driiling</t>
  </si>
  <si>
    <t>Admitted for hydration</t>
  </si>
  <si>
    <t>Abrasion, Lacerated Wound, Left Leg</t>
  </si>
  <si>
    <t>ATS/TT, Wound Suturing</t>
  </si>
  <si>
    <t>May go on light job, provided wound will not be soiled. Otherwise, for further medical evaluation until wound has dried and healed</t>
  </si>
  <si>
    <t xml:space="preserve">The victim was rushing in an attempt to ride a bus bound for Cruz when his left knee suddenly gave in. As a result, he fell to the ground and held his knee due to the sudden pain. Several witnesses immediately came to assist him. The victim was later transported to LMD Hospital for a medical check-up. </t>
  </si>
  <si>
    <t>The victim was rushing in an attempt to ride a bus bound for Cruz when his left knee suddenly gave in. As a result, he fell to the ground and held his knee due to the sudden pain. Several witnesses immediately came to assist him. The victim was later transported to LMD Hospital for a medical check-up.</t>
  </si>
  <si>
    <t>The victim and his companion, Mr. Manay-ang, were tasked to change the “trabessa” locomotive track tiles at 6 KB 900L Mainline. While performing their task, they found that the hand saw they were using was dull and unable to cut properly. Because of this, the victim went to borrow a hand saw from another crew stationed nearby.
The victim then resumed sawing the trabessa. However, while carrying out his task, he suddenly felt unwell due to a sharp pain in his chest. He decided to take a rest, but the pain persisted. As his condition did not improve, they decided to stop work early so that he could go to the hospital for further medical evaluation.</t>
  </si>
  <si>
    <t>After visiting several panels at a lower elevation, Mr. Domongit experienced a sudden headache attributed to poor ventilation and a warm working environment. He immediately informed his companion, Mr. Ginpac, who assisted him in proceeding to the 249 Station, where the incident was reported to the Control Operator.
The victim was subsequently transported to LMD Hospital for further medical evaluation.</t>
  </si>
  <si>
    <t>The victim was lifting an LHD tire and positioned himself beside a locker. At the top of the locker, several lock rings were improperly stacked. While the victim was leaning against the side of the locker, the stacked lock rings suddenly fell and struck the second digit of his right hand, resulting in injury.
The victim was subsequently transported to LMD Hospital for further medical evaluation.</t>
  </si>
  <si>
    <t>The victim, together with his companion, was operating the loaded T-21 for the purpose of dumping. Upon reaching the 745 Tubo switch point, the victim failed to notice that the trolley line was cut off, causing it to accidentally hit/scratch the right side of his eye and resulting in injury.
The victim was later transported to LMD Hospital for further medical evaluation.</t>
  </si>
  <si>
    <t>At apprx. 10:40 AM, during the jarring and pulling out of the rod of ME-2 Cuddy 800L, the employee climbed on top of the rig to step on a pipe wrench with an extended pipe to help rotate the rod. This was done because the rod was stuck and could not be turned by the machine. While the pipe wrench was being stepped on, it built up tension and suddenly slipped. As the pipe wrench returned to its original position, it struck the crew member's left elbow, resulting in a laceration.</t>
  </si>
  <si>
    <t>The victim and his companion were conducting barring down in preparation for their plugging activity, on the process the patient felt unwell and retreated an upon reaching the Junction of lower 207 Ramp he cramped. The victim was later transported to LMD Hospital for a medical check-up.</t>
  </si>
  <si>
    <t>The victim and his companion drilled 24 blast holes and lastly drilled the reamer hole, upon retrieval of the reamer rod, the victim instructed his companion to shut off the cpompress air while he detached the rod personally to the RDM when it suddenly detached and the reamer rod fell down and struck his left knee causing laceration injury.</t>
  </si>
  <si>
    <t>Findings / Observations:
1. The victim has a medical history of injury sustained in April 2025 due to a snapped anterioi cruciate ligament (ACL) and is currently inder a one-year rehabilitation plan. 
2. Failure to secure personal safety by rushing or running despite physical limitations: Inadequate physical capability due to incomplete recovery from a prior injury, as the one-year rehabilitation plan has not yet been completed. 
3. Restricted action due to an ongoing one-year rehabilitation for a previous knee injury: Inadequate work standards in time management, resulting in the victim rushing to catch the bus.
4. Muscoskeletal System Injury: Fall on the Same Level: Resulting to left knee strain, left shoulder abrasion. 
5. Treatment Provided : Celecoxib 200mg Cap., Elastic bandage placed on left knee
Recommendation:
1. Avoid sudden or strenuous movements such as running or rushing
2. Use of supportive devices (e.g. knee braces)
3. Rest the affected knee, comply with pain medications as needed, and follow up if pain persists. Otherwise, victim is fit to work.</t>
  </si>
  <si>
    <t>EDWARD P. DAPIDAP</t>
  </si>
  <si>
    <t>Old Traffic Area / Junction</t>
  </si>
  <si>
    <t>Tubo, Old Traffic Area</t>
  </si>
  <si>
    <t>Punctured, Left Forearm</t>
  </si>
  <si>
    <t>Wound care; Amoxicilin 500mg/tab, 1 tab TID PO x 7 days. Paracetamol 500mg/tab 1 tab Q^H PRN for Pain/Fever</t>
  </si>
  <si>
    <t>Inadequate Housekeeping</t>
  </si>
  <si>
    <t xml:space="preserve">At 1:30 AM, on the process of hand mucking with MR. Bakidan, the victim avoided a landslide from their previous works that was accumulated in their work area. While doing so, the victim slipped and fell sideways landing on his left side. Unfortunately, a protruding reusty wire mesh that was installed on the cement he landed on punctured his inner forearm. Upon initial assessment of the victim, the cause of the slip was due to deteriorated copper / "gambang". The victim immediately washed the area and squeezed the injury with an attempt to remove any contaminated fluids, then applied iodine from the nearby first aid box. Due to his wish to finish his activity first, the victim only reported the accident to his reporting supervisor aftyer the shift was finished. When he reported the accident, his supervisor referred him to get the report done and get treated at the hospital. </t>
  </si>
  <si>
    <t>Findings / Observations:
1. Wire mesh was old and rusty
2. Ground Condition: Rusted and Slippery due to Copper Deterioration
3. Cause of Rock Fall: Loose Ground Conditions
4. No Safety officer on Duty when they were called.
5. Sirocco Fan was previously shut off, contributing to the moist condition of the area.
6. Substandard Acts: Inadequate Housekeeping - 
Recommendations:
1. All miners / involved personnel must conduct proper housekeeping before starting work. Secure yourself first.
2.  All miners / involved personnel must avoid accumulating soils / rocks, secure them immediately
3. All Supervisors should do a pep talk on hazardous conditions specially if the area is only visited once in a while.</t>
  </si>
  <si>
    <t>April 6, 2026</t>
  </si>
  <si>
    <t>Hot works: Welding at Crushing area</t>
  </si>
  <si>
    <t>Inadequate Physical Physiological Capability: Vision deficiency</t>
  </si>
  <si>
    <t>Congestion / Restricted Action</t>
  </si>
  <si>
    <t>Inadequate Engineering: Inadequate consideration of human factors / ergonomics, Inadequate minotoring / initial operation</t>
  </si>
  <si>
    <t>JOHN WAYNE L. TUDLONG; JAY-AR B. BANASAN</t>
  </si>
  <si>
    <t>8627; 0063</t>
  </si>
  <si>
    <t>During the crushing operation start-up, the bell was rang followed by the buzzer and shouting of equipments to start. The mill project crew was conducting repair of worn out structures, busy on their welding works were unable to step out immediately over tjis conveyor which they use as platform doing their work.</t>
  </si>
  <si>
    <t>Findings / Observations:
1. Bells and shouts / voices are not heard due to loud noise produced by the equipment in the area.
Recommendations:
1. Never step on the conveyor belt at all cost
2. Increase / replace the bell with one with a louder sound
3. Always check your surroundings first before starting the conveyor belt / equipments. Ensure L.O.T.O.T.O.
4. Provide a proper scafoldings for mill project crew.</t>
  </si>
  <si>
    <t>HOLDING MOTOR OF THE P&amp;H CRANE #1</t>
  </si>
  <si>
    <t>Lifting Equipment</t>
  </si>
  <si>
    <t>April 27, 2026</t>
  </si>
  <si>
    <t>Ernie S. Ringor</t>
  </si>
  <si>
    <t>Crane in operation</t>
  </si>
  <si>
    <t xml:space="preserve">April 27, 2026, 12:30 PM: While the lower tram operator was operating the P&amp;H Crane, he noticed the presence of smoke at the top portion of the equipment he was operating which is why he stopped the activity and immediately checked the equipment. He saw that the Holding motor of the P&amp;H Crane was already on fire. Fortunately, as a trained personnel, he immediately responded to the fire and put it out using the nearest fire extinguisher. </t>
  </si>
  <si>
    <t>Panad, Near Rotunda</t>
  </si>
  <si>
    <t xml:space="preserve">On or about 11:26 AM on the said date, a bush fire was reported which was located at Panad Area, near the rotunda. The GO Central guard was notified and cascaded the information to all responders. The fire truck was dispatched at 11:30 AM, followed by the safety vehicle with its corresponding teams, who then arrived five (5) minutes later at the scene. 
The affected area consisted of reaodside vegetation where the fire was actively spreading , likely due to dry conditions. Fire suppression operations was promptly  initiated with the available resources. 
Afterwards, the fire was declared completely extinguished at approximately 12:05 PM. Continous monitoring and final clearing were conducted to ensure there was no possiblity of rekindling. No casualties were reported during the operation. </t>
  </si>
  <si>
    <t>The victim and his companion, were tasked to change the “trabessa” locomotive track tiles at 6 KB 900L Mainline. While performing their task, they found that the hand saw they were using was dull and unable to cut properly. Because of this, the victim went to borrow a hand saw from another crew stationed nearby.
The victim then resumed sawing the trabessa. However, while carrying out his task, he suddenly felt unwell due to a sharp pain in his chest. He decided to take a rest, but the pain persisted. As his condition did not improve, they decided to stop work early so that he could go to the hospital for further medical evaluation.</t>
  </si>
  <si>
    <t xml:space="preserve">Findings / Observations:
1. Medical Diagnosis: community acquired pneumonia; bronchitis, pulmonary TB
2. Substandard Acts: Using equipment improperly: Failure to secure good/working sharped saw
3. Substandard Acts: Failure to secure: Physical / Physiological Stress: Illness as assessed by medical diagnosis: Failure to assess personal / physical condition / capability to work. 
Recommendations:
1. Treatment given: Complete 2 weeks of Anti-Koch's Theraphy; Victim was admitted 4/4/26
2. All concerned workers must assess themselves before engaging in work. If not able to carry out given tasks, better rest or have a check up. 
3. All concerned should assess their tools before engagin in work. Replace worn out tools with effective ones before proceeding. Raise their concerns to supervisors. All employees have the right to refuse unsafe work conditions given they report the reason why. </t>
  </si>
  <si>
    <t>After visiting several panels at a lower elevation, Mr. Domongit experienced a sudden headache attributed to poor ventilation and a warm working environment. He immediately informed his companion, who assisted him in proceeding to the 249 Station, where the incident was reported to the Control Operator.
The victim was subsequently transported to LMD Hospital for further medical evaluation.</t>
  </si>
  <si>
    <t>Findings / Observations:
1. Medical Diagnosis: migraine headache which was treated by pain control and hydration.
2. Substandard Condition: Temperature extremes &amp; Hazardous Conditions: Inadequate Engineering (Inadequate assessment of operational readiness / evaluation of changes); Inadequate tools and equipment (Inadequate assessment of needs and risks)
Recommendations:
1. Installation of additional ventilation at stated area.</t>
  </si>
  <si>
    <t>Findings / Observations:
1. Medical Diagnosis: fracture of digital phalanges: 2nd digit right hand.
2. Improper housekeeping: lock rings piled atop of the locker
3. Substandard Act: Failure to Secure
4. Substandard Conditions: Poor Housekeeping (Inadequate practice)
Recommendations:
1. Medical Recommendation: Fit to work light works
2. Always observe proper housekeeping in all Areas</t>
  </si>
  <si>
    <t>Lacerated Wound, Left Elbow</t>
  </si>
  <si>
    <t>Findings / Observations:
1. Medical Diagnosis: Lacerated Wound on left elbow with soft tissue contusion; treated via X-Ray, Wound Suturing, Anti-Tetanus, Analgesics, Antibiotics.
2. The employee immediately washed his wounds with clean water. First aid was administered at the cuddy headed by Sir Allan Kitma.
Recommendations:
1. Victim is Fit to work light works for 3 days then for reassessment with the medical team.</t>
  </si>
  <si>
    <t>Findings / Observations:
1. 24048 Access is under warm condition resulting to the dehydration and cramps of the patient
2. Medical Diagnosis: T/C Electrolyte imbalance; admitted for hydration
3. The victim worked from 3rd shift to 2nd shift, leaving 8 hrs of break than the usual 16 hours. 
Recommendations:
1. Report to work well rested and capable to carry out given tasks. Consult with your supervisor if you cannot carry out the shift. 
2. Maintain adequate hydration knowing the working area is in warm conditions
3. Improve Ventilation at the Area</t>
  </si>
  <si>
    <t>The victim and his companion drilled 24 blast holes and lastly drilled the reamer hole, upon retrieval of the reamer rod, the victim instructed his companion to shut off the compressed air while he detached the rod personally to the RDM when it suddenly detached and the reamer rod fell down and struck his left knee causing laceration injury. The victim was later transported to LMD Hospital for a medical check-up.</t>
  </si>
  <si>
    <t>Findings / Observations:
1. Medical Diagnosis: Abrasion, Lacerated Wound, Left Leg; Treated vua Anti-Tetanous Serum (ATS) / Anti-Tetanous Toxoid (ATT), and Wound Suturing
2. Substandard Act: Failure to Secure: Inadequate examination of units and Inadequate maintenance: Cause of injury is due to the sharpened reamer edge of the drill rod due to percussion of the RDM.
3. Substandard Act: Failure to Secure: Inadequate maintenance of standards: Victim detached the drill rod himself.
Recommendations:
1. Fit to work for light job, provided wound will not be soiled. Otherwise, for further medical evaluation until would has dried and healed.
2. All concerned miners / muckers should follow SOP on detaching drill rods to the RDM daily.
3. All concerned miners / muckers should remember to always inspect rod ends for possible deformity and regringing od rod ends to its shape.
4. Inspect possible rod deformity (sharpened edge) for regrinding to its shape</t>
  </si>
  <si>
    <t>Findings: 
1. Affected area: approximately 1500 sqm
2. Actual response time: 30 Minutes
3. Materials used: Fire truck, fire hose, PPE
4. Participation: Fire Brigade and Safety Present; MEPEO absent
6. Suspected Root Cause: improperly discarded cigarette butts combined with dry roadside vegetation
7. Corrective Actions: Community awarenedd campaigns on fire prevention, especially regarding open burning and improper waste disposal; Coordinate with local for regular inspection and monitoring of vulnerable areas; Conduct regular clearing of dry leaves, and other combustible materials in and around the area, particularly Panad Area near rotunda and adjacent access routes.</t>
  </si>
  <si>
    <t>AOV / MAT / WDL</t>
  </si>
  <si>
    <t>ENC / WLT / FPP</t>
  </si>
  <si>
    <t>AOV / MAT</t>
  </si>
  <si>
    <t>AOV / MAT / JAW / SAU / WLT</t>
  </si>
  <si>
    <t>JAW / SAU</t>
  </si>
  <si>
    <t>SLURRY SPILL</t>
  </si>
  <si>
    <t>Environmental Incident - Chemical Spill</t>
  </si>
  <si>
    <t>Leach Tank Area</t>
  </si>
  <si>
    <t>Jeah B. Taguran</t>
  </si>
  <si>
    <t>Drill Helper / Drilling Aide</t>
  </si>
  <si>
    <t>KLLU / KCC / MDB</t>
  </si>
  <si>
    <t>JTC / ROA / SLM</t>
  </si>
  <si>
    <t>FABJr. / ABY / AMP</t>
  </si>
  <si>
    <t>JTC / ROA / ADS</t>
  </si>
  <si>
    <t>VAB / MTA / -</t>
  </si>
  <si>
    <t>HGA / ABL / -</t>
  </si>
  <si>
    <t>JTC / ROA / -</t>
  </si>
  <si>
    <t xml:space="preserve"> </t>
  </si>
  <si>
    <t>Wincy C. Awingan</t>
  </si>
  <si>
    <t>April 21, 2026</t>
  </si>
  <si>
    <t xml:space="preserve">At around 11:11 AM, slurry was observed spilling beyong the bund wall of the leach tank area by CIP mechanic and immediately informed the CIP operator. The operator promptly advised the grinding plant to halt and escalated to his immediate supervisor at approximately 11:14 AM. Plant feed was stopped at 11:15 AM. During the containment process, a portion of the spilled material overflowed out of the intermediate sump to the ground and some trickled down to the creek (leads to TSF) around 11:13 AM. By 11:22 AM, the slurry overflow at the intermediate sump fully stopped. 
The spill originated from slurry buildup in Leach Tank 2, which was under repair at the time of the incident. Post-incident inspection revelaed that one of the two pipelines connecting Leach Tank 1 to Leach Tank 3 was clogged midway. This blockage diverted material into Leach Tank 2 pushing the welded drain hole to detach resulting to the slurry spill. </t>
  </si>
  <si>
    <t>Findings / Observations:
1. Equipment is always being used due to the 24/7
2. Equipment is old. 
Recommendations:
1. Management / expiditer is responsible for the procurement on new holding motors, spare parts for the said equipment within the calendar year.
2. Electrical personnel should inspect said equipment and formally recommend if still usable or needs replacement by April 28, 2026: Still usable but recommended for renewal. but discretion of users on how they will use the equipment.</t>
  </si>
  <si>
    <t>Findings / Observations:
1. Medical Diagnosis: Contusion hematoma and abrasion of right periorbital area.
2. Substandard Condition: Defective equipment - Trolley Line: Inadequate maintenance - Could be prevented with regular checking of deteriorating materials
Recommendations:
1. Electricians must regularly conduct check ups of trolley line and its components, especially thos in contact with the walls. knowing they naturally cause rusting of metal. Personnel from the MMME must also implement scheduled inspections of trolley lines and anchorage systems specially to critical sections of the mainline such as dripping roof, unstable backs at least quarterly.
2. Locomotive Operators should report any anomaly observed on the line to concerned parties if there are (e.g. tools or equipment that needs check up).</t>
  </si>
  <si>
    <t>Leach Tank</t>
  </si>
  <si>
    <t>Findings:
1. The bypass line connecting Leach Tank #1 to Leach Tank #3 was found to be clogged midway. The obstruction was traced to pipeline sagging. This sagging created a low point in the line where material accumulated, ultimately restricting flow and contributing to the incident. 
2. A temporary plugged drain hole. which was originally intended to remain open to allow the drainage of any spilled material toward the clean-up pump, was compromised. 
Corrective Actions:
1. Installation of a bridge (From Leach Tank #1 to #3) to provide safe monitoring access and facilitate pipe de-clogging activities- Work order initiated.
2. Installation of additional pipeling to provide an alternate route for slurry material. This measure ensures that, in the event of either the two existing pipelines become clogged, slurry can be redirected through the new line- Work order initiated.</t>
  </si>
  <si>
    <t>SANDY A. SAD-AYAN</t>
  </si>
  <si>
    <t>April 28, 2026</t>
  </si>
  <si>
    <t>Window panel installation</t>
  </si>
  <si>
    <t>Impacted fracture, distal radius left wrist</t>
  </si>
  <si>
    <t>Closed reduction, Long arm Circular cast left</t>
  </si>
  <si>
    <t>Week 0-4: Immobilization with long arm circular cast
Week 5-6: Convert to short arm circular cast
Week 7-8: Physical Theraphy</t>
  </si>
  <si>
    <t>Inadequate identification and evaluation of loss exposure</t>
  </si>
  <si>
    <t>Tofer T. Padsoyan</t>
  </si>
  <si>
    <t>DBA / CTB / ESR</t>
  </si>
  <si>
    <t>DBA / JBT / TTP</t>
  </si>
  <si>
    <t xml:space="preserve">While the Mill Engineering crew was installing a window panel at the MCC in the Boiler Room Extension, the victim cut a piece of C-Purlin for studding. He then accidentally stepped on a left over piece of cut PVC electrical cord, causing him to slip and loose balance. In an attempt to break his fall, he landed heavily on his left hand, resulting in an injury. </t>
  </si>
  <si>
    <t xml:space="preserve">At 1:30 AM, on the process of hand mucking with Mr. Bakidan, the victim avoided a landslide from their previous works that was accumulated in their work area. While doing so, the victim slipped and fell sideways landing on his left side. Unfortunately, a protruding reusty wire mesh that was installed on the cement he landed on punctured his inner forearm. Upon initial assessment of the victim, the cause of the slip was due to deteriorated copper / "gambang". The victim immediately washed the area and squeezed the injury with an attempt to remove any contaminated fluids, then applied iodine from the nearby first aid box. Due to his wish to finish his activity first, the victim only reported the accident to his reporting supervisor aftyer the shift was finished. When he reported the accident, his supervisor referred him to get the report done and get treated at the hospital. </t>
  </si>
  <si>
    <t>Findings / Observations:
1. The crew proceeded without conducting a proper site assessment or organizing the workplace.
2. Unorganize electrical wiring material on the accident area by ENERTECH Contractor.
3. Medical Diagnosis: Impacted Fracture distal radius left
4. Treatment: Closed Reduction, Long arm circular cast left
Recommendations:
1. Mill Engineeing crew must Conduct Housekeeping always: Before, During, After work.
2. Mill Engineeing crew must Evaluate work environment to identify risks before tasks.
3. All service providers shall not begiven clearance to finish its work unless housekeeping has been conducted.
4. Rehabilitation Plan: 
        Week 0-4: Immobilization with long arm circular cast; 
        Week 5-6: Convert to short arm circular cast; 
        Week 7-8: Physical Theraphy.</t>
  </si>
  <si>
    <t>Leadership Training</t>
  </si>
  <si>
    <t>2.1</t>
  </si>
  <si>
    <t>Training Needs Analysis</t>
  </si>
  <si>
    <t>Loss Control Orientation / Induction for New Leaders / Managers</t>
  </si>
  <si>
    <t>Initial Training of Senior Management</t>
  </si>
  <si>
    <t>Update Training of Senior Management</t>
  </si>
  <si>
    <t>Initial Loss Control Training for Leaders / Managers</t>
  </si>
  <si>
    <t>Update Loss Control Training for Leaders / Managers</t>
  </si>
  <si>
    <t>Formal Training of Loss Control Coordinator</t>
  </si>
  <si>
    <t>Records of Leadership Training</t>
  </si>
  <si>
    <t>Planned Inspection and Maintenance</t>
  </si>
  <si>
    <t>Planned General Inspections</t>
  </si>
  <si>
    <t>Forllow-up System</t>
  </si>
  <si>
    <t>Inspection Report Analysis</t>
  </si>
  <si>
    <t>Critical Parts / Items Inpections</t>
  </si>
  <si>
    <t>Preventive Maintenance System</t>
  </si>
  <si>
    <t>Special Systemas Inspections</t>
  </si>
  <si>
    <t>Pre-use Equioment Inspections</t>
  </si>
  <si>
    <t>System for Employees to report Substandard Conditions in Writing</t>
  </si>
  <si>
    <t>Compliance with Regulatory Requirements for Inspections</t>
  </si>
  <si>
    <t>Critical Task Analysis Procedure</t>
  </si>
  <si>
    <t>Task Analysis Systems Established</t>
  </si>
  <si>
    <t>Critical Tasks Identified</t>
  </si>
  <si>
    <t>Controls Developed for Potential Losses</t>
  </si>
  <si>
    <t>Controls Incorporated into Procedure and Practices</t>
  </si>
  <si>
    <t>Critical Task Procedures / Practices Updated</t>
  </si>
  <si>
    <t>Accident / Incident Investigation</t>
  </si>
  <si>
    <t>5.6</t>
  </si>
  <si>
    <t>Accident / Incident Investigation System</t>
  </si>
  <si>
    <t>Operating Management Participation</t>
  </si>
  <si>
    <t>Review of Major and High-Potential Accident / Incidents</t>
  </si>
  <si>
    <t>Remedia; Action and Follow-up</t>
  </si>
  <si>
    <t>Incidents (Near Miss) Reporting and Investigation</t>
  </si>
  <si>
    <t>Accident / Incident Report Maintenance</t>
  </si>
  <si>
    <t>Task Observation</t>
  </si>
  <si>
    <t>6.6</t>
  </si>
  <si>
    <t>Administration</t>
  </si>
  <si>
    <t>System for Partial / Spot Task Observation</t>
  </si>
  <si>
    <t>System for Complete Task Observation</t>
  </si>
  <si>
    <t>Critical Task Observation Performed</t>
  </si>
  <si>
    <t>Follow-up System</t>
  </si>
  <si>
    <t>Task Observation Report Analysis</t>
  </si>
  <si>
    <t>Emergency Preparedness</t>
  </si>
  <si>
    <t>Identification of Potential Emergencies</t>
  </si>
  <si>
    <t>Emergency Plan</t>
  </si>
  <si>
    <t>Off-site Emergencies</t>
  </si>
  <si>
    <t>Sources of Energy Controls</t>
  </si>
  <si>
    <t>Protective and Rescue Systems</t>
  </si>
  <si>
    <t>Emergency Teams</t>
  </si>
  <si>
    <t>Lessons Learned System</t>
  </si>
  <si>
    <t>First Aid</t>
  </si>
  <si>
    <t>Organized Outside Help and Mutual Aid</t>
  </si>
  <si>
    <t>Post Event Planning</t>
  </si>
  <si>
    <t>Emergency Communication</t>
  </si>
  <si>
    <t>Communication with the Community</t>
  </si>
  <si>
    <t>Rules and Work Permits</t>
  </si>
  <si>
    <t>General Loss Control Rules</t>
  </si>
  <si>
    <t>Specialized Work Rules</t>
  </si>
  <si>
    <t>Specialized Work Permit Systems</t>
  </si>
  <si>
    <t>Regulatory Permit-To-Operate Systems</t>
  </si>
  <si>
    <t>Rule Education and Review</t>
  </si>
  <si>
    <t>Rule Compliance and Recognition</t>
  </si>
  <si>
    <t>Use of Educational Signs and Color Codes</t>
  </si>
  <si>
    <t>Accident / Incident Analysis</t>
  </si>
  <si>
    <t>Consequence Measurements</t>
  </si>
  <si>
    <t>Cause and Control Analysis</t>
  </si>
  <si>
    <t>Property Damage / Process Loss Identification and Analysis</t>
  </si>
  <si>
    <t>Incident (Near Miss) Analysis</t>
  </si>
  <si>
    <t>Problem-Solving Project Teams</t>
  </si>
  <si>
    <t>Knowledege and Skill Training</t>
  </si>
  <si>
    <t>Instructor Qualifications</t>
  </si>
  <si>
    <t>Training Systems</t>
  </si>
  <si>
    <t>Training System Eveluation and Follow-up</t>
  </si>
  <si>
    <t>Personal Protective Equipment</t>
  </si>
  <si>
    <t>11.3</t>
  </si>
  <si>
    <t>Identification of PPE Needs</t>
  </si>
  <si>
    <t>PPE Available</t>
  </si>
  <si>
    <t>Enforcement of Standards</t>
  </si>
  <si>
    <t>Health and Hygiene Control</t>
  </si>
  <si>
    <t>12.8</t>
  </si>
  <si>
    <t>Health Hazard Identification and Evaluation</t>
  </si>
  <si>
    <t>Health Hazard Control</t>
  </si>
  <si>
    <t>Occupational Health and Industrial Hygiene Monitoring</t>
  </si>
  <si>
    <t>Information and Training</t>
  </si>
  <si>
    <t>Health Care System</t>
  </si>
  <si>
    <t>Professional Assistance</t>
  </si>
  <si>
    <t>Internal Communications</t>
  </si>
  <si>
    <t>Record-Keeping</t>
  </si>
  <si>
    <t>12.9</t>
  </si>
  <si>
    <t>System Evaluation</t>
  </si>
  <si>
    <t>13.5</t>
  </si>
  <si>
    <t>Assessment of Loss Control Reuirements</t>
  </si>
  <si>
    <t>Regular System Monitoring</t>
  </si>
  <si>
    <t>Evaluation of Compliance with Loss Control System Standards</t>
  </si>
  <si>
    <t>Perception Surveys</t>
  </si>
  <si>
    <t>Engineering and Change Management</t>
  </si>
  <si>
    <t>Hazard Identification and Risk Assessment</t>
  </si>
  <si>
    <t>Project Review and Change Management</t>
  </si>
  <si>
    <t>Operation and Work Process Control</t>
  </si>
  <si>
    <t>Personal Communication</t>
  </si>
  <si>
    <t>15.3</t>
  </si>
  <si>
    <t>15.4</t>
  </si>
  <si>
    <t>Training in Personal Communications Techniques</t>
  </si>
  <si>
    <t>Individual Job Orientation / Induction</t>
  </si>
  <si>
    <t>Task Instruction</t>
  </si>
  <si>
    <t>Planned Personal Contacts</t>
  </si>
  <si>
    <t>Group Communication</t>
  </si>
  <si>
    <t>16.1</t>
  </si>
  <si>
    <t>16.2</t>
  </si>
  <si>
    <t>16.3</t>
  </si>
  <si>
    <t>Quantity and Quality of Group Loss Control Meetings</t>
  </si>
  <si>
    <t>Management Involvement</t>
  </si>
  <si>
    <t>General Promotion</t>
  </si>
  <si>
    <t>17.1</t>
  </si>
  <si>
    <t>Loss Control Bulletin Boards</t>
  </si>
  <si>
    <t>Use of Accident / Incident Statistics</t>
  </si>
  <si>
    <t>Critical Topic Promotion</t>
  </si>
  <si>
    <t>Individual Awards and Recognition</t>
  </si>
  <si>
    <t>Loss Control Information Publications</t>
  </si>
  <si>
    <t>Group Awards and Recognition</t>
  </si>
  <si>
    <t>Housekeeping Propmotion Systems</t>
  </si>
  <si>
    <t>Communications with Public about Loss Control</t>
  </si>
  <si>
    <t>Records of Promotion Activities</t>
  </si>
  <si>
    <t>17.2</t>
  </si>
  <si>
    <t>17.3</t>
  </si>
  <si>
    <t>17.4</t>
  </si>
  <si>
    <t>17.5</t>
  </si>
  <si>
    <t>17.6</t>
  </si>
  <si>
    <t>17.7</t>
  </si>
  <si>
    <t>17.8</t>
  </si>
  <si>
    <t>17.9</t>
  </si>
  <si>
    <t>Hiring and Placement</t>
  </si>
  <si>
    <t>18.1</t>
  </si>
  <si>
    <t>18.2</t>
  </si>
  <si>
    <t>18.3</t>
  </si>
  <si>
    <t>18.4</t>
  </si>
  <si>
    <t>Job Capability Requirements Established</t>
  </si>
  <si>
    <t>Medical Examination</t>
  </si>
  <si>
    <t>General Orientaion / Induction</t>
  </si>
  <si>
    <t>Pre-Employment / Pre-Placement Qualifications Checks</t>
  </si>
  <si>
    <t>Materials Services Management</t>
  </si>
  <si>
    <t>19.1</t>
  </si>
  <si>
    <t>19.2</t>
  </si>
  <si>
    <t>19.3</t>
  </si>
  <si>
    <t>Produrement of Goods</t>
  </si>
  <si>
    <t>Contractor Selection</t>
  </si>
  <si>
    <t>Management of Contractors</t>
  </si>
  <si>
    <t>Off-The-Job Safety</t>
  </si>
  <si>
    <t>20.1</t>
  </si>
  <si>
    <t>20.2</t>
  </si>
  <si>
    <t>Problem Identification and Analysis</t>
  </si>
  <si>
    <t>Off-the-Job Safety Education</t>
  </si>
  <si>
    <t>Program Activity</t>
  </si>
  <si>
    <t>Program Standards are Established</t>
  </si>
  <si>
    <t>Full Compliance to Standards Achieved</t>
  </si>
  <si>
    <t>Accomplishment Levels</t>
  </si>
  <si>
    <t>-</t>
  </si>
  <si>
    <t>-2</t>
  </si>
  <si>
    <t>LUMADAO, JUNE MARK S.</t>
  </si>
  <si>
    <t>GAO-AY, DIMAS S.</t>
  </si>
  <si>
    <t>ESCAYO, BENCIO W.</t>
  </si>
  <si>
    <t>GAMMONG, ROLLY B.</t>
  </si>
  <si>
    <t>SACPA, JEROUS CAD-AN</t>
  </si>
  <si>
    <t>FERNANDEZ, CURY-JACOB M.</t>
  </si>
  <si>
    <t>CATBAGAN, NARRY D.</t>
  </si>
  <si>
    <t>GISGISWANG, RUEL R.</t>
  </si>
  <si>
    <t>SUNI, RONALD S.</t>
  </si>
  <si>
    <t>BAUTISTA, LEO V. II</t>
  </si>
  <si>
    <t>REFUGIA, JOHN PAULINE M.</t>
  </si>
  <si>
    <t>DAYAWON, MARK SHINK T.</t>
  </si>
  <si>
    <t>GALAO, MARK ANTHONY J.</t>
  </si>
  <si>
    <t>May 8, 2026</t>
  </si>
  <si>
    <t>Dember F. Dictaan Jr.</t>
  </si>
  <si>
    <t>Loading of excavated soil at the service dump truck</t>
  </si>
  <si>
    <t>Golf Course Road</t>
  </si>
  <si>
    <t>MPG - PCES - Building Maintenance</t>
  </si>
  <si>
    <t>MPG - PCES - Road &amp; Camp Maint.</t>
  </si>
  <si>
    <t>ASG - IOSD - Underground Patrol</t>
  </si>
  <si>
    <t>ASG - IOSD - Investigations</t>
  </si>
  <si>
    <t>Soft Tissue cintusion right lumbar</t>
  </si>
  <si>
    <t>X-Ray and Pain Reliever</t>
  </si>
  <si>
    <t>At around 1:20 PM, the victim was loading excavated soil atht e service dump truck of the department. Something suddenly striked his back, a golf ball. He immediately sat down and notified his co-workers who reported it to their superviso via call. They were instructed to proceed to the infirmary for immediate treatment.</t>
  </si>
  <si>
    <t>May 12, 2026</t>
  </si>
  <si>
    <t>Scraping material build-up</t>
  </si>
  <si>
    <t>Mill Crushing Conveyor 5A</t>
  </si>
  <si>
    <t>Complete transection 3rd extensor distorsion tendon, right hand secondary to entanglement injury</t>
  </si>
  <si>
    <t>Wound exploration, wound suturing, tendon repair, x-rays ATS, TT, &amp; Ketorolac given</t>
  </si>
  <si>
    <t>Week 0-4: Protection Phase
Week 4-8: Splint weaning, Light Exercise
Week 8-12: Strengthening</t>
  </si>
  <si>
    <t>Failure to Warn, Failure to Secure Personal Safety</t>
  </si>
  <si>
    <t>Failure to Secure Personal Safety; Servicing Equipment in Operation; Lack of SOP dissemination</t>
  </si>
  <si>
    <t>Inadequate Guards / Barriers; Inadequate Warning system (signages, signals)</t>
  </si>
  <si>
    <t>Jr. Mechanic</t>
  </si>
  <si>
    <t>May 15, 2026</t>
  </si>
  <si>
    <t>Kristian Lloyd D. Bulay</t>
  </si>
  <si>
    <t>Grooving operations on pipes</t>
  </si>
  <si>
    <t>LEA / JIC / KLDB</t>
  </si>
  <si>
    <t>Traumatic Conjunctivitis</t>
  </si>
  <si>
    <t>Eye Irrigation</t>
  </si>
  <si>
    <t>Advised Ophtha Consult</t>
  </si>
  <si>
    <t>Failure to Secure Personal Safety; Improper position for task; Lack of Hazard Assessment</t>
  </si>
  <si>
    <t>Inadequate / Improper protective Equipment</t>
  </si>
  <si>
    <t>Inadequate tools &amp; equipment</t>
  </si>
  <si>
    <t>Pukitan Area</t>
  </si>
  <si>
    <t>May 16, 2026</t>
  </si>
  <si>
    <t>Pukitan, Below Tamayo residence</t>
  </si>
  <si>
    <t xml:space="preserve">The victim was using a shovel to scrape material build-up from the head pulley of Conveyor 5A when the shovel became caught on the rotating pulley. The resulting force pulled the shovel and the victim's right hand into the moving pulley causing an open wound. The victim immediately went down to the resting station and notified the crushing operator, who then called Lepanto infirmary for medical help. Another witness applied first aid to the open wound. </t>
  </si>
  <si>
    <t xml:space="preserve">At around 8:40 PM, the victim was assigned to perform grooving operations on pipes using the lathe machine (MISAL 1). While machining the pipe, metal chips suddenly flew into his eyes. Although he was wearing the required PPE including safety spectacles, the chips were still able to enter through the gaps in the eyewear. After the incident, he informed and reported to his supervisor, who admisnistered first aid using the eyewash station provided by the safety department. However, the metal chips could not be removed through initial treatment. Therefore, he was brought to the infirmary for further medical attention and proper treatment. After receiving tratment, he was cleared to return to work as the hospitals findings indicated theat the injury was limited to eye irritation. </t>
  </si>
  <si>
    <t xml:space="preserve">At approximately 5:54 PM, G.O. Central received information regarding the ongoing bush fire from IOSD Officer through mobile phone. Upon veryfying, the scene is confirmed to be at Lower Pukitanm below Tamayo's residence. Responders arrived at the scene, co responders were identified to be manually suppressing the fire and creating fire lines to prevent fire from spreading. Others were assisting the line and nozzle men, and the fire truck was being operated as well. </t>
  </si>
  <si>
    <t>REX KEVIN B. DAO-AS</t>
  </si>
  <si>
    <t>Heavy Equipment Operator</t>
  </si>
  <si>
    <t>On the road</t>
  </si>
  <si>
    <t>May 20, 2026</t>
  </si>
  <si>
    <t>Melno S. Palayen</t>
  </si>
  <si>
    <t>Raul S. Visperas</t>
  </si>
  <si>
    <t>Registration of assigned vehicle</t>
  </si>
  <si>
    <t>LEA / MSP / RSV</t>
  </si>
  <si>
    <t>CIP Operator</t>
  </si>
  <si>
    <t>CIP - Barren Pump Area</t>
  </si>
  <si>
    <t>May 23, 2026</t>
  </si>
  <si>
    <t>John Ray T. Salguit</t>
  </si>
  <si>
    <t>Transferring operation of Barren pump 1 to 2</t>
  </si>
  <si>
    <t>Barren pump area</t>
  </si>
  <si>
    <t>DBA / JTD / JRTS</t>
  </si>
  <si>
    <t>Chemical Burn (RLQ Abdomen) R/O Cyanide Toxicity</t>
  </si>
  <si>
    <t>Chemical Burn (Left Forearm) R/O Cyanide Toxicity</t>
  </si>
  <si>
    <t>Decontamination, Wound Care &amp; Oral Medication, Admitted for observation and Monitoring</t>
  </si>
  <si>
    <t>For observation &amp; monitoring</t>
  </si>
  <si>
    <t>Failure to use PPE Properly</t>
  </si>
  <si>
    <t>Inadequate Maintenenace; Inadequate Tools &amp; Equipment</t>
  </si>
  <si>
    <t>Defective tools / Equipment materials; Temperature Extremes</t>
  </si>
  <si>
    <t xml:space="preserve">The victim and his companion were transferring the operation of the barren pump from Pump 1 to Pump 2 for testing purposes ewhen the flange gasket on the pipeline of Pump #2 suddenly leaked. As a result, hot solution splashed onto the right hip area of Victim 1 and the right forearm of Victim 2. 
Immediately after the accident, Victim 1 proceeded to the emergency shower to rinse off the solution. He went to the changing room, took a cold shower, and chsnged his clothes. He later reported a slight tinggling sensation and minor redness on the affected area of the skin. Ointment was applied to the area. No serious injury was sustained. Victim 2 immediately washed the area on his right forearm with cold water, and ointment was applied to the afected area. 
Both employees were advised to seek medical attention at the hospital if symptoms worsen or persisted. Subsequent inspection by the maintenance and Operations teams revelaed that the flange gasket and seat gasket were damaged. Both components were immediately replaced. </t>
  </si>
  <si>
    <t>Wendel D. Balag-ey</t>
  </si>
  <si>
    <t>DBA / WDB / -</t>
  </si>
  <si>
    <t>SORIANO W. PALAT</t>
  </si>
  <si>
    <t>RAUL S. GALDOC</t>
  </si>
  <si>
    <t>JORDAN JAMES W. BAGUISTA</t>
  </si>
  <si>
    <t>BADOL, EUSEBIO G.</t>
  </si>
  <si>
    <t>OSSOG, ANDRE MARK A.</t>
  </si>
  <si>
    <t>GUMAAD, EDMUND T.</t>
  </si>
  <si>
    <t>PMS Foreman (Acting)</t>
  </si>
  <si>
    <t>Mine Services Aide</t>
  </si>
  <si>
    <t>850L</t>
  </si>
  <si>
    <t>Francis E. Mabunga</t>
  </si>
  <si>
    <t>Reynaldo C. Agno</t>
  </si>
  <si>
    <t>Eufrosino A. De Leon Jr.</t>
  </si>
  <si>
    <t>Efren L. Mangamti</t>
  </si>
  <si>
    <t>Pulling of RDM prior to rock bolting</t>
  </si>
  <si>
    <t>Transport of LHD tires to Mancage at 1150 Shaft</t>
  </si>
  <si>
    <t>Cutting of vent tube cord</t>
  </si>
  <si>
    <t>Attempting to install the timber support to theLHD  boom</t>
  </si>
  <si>
    <t>Transit of Ore to UG Crusher</t>
  </si>
  <si>
    <t>Mucking Activity</t>
  </si>
  <si>
    <t>FPP/RWV</t>
  </si>
  <si>
    <t>MAT/AOV</t>
  </si>
  <si>
    <t>MAT/AOV/WLT</t>
  </si>
  <si>
    <t>The witness and victim had just completed the installation of the 5th rockbolt support on the right wall. Thereafter, they proceeded to pull the Rock Drill Machine (RDM) while the dolly pusher remained connected at the end. Due to excessive force exerted while pulling the RDM, they were unable to maintain control of the equipment, causing the head of the dolly pusher to suddenly strike the victim’s lower lip, resulting in injury. The victim was subsequently transported to the hospital for further medical evaluation.
Immediate first aid was administered by the witness, while an investigation was promptly initiated by the on-shift supervisor together with the attending Safety Officer.</t>
  </si>
  <si>
    <t>The witness and victim were transporting an LHD tire at the 1150L Shaft Station intended for transfer to the 1000L level via shaft, as instructed by their Mine Foreman of Section 5. During the transport process, the victim’s left hand was accidentally caught between the tire and the railing, resulting in a lacerated injury to his left thumb.
Immediately after the incident, first aid was administered, and the victim was transported to the hospital for further medical evaluation and treatment.</t>
  </si>
  <si>
    <t>At around 9:30 AM, while cutting the old vent tube material suspended at an elevated position, the knife cutter being used accidentally slipped and struck the victim’s left palm, resulting in a laceration injury. The safety gloves worn by the victim at the time of the incident were also damaged. Immediately after the incident, a temporary bandage using a face towel was applied by two co-workers to control the bleeding. At approximately 12:00 NN, the incident was reported to the Safety Department during frisking activity at Nayak Portal. First aid treatment was immediately administered by Safety Officer on duty including proper cleaning and dressing of the wound. Thereafter, the victim was transported by ambulance at approximately 12:30 PM to the hospital for further medical evaluation and treatment.</t>
  </si>
  <si>
    <t>At around 10:00 AM during the 2nd shift, the victim and his colleague, were conducting repair works at the 249 Repair Bay, 900L. During the activity, they were installing a 1’x1’x2’ “tukol” timber support on the boom of LHD 141 to change the lift cylinder pin. However, while attempting to position the support, the boom suddenly lowered, causing the victim’s left thumb to be caught between Tire No. 1 and the timber support. The victim was extricated at the repair bay. His colleagues immediately informed the Control Operator about the incident and requested ambulance assistance. Thereafter, the victim was immediately assisted and transported to the Lepanto Hospital via company vehicle for further medical evaluation and treatment.</t>
  </si>
  <si>
    <t>At around 11:30 AM, the victim, together with his companion, was on their way from Carmen to the UG Crusher after completing ore loading activities at 315. While travelling, the victim suddenly experienced body cramps and immediately informed the locomotive operator, about his condition. Upon arrival at the UG Crusher, they immediately informed their supervisor, who then contacted the Control Room to report the incident. The incident was officially reported to his on-shift supervisor at around 12:00 NN.
Thereafter, the victim was assisted and transported to the hospital for further medical evaluation at around 1:30 PM.</t>
  </si>
  <si>
    <t>The victim was about to shift the loader into reverse after scooping ore at 2490 8M1 870L when a piece of boulder suddenly fell from the back shoulder of the panel and struck his right hand, resulting in injury. First aid was administered by the witness and investigation was launched by the shift supervisor and safety officers on charge. The victim was transported to the hospital at approximately 4:00 PM for medical treatment.</t>
  </si>
  <si>
    <t>The victim was mucking ore at 2490 8M1 870L using LHD #136 when a rock mass suddenly fell at the panel opening, bounced upon impact, and fragments struck the victim’s right thigh, resulting in injury. First aid was immediately administered by the witness, while the Shift Supervisor and Safety Officers on duty conducted the initial investigation of the incident. The victim was transported to the hospital at approximately 8:30 PM for further medical treatment.</t>
  </si>
  <si>
    <t>Sand Production Operator</t>
  </si>
  <si>
    <t>Upper Tram</t>
  </si>
  <si>
    <t>May 26, 2026</t>
  </si>
  <si>
    <t>Vincent S. Camiling</t>
  </si>
  <si>
    <t>Reinstalling detached cable</t>
  </si>
  <si>
    <t xml:space="preserve">At approximately 10:00 AM on May 26, 2026: the victim, assigned as the ball mill operator observed that the ball mill wa experiencing ans underfeed condition. To determine the cause of the issue, he immediately proceed to the slusher bin area, where the ball mill originates. Upon arriving at the slusher bin, the victim observed that slushing operations have stopped and found the slusher operator repairing a detached cable connected to the bucket. The victim voluntarily assisted the Slusher Operator in reinstalling the detached cable. 
During the repair activity, the Slusher Operator was pulling the cable while the victim. positioned in a squatting posture, was tying and knotting the cable to the slusher bucket. While doing so, a pile of accumulated silts beside his working position, estimated at approximately 1 cu.m. in volume and positioned about 1 m above his head level, suddenly collapsed and struck him. This caused the victim to be partially burried by silts while in a squatting position. 
The Slusher Operator witnessed this accident and immediately called for assistance. Nearby co-workers promtly responded ans initiated rescue efforts. Upon arrival at the scene, the Area Supervisor instructed another Co-Operator to contact an ambulance while rescue operations continued. 
After safely rescuing the victim, the area Supervisor assessed the victim's condition and asked about his physical state. The victim reported that he is unable to walk. He was carefully positioned in a straight chair while waiting for emergency medical transport. Upon arrival of the anbulance, the victim was transported to the hospital for further medical evaluation and treatment. Initial medical assessment indicated fractures on the left wrist and pelvic area. </t>
  </si>
  <si>
    <t xml:space="preserve">On the date of the accident, the victim travelled to Bontoc-LTO for the registration of the assigned vehicle (WHP 445 Mazda) together with his co-worker (CCB 9795) who handled the Kalalaw truck. They were doing well until the victim was done with the inspection. He sought to put the vehicle aside to give way for the next inspection. However, upon doing so he suddenly felt that his heart was palpitating faster than his breathing. The victim thought of looking for the nearest hospital quickly. Fortunately, he arrived within 10 minutes at the Bontoc General Hospital (BGH). There he was assessed by nurses and was confined at the Intensive Care Area (ICA). </t>
  </si>
  <si>
    <t>HGA / RTS / RCA</t>
  </si>
  <si>
    <t>Richard C. Ducusin</t>
  </si>
  <si>
    <t>RCD / FEM / EADJr.</t>
  </si>
  <si>
    <t>VAB / DSG / ELM</t>
  </si>
  <si>
    <t>DBA / CTB / VSC</t>
  </si>
  <si>
    <t>On the Road</t>
  </si>
  <si>
    <t>FABJr. / - / -</t>
  </si>
  <si>
    <t>ALD / DBDJr. / -</t>
  </si>
  <si>
    <t>MOG - MWSO - Machine Shop</t>
  </si>
  <si>
    <t>MOG - MWSO - Motorpool</t>
  </si>
  <si>
    <t>Carmen Mainline</t>
  </si>
  <si>
    <t>24802 SPLIT #1</t>
  </si>
  <si>
    <t>Lacerated Wound Lower Lip Secondary to industrial injury</t>
  </si>
  <si>
    <t>Wound Suturing, Antibiotics, Tetanus Injection</t>
  </si>
  <si>
    <t>Healing period of seven (7) days prior to assessment but can attend to light works</t>
  </si>
  <si>
    <t>Failure to secure personal safety</t>
  </si>
  <si>
    <t>Inadequate mental / psychological capability</t>
  </si>
  <si>
    <t>Inadequate Work standards and / or risk assessment</t>
  </si>
  <si>
    <t>Corrective Action/s:
1. Miners must ensure all workers verify that dolly pushers and other attachments are properly disconnected or secured before pulling or repositioning the RDM - Reiterated and clarified during toolbox meeting
2. Miners must establish and maintainm safe body positioning during pulling operations to prevent personnel from being exposed to sudden equipment movement or rebound - Reiterated and clarified during toolbox meeting
3. On shift supervisors and Safety personnel must conduct tool box meeting to all concerned personnel on safe operation and handling of RDMs, dolly pushers (ensuring it is shut off in pulling it out), and related ground support equipment on or before May 16, 2026 - Action Completed; Documentation and attendance present, signed by VAB.
CASE CLOSED MAY 15, 2026</t>
  </si>
  <si>
    <t>1150 Shaft Station</t>
  </si>
  <si>
    <t>Avulsed wound 1st digit left hand secondary to industrial injury</t>
  </si>
  <si>
    <t>Wound suturing, wound dressing, debridement and nail excision / X-ray, ATS, TT &amp; Ketorolac Given</t>
  </si>
  <si>
    <t>May go back to work provided the wound does not get infected</t>
  </si>
  <si>
    <t xml:space="preserve">Failure to secure personal safety; Improper position for task; </t>
  </si>
  <si>
    <t>Inadequate Leadership and / or Supervision; Inadequate Work standards and / or risk assessment</t>
  </si>
  <si>
    <t>Corrective Action/s:
1. Supervisors / Foremen / Department Heads must implement proper work designation and role allocation between miners and tire handlers, ensuring that only trained and authorized personnel are assigned specifically to tire handling tasks, while miners focus on their designated mining duties to avoid task overlap and reduce exposure to handling hazards. Action is due on May 11, 2026 - Action Accomplished via morning meeting
2. On-shift Supervisor &amp; Safety Personel must provide toolbox training on hazard identification, especially facusing on pinch points, moving equipment hazards, and confined or congested work areas. Action is due on May 16, 2026 - Action accomplished via meeting. 
3. On-shift Supervisor &amp; Safety Personel must allot flat car for transport of heavy materials. This is to avoid manual handling of heavy objects. Action is due on may 16, 2026 - Action accomplished and relayed by mine ops.
CASE CLOSED ON MAY 15, 2026</t>
  </si>
  <si>
    <t>1081 A32N, Sect. 4, Teresa</t>
  </si>
  <si>
    <t>Lacerated wound, Palmar Surface, Left Hand</t>
  </si>
  <si>
    <t>Wound Suturing, ATS / TT</t>
  </si>
  <si>
    <t>Recommended for light works for seven (7) days, provided wound will not be soiled. Sutures will be removed after. Follow-up the next day.</t>
  </si>
  <si>
    <t>Improper position for task</t>
  </si>
  <si>
    <t>Inadequate physical Physiological Capability</t>
  </si>
  <si>
    <t>Inadequate or Improper protective equipment; Congestion / Restricted Action</t>
  </si>
  <si>
    <t>Inadequate Tools &amp; Equipment</t>
  </si>
  <si>
    <t>Corrective Action/s:
1. Ventilation personnel performing cutting activities at elevated positions must ensure proper body positioning and maintain a firm grip on cutting tools at all times to prevent accidental slipping. 
2. Ventilation personnel must use safety cutter / appropriate cutting tools for the specific task to minimize risk of slipping and accidental injury during dutting activities. 
3. On-shift Supervisors must ensure that all incidents and injuries, regardless of severity, shall be reported immediately to the concerned supervisor and Safety Department to ensure prompt medical attention and timely investigation.
*Cascading ao all items by Engr. FEMabunga and Engr. CLBesitan is due on May 15, 2026. Actions accomplished. Attendances attached. 
CASE CLOSED MAY 15, 2026</t>
  </si>
  <si>
    <t>249 Repair Bay</t>
  </si>
  <si>
    <t>Crushing injury 1st digit left hand</t>
  </si>
  <si>
    <t>Wound exploration, Wound closure, X-Ray, Admitted</t>
  </si>
  <si>
    <t>For further medical evaluation</t>
  </si>
  <si>
    <t>Failure to secure personal safety; Improper position for task</t>
  </si>
  <si>
    <t>Corrective Action/s:
1. Department Head / Safety Officer must striclty implement proper boom hoist support using a chain block, mechanica hoist (hydraulic jack), or LHD bucket-to-bucket listing method on hydraulic equipment to securely support and hold the boom in place during rapair and maintenance activities every time during PMS and unsceduled repairs. Action accomplished through tool box attendance.
2. Mine Maintenance Planning Head must enhace SOP for conducting PMS and unscheduled repoairs and must cascade this procedure to all maintenance man during refresher course. Action accomplished through refresher course training.
3. Mine Planning Head must review requirement for availability of sufficient repair bays per area. Action accomplished May 21, 2026 via propsed plan of repair bays at 950 and 1000 Level.
CASE CLOSED MAY 26, 2026</t>
  </si>
  <si>
    <t>Cramps Secondary to Electrolyte Imbalance</t>
  </si>
  <si>
    <t>For further medical evelaution</t>
  </si>
  <si>
    <t>Failure to secure personal Safety</t>
  </si>
  <si>
    <t>Corrective Action/s:
1. On-shift Supervisors must ensure that all personnel are physically fit to perform their assigned tasks before deployment underground during shifts. 
2. On-shift Supervisors must remind employees to maintain proper hydration and take aequate rest, especially during physically demanding activities
3. On-shift Supervisors must cascade items 1 &amp; 2. Action accomplished via meeting. 
CASE CLOSED MAY 25, 2026</t>
  </si>
  <si>
    <t>2490 8M1</t>
  </si>
  <si>
    <t>Laceration right hand</t>
  </si>
  <si>
    <t>Recommended for light works for seven (7) to 14 days, provided the wound does not get infected.</t>
  </si>
  <si>
    <t>Corrective Action/s:
1. Lead and Assistant Miners must conduct thorough barring and scaling of loose rocks before that commencement of mucking operations immediatley. 
2. Lead and Assistant Miners, and Rock Mechanic personnel muste ensure continuous inspection of ground conditions, particullarly on the back wall shoulder and sidewalls of the panel, prior to and during operations especially on high back areas immediately. 
3. Safety Engineer must cascade item 1 &amp; 2 to Mine Supervicors on or before May 19, 2026. Action accomplished. 
4. Supervisors must ensure standards on maintaining the maximum height of the back immedialtely or on or before May 19, 2026. 
CASE CLOSED MAY 23, 2026</t>
  </si>
  <si>
    <t>Laceration right leg, right knee</t>
  </si>
  <si>
    <t>Wound suturing, wound dressing, X-Ray</t>
  </si>
  <si>
    <t>Wound suturing, wound dressing, X-Ray, and Ketorolac given</t>
  </si>
  <si>
    <t>Upper Tram Slusher Bin</t>
  </si>
  <si>
    <t>RUFINO, ALVIN</t>
  </si>
  <si>
    <t>Jr. Mechanical Engineer</t>
  </si>
  <si>
    <t>Poblacion, Mankayan</t>
  </si>
  <si>
    <t>May 6, 2026</t>
  </si>
  <si>
    <t>Larry E. Arigue</t>
  </si>
  <si>
    <t>Riding Motorcycle to work</t>
  </si>
  <si>
    <t>Guiwe, Poblacion Mankayan</t>
  </si>
  <si>
    <t>LEA / JIC / -</t>
  </si>
  <si>
    <t>Multiple Abrasion secondary to vehicular crash</t>
  </si>
  <si>
    <t>Wound Care, X-Ray</t>
  </si>
  <si>
    <t>For Sick Leave</t>
  </si>
  <si>
    <t>Poorly Maintained Haul Roads (Stray Dogs)</t>
  </si>
  <si>
    <t>Inadequate Leadership / Supervision</t>
  </si>
  <si>
    <t>At 6:55 AM, the victim was going to work when a stray dog suddenly lunged and crossed the road leaving the victim no time for the right reaction, resulting in bumping the dog, and leaving the victim with abrasions. The victim went strainght ahead to Lepanto infirmary for medical clearance.</t>
  </si>
  <si>
    <t>Corrective Action/s:
1. The victim committed to riding the designated service vehicle for employees instead. Action Accomplished verbally, Victim signed the Form.
CASE CLOSED JUNE 1, 2025</t>
  </si>
  <si>
    <t xml:space="preserve">Corrective Action/s:
1. PCES / ComRel must conduct site scan and communicate with gold course players
2. PCES / ComRel must coordinate with golf course management to establish golf schedule. </t>
  </si>
  <si>
    <t>Corrective Action/s:
1. The Safety Department must change spectacles to fully enclosed eye protection or convert to using face shield instead. 
2. Supervisor ,ust add signages to the area such as "Keep face clear"</t>
  </si>
  <si>
    <t>Bontoc Roadway</t>
  </si>
  <si>
    <t>Supraventricular Tachycardia, S/P Medical Conversion; HPN Stage II; Hyperthyroidism</t>
  </si>
  <si>
    <t>Admitted at Bontoc General Hospital</t>
  </si>
  <si>
    <t>For 2d Echo</t>
  </si>
  <si>
    <t xml:space="preserve">Corrective Action/s:
1. All personnel must attend to the APE Mandated requirement of the company. </t>
  </si>
  <si>
    <t>Corrective Action/s:
1. Mill Maintenance must replace all damaged flange gaskets before pump operation this May 2026.
2. Mill Operations must conduct inspection of pump pipelines and gasket condition prior to switching pump operations this May 2026.
3. Mill Operation must reinforce proper use of PPE and Emergency response procedures during hot solition handling this May 2026.
4. Mill Maintenance must implement regular preventive maintenance and leak checks on pump systems this May 2026.</t>
  </si>
  <si>
    <t>Corrective Action/s:
1. Area supervisors must implement barring down and inspection of accumulated silts before conducting any repair, maintenance, or manual work activity in the slusher area continuously.
2. Area supervisors must suspend work activities in areas with ifentified unstable material buildup until hazards are eliminated and the area is declared safe continuously
3. Area supervisors must  conduct an incident investigation ans safety discussion with all involved personnel to communicate lessons learned and identify improvement opportunities by May 31, 2026</t>
  </si>
  <si>
    <t>Corrective Action/s:
1. Lead and Assistant Miners must conduct thorough barring and scaling of loose rocks before that commencement of mucking operations immediatley. 
2. Lead and Assistant Miners, and Rock Mechanic personnel muste ensure continuous inspection of ground conditions, particullarly on the back wall shoulder and sidewalls of the panel, prior to and during operations especially on high back areas immediately. 
3. Safety Engineer must cascade item 1 &amp; 2 to Mine Supervicors on or before May 19, 2026. Action accomplished. 
4. Supervisors must ensure that proper height of back is maintained, as per standard, to eliminate presence of encorrected hazard due to put-of-reach concerns immediately.
CASE CLOSED MAY 23, 2026</t>
  </si>
  <si>
    <t>Corrective Action/s:
1. Reprimended gardeners not to leave unattended fires burning.
CASE CLOSED</t>
  </si>
  <si>
    <t xml:space="preserve">Corrective Action/s:
1. Mill Supervisors must striclty observe section 1.1.3.2.of GUI-MIL-011 ("Stopping of conveyor operation prior to clean-up or repair if using tools directly to the conveyor")
2. Maintenance crew must install an emergency pull cord along all conveyors including 5A
3. Mill Supervisors must enforce buddy-buddy system especially in isolated areas. By extension, a spotter should be assigned near the control panel at all times especially if no emergency pull cord are in place specific for closing. 
4. Mill Supervisors / compliance must install guardings for pulley survey along walkways
Comprehensive Report Recommendation and Corrective Actions. 
1. Implement a buddy system during conveyor belt clean-up. Cleaning tasks should always be performed by at least two workers. One worker will carry out the cleaning, while the other monitors the conveyor's operation and stnds ready to activate temergency stop controls if necessary. 
2. Install guards on conveyor belts. All conveyor belts must be fitted with protective gusrds to prevent accidental contact with moving parts. Guards act as a physical barrier, ensuring that workers' hands, clothing, or tools cannot be drawn into the pulley.
3. Install emergency stop cables on all conveyor systems. Emergency stop cables should run along the full length of each conveyor sytem, allowing workers to quickly shut down operations from any point. 
4. Strictly enforce Standard Operating Procedures (SOP) during conveyor belt clean-up. Workers must follow established SOPs, which includes shutting down the conveyor before cleaning, using appropriate tools, and wearing personal protective equipment. Supervisors should conduct regular inspections to ensure compliance, provide refresher training, and enforce disciplinary measures when SOPs are not followed. </t>
  </si>
  <si>
    <t>STUDENT</t>
  </si>
  <si>
    <t>OJT</t>
  </si>
  <si>
    <t>LUMASOK, JOHANNAH SHAYNE T.</t>
  </si>
  <si>
    <t>Hoist Room</t>
  </si>
  <si>
    <t>June 2, 2026</t>
  </si>
  <si>
    <t>Nelson L. Baguya II</t>
  </si>
  <si>
    <t>Jet Lee V. Chinanglas</t>
  </si>
  <si>
    <t>Clinton O. Lingyasan</t>
  </si>
  <si>
    <t>Mine tour: Discussion at Hoist Room 1150L</t>
  </si>
  <si>
    <t>MAT/AOV/RWV</t>
  </si>
  <si>
    <t>HR-Training</t>
  </si>
  <si>
    <t>1150L Hoist Room</t>
  </si>
  <si>
    <t>NLBII / JLVC / COL</t>
  </si>
  <si>
    <t>ASG - HR - Training</t>
  </si>
  <si>
    <t>Temperature extremes (extreme heat/cold)</t>
  </si>
  <si>
    <t>LUGAO, KYLE RUSSEL T</t>
  </si>
  <si>
    <t xml:space="preserve">OMERAG, FRIELAND F. </t>
  </si>
  <si>
    <t>Paterno B. Basingan</t>
  </si>
  <si>
    <t>Cutting of LHD Canopy</t>
  </si>
  <si>
    <t>MAT/AOV/SAU</t>
  </si>
  <si>
    <t>2487 8M2</t>
  </si>
  <si>
    <t xml:space="preserve">2490 8M2 </t>
  </si>
  <si>
    <t>1150L Repair Bay</t>
  </si>
  <si>
    <t xml:space="preserve"> Congestion or restricted action</t>
  </si>
  <si>
    <t>Inadequate or improper protective equipment</t>
  </si>
  <si>
    <t>Lacerated Wound Left Foot, Chip Fracture 4th Metatarsal Bone Left, Secondary to Rockfall</t>
  </si>
  <si>
    <t>Wound Suturing, Wound Dressing, X-Ray, ATS, TT</t>
  </si>
  <si>
    <t>Lumbosacral Strain</t>
  </si>
  <si>
    <t>LSV X-Ray, Analgesics</t>
  </si>
  <si>
    <t>Rest for 1-2 days</t>
  </si>
  <si>
    <t>Cellulitis Right Foot, Secondary to Burn</t>
  </si>
  <si>
    <t>IV Antibiotics, Analgesics</t>
  </si>
  <si>
    <t>WALLIS, MAYNARD</t>
  </si>
  <si>
    <t>DAO-WOK, KELVIN</t>
  </si>
  <si>
    <t>UG Crusher Operator</t>
  </si>
  <si>
    <t>Cadet Mechanical Engineer</t>
  </si>
  <si>
    <t>Electrician</t>
  </si>
  <si>
    <t>Jr. Mechanic / Driver</t>
  </si>
  <si>
    <t>CIP - Refinery</t>
  </si>
  <si>
    <t>Bulalacao, Mankayan, Benguet</t>
  </si>
  <si>
    <t>La Guerta Area</t>
  </si>
  <si>
    <t>Rolando E. Ventura</t>
  </si>
  <si>
    <t>Raymund D. Bonilla</t>
  </si>
  <si>
    <t>Ranel R. Narciso</t>
  </si>
  <si>
    <t>Aquino P. Lawana Jr.</t>
  </si>
  <si>
    <t>Larry S. Andomang</t>
  </si>
  <si>
    <t>Blasting big boulder</t>
  </si>
  <si>
    <t>Tightening of bolts</t>
  </si>
  <si>
    <t>Tensioning of cable wire</t>
  </si>
  <si>
    <t>Unloading of sandfill</t>
  </si>
  <si>
    <t>Elution Column 1 3rd Floor</t>
  </si>
  <si>
    <t>St. Albans Church</t>
  </si>
  <si>
    <t>No Diagnosis</t>
  </si>
  <si>
    <t>R/O Arrhytmia</t>
  </si>
  <si>
    <t>Wound Care</t>
  </si>
  <si>
    <t>Wound Suturing, Anti Tetanus and Anti Biotic Prophylaxis, X-ray</t>
  </si>
  <si>
    <t>ECG, CBC, Serum Electrolytes, Troponin I, Urinalysis, Creatinine, CBG</t>
  </si>
  <si>
    <t>Electrical Cable</t>
  </si>
  <si>
    <t>The victim was conducting barring-down activities when a piece of boulder suddenly detached and slid along the pinch bar. In an attempt to evade the falling rock, the victim moved away from its path. The boulder then fell to the ground and, due to the uneven and muddy ground conditions, rolled and repositioned itself. Unfortunately, the victim was unable to move his left foot clear of the boulder's path, resulting in his foot being pinned between the rock and the ground.
First aid was immediately administered by the witness, and the victim was subsequently transported to the hospital for further medical evaluation and treatment.</t>
  </si>
  <si>
    <t>After completing the bar-down activity, the victim and his companion proceeded to prepare their tools and equipment for the rock bolting operation. The victim was assigned to retrieve the jackleg, which was lying on the ground. While attempting to lift the equipment, he suddenly felt a cracking sensation accompanied by severe pain in the middle portion of his back.
Immediate first aid was administered by the witness, Safety Officer A.O. Viernes. The incident was promptly reported to the victim's immediate supervisor and the Control Operator to facilitate the transportation of the victim to the hospital. The victim was transported to the hospital at approximately 9:36 AM for further medical evaluation and treatment.</t>
  </si>
  <si>
    <t>At the 1150L Hoist Room, the victim called the attention of Safety Officer Viernes after experiencing discomfort. Considering that the victim has asthma, she immediately used her prescribed inhaler. Mr. Viernes also performed a capillary refill assessment to evaluate her condition.
Due to the situation, Mr. Viernes decided to suspend the activity and advised everyone to exit the area. After taking approximately five (5) steps, the victim suddenly experienced severe leg cramps and was unable to continue walking. As a result, Safety Officer Mr. Velasco (accompanying the party as well), carried the victim to the 1150L Shaft Station, where she was transferred onto a stretcher for safe extraction from the area. She was then transported to the surface using a service truck.
Upon reaching the surface, the victim was ferried by the company's ambulance and transported to LMD Hospital for further medical evaluation and treatment.</t>
  </si>
  <si>
    <t>The victim was cutting the canopy of LHD 149 while in a squat position. During the cutting operation, molten flux gradually accumulated at a single spot. After several minutes, the accumulated flux suddenly exploded, causing hot molten material to scatter in different directions. Some of the molten flux entered the opening of his right safety boot and came into contact with his cellulitis, resulting in third-degree burns.</t>
  </si>
  <si>
    <t>While the victim was operating conveyor A, he noticed a hang-up on the Chute. Later on, his companion, the locomotive operator shouted that there was a boulder. The victim shut off the conveyor, checked the situation and proceeded to acquire explosives to blast the boulder. Upon returning from the traffic area with the explosives, the victim warned his companions to keep their distance and he proceeded to get on the chute. The victim put the explosive on the boulder to clean the area so he can see where to position the explosive well for an effective blasting. While doing so, his whole left leg suddenly sunk and got caught within the muck pile he was standing on. The victim hurriedly freed himself and got of the chute to avoid being fully swallowed by the pile. He was assisted by his companions who heard his sudden shout. This resulted in a visual abrasion on his left leg.</t>
  </si>
  <si>
    <t>During the tine, the victim and his supervisor pulled out discharge pipe and replaced blinded strainer of Elution Column 1. After that the two were on process of returning the discharge pipe when the victim who was tightening the bolts, using combination wrench with another wrench as extender, did not anticipate the sudden slip of the tools he was using and hit the victim's left forehead causing a laceration injury.</t>
  </si>
  <si>
    <t xml:space="preserve">The team composed of three-man team including the victim, who were on the process to repair a loose arcing splice on the overhead lines passing thru St. Albans Church. The victim was the one positioned overhead on the post to perform re-splicing works while two of his companion were positioned on the ground to assist the victim. Prior starting their work their team assessed the overhead lines and switched off the power supply going to the circuit their working on. However, while the victim was doing the repair on the wire splice by the moment his fore arm came in contact with one of the supposed de-energized line he experiences electrocution resulting in his injury. </t>
  </si>
  <si>
    <t xml:space="preserve">At approximately 1:00 PM, a truck driven by the victim arrived at the Upper Tram area. Upon his arrival, his co-worker informed him that the truck's wheel studs needed to be inspected, and instructed the driver to first unload the sandfill, park the truck, and then proceed with the stud inspection. The driver began unloading the sandfill without checking the side mirror to confirm whether the Upper Tram operator had removed the tailgate lock. Because the tailgate remained locked, the material was unable to discharge and instead accumulated at the rear of the dump box as it was raised. The uneven distribution of the load shifted the truck's center of gravity, causing the vehicle to tip backward and become stuck in an elevated position. </t>
  </si>
  <si>
    <t xml:space="preserve">Findings: 
1. The victim was wearing shorts at the time of the incident.
2. The victim was complacent that his injury will heal eventually without need for medical treatment.
3. The victim did not report the incident.
4. The victim sought medical attention after several days had passed. 
5. The supervisor was aware of the incident but did not report it. 
Corrective Action/s:
1. Safety Supervisor issue a Notice of Disciplinary Action (NODA) to the victim's Supervisor, as well as the victim for late reporting. 
2. MMME Planners / Supervisors must mandate the use of long pants during hot works.
Supervisors / Foreman must include the policy on immediate reporting of incidents / accidents during peptalks / toolbox meetings. </t>
  </si>
  <si>
    <t>Findings:
1. Oversized boulders are sometimes delivered at the rotary dumper. Secondary blasting resulting from the action causes damage to the equipment which calls for a repair. This also means delay in production.
2. Loaders cannot decipher in the muck pile which ones are oversized and which in the pile is not.
3. It was normal for the victim to get on the chute when there are boulders.
4. The victim refused treatment at the time of the incident. It was his rest day the following day.
5. The accident failed to be reported immediately due to the absence of immediate officers during the time, fatigue, and inclement weather.
Corrective Action/s:
1. Eliminate rock boulders being hauled with ore materials to UG Crusher.
2. Blow piping at chute 1 before executing the blasting activity to ensure boulder stability should it be needed.
3. Constant reminders on the risk of blasting boulders during pep talk.</t>
  </si>
  <si>
    <t xml:space="preserve">NONE </t>
  </si>
  <si>
    <t>Darwin S. Coloma</t>
  </si>
  <si>
    <t>Maintenance - Electrical</t>
  </si>
  <si>
    <t>Maintenance - Mechanical</t>
  </si>
  <si>
    <t>Mill Maintenance Planning</t>
  </si>
  <si>
    <t>Jenipher B. Rosito</t>
  </si>
  <si>
    <t xml:space="preserve">Ernesto L. Locaben Jr. </t>
  </si>
  <si>
    <t>Preaparation of tools and equipment prior for Rock Bolting</t>
  </si>
  <si>
    <t>JTC / JBP / RCA</t>
  </si>
  <si>
    <t>KBL / ELLJr. / RRN</t>
  </si>
  <si>
    <t>REV / DSC / LSA</t>
  </si>
  <si>
    <t>Department Head</t>
  </si>
  <si>
    <t>Marivic Rd., Sapid</t>
  </si>
  <si>
    <t>June 23, 2026</t>
  </si>
  <si>
    <t>Along Marivic Road</t>
  </si>
  <si>
    <t>On or about 1:20 PM Security Officer, who was on duty at the General Office guarrd post, received a call from his colleague about a bush fire along MarivicRoad. Upon receiveing the information, ERT Members Velasco, Quilop, and Langato were informed of the incident. At exactly 1:25 PM, the fire truck driven by Quilop proceeded to the reported bush fire area along Marivic Road in response to th information received, along with 3 other responders. At around 1:37 PM, the response team arrived at the incident site and met VSAI Officer - Watte, who was already at the area monitoring the situation. upon arrival, the team conducted a rapid assessment and confirmed the presence of a bush fire involving dry grasses, shrubs, and other combustible vegetation. Fire Suppressions were immediately initiated to prevent fire from spreading to the nearby vegetation and surrounding areas. The responding personnel applied waster directly to the burning vegetation and concentrating on extinguishing active flames and hotspots. continuous suppression ans mopping-up operations were conducted to ensure complete extinguishment ans to prevent ansy possible rekindling. 
Through the prompt response ans coordinated efforts of the Emergency Response Team, the fire was successfully contained and extinguished. the incident was declared fire out at approximately 2:04 PM.</t>
  </si>
  <si>
    <t xml:space="preserve">Findings:
1. The bush fire affected an estimated area of approximately 300 sqm.
2. Around seven (7) fully grown pine trees within the affected area were partially burned as a result of the incident.
3. No casualties or injuries were reportes during the operation
4. Participation: Four (4) IOSD responder, one (1) IOSD-VSAI responder, two (2) MEPEO responder, one (1) SMED responder, and two (2) Safety responder attended to the situation.
5. The bush foer is suspected to have been caused by a discarded cigarette butt, possibly from individuals engaged in mushroom hunting in the area. 
6. No direct evidence of intentional burning was confirmed during the initial assessment. 
7. Response time: approximately 29 minutes from receipt of report. 
8. No communication challenges were encountered.
9. Resources used: Fire truck, fire hose, water supply from fire truck tank, PPE.
Corrective Action/s:
1. Strengthened patrol and monitoring of the area, particularly during dry weather conditions, and intensified information dissemination to discourage smoking and improper disposal of cigarette butts. 
2. Coordination with local residents and forest users, including mushroom hunters, shall be reinforced to promote safety awareness ans prevent similar awareness and prevent similar incidents in the future. </t>
  </si>
  <si>
    <t>Over-Exertion in Lifting Objects</t>
  </si>
  <si>
    <t>Over-Exertion in Pushing / Pulling Objects</t>
  </si>
  <si>
    <t>Over-Exertion in Handling or Throwing Objects</t>
  </si>
  <si>
    <t>VAB / DSG / -</t>
  </si>
  <si>
    <t>FABJr. / ABY / PBB</t>
  </si>
  <si>
    <t>TSG - SMED - Surface Electrical</t>
  </si>
  <si>
    <t>TSG - SMED - Powerplant, Nayak, &amp; Tubo Compressor</t>
  </si>
  <si>
    <t>TSG - SMED - Energy Conservation</t>
  </si>
  <si>
    <t>TSG - SMED - Instrument Calibration</t>
  </si>
  <si>
    <t>TSG - MWSO - Fabrication Shop</t>
  </si>
  <si>
    <t>TSG - MWSO - Overhauling Shop</t>
  </si>
  <si>
    <t>TSG - MWSO - 900L Mine Shop</t>
  </si>
  <si>
    <t>TSG - MWSO - Motorpool</t>
  </si>
  <si>
    <t>Findings:
1. The 1 1/8 combination wrench was used for tightening the bolts.
2. The victim used two combination wrenches using the other as extender.
3. The supervisor was also tightening on the other end of the discharge pipe when the accident happened.
Corrective Action/s:
1. For purchasing of appropriate tools like wrench extenders, socket wrench or torque wrench.</t>
  </si>
  <si>
    <t>During the time, the victim and his supervisor pulled out discharge pipe and replaced blinded strainer of Elution Column 1. After that the two were on process of returning the discharge pipe when the victim who was tightening the bolts, using combination wrench with another wrench as extender, did not anticipate the sudden slip of the tools he was using and hit the victim's left forehead causing a laceration injury.</t>
  </si>
  <si>
    <t xml:space="preserve">The team composed of three-man team including the victim, who were on the process to repair a loose arcing splice on the overhead lines passing thru St. Albans Church. The victim was the one positioned overhead on the post to perform re-splicing works while two of his companions were positioned on the ground to assist the victim. Prior starting their work their team assessed the overhead lines and switched off the power supply going to the circuit their working on. However, while the victim was doing the repair on the wire splice by the moment his forearm came in contact with one of the supposed de-energized lines, he experiences electrocution resulting in his injury. </t>
  </si>
  <si>
    <t>Findings:
1. Re assessment revealed that though all the lines were shut off from the power source (Circuit No. 1) one of the lines had a return path carrying a live 220 volts from a different Circuit 2. This unexpected electrical path was due to crossover contact between circuit 1 circuit 
2. This occurrence of these cross over was due to insulation degradation of the 2 wires allowing the conductors to be in contact.</t>
  </si>
  <si>
    <t>Findings:
1. Based on the driver's statement, the highest restriction (license classification) indicated on his driver's license is B2, which authorizes the holder to operate light commercial vehicles and cargo vehicles with a gross vehicle weight (GVW) of up to 3500 kilograms requires a Class C driver's license, which authorizes the holder to operate large heavy good vehicles and trucks with a gross vehicle weight exceeding 3500 kilograms.
2. The driver / victim does not have a driving NC II or Heavy Equipment Opertion On-Highway Dump Truck (Rigid) NC II from TESDA.
3) The driver unloads the sandfill not in the designated dumping area.
4) There are no established SPs/WI governing hauling and unloading of sandfill.</t>
  </si>
  <si>
    <t xml:space="preserve">PATINDO, DARWIN L. </t>
  </si>
  <si>
    <t xml:space="preserve">BUSELEY, ISRAEL M. </t>
  </si>
  <si>
    <t xml:space="preserve">PEROLINO, LEONITO A. </t>
  </si>
  <si>
    <t xml:space="preserve">PABLO, SATURNINO D. </t>
  </si>
  <si>
    <t xml:space="preserve">BANSON, JEFFERSON, B. </t>
  </si>
  <si>
    <t xml:space="preserve">MENDOZA, REGIE B. </t>
  </si>
  <si>
    <t>DDCP-236</t>
  </si>
  <si>
    <t>DDCP-18</t>
  </si>
  <si>
    <t>DDCP-249</t>
  </si>
  <si>
    <t>Mine Foreman</t>
  </si>
  <si>
    <t xml:space="preserve">AMBUGAWON, MARVIN A. </t>
  </si>
  <si>
    <t>Struck by Flying Object</t>
  </si>
  <si>
    <t>Sump</t>
  </si>
  <si>
    <t>670L Dewatering</t>
  </si>
  <si>
    <t>830L</t>
  </si>
  <si>
    <t>840L</t>
  </si>
  <si>
    <t>1250L</t>
  </si>
  <si>
    <t>670L</t>
  </si>
  <si>
    <t>DDCP - Allan Kitma</t>
  </si>
  <si>
    <t>DDCP - Allan R. Domalsin</t>
  </si>
  <si>
    <t>Art Benzene E. Lanip</t>
  </si>
  <si>
    <t>Lambert I. Domogen Jr.</t>
  </si>
  <si>
    <t>DEVIGYRO HQ MID CENTRALIZER</t>
  </si>
  <si>
    <t>DeviGyro HQ Mid Centralizer</t>
  </si>
  <si>
    <t>Loading of ore to the mine cars at 195 loading bay.</t>
  </si>
  <si>
    <t>Repairing a sagging 2 inch compressed air line at 260 I Decline</t>
  </si>
  <si>
    <t>Timbering Activity</t>
  </si>
  <si>
    <t>Unloading and stacking of salvage track ties</t>
  </si>
  <si>
    <t>Manual excavation and clearing of soil/rock</t>
  </si>
  <si>
    <t>Retreating/ Walking to 249 Station</t>
  </si>
  <si>
    <t>Delivery of materials</t>
  </si>
  <si>
    <t>Installation of Pump</t>
  </si>
  <si>
    <t>Lifting of Pump</t>
  </si>
  <si>
    <t>WLT</t>
  </si>
  <si>
    <t>WLT/SAU</t>
  </si>
  <si>
    <t>EAR/JAW/DAM/AOV/HMBR</t>
  </si>
  <si>
    <t>FPP/WLT</t>
  </si>
  <si>
    <t>HMBR</t>
  </si>
  <si>
    <t>195 Loading Bay</t>
  </si>
  <si>
    <t>260 I Decline</t>
  </si>
  <si>
    <t>24055 8M3</t>
  </si>
  <si>
    <t>Rock Pass 195</t>
  </si>
  <si>
    <t>310 I CUDDY</t>
  </si>
  <si>
    <t>Adit 1 XC 3</t>
  </si>
  <si>
    <t>123 F30S</t>
  </si>
  <si>
    <t>249 Mainline</t>
  </si>
  <si>
    <t>REV / MSP / ABEL</t>
  </si>
  <si>
    <t>VAB / RPK / LIDJr.</t>
  </si>
  <si>
    <t>ACUTE GASTRITIS WITH SEVERE DEHYDRATION; ELECTROLYTE IMBALANCE (HYPERKALEMIA)</t>
  </si>
  <si>
    <t xml:space="preserve">Details of Treatment Provided:
IV HYDRATION, POTASSIUM CORRECTION
</t>
  </si>
  <si>
    <t>For further medical evaluation: Admitted</t>
  </si>
  <si>
    <t>MULTIPLE ABRASIONS, LEFT LOWER QUADRANT, LEFT FOREARM, BILATERAL THIGHS, RIGHT LEG</t>
  </si>
  <si>
    <t>ATS, TT, ANTIBIOTIC</t>
  </si>
  <si>
    <t>For further medical evaluation: Daily Wound Care, Pain Meds</t>
  </si>
  <si>
    <t>PUNCTURED WOUND RIGHT HAND-&gt; CELLULITIS R HAND</t>
  </si>
  <si>
    <t>R HAND XRAY, ANTI-TETANUS, ANALGESICS, ANTIBIOTICS</t>
  </si>
  <si>
    <t>ATS/TT, AMPUTATION OF DISTAL PHALANX OF 4TH DIGIT AND WOUND CLOSURE</t>
  </si>
  <si>
    <t>Recommended for light works</t>
  </si>
  <si>
    <t>T/C UROLITHIASIS (NON OCCUPATIONAL)</t>
  </si>
  <si>
    <t>PAIN CONTROL</t>
  </si>
  <si>
    <t>For further medical evaluation: Admitted for pain control</t>
  </si>
  <si>
    <t>PUNCTURED WOUND LEFT FOOT</t>
  </si>
  <si>
    <t>X-RAY, TT AND ATS INJECTION, WOUND CARE</t>
  </si>
  <si>
    <t>For further medical evaluation: May go back to work provided that wound will not be soiled</t>
  </si>
  <si>
    <t>CONJUNCTIVITIS RIGHT EYE SECONDARY TO FOREIGN BODY</t>
  </si>
  <si>
    <t>EYE FLUSHING; MEDICATIONS GIVEN</t>
  </si>
  <si>
    <t>For further medical evaluation: For follow up at OPD Tomorrow</t>
  </si>
  <si>
    <t>Failure to Secure Personnal Safety</t>
  </si>
  <si>
    <t>Poor Housekeeping / Disorder</t>
  </si>
  <si>
    <t>Inadequate Warning System (Signages / Signals)</t>
  </si>
  <si>
    <t>Poorly maintained haul roads</t>
  </si>
  <si>
    <t>Hazardous Environmental Conditions</t>
  </si>
  <si>
    <t xml:space="preserve">The victim was tasked to load the mine cars at 195 loading bay. While on the midst of loading the 6th mine car, he alighted from the LHD 145. The Locomotive Mine Car Operator and his Assistant noticed that the victim is visibly weakened and saliva is dripping from his mouth so they immediately informed the victim's companion about his situation. He was then relieved from his task and retreated at the old Elena Rock Drill shop to rest. After 30 minutes, the victim's Supervisor received a call that the victim is having a body cramps so he instructed his crew to immediately fetch the stretcher to retract the victim and assess his situation. </t>
  </si>
  <si>
    <t>While repairing a sagging 2-inch compressed air line at 260 I Decline, the victim attempted to tighten a loose clamp connection on a T-joint. During the process, the pressurized air line suddenly snapped off and exploded, causing the pipe and flying debris to strike the victim. As a result, the victim sustained puncture (cut) wounds and abrasions to the inner thighs, left abdomen, and left forearm. Despite sustaining these injuries, the victim continued working and only sought medical treatment later due to persistent pain.</t>
  </si>
  <si>
    <t>The Lead Miner had just sawed a 2×8 timber slab to be used as a scab from the platform that had been dismantled during the previous shift's timbering activity. The victim noticed a protruding nail on the excess portion of the sawed slab. Intending to remove the protruding nail, he approached the area where the slab had been cut. However, he slipped and lost his balance. In an attempt to protect his upper body and head, he instinctively extended his arms. Unfortunately, his right palm came into contact with the protruding nail, resulting in a puncture injury.</t>
  </si>
  <si>
    <t>While unloading and stacking salvaged track ties (trabesa) at RP 195, the victim attempted to prevent an improperly stacked pile from falling onto a co-worker. In the process, the victim's right fourth finger was caught between the stacked track ties and a falling track tie, resulting in an injury. The victim was subsequently provided first aid and transported to the hospital for further medical evaluation.</t>
  </si>
  <si>
    <t>The victims were in the process of cutting a timber to be used for repositioning their meter eater. They suddenly heard an explosion from Panel 1256 I30S. Immediately after the explosion, rock fragments were ejected from the drill holes located at the upper portion of the cuddy. They attempted to avoid the flying rock fragments but were unsuccessful, resulting in injuries.
One of them immediately sought assistance from workers at a nearby panel and simultaneously informed their co-workers at 305 G Cuddy about the incident. First responders promptly cleaned the victims' wounds and administered first aid. The Safety Officers on duty immediately responded to the area and conducted an investigation into the incident.</t>
  </si>
  <si>
    <t>The victims were in the process of cutting a timber to be used for repositioning their meter eater. They suddenly heard an explosion from Panel 1256 I30S. Immediately after the explosion, rock fragments were ejected from the drill holes located at the upper portion of the cuddy. They attempted to avoid the flying rock fragments but were unsuccessful, resulting in injuries.
One of them immediately sought assistance from workers at a nearby panel and simultaneously informed their co-workers at 305 G Cuddy about the incident. First responders promptly cleaned the victims' wounds and administered first aid. The Safety Officers on duty immediately responded to the area and conducted an investigation into the incident.</t>
  </si>
  <si>
    <t>At approximately 1:10 PM, the victim was preparing to retreat to 249 Station to take a shower after completing his work. While walking along the mainline, he suddenly experienced a sharp pain in the lower left side of his abdomen. Despite the discomfort, he continued walking and ignored the pain.
Upon arriving at the station, he immediately drank cold water to quench his thirst. After taking a shower, he proceeded to wash his work clothes, during which the abdominal pain intensified and became unbearable. Observing his condition, a witness noticed that the victim was in visible discomfort and immediately instructed the Control Operator to fetch and assist him for further medical attention.</t>
  </si>
  <si>
    <r>
      <t>The driver was descending the Adit#1 using the miner’s truck (“</t>
    </r>
    <r>
      <rPr>
        <i/>
        <sz val="12"/>
        <rFont val="Century Gothic"/>
        <family val="2"/>
      </rPr>
      <t>Kalalaw</t>
    </r>
    <r>
      <rPr>
        <sz val="12"/>
        <rFont val="Century Gothic"/>
        <family val="2"/>
      </rPr>
      <t>”) with plate # CCB 9795 when he saw a passenger walking so he stopped to let him board the truck. Upon boarding, the driver noticed that the truck was slipping down the roadway so he used the hand brake trying to control the truck but still continuously slipped until it hit the wall.</t>
    </r>
  </si>
  <si>
    <t>At approximately 10:00AM, the victim was assigned to 123 F30S sump area to deliver and install a repaired welden pump for dewatering. During installation, the victim accidentally stepped on a protruding 4-inch nail, causing a puncture wound to his left foot.</t>
  </si>
  <si>
    <t>At 9:00 PM of July 22, 2026, the victim assisted the mechanics in lifting mega-n water pump which required the use of a chain block. While the victim was attaching a cable rope to secure it to the chain block, dust particles fell from above and stuck his eye, resulting in an eye injury.</t>
  </si>
  <si>
    <r>
      <t xml:space="preserve">Findings:
1. The victim has a known history o fasthma ans used her prescribed inhaler upom experiencing discomfort. 
2. No unsafe acts, unsafe conditions, or equipment-related failures were observed as contributing factors during the underground mine tour. 
Corrective Action/s:
1. Ensure that all OJT students and visitors undergo a pre-tour health screening and disclose any existing medical conditions prior to entering the underground workplace and provide a clearance slip. On June 3, 2026, a Safety Memo was issued regarding the subject for all visitors to undergo medical clearance before undergoing an underground visit. This was cascaded as well during the CSHC Meeting on June 19, 2026.
</t>
    </r>
    <r>
      <rPr>
        <b/>
        <sz val="72"/>
        <color rgb="FFFF0000"/>
        <rFont val="Century Gothic"/>
        <family val="2"/>
      </rPr>
      <t>CASE CLOSED 6/9/26</t>
    </r>
  </si>
  <si>
    <r>
      <t xml:space="preserve">Findings:
1.  Panel 2847 8M2 850L has a moderate warm atmospheric condition.
2. Ground Conditions: Fractured and Clay Altered; Roadway is muddy and watery
3. Boulder Size: .38 m x .61m x .74m
4. The source of the boulder slough-off is at the left shoulder, between distance 32- 34.
5. Distance of last ring of rock bolt support is at distance 35
6. First Aid was administered by the witness before informing their supervisor about the incident
Corrective Action/s:
1. All involved miners must follow the fire steps in barring down always and immediately. 
2. Discussed during departmental morning meeting. 
</t>
    </r>
    <r>
      <rPr>
        <b/>
        <sz val="72"/>
        <color rgb="FFFF0000"/>
        <rFont val="Century Gothic"/>
        <family val="2"/>
      </rPr>
      <t>CASE CLOSED 6/17/26</t>
    </r>
  </si>
  <si>
    <r>
      <t xml:space="preserve">Findings:
1. The incident is associated with manual lifting and material handling activities.
2. Improper lifting posture, excessive force exertion, or pre-existing conditions may have contributed to the injury and should be firther evaluated during investigation.
3. Additional controls on manual handling of heavy equipment, including proper lifting techniques and the use of team lifting or mechanical aids where practicable, should be reviewed to prevent similar occurences. 
Corrective Action/s:
1. During the departmental safety meeting this July, the safety department will reiterate and discuss ergonomic hazard awareness, proper body mechanics, and safe manual material handling techniques during departmental safety meetings to enhance employees; understanding of ergonomic risks and reduce the likelihood of muscoskeletal injuries. The topic shall be incorporated as an Information, Education, and Communication (IEC) material for dissemination during regular departmental safety meetings.
</t>
    </r>
    <r>
      <rPr>
        <b/>
        <sz val="72"/>
        <color rgb="FFFF0000"/>
        <rFont val="Century Gothic"/>
        <family val="2"/>
      </rPr>
      <t>CASE CLOSED ON 6/17/26</t>
    </r>
  </si>
  <si>
    <t>Higenio Ginpac - Consultant</t>
  </si>
  <si>
    <t>VAB / JOG / HG</t>
  </si>
  <si>
    <t>IMD CONTRACTORS SWITHCH</t>
  </si>
  <si>
    <t>DION CLINTON S. DACANAY</t>
  </si>
  <si>
    <t>JERRY CROSS N. GONZALES</t>
  </si>
  <si>
    <t>PAUL B. DAMOSLOG</t>
  </si>
  <si>
    <t>July 17, 2026</t>
  </si>
  <si>
    <t>Mary Grace C. Torres</t>
  </si>
  <si>
    <t>Checking of the property before usage</t>
  </si>
  <si>
    <t xml:space="preserve">Jerry G. Gatinao Jr. </t>
  </si>
  <si>
    <t>SAU / DAM / EAR</t>
  </si>
  <si>
    <t>Crusher Operator</t>
  </si>
  <si>
    <t>Head Nurse</t>
  </si>
  <si>
    <t>IMD Substation</t>
  </si>
  <si>
    <t>Cone Crusher Conveyor Feed</t>
  </si>
  <si>
    <t>CIP - ILR</t>
  </si>
  <si>
    <t>LMD Hospital</t>
  </si>
  <si>
    <t>Zerubabel D. Pateña</t>
  </si>
  <si>
    <t>Florence S. Sayson</t>
  </si>
  <si>
    <t>Scheduled vegetation clearing along the 2,300V primary line.</t>
  </si>
  <si>
    <t>Barring down stuck mud.</t>
  </si>
  <si>
    <t>Cleaning activity inside the recirculation tank.</t>
  </si>
  <si>
    <t>IV Insertion to a patient.</t>
  </si>
  <si>
    <t>MGE / MBK</t>
  </si>
  <si>
    <t>MBM</t>
  </si>
  <si>
    <t xml:space="preserve">Record </t>
  </si>
  <si>
    <t>Nurse</t>
  </si>
  <si>
    <t>Pharmacy</t>
  </si>
  <si>
    <t>Radiology</t>
  </si>
  <si>
    <t>Utility</t>
  </si>
  <si>
    <t>Laundry</t>
  </si>
  <si>
    <t>Drivers</t>
  </si>
  <si>
    <t>Cone Crusher Conveyor Feed #1 - Transfer Chute</t>
  </si>
  <si>
    <t>LACERATED WOUND, UPPER EYELID, LEFT</t>
  </si>
  <si>
    <t>WOUND CLEANING, SUTURING</t>
  </si>
  <si>
    <t>Provided wound will not be soiled, fit to work</t>
  </si>
  <si>
    <t>CHEMICAL BURN, PERIORBITAL AREA, RIGHT EYE</t>
  </si>
  <si>
    <t>FOR OPHTHA CONSULT</t>
  </si>
  <si>
    <t>For further medical evaluation: Ophtha evaluation</t>
  </si>
  <si>
    <t>NEEDLESTICK INJURY, 1ST DIGIT, RIGHT HAND</t>
  </si>
  <si>
    <t>WOUND CLEANING AND DRESSING, FOR HBSAG, ANTI HCV, ANTI HBS, HCT, HCV, AMOXICILLIN, MFA</t>
  </si>
  <si>
    <t>Fit to work</t>
  </si>
  <si>
    <t xml:space="preserve"> Failure to use PPE properly</t>
  </si>
  <si>
    <t>Improper Handling</t>
  </si>
  <si>
    <t>Fire and explosion hazards</t>
  </si>
  <si>
    <t>Extended Duty Hours</t>
  </si>
  <si>
    <t>Hazardous environmental conditions</t>
  </si>
  <si>
    <t>Dominador B. Dampilag</t>
  </si>
  <si>
    <t>Ruben L. Gorero</t>
  </si>
  <si>
    <t>At approximately 10:39 AM, while restoring power to the Orient area after scheduled vegetation clearing along the 2,300V primary line, a short-circuit fault occurred during the opening of the IMD 2.3 kV contactor switch using the SMED Office remote ENERCON switching panel. The fault caused an explosion and fire at the IMD switching station. The fire was successfully extinguished, and the damaged equipment was isolated to ensure the safety of the area pending further assessment and repair.</t>
  </si>
  <si>
    <t>On July 19, 2026, one of the HQ Centralizers of the DeviGyro Downhole Survey tool was reported to have sustained damage. Upon inspection, one of the axles of the equipment exhibited deep scratches while its corresponding wheel, found inside the survey tool case, was broken  Based on available after-shift photo updates, the damage to the HQ centralizer was visible following its use by the Exploration Corecheckers on July 17, 2026.</t>
  </si>
  <si>
    <t>At around 11:10 AM, the victim was conducting barring down of hardened mud at the Cone Crusher Conveyor Feed No. 1-Transfer Chute using a 1-inch-diameter steel pipe. While striking the hardened mud, his hand slipped from the tool's grip, causing the rear end of the steel pipe to strike his left eyebrow, resulting in an injury. Immediately after the incident, the victim informed his crewmate of what had happened, and first aid was administered. The incident was then reported to their immediate supervisor, who requested an ambulance to transport the victim to the medical facility for further evaluation and treatment.</t>
  </si>
  <si>
    <t>On July 17, 2026, at approximately 8:50 AM, the victim and his team conducted a cleaning activity inside the recirculation tank after completing gas testing, a pre-task safety briefing, and a JSEA discussion. At around 1:30 PM, while exiting the tank, the victim stated that a residual chemical droplet fell onto the floor in front of him and splashed into his eyebrow and eye area. The task was completed at approximately 1:37 PM. At around 6:00 PM, after his work shift, he experienced pain and itchiness in his eye and sought medical evaluation from the Site Physician the following day. Upon experiencing pain and itchiness after the shift, the victim reported to the Site Physician for medical evaluation on the following day.</t>
  </si>
  <si>
    <t>At around 2:00 AM, a patient arrived at the Emergency Room complaining of epigastric pain and nausea. She was examined and admitted by her attending Physician. During the insertion of an intravenous (IV) line, the victim made his first IV insertion attempt, which was unsuccessful. While preparing to discard the used G22 IV catheter that had already been used on the patient, he was wearing gloves that were wet with alcohol. The catheter slipped from his grasp, and in an attempt to prevent it from falling, he instinctively tried to catch it. As a result, he accidentally sustained a needlestick injury to his right thumb from the contaminated IV catheter.</t>
  </si>
  <si>
    <t>CIP-ILR</t>
  </si>
  <si>
    <t>Patient Room</t>
  </si>
  <si>
    <t>EXPLO - Exploration</t>
  </si>
  <si>
    <t>ASG - Medical Services - Nurse</t>
  </si>
  <si>
    <t>MGCT / JGGJr. / -</t>
  </si>
  <si>
    <t>REV / DSC / -</t>
  </si>
  <si>
    <t>DBA / - / DBD</t>
  </si>
  <si>
    <t>DBA / - / RLG</t>
  </si>
  <si>
    <t>ZDP / FSS / -</t>
  </si>
  <si>
    <t>SURFACE</t>
  </si>
  <si>
    <t>KALALAW TRUCK</t>
  </si>
  <si>
    <t>Explosion</t>
  </si>
  <si>
    <t>Undetermined</t>
  </si>
  <si>
    <t>JTC / ESP / -</t>
  </si>
  <si>
    <t>The driver was descending the Adit#1 using the miner’s truck (“Kalalaw”) with plate # CCB 9795 when he saw a passenger walking so he stopped to let him board the truck. Upon boarding, the driver noticed that the truck was slipping down the roadway so he used the hand brake trying to control the truck but still continuously slipped until it hit the wall.</t>
  </si>
  <si>
    <t>Immediate Actions / Findings / Observations / Recommendations:</t>
  </si>
  <si>
    <t>`</t>
  </si>
  <si>
    <r>
      <t xml:space="preserve">Immediate Actions: 
Sustained injury was cleaned by washing them with water and reported the incident to the Immediate Supervisor.
Findings:
1) </t>
    </r>
    <r>
      <rPr>
        <sz val="54"/>
        <rFont val="Century Gothic"/>
        <family val="2"/>
      </rPr>
      <t xml:space="preserve">The compressed air line remained pressurized while maintenance or adjustment was being performed, exposing the victim to the sudded release of stored energy. </t>
    </r>
    <r>
      <rPr>
        <b/>
        <sz val="54"/>
        <rFont val="Century Gothic"/>
        <family val="2"/>
      </rPr>
      <t xml:space="preserve">
2) </t>
    </r>
    <r>
      <rPr>
        <sz val="54"/>
        <rFont val="Century Gothic"/>
        <family val="2"/>
      </rPr>
      <t>The victim sustained cut wounds and abrasions to the inner thighs, left abdomen, and the back portion of the left forearm after being struck by the pipe and flying debris.</t>
    </r>
    <r>
      <rPr>
        <b/>
        <sz val="54"/>
        <rFont val="Century Gothic"/>
        <family val="2"/>
      </rPr>
      <t xml:space="preserve">
3) </t>
    </r>
    <r>
      <rPr>
        <sz val="54"/>
        <rFont val="Century Gothic"/>
        <family val="2"/>
      </rPr>
      <t xml:space="preserve">The victim was instructed to inspect the air and water lines that might have been affected by the plugging blast conducted by the outgoing shift. </t>
    </r>
    <r>
      <rPr>
        <b/>
        <sz val="54"/>
        <rFont val="Century Gothic"/>
        <family val="2"/>
      </rPr>
      <t xml:space="preserve">
4)</t>
    </r>
    <r>
      <rPr>
        <sz val="54"/>
        <rFont val="Century Gothic"/>
        <family val="2"/>
      </rPr>
      <t xml:space="preserve"> The victim observed that the 2-inch diameter air line was sagging and decided to elevate and secure it. </t>
    </r>
    <r>
      <rPr>
        <b/>
        <sz val="54"/>
        <rFont val="Century Gothic"/>
        <family val="2"/>
      </rPr>
      <t xml:space="preserve">
5)</t>
    </r>
    <r>
      <rPr>
        <sz val="54"/>
        <rFont val="Century Gothic"/>
        <family val="2"/>
      </rPr>
      <t xml:space="preserve"> Despite sustaining injuries, the vistim continued repairing the air line by replacing, hanging, and fastening it then proceeded to the 255 Bathing bay to wash himself. 
</t>
    </r>
    <r>
      <rPr>
        <b/>
        <sz val="54"/>
        <rFont val="Century Gothic"/>
        <family val="2"/>
      </rPr>
      <t xml:space="preserve">6) </t>
    </r>
    <r>
      <rPr>
        <sz val="54"/>
        <rFont val="Century Gothic"/>
        <family val="2"/>
      </rPr>
      <t xml:space="preserve">Substandard Act: Failure to secure personal safety due to lack of knowledge
</t>
    </r>
    <r>
      <rPr>
        <b/>
        <sz val="54"/>
        <rFont val="Century Gothic"/>
        <family val="2"/>
      </rPr>
      <t xml:space="preserve">7) </t>
    </r>
    <r>
      <rPr>
        <sz val="54"/>
        <rFont val="Century Gothic"/>
        <family val="2"/>
      </rPr>
      <t xml:space="preserve">Substandard Condition: Explosion Hazard due to inadequate maintenance
</t>
    </r>
    <r>
      <rPr>
        <b/>
        <sz val="54"/>
        <rFont val="Century Gothic"/>
        <family val="2"/>
      </rPr>
      <t xml:space="preserve">Corrective Action:
1) </t>
    </r>
    <r>
      <rPr>
        <sz val="54"/>
        <rFont val="Century Gothic"/>
        <family val="2"/>
      </rPr>
      <t xml:space="preserve">Supervisors / Lead Man / Pipe Man must ensure that all compressed air lines are properly isolated, depressurized, and verified to be free of stored energy before any repair, adjustment or maintenance work is performed. 
</t>
    </r>
    <r>
      <rPr>
        <b/>
        <sz val="54"/>
        <rFont val="Century Gothic"/>
        <family val="2"/>
      </rPr>
      <t xml:space="preserve">2) </t>
    </r>
    <r>
      <rPr>
        <sz val="54"/>
        <rFont val="Century Gothic"/>
        <family val="2"/>
      </rPr>
      <t xml:space="preserve">All Concerned Supervisors must instruct employees to stop work immediately after sustaining an injury and seek forst aid or medical treatment before resuming any work activities. 
</t>
    </r>
    <r>
      <rPr>
        <b/>
        <sz val="54"/>
        <rFont val="Century Gothic"/>
        <family val="2"/>
      </rPr>
      <t>3)</t>
    </r>
    <r>
      <rPr>
        <sz val="54"/>
        <rFont val="Century Gothic"/>
        <family val="2"/>
      </rPr>
      <t xml:space="preserve"> Items 1 and 2 of the Corrective Action was relayed during the safety departmental meeting. </t>
    </r>
    <r>
      <rPr>
        <b/>
        <sz val="54"/>
        <rFont val="Century Gothic"/>
        <family val="2"/>
      </rPr>
      <t xml:space="preserve">
</t>
    </r>
    <r>
      <rPr>
        <b/>
        <sz val="54"/>
        <color rgb="FFFF0000"/>
        <rFont val="Century Gothic"/>
        <family val="2"/>
      </rPr>
      <t>CASE CLOSED ON 7/14/26</t>
    </r>
  </si>
  <si>
    <r>
      <t xml:space="preserve">Immediate Actions: 
</t>
    </r>
    <r>
      <rPr>
        <sz val="62"/>
        <rFont val="Century Gothic"/>
        <family val="2"/>
      </rPr>
      <t xml:space="preserve">His companions immediately escorted him at the 249 resting station and administered first aid; On shift safety officer immediately conducted an investigation. 
</t>
    </r>
    <r>
      <rPr>
        <b/>
        <sz val="62"/>
        <rFont val="Century Gothic"/>
        <family val="2"/>
      </rPr>
      <t xml:space="preserve">Findings:
1) </t>
    </r>
    <r>
      <rPr>
        <sz val="62"/>
        <rFont val="Century Gothic"/>
        <family val="2"/>
      </rPr>
      <t xml:space="preserve">Work area has a poor ground condition: clay altered, fractured, and faulted </t>
    </r>
    <r>
      <rPr>
        <b/>
        <sz val="62"/>
        <rFont val="Century Gothic"/>
        <family val="2"/>
      </rPr>
      <t xml:space="preserve">
2) </t>
    </r>
    <r>
      <rPr>
        <sz val="62"/>
        <rFont val="Century Gothic"/>
        <family val="2"/>
      </rPr>
      <t>Ground Support Assessment of the area: Class F.</t>
    </r>
    <r>
      <rPr>
        <b/>
        <sz val="62"/>
        <rFont val="Century Gothic"/>
        <family val="2"/>
      </rPr>
      <t xml:space="preserve">
3)</t>
    </r>
    <r>
      <rPr>
        <sz val="62"/>
        <rFont val="Century Gothic"/>
        <family val="2"/>
      </rPr>
      <t xml:space="preserve"> Panel 24055 8m3 has a warm atmospheric condition that elevated during mucking activity</t>
    </r>
    <r>
      <rPr>
        <b/>
        <sz val="62"/>
        <rFont val="Century Gothic"/>
        <family val="2"/>
      </rPr>
      <t xml:space="preserve">
4) </t>
    </r>
    <r>
      <rPr>
        <sz val="62"/>
        <rFont val="Century Gothic"/>
        <family val="2"/>
      </rPr>
      <t xml:space="preserve">Resident miners were unable to remove the nail immediately when they disassembled the platform
</t>
    </r>
    <r>
      <rPr>
        <b/>
        <sz val="62"/>
        <rFont val="Century Gothic"/>
        <family val="2"/>
      </rPr>
      <t>5)</t>
    </r>
    <r>
      <rPr>
        <sz val="62"/>
        <rFont val="Century Gothic"/>
        <family val="2"/>
      </rPr>
      <t xml:space="preserve"> The victim was not wearing his gloves at the time of the accident</t>
    </r>
    <r>
      <rPr>
        <b/>
        <sz val="62"/>
        <rFont val="Century Gothic"/>
        <family val="2"/>
      </rPr>
      <t xml:space="preserve">
6) </t>
    </r>
    <r>
      <rPr>
        <sz val="62"/>
        <rFont val="Century Gothic"/>
        <family val="2"/>
      </rPr>
      <t>Substandard Act: Failure to secure personal safety due to inadequate mental / psychological capability</t>
    </r>
    <r>
      <rPr>
        <b/>
        <sz val="62"/>
        <rFont val="Century Gothic"/>
        <family val="2"/>
      </rPr>
      <t xml:space="preserve">
7) </t>
    </r>
    <r>
      <rPr>
        <sz val="62"/>
        <rFont val="Century Gothic"/>
        <family val="2"/>
      </rPr>
      <t>Substandard Condition: Poor housekeeping / disorder</t>
    </r>
    <r>
      <rPr>
        <b/>
        <sz val="62"/>
        <rFont val="Century Gothic"/>
        <family val="2"/>
      </rPr>
      <t xml:space="preserve">
8)</t>
    </r>
    <r>
      <rPr>
        <sz val="62"/>
        <rFont val="Century Gothic"/>
        <family val="2"/>
      </rPr>
      <t xml:space="preserve"> Substandard Condition: Temperature extremes due to Inadequate engineering</t>
    </r>
    <r>
      <rPr>
        <b/>
        <sz val="62"/>
        <rFont val="Century Gothic"/>
        <family val="2"/>
      </rPr>
      <t xml:space="preserve">
Corrective Actions:
1) </t>
    </r>
    <r>
      <rPr>
        <sz val="62"/>
        <rFont val="Century Gothic"/>
        <family val="2"/>
      </rPr>
      <t>The safety department must remind all concerned regarding proper housekeeping before, during, and after work</t>
    </r>
    <r>
      <rPr>
        <b/>
        <sz val="62"/>
        <rFont val="Century Gothic"/>
        <family val="2"/>
      </rPr>
      <t xml:space="preserve">.
2) </t>
    </r>
    <r>
      <rPr>
        <sz val="62"/>
        <rFont val="Century Gothic"/>
        <family val="2"/>
      </rPr>
      <t>The safety department must remind all concerned regarding proper and mandatory use of PPE during work.</t>
    </r>
    <r>
      <rPr>
        <b/>
        <sz val="62"/>
        <rFont val="Century Gothic"/>
        <family val="2"/>
      </rPr>
      <t xml:space="preserve">
</t>
    </r>
    <r>
      <rPr>
        <b/>
        <sz val="62"/>
        <color rgb="FFFF0000"/>
        <rFont val="Century Gothic"/>
        <family val="2"/>
      </rPr>
      <t>CASE CLOSED 7/14/26</t>
    </r>
  </si>
  <si>
    <t>To be updated</t>
  </si>
  <si>
    <r>
      <t xml:space="preserve">Immediate Action:
</t>
    </r>
    <r>
      <rPr>
        <sz val="71"/>
        <rFont val="Century Gothic"/>
        <family val="2"/>
      </rPr>
      <t>Several miners and Supervisors assisted the victim and transported him on a stretcher to the 1150L Station. An abulance fetched the victim from the station ans transported him to the hospital for further medical evalustion and treatment.</t>
    </r>
    <r>
      <rPr>
        <b/>
        <sz val="71"/>
        <rFont val="Century Gothic"/>
        <family val="2"/>
      </rPr>
      <t xml:space="preserve">
Findings:
1)</t>
    </r>
    <r>
      <rPr>
        <sz val="71"/>
        <rFont val="Century Gothic"/>
        <family val="2"/>
      </rPr>
      <t xml:space="preserve"> Despite experiencing abdominal pain, the victim continued walking to the station ans proceeded to drink cold water, take a shower, and wash his work clothes before seeking assistance. </t>
    </r>
    <r>
      <rPr>
        <b/>
        <sz val="71"/>
        <rFont val="Century Gothic"/>
        <family val="2"/>
      </rPr>
      <t xml:space="preserve">
2) </t>
    </r>
    <r>
      <rPr>
        <sz val="71"/>
        <rFont val="Century Gothic"/>
        <family val="2"/>
      </rPr>
      <t xml:space="preserve">No unsafe acts/conditions or work-related physical trauma were observed or reported that could have contributed to the onset of the victim's abdominal pain. </t>
    </r>
    <r>
      <rPr>
        <b/>
        <sz val="71"/>
        <rFont val="Century Gothic"/>
        <family val="2"/>
      </rPr>
      <t xml:space="preserve">
3) </t>
    </r>
    <r>
      <rPr>
        <sz val="71"/>
        <rFont val="Century Gothic"/>
        <family val="2"/>
      </rPr>
      <t>The incident is considered a medical emergency requiring hospital evaluation to determine the underlying cause of the abdominal pain.</t>
    </r>
    <r>
      <rPr>
        <b/>
        <sz val="71"/>
        <rFont val="Century Gothic"/>
        <family val="2"/>
      </rPr>
      <t xml:space="preserve">
4) </t>
    </r>
    <r>
      <rPr>
        <sz val="71"/>
        <rFont val="Century Gothic"/>
        <family val="2"/>
      </rPr>
      <t>Substandard Act: Failure to secure personal safety due to physical / physiological stress.</t>
    </r>
    <r>
      <rPr>
        <b/>
        <sz val="71"/>
        <rFont val="Century Gothic"/>
        <family val="2"/>
      </rPr>
      <t xml:space="preserve">
Corrective Action:
1) </t>
    </r>
    <r>
      <rPr>
        <sz val="71"/>
        <rFont val="Century Gothic"/>
        <family val="2"/>
      </rPr>
      <t xml:space="preserve">Safety officers / Supervisors must encourage employees to undergo prompt medical consultation when experiencing persistent or sever symptomps to prevent the worsening of medical conditions. </t>
    </r>
    <r>
      <rPr>
        <b/>
        <sz val="71"/>
        <rFont val="Century Gothic"/>
        <family val="2"/>
      </rPr>
      <t xml:space="preserve">
</t>
    </r>
    <r>
      <rPr>
        <b/>
        <sz val="71"/>
        <color rgb="FFFF0000"/>
        <rFont val="Century Gothic"/>
        <family val="2"/>
      </rPr>
      <t>CASE CLOSED 7/16/26</t>
    </r>
  </si>
  <si>
    <r>
      <t xml:space="preserve">Immediate Action:
</t>
    </r>
    <r>
      <rPr>
        <sz val="54"/>
        <rFont val="Century Gothic"/>
        <family val="2"/>
      </rPr>
      <t xml:space="preserve">The driver immediately called the Motorpool for rescue of the truck to prevent further Damage. 
Findings:
</t>
    </r>
    <r>
      <rPr>
        <b/>
        <sz val="54"/>
        <rFont val="Century Gothic"/>
        <family val="2"/>
      </rPr>
      <t xml:space="preserve">1) </t>
    </r>
    <r>
      <rPr>
        <sz val="54"/>
        <rFont val="Century Gothic"/>
        <family val="2"/>
      </rPr>
      <t>The roadway/ramp was slippery due to drain water that  overflowed from the cross drainage. Thus, saturating the hardened mud as the area.</t>
    </r>
    <r>
      <rPr>
        <b/>
        <sz val="54"/>
        <rFont val="Century Gothic"/>
        <family val="2"/>
      </rPr>
      <t xml:space="preserve">
2) </t>
    </r>
    <r>
      <rPr>
        <sz val="54"/>
        <rFont val="Century Gothic"/>
        <family val="2"/>
      </rPr>
      <t>Presence of skid marks on both sides of the wheel base were evident.</t>
    </r>
    <r>
      <rPr>
        <b/>
        <sz val="54"/>
        <rFont val="Century Gothic"/>
        <family val="2"/>
      </rPr>
      <t xml:space="preserve">
3) </t>
    </r>
    <r>
      <rPr>
        <sz val="54"/>
        <rFont val="Century Gothic"/>
        <family val="2"/>
      </rPr>
      <t xml:space="preserve">The truck slid for 18ft from its position until it hit the wall. </t>
    </r>
    <r>
      <rPr>
        <b/>
        <sz val="54"/>
        <rFont val="Century Gothic"/>
        <family val="2"/>
      </rPr>
      <t xml:space="preserve">
4) </t>
    </r>
    <r>
      <rPr>
        <sz val="54"/>
        <rFont val="Century Gothic"/>
        <family val="2"/>
      </rPr>
      <t>Visible damages of the truck includes: broken mirror, mis-aligned risght side mirror, and right-side plastic cover.</t>
    </r>
    <r>
      <rPr>
        <b/>
        <sz val="54"/>
        <rFont val="Century Gothic"/>
        <family val="2"/>
      </rPr>
      <t xml:space="preserve">
5)</t>
    </r>
    <r>
      <rPr>
        <sz val="54"/>
        <rFont val="Century Gothic"/>
        <family val="2"/>
      </rPr>
      <t xml:space="preserve"> The service truck began slipping immediately after the passenger boarded the vehicle.</t>
    </r>
    <r>
      <rPr>
        <b/>
        <sz val="54"/>
        <rFont val="Century Gothic"/>
        <family val="2"/>
      </rPr>
      <t xml:space="preserve">
6) </t>
    </r>
    <r>
      <rPr>
        <sz val="54"/>
        <rFont val="Century Gothic"/>
        <family val="2"/>
      </rPr>
      <t>The incident occured while the vehicle was transporting the 3rd shift crew to 1150L</t>
    </r>
    <r>
      <rPr>
        <b/>
        <sz val="54"/>
        <rFont val="Century Gothic"/>
        <family val="2"/>
      </rPr>
      <t xml:space="preserve">. 
7) </t>
    </r>
    <r>
      <rPr>
        <sz val="54"/>
        <rFont val="Century Gothic"/>
        <family val="2"/>
      </rPr>
      <t>The driver stopped on a slippery roadway.</t>
    </r>
    <r>
      <rPr>
        <b/>
        <sz val="54"/>
        <rFont val="Century Gothic"/>
        <family val="2"/>
      </rPr>
      <t xml:space="preserve">
8) </t>
    </r>
    <r>
      <rPr>
        <sz val="54"/>
        <rFont val="Century Gothic"/>
        <family val="2"/>
      </rPr>
      <t>Substandard Act: Improper placement</t>
    </r>
    <r>
      <rPr>
        <b/>
        <sz val="54"/>
        <rFont val="Century Gothic"/>
        <family val="2"/>
      </rPr>
      <t xml:space="preserve">
9) </t>
    </r>
    <r>
      <rPr>
        <sz val="54"/>
        <rFont val="Century Gothic"/>
        <family val="2"/>
      </rPr>
      <t>Substandard Condition: Poorly maintained haul roads due to Inadequate maintenance</t>
    </r>
    <r>
      <rPr>
        <b/>
        <sz val="54"/>
        <rFont val="Century Gothic"/>
        <family val="2"/>
      </rPr>
      <t xml:space="preserve">
Corrective Action:
1) </t>
    </r>
    <r>
      <rPr>
        <sz val="54"/>
        <rFont val="Century Gothic"/>
        <family val="2"/>
      </rPr>
      <t>Section Heads must backfill / level roadway with dry materials.</t>
    </r>
    <r>
      <rPr>
        <b/>
        <sz val="54"/>
        <rFont val="Century Gothic"/>
        <family val="2"/>
      </rPr>
      <t xml:space="preserve">
2) </t>
    </r>
    <r>
      <rPr>
        <sz val="54"/>
        <rFont val="Century Gothic"/>
        <family val="2"/>
      </rPr>
      <t>Section heads must consider Adit #2 as an alternative access for pedestrian (Adit#2 is currently under rehabilitation)</t>
    </r>
    <r>
      <rPr>
        <b/>
        <sz val="54"/>
        <rFont val="Century Gothic"/>
        <family val="2"/>
      </rPr>
      <t xml:space="preserve">
3) </t>
    </r>
    <r>
      <rPr>
        <sz val="54"/>
        <rFont val="Century Gothic"/>
        <family val="2"/>
      </rPr>
      <t xml:space="preserve">All drivers must ensure defensive driving and follow the 10kph speed limit. </t>
    </r>
    <r>
      <rPr>
        <b/>
        <sz val="54"/>
        <rFont val="Century Gothic"/>
        <family val="2"/>
      </rPr>
      <t xml:space="preserve">
</t>
    </r>
    <r>
      <rPr>
        <b/>
        <sz val="54"/>
        <color rgb="FFFF0000"/>
        <rFont val="Century Gothic"/>
        <family val="2"/>
      </rPr>
      <t>CASE CLOSED 7/26/26</t>
    </r>
  </si>
  <si>
    <r>
      <t xml:space="preserve">Immediate Action:
</t>
    </r>
    <r>
      <rPr>
        <sz val="72"/>
        <rFont val="Century Gothic"/>
        <family val="2"/>
      </rPr>
      <t>Removed accumulated dust and debris on overhead structure then restart the work</t>
    </r>
    <r>
      <rPr>
        <b/>
        <sz val="72"/>
        <rFont val="Century Gothic"/>
        <family val="2"/>
      </rPr>
      <t xml:space="preserve">
Findings:
1) </t>
    </r>
    <r>
      <rPr>
        <sz val="72"/>
        <rFont val="Century Gothic"/>
        <family val="2"/>
      </rPr>
      <t>The vistim was diagnosed with conjuctivitis of the right eye resulting from exposure to dust.</t>
    </r>
    <r>
      <rPr>
        <b/>
        <sz val="72"/>
        <rFont val="Century Gothic"/>
        <family val="2"/>
      </rPr>
      <t xml:space="preserve">
2) </t>
    </r>
    <r>
      <rPr>
        <sz val="72"/>
        <rFont val="Century Gothic"/>
        <family val="2"/>
      </rPr>
      <t>The victim was not wearing any eye protection at the time of the incident.</t>
    </r>
    <r>
      <rPr>
        <b/>
        <sz val="72"/>
        <rFont val="Century Gothic"/>
        <family val="2"/>
      </rPr>
      <t xml:space="preserve">
3) </t>
    </r>
    <r>
      <rPr>
        <sz val="72"/>
        <rFont val="Century Gothic"/>
        <family val="2"/>
      </rPr>
      <t>The victim reported the incident the following day after observing there was no improvement in his conditioin.</t>
    </r>
    <r>
      <rPr>
        <b/>
        <sz val="72"/>
        <rFont val="Century Gothic"/>
        <family val="2"/>
      </rPr>
      <t xml:space="preserve"> 
4) </t>
    </r>
    <r>
      <rPr>
        <sz val="72"/>
        <rFont val="Century Gothic"/>
        <family val="2"/>
      </rPr>
      <t>Substandard Condition: Hazardous envirinmental conditions due to Inadequate Maintenance</t>
    </r>
    <r>
      <rPr>
        <b/>
        <sz val="72"/>
        <rFont val="Century Gothic"/>
        <family val="2"/>
      </rPr>
      <t xml:space="preserve">
Corrective Actions:
1) </t>
    </r>
    <r>
      <rPr>
        <sz val="72"/>
        <rFont val="Century Gothic"/>
        <family val="2"/>
      </rPr>
      <t>Immediate Supervisors must implement use of eye spectacels where necessary.</t>
    </r>
    <r>
      <rPr>
        <b/>
        <sz val="72"/>
        <rFont val="Century Gothic"/>
        <family val="2"/>
      </rPr>
      <t xml:space="preserve">
2) </t>
    </r>
    <r>
      <rPr>
        <sz val="72"/>
        <rFont val="Century Gothic"/>
        <family val="2"/>
      </rPr>
      <t>Immediate Supervisors must conduct refresher orientation / peptalks to remind all employees that any accident, incident, or near miss - regardless of severity - must be reported immediately to their on shift Supervisopr.</t>
    </r>
    <r>
      <rPr>
        <b/>
        <sz val="72"/>
        <rFont val="Century Gothic"/>
        <family val="2"/>
      </rPr>
      <t xml:space="preserve">
</t>
    </r>
    <r>
      <rPr>
        <b/>
        <sz val="72"/>
        <color rgb="FFFF0000"/>
        <rFont val="Century Gothic"/>
        <family val="2"/>
      </rPr>
      <t>CASE CLOSED 7/27/26</t>
    </r>
  </si>
  <si>
    <r>
      <t xml:space="preserve">Immediate Action:
</t>
    </r>
    <r>
      <rPr>
        <sz val="72"/>
        <rFont val="Century Gothic"/>
        <family val="2"/>
      </rPr>
      <t xml:space="preserve">The Exploration Supervisor inspected the instrument and documented the damage by taking photographs. Exploration Corecheckers were informed of his observations. Information was requested from the Corecheckers if they could provide any on how the property might have been damaged. This was reported to the owner / supplier as well, who provided a temporary solution that would alllow operations to continue should the tool be required again. another Supervisor conducted investigation with all the Corecheckers and Drilling contractor involved through private messages ans phone calls to gather statements and establish the sequence of events surrounding the incident. 
</t>
    </r>
    <r>
      <rPr>
        <b/>
        <sz val="72"/>
        <rFont val="Century Gothic"/>
        <family val="2"/>
      </rPr>
      <t xml:space="preserve">Findings:
1) </t>
    </r>
    <r>
      <rPr>
        <sz val="72"/>
        <rFont val="Century Gothic"/>
        <family val="2"/>
      </rPr>
      <t>Risk Rating: High due to amount of damage (</t>
    </r>
    <r>
      <rPr>
        <sz val="72"/>
        <rFont val="Calibri"/>
        <family val="2"/>
      </rPr>
      <t>₱</t>
    </r>
    <r>
      <rPr>
        <sz val="72"/>
        <rFont val="Century Gothic"/>
        <family val="2"/>
      </rPr>
      <t>981,728.00)</t>
    </r>
    <r>
      <rPr>
        <b/>
        <sz val="72"/>
        <rFont val="Century Gothic"/>
        <family val="2"/>
      </rPr>
      <t xml:space="preserve">
Corrective Actions:
1) </t>
    </r>
    <r>
      <rPr>
        <sz val="72"/>
        <rFont val="Century Gothic"/>
        <family val="2"/>
      </rPr>
      <t>Respective Supervisors of MEGG and Exploration discussed the incident.</t>
    </r>
    <r>
      <rPr>
        <b/>
        <sz val="72"/>
        <rFont val="Century Gothic"/>
        <family val="2"/>
      </rPr>
      <t xml:space="preserve">
2) </t>
    </r>
    <r>
      <rPr>
        <sz val="72"/>
        <rFont val="Century Gothic"/>
        <family val="2"/>
      </rPr>
      <t>Supervisors discussed the incident to the Exploration team and Exploration Corecheckers.</t>
    </r>
    <r>
      <rPr>
        <b/>
        <sz val="72"/>
        <rFont val="Century Gothic"/>
        <family val="2"/>
      </rPr>
      <t xml:space="preserve">
3) </t>
    </r>
    <r>
      <rPr>
        <sz val="72"/>
        <rFont val="Century Gothic"/>
        <family val="2"/>
      </rPr>
      <t>Supervisors informed drilling contractor on the incident.</t>
    </r>
  </si>
  <si>
    <r>
      <t xml:space="preserve">Immediate Action:
</t>
    </r>
    <r>
      <rPr>
        <sz val="72"/>
        <rFont val="Century Gothic"/>
        <family val="2"/>
      </rPr>
      <t>The protruding nail was immediately pulled out. The victim was endorsed to thr medical team despite late reporting of the incident at the end of the shift.</t>
    </r>
    <r>
      <rPr>
        <b/>
        <sz val="72"/>
        <rFont val="Century Gothic"/>
        <family val="2"/>
      </rPr>
      <t xml:space="preserve">
Findings:
1) </t>
    </r>
    <r>
      <rPr>
        <sz val="72"/>
        <rFont val="Century Gothic"/>
        <family val="2"/>
      </rPr>
      <t>The agency of injury was a 4-inch nail left on the ground, which punctured the victim's left foot.</t>
    </r>
    <r>
      <rPr>
        <b/>
        <sz val="72"/>
        <rFont val="Century Gothic"/>
        <family val="2"/>
      </rPr>
      <t xml:space="preserve">
2) </t>
    </r>
    <r>
      <rPr>
        <sz val="72"/>
        <rFont val="Century Gothic"/>
        <family val="2"/>
      </rPr>
      <t>The working areawas observed to have muddy ground conditions, reducing visibility of potential hazards beneath the surface.</t>
    </r>
    <r>
      <rPr>
        <b/>
        <sz val="72"/>
        <rFont val="Century Gothic"/>
        <family val="2"/>
      </rPr>
      <t xml:space="preserve">
3) </t>
    </r>
    <r>
      <rPr>
        <sz val="72"/>
        <rFont val="Century Gothic"/>
        <family val="2"/>
      </rPr>
      <t xml:space="preserve">The accident occured at approximately 10:00 AM. However, it was not reported until approximately 3:00 PM, resulting in delays in medical treatment and investigation of the incident.
</t>
    </r>
    <r>
      <rPr>
        <b/>
        <sz val="72"/>
        <rFont val="Century Gothic"/>
        <family val="2"/>
      </rPr>
      <t xml:space="preserve">4) </t>
    </r>
    <r>
      <rPr>
        <sz val="72"/>
        <rFont val="Century Gothic"/>
        <family val="2"/>
      </rPr>
      <t>Substandard Conditions: Poorly maintained haul roads; Poorl housekeeping / disorder.</t>
    </r>
    <r>
      <rPr>
        <b/>
        <sz val="72"/>
        <rFont val="Century Gothic"/>
        <family val="2"/>
      </rPr>
      <t xml:space="preserve">
Corrective Action:
1)</t>
    </r>
    <r>
      <rPr>
        <sz val="72"/>
        <rFont val="Century Gothic"/>
        <family val="2"/>
      </rPr>
      <t xml:space="preserve"> Immediate supervisors must strictly implement housekeeping in designated work areas before ans after work.</t>
    </r>
    <r>
      <rPr>
        <b/>
        <sz val="72"/>
        <rFont val="Century Gothic"/>
        <family val="2"/>
      </rPr>
      <t xml:space="preserve">
2) </t>
    </r>
    <r>
      <rPr>
        <sz val="72"/>
        <rFont val="Century Gothic"/>
        <family val="2"/>
      </rPr>
      <t>Miners / Supervisors Must Outright pull-out or bend protruding nails in every time they dismantle timbers.</t>
    </r>
    <r>
      <rPr>
        <b/>
        <sz val="72"/>
        <rFont val="Century Gothic"/>
        <family val="2"/>
      </rPr>
      <t xml:space="preserve">
</t>
    </r>
    <r>
      <rPr>
        <b/>
        <sz val="72"/>
        <color rgb="FFFF0000"/>
        <rFont val="Century Gothic"/>
        <family val="2"/>
      </rPr>
      <t>CASE CLOSED 7/27/26</t>
    </r>
  </si>
  <si>
    <r>
      <t xml:space="preserve">Immediate Action:
</t>
    </r>
    <r>
      <rPr>
        <sz val="72"/>
        <rFont val="Century Gothic"/>
        <family val="2"/>
      </rPr>
      <t xml:space="preserve">The victim immediately informed his co-worker after the incident occurred ans proceeded to the crusher area to receive first aid treatment. The nearest present Section Head was informed and immediately coordinated with the hospital for medical assistance. The victim was transported to the hospital for further medical evaluation and treatment. 
</t>
    </r>
    <r>
      <rPr>
        <b/>
        <sz val="72"/>
        <rFont val="Century Gothic"/>
        <family val="2"/>
      </rPr>
      <t xml:space="preserve">Findings:
1) </t>
    </r>
    <r>
      <rPr>
        <sz val="72"/>
        <rFont val="Century Gothic"/>
        <family val="2"/>
      </rPr>
      <t xml:space="preserve">Improper stacking of track ties created unstale load and exposed personnel to a caught in between / crushing hazard. 
</t>
    </r>
    <r>
      <rPr>
        <b/>
        <sz val="72"/>
        <rFont val="Century Gothic"/>
        <family val="2"/>
      </rPr>
      <t xml:space="preserve">2) </t>
    </r>
    <r>
      <rPr>
        <sz val="72"/>
        <rFont val="Century Gothic"/>
        <family val="2"/>
      </rPr>
      <t>Substandard Act: Failure to secure personal safety and Improper position for task due to Lack of Skill</t>
    </r>
    <r>
      <rPr>
        <b/>
        <sz val="72"/>
        <rFont val="Century Gothic"/>
        <family val="2"/>
      </rPr>
      <t xml:space="preserve">
3) </t>
    </r>
    <r>
      <rPr>
        <sz val="72"/>
        <rFont val="Century Gothic"/>
        <family val="2"/>
      </rPr>
      <t>Substandard Condition: Poor housekeeping / disorder due to inadequate work standards and / or Risk Assessment</t>
    </r>
    <r>
      <rPr>
        <b/>
        <sz val="72"/>
        <rFont val="Century Gothic"/>
        <family val="2"/>
      </rPr>
      <t xml:space="preserve">
Corrective Action:
1) </t>
    </r>
    <r>
      <rPr>
        <sz val="72"/>
        <rFont val="Century Gothic"/>
        <family val="2"/>
      </rPr>
      <t>On-shift Supervisors must conduct toolbox meeting on safe stacking method of track tiles on stable , level ground using and within the prescribed stacking height to prevent colapse.</t>
    </r>
    <r>
      <rPr>
        <b/>
        <sz val="72"/>
        <rFont val="Century Gothic"/>
        <family val="2"/>
      </rPr>
      <t xml:space="preserve">
</t>
    </r>
    <r>
      <rPr>
        <b/>
        <sz val="72"/>
        <color rgb="FFFF0000"/>
        <rFont val="Century Gothic"/>
        <family val="2"/>
      </rPr>
      <t>CASE CLOSED 7/18/26</t>
    </r>
  </si>
  <si>
    <r>
      <t xml:space="preserve">Immediate Actions: 
</t>
    </r>
    <r>
      <rPr>
        <sz val="71"/>
        <rFont val="Century Gothic"/>
        <family val="2"/>
      </rPr>
      <t>On shift Supervisor immediately administered first aid and oversee his transport from the accident area to the Shaft Station until 1150L while waiting for the ambulance. On shift safety officeres immediately launched an investigation and was continued by the next on shift safety officers</t>
    </r>
    <r>
      <rPr>
        <b/>
        <sz val="71"/>
        <rFont val="Century Gothic"/>
        <family val="2"/>
      </rPr>
      <t xml:space="preserve">
Findings:
1) </t>
    </r>
    <r>
      <rPr>
        <sz val="71"/>
        <rFont val="Century Gothic"/>
        <family val="2"/>
      </rPr>
      <t xml:space="preserve">Accident Area, 195L loading bay has a warm atmospheric condition that elevated during mucking and loading activity. </t>
    </r>
    <r>
      <rPr>
        <b/>
        <sz val="71"/>
        <rFont val="Century Gothic"/>
        <family val="2"/>
      </rPr>
      <t xml:space="preserve">
2) </t>
    </r>
    <r>
      <rPr>
        <sz val="71"/>
        <rFont val="Century Gothic"/>
        <family val="2"/>
      </rPr>
      <t xml:space="preserve">The victim has a history of occupational incidents </t>
    </r>
    <r>
      <rPr>
        <b/>
        <sz val="71"/>
        <rFont val="Century Gothic"/>
        <family val="2"/>
      </rPr>
      <t xml:space="preserve">
3) </t>
    </r>
    <r>
      <rPr>
        <sz val="71"/>
        <rFont val="Century Gothic"/>
        <family val="2"/>
      </rPr>
      <t>The victim recently changed his shift from 1st (11:00PM-7:00AM) to 3rd (3:00PM to 11:00PM) shift.</t>
    </r>
    <r>
      <rPr>
        <b/>
        <sz val="71"/>
        <rFont val="Century Gothic"/>
        <family val="2"/>
      </rPr>
      <t xml:space="preserve">
Corrective Actions:
1) </t>
    </r>
    <r>
      <rPr>
        <sz val="71"/>
        <rFont val="Century Gothic"/>
        <family val="2"/>
      </rPr>
      <t>The safety department / representative included reminders on the importance of having adequate rest particularly on the days of change shift.</t>
    </r>
    <r>
      <rPr>
        <b/>
        <sz val="71"/>
        <rFont val="Century Gothic"/>
        <family val="2"/>
      </rPr>
      <t xml:space="preserve">
2) </t>
    </r>
    <r>
      <rPr>
        <sz val="71"/>
        <rFont val="Century Gothic"/>
        <family val="2"/>
      </rPr>
      <t xml:space="preserve">The safety department / representative included reminders on the importance of hydration, specially on areas that has a warm condition. </t>
    </r>
    <r>
      <rPr>
        <b/>
        <sz val="71"/>
        <rFont val="Century Gothic"/>
        <family val="2"/>
      </rPr>
      <t xml:space="preserve">
</t>
    </r>
    <r>
      <rPr>
        <b/>
        <sz val="71"/>
        <color rgb="FFFF0000"/>
        <rFont val="Century Gothic"/>
        <family val="2"/>
      </rPr>
      <t>CASE CLOSED ON 7/7/26</t>
    </r>
  </si>
  <si>
    <r>
      <t xml:space="preserve">Immediate Action:
</t>
    </r>
    <r>
      <rPr>
        <sz val="52"/>
        <rFont val="Century Gothic"/>
        <family val="2"/>
      </rPr>
      <t xml:space="preserve">Immediately verified the safety and accountability of the personnel assigned to the Orient Area; Confirmed with th Power Plant that Feeded 1 had tripped following the short-circuit fault; Dispatched the Electrical Crew to the IMD Switching Station; Successfully extinguished the fire after three (3) suppression attempts; isolated the damaged electrical equipment to eliminate further hazards and secure the affected area pending inspection and repair.
</t>
    </r>
    <r>
      <rPr>
        <b/>
        <sz val="52"/>
        <rFont val="Century Gothic"/>
        <family val="2"/>
      </rPr>
      <t xml:space="preserve">Findings:
1) </t>
    </r>
    <r>
      <rPr>
        <sz val="52"/>
        <rFont val="Century Gothic"/>
        <family val="2"/>
      </rPr>
      <t>The defective equipment is the 2.3KV oil emersed contactor. It was pulled out and went through testing / diagnosis:
* Carbon sooths or sign of combustion are only observable internally on the upper section when dismatled.
* No signs od burning externally either on top / side and bottom.
* Internal electrical components are intact / and even functional.
* Test on the insulation tolerance of the structures are within the acceptable range.
* Oil insulation test (dielectric strength) is at critical limit.
* It is concluded that the fire that was observed by first responders surged internally. Line to line short circuit had occured on the three phase terminals thru the contaminated oil. Rapid and high magnitude current flow resulted to such internal explosive noise with the occurence of fire.</t>
    </r>
    <r>
      <rPr>
        <b/>
        <sz val="52"/>
        <rFont val="Century Gothic"/>
        <family val="2"/>
      </rPr>
      <t xml:space="preserve">
2) </t>
    </r>
    <r>
      <rPr>
        <sz val="52"/>
        <rFont val="Century Gothic"/>
        <family val="2"/>
      </rPr>
      <t xml:space="preserve">This equipment is inspected (PMS) at least once a year. Intrusion of oil contaminants had occured either after the usual annual inspections and servicing. </t>
    </r>
    <r>
      <rPr>
        <b/>
        <sz val="52"/>
        <rFont val="Century Gothic"/>
        <family val="2"/>
      </rPr>
      <t xml:space="preserve">
3) </t>
    </r>
    <r>
      <rPr>
        <sz val="52"/>
        <rFont val="Century Gothic"/>
        <family val="2"/>
      </rPr>
      <t>Substandard Condition: Fire and Explosion Hazards Due to inadequate engineering.</t>
    </r>
    <r>
      <rPr>
        <b/>
        <sz val="52"/>
        <rFont val="Century Gothic"/>
        <family val="2"/>
      </rPr>
      <t xml:space="preserve">
Corrective Actions:
1) </t>
    </r>
    <r>
      <rPr>
        <sz val="52"/>
        <rFont val="Century Gothic"/>
        <family val="2"/>
      </rPr>
      <t>Replacement of the insulating oil was made. all other components are functional ans within acceptable insulation limit. The unit is ok for restoration as tested with the electrical instruments.</t>
    </r>
    <r>
      <rPr>
        <b/>
        <sz val="52"/>
        <rFont val="Century Gothic"/>
        <family val="2"/>
      </rPr>
      <t xml:space="preserve">
2) </t>
    </r>
    <r>
      <rPr>
        <sz val="52"/>
        <rFont val="Century Gothic"/>
        <family val="2"/>
      </rPr>
      <t xml:space="preserve">Long term Action Plan is to assign a dedicated electrical crew to conduct continuous Condition Based Monitoring (CBM) on all other vital electrical equipment and installation. </t>
    </r>
    <r>
      <rPr>
        <b/>
        <sz val="52"/>
        <rFont val="Century Gothic"/>
        <family val="2"/>
      </rPr>
      <t xml:space="preserve">
</t>
    </r>
    <r>
      <rPr>
        <b/>
        <sz val="52"/>
        <color rgb="FFFF0000"/>
        <rFont val="Century Gothic"/>
        <family val="2"/>
      </rPr>
      <t>CASE CLOSED 7/31/26</t>
    </r>
  </si>
  <si>
    <r>
      <t xml:space="preserve">Immediate Action:
</t>
    </r>
    <r>
      <rPr>
        <sz val="62"/>
        <rFont val="Century Gothic"/>
        <family val="2"/>
      </rPr>
      <t xml:space="preserve">The victim informed his cew mate of the accident, and they administered first aid, as well as informing their immediate Supervisor, Section Head, and Department Head who then requested an ambulance and arranged for the victim to be brought to the hospital for proper medical care. </t>
    </r>
    <r>
      <rPr>
        <b/>
        <sz val="62"/>
        <rFont val="Century Gothic"/>
        <family val="2"/>
      </rPr>
      <t xml:space="preserve">
Findings:
1) </t>
    </r>
    <r>
      <rPr>
        <sz val="62"/>
        <rFont val="Century Gothic"/>
        <family val="2"/>
      </rPr>
      <t>The victim was using a pipe which was inappropriate for barring down.</t>
    </r>
    <r>
      <rPr>
        <b/>
        <sz val="62"/>
        <rFont val="Century Gothic"/>
        <family val="2"/>
      </rPr>
      <t xml:space="preserve">
2) </t>
    </r>
    <r>
      <rPr>
        <sz val="62"/>
        <rFont val="Century Gothic"/>
        <family val="2"/>
      </rPr>
      <t xml:space="preserve">According to the victim's statement, he was wearing the GLOV-0028 (Excia) which was slippery. </t>
    </r>
    <r>
      <rPr>
        <b/>
        <sz val="62"/>
        <rFont val="Century Gothic"/>
        <family val="2"/>
      </rPr>
      <t xml:space="preserve">
3)</t>
    </r>
    <r>
      <rPr>
        <sz val="62"/>
        <rFont val="Century Gothic"/>
        <family val="2"/>
      </rPr>
      <t xml:space="preserve"> The victim wore his spectacles during the accident.</t>
    </r>
    <r>
      <rPr>
        <b/>
        <sz val="62"/>
        <rFont val="Century Gothic"/>
        <family val="2"/>
      </rPr>
      <t xml:space="preserve">
4) </t>
    </r>
    <r>
      <rPr>
        <sz val="62"/>
        <rFont val="Century Gothic"/>
        <family val="2"/>
      </rPr>
      <t>The safety officer conduction the investigation noticed the blood stained pipe he was using during the accident.</t>
    </r>
    <r>
      <rPr>
        <b/>
        <sz val="62"/>
        <rFont val="Century Gothic"/>
        <family val="2"/>
      </rPr>
      <t xml:space="preserve">
5) </t>
    </r>
    <r>
      <rPr>
        <sz val="62"/>
        <rFont val="Century Gothic"/>
        <family val="2"/>
      </rPr>
      <t>Substandard Acts: Failure to secure personal safety, using defective equipment, failure to use PPE propoerly, improper position for task due to lack of skill.</t>
    </r>
    <r>
      <rPr>
        <b/>
        <sz val="62"/>
        <rFont val="Century Gothic"/>
        <family val="2"/>
      </rPr>
      <t xml:space="preserve">
6)</t>
    </r>
    <r>
      <rPr>
        <sz val="62"/>
        <rFont val="Century Gothic"/>
        <family val="2"/>
      </rPr>
      <t xml:space="preserve"> Substandard Conditions: Inadequate or Improper protective Equipment; Defective tools / equipment / materials</t>
    </r>
    <r>
      <rPr>
        <b/>
        <sz val="62"/>
        <rFont val="Century Gothic"/>
        <family val="2"/>
      </rPr>
      <t xml:space="preserve">
Corrective Actions:
1) </t>
    </r>
    <r>
      <rPr>
        <sz val="62"/>
        <rFont val="Century Gothic"/>
        <family val="2"/>
      </rPr>
      <t xml:space="preserve">On Shift Supervisors must maintain the availability of pinch bars, the proper tool for barring down.
</t>
    </r>
    <r>
      <rPr>
        <b/>
        <sz val="62"/>
        <rFont val="Century Gothic"/>
        <family val="2"/>
      </rPr>
      <t>2)</t>
    </r>
    <r>
      <rPr>
        <sz val="62"/>
        <rFont val="Century Gothic"/>
        <family val="2"/>
      </rPr>
      <t xml:space="preserve"> On Shift Supervisors must ensure issuance and availability of working gloves (GLOV-0042) for maximum grip</t>
    </r>
    <r>
      <rPr>
        <b/>
        <sz val="62"/>
        <rFont val="Century Gothic"/>
        <family val="2"/>
      </rPr>
      <t xml:space="preserve">
3) </t>
    </r>
    <r>
      <rPr>
        <sz val="62"/>
        <rFont val="Century Gothic"/>
        <family val="2"/>
      </rPr>
      <t>Safety Officer must discuss corrective actions 1 and 2 during the Departmentals Safety Meeting to reinforce awareness, and ensure understanding of the required control measures.</t>
    </r>
    <r>
      <rPr>
        <b/>
        <sz val="62"/>
        <rFont val="Century Gothic"/>
        <family val="2"/>
      </rPr>
      <t xml:space="preserve"> 
</t>
    </r>
    <r>
      <rPr>
        <b/>
        <sz val="62"/>
        <color rgb="FFFF0000"/>
        <rFont val="Century Gothic"/>
        <family val="2"/>
      </rPr>
      <t>CASE CLOSED 7/24/26</t>
    </r>
  </si>
  <si>
    <r>
      <t xml:space="preserve">Immediate Action:
</t>
    </r>
    <r>
      <rPr>
        <sz val="43"/>
        <rFont val="Century Gothic"/>
        <family val="2"/>
      </rPr>
      <t xml:space="preserve">Upon experiencing pain and itchiness after the shift, the victim reported to the hospital the following day after experiencing irritation in the left eye, reported the accident to his supervisor who assisted during the assigned task on July 17, 2026 and to the Safety officer as well. </t>
    </r>
    <r>
      <rPr>
        <b/>
        <sz val="43"/>
        <rFont val="Century Gothic"/>
        <family val="2"/>
      </rPr>
      <t xml:space="preserve">
Findings:
1)</t>
    </r>
    <r>
      <rPr>
        <sz val="43"/>
        <rFont val="Century Gothic"/>
        <family val="2"/>
      </rPr>
      <t xml:space="preserve"> According to the victim's statement, while exiting the recirculation tank by crawling, a residual chemical dropket fel from his hardhat onto the floor directly in front of him and splashed upward, making contact with his eyebrow and eye area. The victim did not immediately report any discomfort or symptoms after the chemical spash and continued until the activity was completed. The accident resulted in an eye irritation, with the injury classification subject to the final medical evaluation of the Opthalmologist in Baguio General Hospital. </t>
    </r>
    <r>
      <rPr>
        <b/>
        <sz val="43"/>
        <rFont val="Century Gothic"/>
        <family val="2"/>
      </rPr>
      <t xml:space="preserve">
2)</t>
    </r>
    <r>
      <rPr>
        <sz val="43"/>
        <rFont val="Century Gothic"/>
        <family val="2"/>
      </rPr>
      <t xml:space="preserve"> Based on the gathered witness and victim statements, the accident was not reported immediately by the victim to his immediate supervisor. Aside from that, the victim was not wearing his respirator and goggles properly at the time the cyanide solution splashed onto his face, allowing the solution to  have a direct contact with his eyebrow, eye area, and lower lip.</t>
    </r>
    <r>
      <rPr>
        <b/>
        <sz val="43"/>
        <rFont val="Century Gothic"/>
        <family val="2"/>
      </rPr>
      <t xml:space="preserve"> 
3) </t>
    </r>
    <r>
      <rPr>
        <sz val="43"/>
        <rFont val="Century Gothic"/>
        <family val="2"/>
      </rPr>
      <t xml:space="preserve">There was an inconsistency in their statements in tha manner how the victim exited the recirculation tank. The witness stated that the victim exited while lying on his back, while the victim stated that he crawled his way out when the accident occured. This discrepancy resulted in conflicting accounts of the accident. </t>
    </r>
    <r>
      <rPr>
        <b/>
        <sz val="43"/>
        <rFont val="Century Gothic"/>
        <family val="2"/>
      </rPr>
      <t xml:space="preserve">
4) </t>
    </r>
    <r>
      <rPr>
        <sz val="43"/>
        <rFont val="Century Gothic"/>
        <family val="2"/>
      </rPr>
      <t xml:space="preserve">The reported onset of eye pain and itchiness occured approximately 4.5 hours adter the alleged exposure. the timing of the reported symptoms alone is insufficient to confirm or rule out whether exposure to the aqueous cyanide solution caused the injury. The relationship between the reported exposure and the injury remains subject to the findings ans diagnosis of the opthalmologist, supported by the results of the medical evaluation.
</t>
    </r>
    <r>
      <rPr>
        <b/>
        <sz val="43"/>
        <rFont val="Century Gothic"/>
        <family val="2"/>
      </rPr>
      <t xml:space="preserve">5) </t>
    </r>
    <r>
      <rPr>
        <sz val="43"/>
        <rFont val="Century Gothic"/>
        <family val="2"/>
      </rPr>
      <t>Substandard Acts: Failure to use PPE properly, Failure to secure personal safety due to Inadequate Physical / Physiological Capability</t>
    </r>
    <r>
      <rPr>
        <b/>
        <sz val="43"/>
        <rFont val="Century Gothic"/>
        <family val="2"/>
      </rPr>
      <t xml:space="preserve">
6) </t>
    </r>
    <r>
      <rPr>
        <sz val="43"/>
        <rFont val="Century Gothic"/>
        <family val="2"/>
      </rPr>
      <t>Substandard Conditions: Hazardous Environmental conditions, Inadequate / Improper protective Equipment due to Inadequate work standards and/or Risk Assessment</t>
    </r>
    <r>
      <rPr>
        <b/>
        <sz val="43"/>
        <rFont val="Century Gothic"/>
        <family val="2"/>
      </rPr>
      <t xml:space="preserve">
Corrective Actions:
1) </t>
    </r>
    <r>
      <rPr>
        <sz val="43"/>
        <rFont val="Century Gothic"/>
        <family val="2"/>
      </rPr>
      <t xml:space="preserve">All on-shift Supervisors must reinforce the mandatory use of full respirator face mask when performing tasks involving cyanide solutions or other hazardous chemicals. </t>
    </r>
    <r>
      <rPr>
        <b/>
        <sz val="43"/>
        <rFont val="Century Gothic"/>
        <family val="2"/>
      </rPr>
      <t xml:space="preserve">
2) </t>
    </r>
    <r>
      <rPr>
        <sz val="43"/>
        <rFont val="Century Gothic"/>
        <family val="2"/>
      </rPr>
      <t>All on-shift Supervisors / Safety Officer must Incorporate this control in the JSEA that "if the eye made contact with chemical, all personnel performing chemical cleaning activities to immediately flush the affected eye with clean water or an eyewash station for at lease 15 minutes regardless of the severity if symptoms, and report the incident immediately to the Supervisor".</t>
    </r>
    <r>
      <rPr>
        <b/>
        <sz val="43"/>
        <rFont val="Century Gothic"/>
        <family val="2"/>
      </rPr>
      <t xml:space="preserve"> 
3) </t>
    </r>
    <r>
      <rPr>
        <sz val="43"/>
        <rFont val="Century Gothic"/>
        <family val="2"/>
      </rPr>
      <t>All on-shift Supervisors must train a competent person to serve as COnfined Space Attendant ans require the attendant's designation to be indicated on the Confined Space Permit.</t>
    </r>
    <r>
      <rPr>
        <b/>
        <sz val="43"/>
        <rFont val="Century Gothic"/>
        <family val="2"/>
      </rPr>
      <t xml:space="preserve"> 
4) </t>
    </r>
    <r>
      <rPr>
        <sz val="43"/>
        <rFont val="Century Gothic"/>
        <family val="2"/>
      </rPr>
      <t xml:space="preserve">Safety officers must dicuss items 1 and 2 during the Departmental Safety meeting to reinforce awarenedd and ensure understandign of the required control measures. </t>
    </r>
    <r>
      <rPr>
        <b/>
        <sz val="43"/>
        <rFont val="Century Gothic"/>
        <family val="2"/>
      </rPr>
      <t xml:space="preserve">
</t>
    </r>
    <r>
      <rPr>
        <b/>
        <sz val="43"/>
        <color rgb="FFFF0000"/>
        <rFont val="Century Gothic"/>
        <family val="2"/>
      </rPr>
      <t>CASE CLOSED Aug. 03, 2026.</t>
    </r>
  </si>
  <si>
    <r>
      <t xml:space="preserve">Immediate Action:
</t>
    </r>
    <r>
      <rPr>
        <sz val="48"/>
        <rFont val="Century Gothic"/>
        <family val="2"/>
      </rPr>
      <t xml:space="preserve">The victim immediately washed the affected thumb with soap and running water for at least 10-15 minutes, followed by rhe application of antiseptic. The incident was immediately reported to the Physician on duty. The source patient was assessed for infectious status, includinf HBSAg, HCV, HIV, and Anti-Treponema pallidum. The victim underwent medical evaluation, and baseline laboratory tests including HBsAg, Anti-HBs, Anti-HCV, HCT, and other tests as indicated by the attending Physician, Wound cleaning and dressing were performed, and the employee was prescribed Amoxcicilin and Mefenamic acid (MFA). 
</t>
    </r>
    <r>
      <rPr>
        <b/>
        <sz val="48"/>
        <rFont val="Century Gothic"/>
        <family val="2"/>
      </rPr>
      <t xml:space="preserve">Findings:
1) </t>
    </r>
    <r>
      <rPr>
        <sz val="48"/>
        <rFont val="Century Gothic"/>
        <family val="2"/>
      </rPr>
      <t xml:space="preserve">The IV Catheter had already been used on the patient and was contaminated at the time of disposal. The contaminated IV catheter slipped from his grasp. In an instinctive attempt to prevent it from falling, he tried to catch it, resulting in a needlestick injury to his right thumb. </t>
    </r>
    <r>
      <rPr>
        <b/>
        <sz val="48"/>
        <rFont val="Century Gothic"/>
        <family val="2"/>
      </rPr>
      <t xml:space="preserve">
2)</t>
    </r>
    <r>
      <rPr>
        <sz val="48"/>
        <rFont val="Century Gothic"/>
        <family val="2"/>
      </rPr>
      <t xml:space="preserve"> The victim had already been on duty for approximately seven (7) hours when the incident occured. Fatigue associated with extended work hours and the demands of emergency patien care may have reduced hand coordination and reach time, contributing to the accident. </t>
    </r>
    <r>
      <rPr>
        <b/>
        <sz val="48"/>
        <rFont val="Century Gothic"/>
        <family val="2"/>
      </rPr>
      <t xml:space="preserve">
3) </t>
    </r>
    <r>
      <rPr>
        <sz val="48"/>
        <rFont val="Century Gothic"/>
        <family val="2"/>
      </rPr>
      <t xml:space="preserve">Immediate first aid and post-exposure management were provided with the facility's exposure control protocol, including wound cleansing, medical evaluation, laboratory testing, and assessment of the source patient's infectious status. </t>
    </r>
    <r>
      <rPr>
        <b/>
        <sz val="48"/>
        <rFont val="Century Gothic"/>
        <family val="2"/>
      </rPr>
      <t xml:space="preserve">
4) </t>
    </r>
    <r>
      <rPr>
        <sz val="48"/>
        <rFont val="Century Gothic"/>
        <family val="2"/>
      </rPr>
      <t>Substandard Act: Improper handling of contaminated material sue to inadequate mental / psychological capability.</t>
    </r>
    <r>
      <rPr>
        <b/>
        <sz val="48"/>
        <rFont val="Century Gothic"/>
        <family val="2"/>
      </rPr>
      <t xml:space="preserve">
5) </t>
    </r>
    <r>
      <rPr>
        <sz val="48"/>
        <rFont val="Century Gothic"/>
        <family val="2"/>
      </rPr>
      <t>Substandard Condition: Extended duty hours due to Inadequate fatigue management during extended night shifts.</t>
    </r>
    <r>
      <rPr>
        <b/>
        <sz val="48"/>
        <rFont val="Century Gothic"/>
        <family val="2"/>
      </rPr>
      <t xml:space="preserve">
Corrective Actions:
1) </t>
    </r>
    <r>
      <rPr>
        <sz val="48"/>
        <rFont val="Century Gothic"/>
        <family val="2"/>
      </rPr>
      <t>Chief Nurse / Department Head must encourage health care workers to remain calm and avoid instinctive reactions, such as attempting to catch afalling contaminated sharp object. Insead, to let it fall and retirve it safety using the appropriate procedure.</t>
    </r>
    <r>
      <rPr>
        <b/>
        <sz val="48"/>
        <rFont val="Century Gothic"/>
        <family val="2"/>
      </rPr>
      <t xml:space="preserve">
2) </t>
    </r>
    <r>
      <rPr>
        <sz val="48"/>
        <rFont val="Century Gothic"/>
        <family val="2"/>
      </rPr>
      <t>Chief Nurse / Department Head must promote practice of taking a brief mental pause before disposing of contaminated sharps to ensure proper control and safe disposal.</t>
    </r>
    <r>
      <rPr>
        <b/>
        <sz val="48"/>
        <rFont val="Century Gothic"/>
        <family val="2"/>
      </rPr>
      <t xml:space="preserve">
3) </t>
    </r>
    <r>
      <rPr>
        <sz val="48"/>
        <rFont val="Century Gothic"/>
        <family val="2"/>
      </rPr>
      <t xml:space="preserve">Chief Nurse / Department Head must encourage staff to recognize signs of fatigue during extended shifts of and promptly communicate with supervisors when fatigue may affect safe work performance. </t>
    </r>
    <r>
      <rPr>
        <b/>
        <sz val="48"/>
        <rFont val="Century Gothic"/>
        <family val="2"/>
      </rPr>
      <t xml:space="preserve">
4) </t>
    </r>
    <r>
      <rPr>
        <sz val="48"/>
        <rFont val="Century Gothic"/>
        <family val="2"/>
      </rPr>
      <t>Items 1,2, and 3 must be discussed during the departmental safety meeting by Safety Officers to reinforce awareness, and ensure understanding of th required control measure</t>
    </r>
    <r>
      <rPr>
        <b/>
        <sz val="48"/>
        <rFont val="Century Gothic"/>
        <family val="2"/>
      </rPr>
      <t xml:space="preserve">s. 
</t>
    </r>
    <r>
      <rPr>
        <b/>
        <sz val="48"/>
        <color rgb="FFFF0000"/>
        <rFont val="Century Gothic"/>
        <family val="2"/>
      </rPr>
      <t>CASE CLOSED 7/29/26</t>
    </r>
  </si>
  <si>
    <t>JUNJUN PATTONDOC</t>
  </si>
  <si>
    <t>HARLEM B. BALONG</t>
  </si>
  <si>
    <t>AGOSTO P. MIGUEL</t>
  </si>
  <si>
    <t>VERONICA T. VELASCO</t>
  </si>
  <si>
    <t>DESMOND D. BAYANGAN</t>
  </si>
  <si>
    <t>Security Guard</t>
  </si>
  <si>
    <t>Mill Office</t>
  </si>
  <si>
    <t>Assay Laboratory</t>
  </si>
  <si>
    <t>Michael P. Lamagan - OIC</t>
  </si>
  <si>
    <t>SNSAI - Mary Joyce Adaclog - OIC</t>
  </si>
  <si>
    <t>Lourdes F. Inao</t>
  </si>
  <si>
    <t>Nicole C. Dompayag</t>
  </si>
  <si>
    <t>Sidney Lee B. Balong</t>
  </si>
  <si>
    <t>Lifting and Piling of caustic sada sacks.</t>
  </si>
  <si>
    <t>Hauling of stainless-steel gutters</t>
  </si>
  <si>
    <t>Barring down stuck ore.</t>
  </si>
  <si>
    <t>Ripraping Activity</t>
  </si>
  <si>
    <t>Performing dilution on a separate sample</t>
  </si>
  <si>
    <t>Cleaning of spilled tails.</t>
  </si>
  <si>
    <t>ENC/MBM/MAAT</t>
  </si>
  <si>
    <t>ENC/MAAT</t>
  </si>
  <si>
    <t>ADA/MBM/MAAT</t>
  </si>
  <si>
    <t>RML/MBM/MAAT</t>
  </si>
  <si>
    <t>Fire Assay</t>
  </si>
  <si>
    <t>Sample Preparation</t>
  </si>
  <si>
    <t>Oil Laboratory</t>
  </si>
  <si>
    <t>Wet Assay / Mineral Lab</t>
  </si>
  <si>
    <t>MAAT</t>
  </si>
  <si>
    <t>KTAA</t>
  </si>
  <si>
    <t>Floculant Tank Area</t>
  </si>
  <si>
    <t>Symone Cone Crusher No. 2</t>
  </si>
  <si>
    <t>Guellong Access Road</t>
  </si>
  <si>
    <t>Wet Laboratory</t>
  </si>
  <si>
    <t>Final Sump</t>
  </si>
  <si>
    <t>TSG - PCES - Project Engineering</t>
  </si>
  <si>
    <t>TSG - PCES - Surface Survey</t>
  </si>
  <si>
    <t>TSG - PCES - Solid Waste &amp; Tamagan ESL Mgmt.</t>
  </si>
  <si>
    <t>TSG - PCES - Carpentry Shop</t>
  </si>
  <si>
    <t>TSG - PCES - Plumbing and Water Supply</t>
  </si>
  <si>
    <t>TSG - PCES - Jobs in Progress</t>
  </si>
  <si>
    <t>TSG - PCES - Water Source Mgmt. &amp; Maintenance</t>
  </si>
  <si>
    <t>TSG - PCES - Road &amp; Camp Maint.</t>
  </si>
  <si>
    <t>TSG - PCES - Sand &amp; Gravel Plant</t>
  </si>
  <si>
    <t>GMG - Assay - Fire Assay</t>
  </si>
  <si>
    <t>GMG - Assay - Wet Assay / Mineral Lab</t>
  </si>
  <si>
    <t>GMG - Assay - Sample Preparation</t>
  </si>
  <si>
    <t>GMG - Assay - Oil Laboratory</t>
  </si>
  <si>
    <t>GMG - TSF5A</t>
  </si>
  <si>
    <t>CHEMICAL INJURY, RIGHT EYE</t>
  </si>
  <si>
    <t>LACERATED 1ST DIGIT RIGHT HAND</t>
  </si>
  <si>
    <t>LACERATED WOUND, RIGHT EYEBROW</t>
  </si>
  <si>
    <t>LUMBAR STRAIN</t>
  </si>
  <si>
    <t>TRAUMATIC CONJUNCTIVITIS BOTH EYES</t>
  </si>
  <si>
    <t>For Optha Consultation</t>
  </si>
  <si>
    <t>Wound suturing , ATS, TT</t>
  </si>
  <si>
    <t>XRAY of LSV and Oral Pain Medication</t>
  </si>
  <si>
    <t>Antibiotic Eye Drops</t>
  </si>
  <si>
    <t>For further medical evaluation; Cleared by BGH Optha, Fit to work</t>
  </si>
  <si>
    <t>Provided wound will not be soiled, Fit to work</t>
  </si>
  <si>
    <t>Failure to use PPE properly</t>
  </si>
  <si>
    <t>Congestion or restricted action</t>
  </si>
  <si>
    <t xml:space="preserve">Lack of Knowledge          </t>
  </si>
  <si>
    <t>Physical or Physiological Stress</t>
  </si>
  <si>
    <t>Inadequate mental/ Psychological Capability</t>
  </si>
  <si>
    <t>Inadequate Work Standards and/or Risk Assessment</t>
  </si>
  <si>
    <t>Flocculant Tank Area</t>
  </si>
  <si>
    <t>At around 10:30 AM, the victim and his crew delivered Sodium metabisulfite and Caustic soda to TSF 5A. 
While transferring the sacks in the Flocculant Tank Area, the victim lifted a sack with his right hand. At that moment, a sudden gust of wind caused caustic soda residue to become airborne, and a portion entered his right eye. Although the victim was wearing safety spectacles, the residue was still able to bypass the eyewear and make contact with his eye.</t>
  </si>
  <si>
    <t>During road repair works at Guellong Access Road, the victim was performing riprap activities together with his crew. While attempting to lift a large boulder from the ground to displace it from the riprap work area, he was unaware that the boulder was firmly embedded in the ground. He exerted considerable force but was unable to lift the boulder. As a result, he experienced sudden pain in his lower back/waist area, accompanied by temporary blurred vision.</t>
  </si>
  <si>
    <t xml:space="preserve">At approximately 9:00 AM, the victim, together with a Mill Crusher operator, was conducting a routine bar-down activity underneath Symon Cone Crusher No. 2. The victim was using a fabricated, worn-out steel bar to loosen stuck ore at the main frame mantle. While pulling the bar with considerable force to move the stuck ore sideways, the bar suddenly moved toward him and struck his right eyebrow.The incident occurred in a congested work area, which limited Mthe victim's bility to avoid the sudden movement of the bar. He sustained an open wound/laceration on his rig,ht eyebrow. This was witnessed by the Mill Crusher Operator present at the time. </t>
  </si>
  <si>
    <t>Accidental breakage of a barren solution sample bottle after it was inadvertently contacted by the Laboratory Analyst during sample dilution, resulting in the loss of the sample and unavailability of a duplicate or split sample for analysis.</t>
  </si>
  <si>
    <t>At the time of the incident, a maintenance man the victim was with intentionally directed pressurized water toward the victim’s face during tailings-cleaning activities at final sump, resulting in eye irritation, redness, and excessive tearing. The injured employee later reported the incident to his supervisor, who assisted him to the hospital for medical evaluation.</t>
  </si>
  <si>
    <t xml:space="preserve">JOLIVER T. CABRADILLA </t>
  </si>
  <si>
    <t>JOHN REY T. SABIO</t>
  </si>
  <si>
    <t>SHEMRAN A. KIWANG</t>
  </si>
  <si>
    <t>SALDY A. DALUG</t>
  </si>
  <si>
    <t>LUNES D. MUSLING</t>
  </si>
  <si>
    <t>LHD 139</t>
  </si>
  <si>
    <t>DIOSDADO A. COPE JR.</t>
  </si>
  <si>
    <t>MARK SHINK T. DAYAWON</t>
  </si>
  <si>
    <t>GILBERT C. FACSOY</t>
  </si>
  <si>
    <t>BANGUIYAO, DIONISIO</t>
  </si>
  <si>
    <t>Utility Man</t>
  </si>
  <si>
    <t>Breast Hole</t>
  </si>
  <si>
    <t>1040L</t>
  </si>
  <si>
    <t>Leo D. Bulawit</t>
  </si>
  <si>
    <t>Joel M. Lopez</t>
  </si>
  <si>
    <t>Ambros C. Gabriel</t>
  </si>
  <si>
    <t>John I. Naweywey</t>
  </si>
  <si>
    <t>Repair of LHD unit</t>
  </si>
  <si>
    <t>Breaking operation</t>
  </si>
  <si>
    <t>Drilling operation</t>
  </si>
  <si>
    <t>Cleaning</t>
  </si>
  <si>
    <t>Outgoing Shift</t>
  </si>
  <si>
    <t>RWV/WDL</t>
  </si>
  <si>
    <t>DAM</t>
  </si>
  <si>
    <t>RWV/FPP</t>
  </si>
  <si>
    <t>WDL</t>
  </si>
  <si>
    <t>Mine Technical Services</t>
  </si>
  <si>
    <t>Nayak Safety Office</t>
  </si>
  <si>
    <t>RP 22 REPAIR BAY</t>
  </si>
  <si>
    <t>24913 8L3</t>
  </si>
  <si>
    <t>250 J LPT Loading Bay</t>
  </si>
  <si>
    <t>12502 C31N</t>
  </si>
  <si>
    <t>Transfer Chute</t>
  </si>
  <si>
    <t>Mine Office</t>
  </si>
  <si>
    <t>248 8M1</t>
  </si>
  <si>
    <t>1254 G31N</t>
  </si>
  <si>
    <t>207K Ramp</t>
  </si>
  <si>
    <t>Not following SOP</t>
  </si>
  <si>
    <t xml:space="preserve">Failure to warn                </t>
  </si>
  <si>
    <t>Failure to secure personal safety;
Lack of Hazard Assessment</t>
  </si>
  <si>
    <t xml:space="preserve">Failure to secure personal safety; Failure to warn  </t>
  </si>
  <si>
    <t>Poor housekeeping/ disorder</t>
  </si>
  <si>
    <t>Lack of skill</t>
  </si>
  <si>
    <t xml:space="preserve">Inadequate Engineering             </t>
  </si>
  <si>
    <t>Inadequate Leadership and/or Supervision</t>
  </si>
  <si>
    <t>Inadequate Engineering; Inadequate Maintenance</t>
  </si>
  <si>
    <t>BENIGN PAROXYSMAL POSITIONAL VERTIGO</t>
  </si>
  <si>
    <t>ADMITTED FOR HYDRATION AND EVALUATION</t>
  </si>
  <si>
    <t>ADMITTED; FOR FURTHER MEDICAL EVALUATION</t>
  </si>
  <si>
    <t>LACERATED WOUND LEFT ARM SECONDARY TO SHARPNEL INJURY</t>
  </si>
  <si>
    <t>WOUND DEBRIDEMENT, MEDS GIVEN</t>
  </si>
  <si>
    <t>LACERATION LEFT KNEE: ABRASION BACK SECONDARY TO FALL</t>
  </si>
  <si>
    <t>WOUND SUTURING, X-RAY</t>
  </si>
  <si>
    <t>RECOMMENDED FOR LIGHT WORKS; 15 DAYS SUBJECT TO BE EVALUATED</t>
  </si>
  <si>
    <t>LUMBOSACRAL STRAIN SECONDARY TO IMPROPER LIFTING TECHNIQUE</t>
  </si>
  <si>
    <t>LSV, X-RAY, ADMITTED</t>
  </si>
  <si>
    <t>ADMITTED FOR PAIN CONTROL; FOR FURTHER MEDICAL EVALUATION</t>
  </si>
  <si>
    <t>T/C ELECTROLYTE IMBALANCE</t>
  </si>
  <si>
    <t>ADMITTED FOR HYDRATION</t>
  </si>
  <si>
    <t>FOR FURTHER MEDICAL EVALUATION</t>
  </si>
  <si>
    <t>ACUTE GASTRITIS; R/O ACS</t>
  </si>
  <si>
    <t>ADMITTED FOR FURTHER MANAGEMENT</t>
  </si>
  <si>
    <t>FOR FURTHER MEDICAL EVALUATION: ADMITTED</t>
  </si>
  <si>
    <t>MULTIPLE ABRASIONS BACK RULE OUT FRACTURE</t>
  </si>
  <si>
    <t>WOUND CARE, ORAL MEDICATIONS; X-RAY TCAGE, LSV, URINALYSIS</t>
  </si>
  <si>
    <t>MULTIPLE LACERATIONS LEFT ARM, HAND, 2ND DIGIT LEFT</t>
  </si>
  <si>
    <t>WOUND CARE AND SUTURING, ORAL MEDICATIONS, X-RAY, CBC, URINALYSIS</t>
  </si>
  <si>
    <t>IV PAIN MEDS, ATS TT, WOUND SUTURING</t>
  </si>
  <si>
    <t>SCLAP LACERATION 4CM, SECONDARY TO FALLING DEBRIS (TIMBER) RIGHT PARIETAL AREA S/P WOUND SUTURING</t>
  </si>
  <si>
    <t>ALD / NDJ / -</t>
  </si>
  <si>
    <t>FRSL / JPM / SLBB</t>
  </si>
  <si>
    <t>LFI / - / NCD</t>
  </si>
  <si>
    <t>ALD / DFDJr. / -</t>
  </si>
  <si>
    <t>HGA / - / LDB</t>
  </si>
  <si>
    <t>FABJr. / - / JML</t>
  </si>
  <si>
    <t>HGA / RPK / ACG</t>
  </si>
  <si>
    <t>HGA / RPK / JIN</t>
  </si>
  <si>
    <t>ABEL / -</t>
  </si>
  <si>
    <t>VAB / RPK / FCSJr.</t>
  </si>
  <si>
    <t>At the day of the incident, the victim his companion were assigned to prepare stainless steel gutters for installation at the Power Plant. At approximately 8:20 AM, while preparing and manually hauling the gutters, the victim was pulling one of the stainless-steel gutters when his right thumb came into contact with sharp edge of the material, resulting in a laceration. First aid was immediately administered at the scene. Shortly after, the victim complained of dizziness. Upon being informed of the incident, the supervisor instructed that the victim be transported to the Emergency Room for immediate evaluation and treatment.</t>
  </si>
  <si>
    <t>During  attendance for the monthly safety meeting, the victim was found lying on the ground behind the safety office alerting the on-duty safety officers. The safety officers promptly carried the victim to the front of the safety office where the victim experienced a seizure episode. Upon regaining consciousness, the safety officers noted that the victim's muscle were stiff. The officers continued to attend to the victim,  cleared the area and promptly notified the control room for medical transport.</t>
  </si>
  <si>
    <t>The victim was in the process of using a sledgehammer to strike a chisel to remove the stud nut of LHD 140. During the activity, a metal fragment chipped off from the struck end (head) of the chisel and struck the victim's left bicep, resulting in an injury.</t>
  </si>
  <si>
    <t>At the time of the incident, the victim was breaking the rock along the right-back portion of the stope to create sufficient space for installing a secondary cap, using a breaker. Upon breaking the rock into pieces, the victim lost control of the breaker, subsequently losing his balance and falling down on the floor. His left knee struck against a rock as a result.</t>
  </si>
  <si>
    <t>While preparing to drill the sixth hole for rockbolt installation, the victim was about to pull out the drill rod when he felt a sharp pain in his lower back and unable to stand upright. Upon witnessing the incident, his companion immediately informed their supervisor of what had transpired and subsequently contacted the control room.</t>
  </si>
  <si>
    <t>At the time of the incident, the victim and his companion were drilling holes in preparation for blasting. After completing the drilling activity, the victim left to retrieve explosives. However, he took longer than expected, prompting his buddy to follow and check on him. His companion found the victim sitting at the loading bay holding unto his stomach. His condition was reported to the shift supervisor before subsequently informing the control room.</t>
  </si>
  <si>
    <t>The operator was tasked with scooping ore at the 1080L Transfer Chute using LHD #139. After mucking and dumping his 5th Bucket, the loader's tire got stucked. He decided to move his unit backward to muck the rocks along the left wall to backfill the floor. However, while attempting to reverse, he did not notice the unit's bucket was still raised. Consequently, the loader became out-balances and slowly tipped to the right.</t>
  </si>
  <si>
    <t xml:space="preserve">Approximately 3:15 AM, the victim was about to wipe the table at the mine office when he suddenly experienced difficulty breathing normaly. He immediately sat down to rest and drink water to attempt to recover. Despite his attempt, his breathing difficulty persisted, prompting him to report his condition to the control room. </t>
  </si>
  <si>
    <t>After drilling blast holes at the face, the victim's companion at the time secured the jack leg at the left wall along distance 21. The victim followed by disconnecting the oiler while in a sitting position. Mid-process, a piece of rock slough-off from the left shoulder, hitting the drilling machine and breaking into pieces. Some of which struck the victim's upper left back and left thigh, resulting to injury.</t>
  </si>
  <si>
    <t>The victim was mucking along 1254 G31N (BH), 880L using LHD 132. Mid-operation, the left wall sloughed off and hit the unit's canopy, breaking into pieces. Some broken rock hit the victim's left forearm and left knee resulting to multiple abrasions. He was immediately brought to the hospital for medical attention.</t>
  </si>
  <si>
    <t>The victim was bathing to refresh at 207k Ramp. At the same time, LHD 149 ascended from the lower level. The operator was about to park his unit when the LHD's rear part came into contact with the erected timber post thereat, causing the timber cap and top laggings to fall. Subsequently, a piece of 2"x8" top lagging hit the victim's head, resulting to a 4 cm laceration injury to his scalp (right parietal area).</t>
  </si>
  <si>
    <t>FMWM / - / KLSV</t>
  </si>
  <si>
    <t>Immediate Actions / Findings / Observations / Corrective Actions:</t>
  </si>
  <si>
    <t>Actions Taken</t>
  </si>
  <si>
    <t>Innitiator</t>
  </si>
  <si>
    <t>Date Closed</t>
  </si>
  <si>
    <t>Remarks</t>
  </si>
  <si>
    <t>Date Raised</t>
  </si>
  <si>
    <t xml:space="preserve">During the task, the Warehousemen and the Supervisor shall be required to use safety goggles or face shield when handling corrosive chemicals such as Caustic soda, instead of spectacles alone. </t>
  </si>
  <si>
    <t>Attachment</t>
  </si>
  <si>
    <r>
      <t xml:space="preserve">Immediate Actions Taken: </t>
    </r>
    <r>
      <rPr>
        <sz val="71"/>
        <rFont val="Century Gothic"/>
        <family val="2"/>
      </rPr>
      <t xml:space="preserve">The victim immediately flushed his affected eye with running water for 30 minutes. He then informed his immediate supervisor, who instructed him to proceed to the Hospital for further evaluation and treatment. </t>
    </r>
    <r>
      <rPr>
        <b/>
        <sz val="71"/>
        <rFont val="Century Gothic"/>
        <family val="2"/>
      </rPr>
      <t xml:space="preserve">
Findings: 
</t>
    </r>
    <r>
      <rPr>
        <sz val="71"/>
        <rFont val="Century Gothic"/>
        <family val="2"/>
      </rPr>
      <t xml:space="preserve">1. The victim was wearing safety spectacles; However, they did not provide adequate protection against airborne chemical particles entering from the sides.
2. The victim immediatelyflushed his side area with running water for approximately 30 minutes, which helped minimize the severity of the chemical exposure.
3. The prevailing windy condition contributed to the dispersion of caustic soda residue during the handling of the chemical.
</t>
    </r>
    <r>
      <rPr>
        <b/>
        <sz val="71"/>
        <rFont val="Century Gothic"/>
        <family val="2"/>
      </rPr>
      <t xml:space="preserve">Corrective and Preventive Action Plan (CPAP):
</t>
    </r>
    <r>
      <rPr>
        <sz val="71"/>
        <rFont val="Century Gothic"/>
        <family val="2"/>
      </rPr>
      <t xml:space="preserve">1. During the task, the Warehousemen and the Supervisor shall be required to use safety goggles or face shield when handling corrosive chemicals such as Caustic soda, instead of spectacles alone. 
2. Safety Officers shall ensure that emergency eyewash facilities or a continuous supply of clean running water are readily accessible, inspected regularly, and functional in all chamical handling areas. Provision of eye wash station at the Flocculant Area shall be required. </t>
    </r>
    <r>
      <rPr>
        <b/>
        <sz val="71"/>
        <rFont val="Century Gothic"/>
        <family val="2"/>
      </rPr>
      <t xml:space="preserve">
</t>
    </r>
    <r>
      <rPr>
        <b/>
        <sz val="71"/>
        <color rgb="FFFF0000"/>
        <rFont val="Century Gothic"/>
        <family val="2"/>
      </rPr>
      <t>CASE CLOSED AUGUST 14, 2026</t>
    </r>
  </si>
  <si>
    <r>
      <t xml:space="preserve">Immediate Action/s Taken: </t>
    </r>
    <r>
      <rPr>
        <sz val="72"/>
        <rFont val="Century Gothic"/>
        <family val="2"/>
      </rPr>
      <t>The victim stopped the activity and rested. He subsequently reported the incident to his Supervisor, who advised him to report to the Hospital for medical evaluation and assessment in the afternoon.</t>
    </r>
    <r>
      <rPr>
        <b/>
        <sz val="72"/>
        <rFont val="Century Gothic"/>
        <family val="2"/>
      </rPr>
      <t xml:space="preserve">
Findings: 
</t>
    </r>
    <r>
      <rPr>
        <sz val="72"/>
        <rFont val="Century Gothic"/>
        <family val="2"/>
      </rPr>
      <t xml:space="preserve">1. The incident indicated overexertion / physical strain associated with manual handling of a heavy and embedded object.;
2. The actual weight and embedded condition of the boulder were not adequately determined before the lifting attempt, contributing to the exposure to excessive physical exertion. 
</t>
    </r>
    <r>
      <rPr>
        <b/>
        <sz val="72"/>
        <rFont val="Century Gothic"/>
        <family val="2"/>
      </rPr>
      <t>CPAP:</t>
    </r>
    <r>
      <rPr>
        <sz val="72"/>
        <rFont val="Century Gothic"/>
        <family val="2"/>
      </rPr>
      <t xml:space="preserve">
1. During the activity, all on-shift workers shall use appropriate tools like a pinch bar or other suitable equipment for lifting boulders exceeding the safe manual handling limits.
2. Supervisors shall conduct a toolbox meeting to remind workers about proper manual handling techniques, recognition of overexertion hazards, and the importance of seeking assistance when handling heavy materials.
3. During the activity, all on-shift workers shall scrutinize/assess and secure the boulder before lifting.
</t>
    </r>
    <r>
      <rPr>
        <b/>
        <sz val="72"/>
        <color rgb="FFFF0000"/>
        <rFont val="Century Gothic"/>
        <family val="2"/>
      </rPr>
      <t xml:space="preserve">CASE CLOSED AUGUST 20, 2026 </t>
    </r>
  </si>
  <si>
    <r>
      <t xml:space="preserve">Immediate Actions Taken: </t>
    </r>
    <r>
      <rPr>
        <sz val="72"/>
        <rFont val="Century Gothic"/>
        <family val="2"/>
      </rPr>
      <t xml:space="preserve">The victim contacted CIP and the Metallurgy department to inquire whether a split sample was available, and cleaned up the area where the broken sample bottle shattered. The waste was disposed of in the designated bin for broken glassware. </t>
    </r>
    <r>
      <rPr>
        <b/>
        <sz val="72"/>
        <rFont val="Century Gothic"/>
        <family val="2"/>
      </rPr>
      <t xml:space="preserve">
Findings: 
</t>
    </r>
    <r>
      <rPr>
        <sz val="72"/>
        <rFont val="Century Gothic"/>
        <family val="2"/>
      </rPr>
      <t xml:space="preserve">1. There is a need to provide and consistently use appropriate sample bottle racks/container holders or sample stacks to keep bottles stable, organized, and protected from accidental contact during sample preparation and dilution activities.
2. The lack of a split barren solution sample also resulted in the inability to recover an alternative sample for analysis.
</t>
    </r>
    <r>
      <rPr>
        <b/>
        <sz val="72"/>
        <rFont val="Century Gothic"/>
        <family val="2"/>
      </rPr>
      <t>CPAP:</t>
    </r>
    <r>
      <rPr>
        <sz val="72"/>
        <rFont val="Century Gothic"/>
        <family val="2"/>
      </rPr>
      <t xml:space="preserve">
1. All Laboratory analysts shall place sample bottles in secondary containment when positioned on tiled surfaces and ensure they are kept away from the edges of work surfaces.
2. Report all accidents within 24 hours. </t>
    </r>
    <r>
      <rPr>
        <b/>
        <sz val="72"/>
        <rFont val="Century Gothic"/>
        <family val="2"/>
      </rPr>
      <t xml:space="preserve">
</t>
    </r>
    <r>
      <rPr>
        <b/>
        <sz val="72"/>
        <color rgb="FFFF0000"/>
        <rFont val="Century Gothic"/>
        <family val="2"/>
      </rPr>
      <t>CASE CLOSED SEPTEMBER 2, 2026</t>
    </r>
  </si>
  <si>
    <r>
      <t xml:space="preserve">Immediate Actions Taken: </t>
    </r>
    <r>
      <rPr>
        <sz val="58"/>
        <rFont val="Century Gothic"/>
        <family val="2"/>
      </rPr>
      <t xml:space="preserve">Work Stoppage of the crew at the area was implemented; First aid was immediately administered to the victim at the scene to control the bleeding form the laceration; Supervisor was immediately notified of the incident who instrudted the victim to be transported to the ER of further medical treatment and evaluation; The work area was secured, and personnel were reminded to wear the required PPE, particularly the cut-resistant or working gloves, when handling sharp-edged materials.
</t>
    </r>
    <r>
      <rPr>
        <b/>
        <sz val="58"/>
        <rFont val="Century Gothic"/>
        <family val="2"/>
      </rPr>
      <t xml:space="preserve">Findings:
</t>
    </r>
    <r>
      <rPr>
        <sz val="58"/>
        <rFont val="Century Gothic"/>
        <family val="2"/>
      </rPr>
      <t xml:space="preserve">1. The task involved manual handling of sharp-edged materials, which presents a foreseeable risk of cuts and lacerations if appropriate control measures are not consistently implemented.
2. The sharp edge of the stainless steel gutter was identified as the immediate source of injury. </t>
    </r>
    <r>
      <rPr>
        <b/>
        <sz val="58"/>
        <rFont val="Century Gothic"/>
        <family val="2"/>
      </rPr>
      <t xml:space="preserve">
</t>
    </r>
    <r>
      <rPr>
        <sz val="58"/>
        <rFont val="Century Gothic"/>
        <family val="2"/>
      </rPr>
      <t xml:space="preserve">3. Personnel were reminded to wear the required PPE when handling sharp-edged materials. However, the victim did not comply with this safety requirement at the time of the incident.
</t>
    </r>
    <r>
      <rPr>
        <b/>
        <sz val="58"/>
        <rFont val="Century Gothic"/>
        <family val="2"/>
      </rPr>
      <t>CPAP:</t>
    </r>
    <r>
      <rPr>
        <sz val="58"/>
        <rFont val="Century Gothic"/>
        <family val="2"/>
      </rPr>
      <t xml:space="preserve">
1. During the task, the Supervisor/Maintenance Men are required the mandatory use of cut-resistant gloves when handling stainless steel gutters and other sharp-edged materials before the activity. 
2. During the task, the Supervisor/Foreman shall conduct a pre-task hazard assessment and toolbox meeting to identify the risks associated with handling shap edged materials ans review the required control measures. 
3. During the task, the Supervisor/Foreman/Safety Officer shall impose a Notice to Explain (NTE) and Disciplinary Action of workers who violate the Company Safety Rules.
</t>
    </r>
    <r>
      <rPr>
        <b/>
        <sz val="58"/>
        <color rgb="FFFF0000"/>
        <rFont val="Century Gothic"/>
        <family val="2"/>
      </rPr>
      <t>CASE CLOSED AUGUST 11, 2026</t>
    </r>
  </si>
  <si>
    <r>
      <t>Immediate Action/s Taken: F</t>
    </r>
    <r>
      <rPr>
        <sz val="58"/>
        <rFont val="Century Gothic"/>
        <family val="2"/>
      </rPr>
      <t xml:space="preserve">irst Aid was administered; Supervisor was notified and conducted an initial investigation; Victim was assessed by Safety Officers, who advised to proceed to the Hospital for further medical evaluation and treatment; A re-enactment was conducted and documented to establish sequence of events and identify the contributing factors.
</t>
    </r>
    <r>
      <rPr>
        <b/>
        <sz val="58"/>
        <rFont val="Century Gothic"/>
        <family val="2"/>
      </rPr>
      <t>Findings</t>
    </r>
    <r>
      <rPr>
        <sz val="58"/>
        <rFont val="Century Gothic"/>
        <family val="2"/>
      </rPr>
      <t xml:space="preserve">:
1. The congested work area restircted the worker's ability to move away from the line of movement of the steel bar
2. The use of worn-out and reduced in size fabricated steel bar increased the potential for tool failure or uncontrolled movement during the activity.
3. Failure to wear the required safety goggles contributed to the worker's inadequate protection against potential struck-by hazards during the bar-down activity. 
4. The incident indicated inadequate control of the line-of-fire and struck-by hazards during the bar-down activity.
5. The worker's position and the limited working clearance reduced the victim's ability to react to the sudden movement of the tool.  
CPAP:
</t>
    </r>
    <r>
      <rPr>
        <b/>
        <sz val="58"/>
        <rFont val="Century Gothic"/>
        <family val="2"/>
      </rPr>
      <t>1. All on-shift supervisor shall imme</t>
    </r>
    <r>
      <rPr>
        <sz val="58"/>
        <rFont val="Century Gothic"/>
        <family val="2"/>
      </rPr>
      <t xml:space="preserve">diately remove and prohibit the use of worn-out fabricated steel bars for bar-down activities. Provide approved and properly sized tools suitable for the task. 
2. Supervisor/Foreman shall seek assistance from the Mechanical Department to assess the work area and implement necessary improvements to provide adequate working clearance and prevent workers from being positioned in congested areas during bar-down activities.
3. All On-shift Supervisors shall Strictly enforce the use of required PPE particularly safety goggles or appropriate eye/face protection, during ber-down activities.
4. On-shift Safety Officers shall impose an NTE and Disciplinary Action of workers who violates the Company Safety Rules.
</t>
    </r>
    <r>
      <rPr>
        <b/>
        <sz val="58"/>
        <color rgb="FFFF0000"/>
        <rFont val="Century Gothic"/>
        <family val="2"/>
      </rPr>
      <t>CASE CLOSED AUGUST 20, 2026</t>
    </r>
  </si>
  <si>
    <r>
      <t>Immediate Actions Taken:</t>
    </r>
    <r>
      <rPr>
        <sz val="72"/>
        <rFont val="Century Gothic"/>
        <family val="2"/>
      </rPr>
      <t xml:space="preserve"> The victim was accompanied to the hospital for medical evaluation and appropriate treatment. 
</t>
    </r>
    <r>
      <rPr>
        <b/>
        <sz val="72"/>
        <rFont val="Century Gothic"/>
        <family val="2"/>
      </rPr>
      <t xml:space="preserve">Findings: 
</t>
    </r>
    <r>
      <rPr>
        <sz val="72"/>
        <rFont val="Century Gothic"/>
        <family val="2"/>
      </rPr>
      <t>1. The incident resulted from horseplay involving the intentional misuse of pressurized water, wherein the victim's companion directed the pressurized water toward the victim's face, exposing his eyes, which caused eye irritation, redness, and excessive tearing. The act was unrelated</t>
    </r>
    <r>
      <rPr>
        <b/>
        <sz val="72"/>
        <rFont val="Century Gothic"/>
        <family val="2"/>
      </rPr>
      <t xml:space="preserve"> </t>
    </r>
    <r>
      <rPr>
        <sz val="72"/>
        <rFont val="Century Gothic"/>
        <family val="2"/>
      </rPr>
      <t xml:space="preserve">to the cleaning activity and constituted unsafe behaviour that created an unnecessary exposure to a pressurized water hazard.
</t>
    </r>
    <r>
      <rPr>
        <b/>
        <sz val="72"/>
        <rFont val="Century Gothic"/>
        <family val="2"/>
      </rPr>
      <t>CPAP:</t>
    </r>
    <r>
      <rPr>
        <sz val="72"/>
        <rFont val="Century Gothic"/>
        <family val="2"/>
      </rPr>
      <t xml:space="preserve">
1. The Immediate Supervisor shall issue an NTE to the employee who caused the injury and impose the appropriate disciplinary action for the violation of Company Safety Rules, subject to due process and the applicable Company Policies.
2. The Immediate Supervisor shall provide counselling to the employee involved regarding the prohibition of horseplay during work activities and emphasize the potential consequences and safety risks associated with such behaviour. 
</t>
    </r>
    <r>
      <rPr>
        <b/>
        <sz val="72"/>
        <color rgb="FFFF0000"/>
        <rFont val="Century Gothic"/>
        <family val="2"/>
      </rPr>
      <t>CASE CLOSED SEPTEMBER 03, 2026</t>
    </r>
    <r>
      <rPr>
        <b/>
        <sz val="72"/>
        <rFont val="Century Gothic"/>
        <family val="2"/>
      </rPr>
      <t xml:space="preserve">
</t>
    </r>
  </si>
  <si>
    <r>
      <t xml:space="preserve">Immediate Actions Taken: </t>
    </r>
    <r>
      <rPr>
        <sz val="72"/>
        <rFont val="Century Gothic"/>
        <family val="2"/>
      </rPr>
      <t xml:space="preserve">Safety Officers on duty immediately attended to the victim and cleared the area; the accident was reported. The accident was immediately reported to the control room for medical transport.
</t>
    </r>
    <r>
      <rPr>
        <b/>
        <sz val="72"/>
        <rFont val="Century Gothic"/>
        <family val="2"/>
      </rPr>
      <t>Findings:</t>
    </r>
    <r>
      <rPr>
        <sz val="72"/>
        <rFont val="Century Gothic"/>
        <family val="2"/>
      </rPr>
      <t xml:space="preserve">
1. The accident occurred during the signing of attendance for the Departmental Safety Meeting for 1st shift (Aug, 4, 2026) for Safety Nayak.
2. The victim was noticed at the back of the Safety Office by fellow attendees. 
3. The area was immediately cleared, and the victim was secured by the Safety officers on duty and the incident was immediately relayed to the control room for medical transport. 
4. According to his supervisor, the victim has no record of having a seizure in the underground.
5. When the victim regained consciousness, he was disoriented and was unable to piece his words together properly. 
6. The victim's muscles were noticed to be still when he was trying to recover from lying position.
7. The victim claimed that he didn't take in any alcohol, was not tired, and has adequate sleep.
</t>
    </r>
    <r>
      <rPr>
        <b/>
        <sz val="72"/>
        <rFont val="Century Gothic"/>
        <family val="2"/>
      </rPr>
      <t>CPAP:</t>
    </r>
    <r>
      <rPr>
        <sz val="72"/>
        <rFont val="Century Gothic"/>
        <family val="2"/>
      </rPr>
      <t xml:space="preserve">
1. The Physician shall re-assess medical condition of the victim if he is fit for underground duties.</t>
    </r>
  </si>
  <si>
    <r>
      <t xml:space="preserve">Immediate Actions Taken: </t>
    </r>
    <r>
      <rPr>
        <sz val="71"/>
        <rFont val="Century Gothic"/>
        <family val="2"/>
      </rPr>
      <t xml:space="preserve">First aid was initiated by his co-worker and reported to control for hospital referral for medical treatment; Safety officers conducted an investigation. 
</t>
    </r>
    <r>
      <rPr>
        <b/>
        <sz val="71"/>
        <rFont val="Century Gothic"/>
        <family val="2"/>
      </rPr>
      <t>Findings:</t>
    </r>
    <r>
      <rPr>
        <sz val="71"/>
        <rFont val="Century Gothic"/>
        <family val="2"/>
      </rPr>
      <t xml:space="preserve">
1. The assigned employees used welding to cut the stud knot in order to replace the bolt and knot.</t>
    </r>
    <r>
      <rPr>
        <b/>
        <sz val="71"/>
        <rFont val="Century Gothic"/>
        <family val="2"/>
      </rPr>
      <t xml:space="preserve">
</t>
    </r>
    <r>
      <rPr>
        <sz val="71"/>
        <rFont val="Century Gothic"/>
        <family val="2"/>
      </rPr>
      <t>2. The metal chip that struck the victim was embedded into hi bicep.</t>
    </r>
    <r>
      <rPr>
        <b/>
        <sz val="71"/>
        <rFont val="Century Gothic"/>
        <family val="2"/>
      </rPr>
      <t xml:space="preserve">
CPAP:
</t>
    </r>
    <r>
      <rPr>
        <sz val="71"/>
        <rFont val="Century Gothic"/>
        <family val="2"/>
      </rPr>
      <t xml:space="preserve">1. The MMME shall replace fabricated chisels with commercially available standard chisels.
</t>
    </r>
    <r>
      <rPr>
        <b/>
        <sz val="71"/>
        <color rgb="FFFF0000"/>
        <rFont val="Century Gothic"/>
        <family val="2"/>
      </rPr>
      <t>CASE CLOSED AUGUST 13, 2026</t>
    </r>
  </si>
  <si>
    <r>
      <t xml:space="preserve">Immediate Actions Taken: </t>
    </r>
    <r>
      <rPr>
        <sz val="72"/>
        <rFont val="Century Gothic"/>
        <family val="2"/>
      </rPr>
      <t xml:space="preserve">Upon witnessing the incident, the victim's companion reported to his supervisor what transpired and subsequently contacted Central Command. The victim was assisted to the 1150 Shaft for further assessment and assistance. </t>
    </r>
    <r>
      <rPr>
        <b/>
        <sz val="72"/>
        <rFont val="Century Gothic"/>
        <family val="2"/>
      </rPr>
      <t xml:space="preserve">
Findings:
</t>
    </r>
    <r>
      <rPr>
        <sz val="72"/>
        <rFont val="Century Gothic"/>
        <family val="2"/>
      </rPr>
      <t xml:space="preserve">1. He reported to work unwell as proven by his approved leave with a personal reason of "Back Pain"
2.  The work place was under congested condition due to semi-low vertival clearance and warm atmosphere.
</t>
    </r>
    <r>
      <rPr>
        <b/>
        <sz val="72"/>
        <rFont val="Century Gothic"/>
        <family val="2"/>
      </rPr>
      <t xml:space="preserve">CPAP:
</t>
    </r>
    <r>
      <rPr>
        <sz val="72"/>
        <rFont val="Century Gothic"/>
        <family val="2"/>
      </rPr>
      <t xml:space="preserve">1. Supervisors shall immediately ensure that all employees report for work physically and mentally fit to be able to do their tasks safely.
2. Supervisors shall immediately ensure that all employees observe their proper position for the task. 
</t>
    </r>
    <r>
      <rPr>
        <b/>
        <sz val="72"/>
        <color rgb="FFFF0000"/>
        <rFont val="Century Gothic"/>
        <family val="2"/>
      </rPr>
      <t>CASE CLOSED AUGUST 13, 2026</t>
    </r>
  </si>
  <si>
    <r>
      <t xml:space="preserve">Immediate Actions Taken: </t>
    </r>
    <r>
      <rPr>
        <sz val="72"/>
        <rFont val="Century Gothic"/>
        <family val="2"/>
      </rPr>
      <t xml:space="preserve">The accident was reported immediately to the Control Room, who contacted the Hospital and Safety Office for assistance. An ambulance was dispatched and arrived about an hour later to attend to the victim. 
</t>
    </r>
    <r>
      <rPr>
        <b/>
        <sz val="72"/>
        <rFont val="Century Gothic"/>
        <family val="2"/>
      </rPr>
      <t xml:space="preserve">Findings: </t>
    </r>
    <r>
      <rPr>
        <sz val="72"/>
        <rFont val="Century Gothic"/>
        <family val="2"/>
      </rPr>
      <t xml:space="preserve">
1. The victim reported for work on the first shift of August 20, 2026. 
2. The victim was found to have a heart-related medical condition.
3. The victim reports that he took his prescribed medicine before reporting to work. 
4. At the time of the accident, the victim was working the night shift, where the ambient temperature was relatively cold. 
</t>
    </r>
    <r>
      <rPr>
        <b/>
        <sz val="72"/>
        <rFont val="Century Gothic"/>
        <family val="2"/>
      </rPr>
      <t>CPAP:</t>
    </r>
    <r>
      <rPr>
        <sz val="72"/>
        <rFont val="Century Gothic"/>
        <family val="2"/>
      </rPr>
      <t xml:space="preserve">
1. The Supervisor shall re-assess the victim's workload and work activities in consideration of his underlying heart condition. 
2. The Supervisor shall consider adjusting his work shift (by transferring him to a second or third shift) to reduce potential exposure to colder temperatures during the night shift. 
3. The Supervisor shall monitor his condition and fitness for work before allowing him to resume normal duties. </t>
    </r>
    <r>
      <rPr>
        <b/>
        <sz val="72"/>
        <rFont val="Century Gothic"/>
        <family val="2"/>
      </rPr>
      <t xml:space="preserve">
</t>
    </r>
    <r>
      <rPr>
        <b/>
        <sz val="72"/>
        <color rgb="FFFF0000"/>
        <rFont val="Century Gothic"/>
        <family val="2"/>
      </rPr>
      <t>CASE CLOSED AUGUST 26, 2026</t>
    </r>
  </si>
  <si>
    <r>
      <t xml:space="preserve">Immediate Actions Taken: </t>
    </r>
    <r>
      <rPr>
        <sz val="62"/>
        <rFont val="Century Gothic"/>
        <family val="2"/>
      </rPr>
      <t xml:space="preserve">Safety Officers proceeded to the accident site and investigated the case, including documentation and statements from the involved personnel.  
</t>
    </r>
    <r>
      <rPr>
        <b/>
        <sz val="62"/>
        <rFont val="Century Gothic"/>
        <family val="2"/>
      </rPr>
      <t>Findings:</t>
    </r>
    <r>
      <rPr>
        <sz val="62"/>
        <rFont val="Century Gothic"/>
        <family val="2"/>
      </rPr>
      <t xml:space="preserve">
1. The area is of a clay-altered rock condition. 
2. The sloughed rock came from distance 21 in between the rock bolt supports. The last ring of rock bolt support is at distance 22. 
3. Distance 23 to 24 rock bolts were updated, and the active face is at distance 25. 
4. The victim was in a sitting position when he was hit by the rock, whose measurement is 30cm x 30cm and has 2 inch thick. 
</t>
    </r>
    <r>
      <rPr>
        <b/>
        <sz val="62"/>
        <rFont val="Century Gothic"/>
        <family val="2"/>
      </rPr>
      <t xml:space="preserve">CPAP:
</t>
    </r>
    <r>
      <rPr>
        <sz val="62"/>
        <rFont val="Century Gothic"/>
        <family val="2"/>
      </rPr>
      <t xml:space="preserve">1. All concerned employees shall initiate thorough and sufficient barring down and install rock support, observing proper spacing as per Rockbolt SOP.
2. All concerned employees shall receive refresher training on proper rock bolting and implementation of the proper Rockbolting SOP.
</t>
    </r>
    <r>
      <rPr>
        <b/>
        <sz val="62"/>
        <color rgb="FFFF0000"/>
        <rFont val="Century Gothic"/>
        <family val="2"/>
      </rPr>
      <t>CASE CLOSED AUGUST 27, 2026</t>
    </r>
  </si>
  <si>
    <t>Corrective and Preventive Action Plan (CPAP)</t>
  </si>
  <si>
    <r>
      <t xml:space="preserve">Immediate Actions Taken: </t>
    </r>
    <r>
      <rPr>
        <sz val="72"/>
        <rFont val="Century Gothic"/>
        <family val="2"/>
      </rPr>
      <t xml:space="preserve">Safety Officers immediately assisted the victim until ferried into the ambulance, then proceeded to the impact site and conducted an investigation.
</t>
    </r>
    <r>
      <rPr>
        <b/>
        <sz val="72"/>
        <rFont val="Century Gothic"/>
        <family val="2"/>
      </rPr>
      <t xml:space="preserve">Findings: 
</t>
    </r>
    <r>
      <rPr>
        <sz val="72"/>
        <rFont val="Century Gothic"/>
        <family val="2"/>
      </rPr>
      <t xml:space="preserve">1. The size of the sloughed of rock measures 1m x 1.3m based on the source. It fell 5 meters from its source. The area is in a high-back condition.
2.  The impact site was under warm conditions.
3. During the investigation, the service lines were removed intended for mucking. </t>
    </r>
    <r>
      <rPr>
        <b/>
        <sz val="72"/>
        <rFont val="Century Gothic"/>
        <family val="2"/>
      </rPr>
      <t xml:space="preserve">
CPAP:</t>
    </r>
    <r>
      <rPr>
        <sz val="72"/>
        <rFont val="Century Gothic"/>
        <family val="2"/>
      </rPr>
      <t xml:space="preserve">
1. All concerned employees shall avoid high-back condition panels.
2. All MMME and MOG employees concerned shall install screen protectors to all LHD Canopy. 
3. All concerned employees shall receive operator training expounding hazards while performing mucking tasks. 
</t>
    </r>
    <r>
      <rPr>
        <b/>
        <sz val="72"/>
        <color rgb="FFFF0000"/>
        <rFont val="Century Gothic"/>
        <family val="2"/>
      </rPr>
      <t>CASE CLOSED AUGUST 27, 2026</t>
    </r>
  </si>
  <si>
    <r>
      <t xml:space="preserve">Immediate Actions Taken: </t>
    </r>
    <r>
      <rPr>
        <sz val="72"/>
        <rFont val="Century Gothic"/>
        <family val="2"/>
      </rPr>
      <t xml:space="preserve">First Aid was administered immediately, and the victim was brought for medical treatment; then an accident investigation was conducted. 
</t>
    </r>
    <r>
      <rPr>
        <b/>
        <sz val="72"/>
        <rFont val="Century Gothic"/>
        <family val="2"/>
      </rPr>
      <t>Findings:</t>
    </r>
    <r>
      <rPr>
        <sz val="72"/>
        <rFont val="Century Gothic"/>
        <family val="2"/>
      </rPr>
      <t xml:space="preserve">
1. The LHD that hit the canopy misaligned the timber, which caused the accident. 
</t>
    </r>
    <r>
      <rPr>
        <b/>
        <sz val="72"/>
        <rFont val="Century Gothic"/>
        <family val="2"/>
      </rPr>
      <t>CPAP:</t>
    </r>
    <r>
      <rPr>
        <sz val="72"/>
        <rFont val="Century Gothic"/>
        <family val="2"/>
      </rPr>
      <t xml:space="preserve">
1. All Supervisors concerned shall remove the bathing area along active access, or relocate the bathing area as indicated in this case. 
2. All Supervisors from the MOG or Mine Planning shall design a safe bathing bay. 
3. All Supervisors concerned shall prepare and install safety signage prohibiting unsafe and undeclared bathing bays, especially along active roadways, as well as cascade the information to all personnel involved. 
</t>
    </r>
    <r>
      <rPr>
        <b/>
        <sz val="72"/>
        <color rgb="FFFF0000"/>
        <rFont val="Century Gothic"/>
        <family val="2"/>
      </rPr>
      <t xml:space="preserve">CASE CLOSED AUGUST 27, 2026  
</t>
    </r>
  </si>
  <si>
    <t xml:space="preserve">On-shift Safety Officers shall impose an NTE and Disciplinary Action of workers who violates </t>
  </si>
  <si>
    <t>During the activity, all on-shift workers shall use appropriate tools like a pinch bar or other suitable equipment for lifting boulders exceeding the safe manual handling limits.</t>
  </si>
  <si>
    <t>Supervisors shall conduct a toolbox meeting to remind workers about proper manual handling techniques, recognition of overexertion hazards, and the importance of seeking assistance when handling heavy materials.</t>
  </si>
  <si>
    <t>During the activity, all on-shift workers shall scrutinize/assess and secure the boulder before lifting.</t>
  </si>
  <si>
    <t>All Laboratory analysts shall place sample bottles in secondary containment when positioned on tiled surfaces and ensure they are kept away from the edges of work surfaces.</t>
  </si>
  <si>
    <t xml:space="preserve">Report all accidents within 24 hours. </t>
  </si>
  <si>
    <t>The Immediate Supervisor shall issue an NTE to the employee who caused the injury and impose the appropriate disciplinary action for the violation of Company Safety Rules, subject to due process and the applicable Company Policies.</t>
  </si>
  <si>
    <t xml:space="preserve">The Immediate Supervisor shall provide counselling to the employee involved regarding the prohibition of horseplay during work activities and emphasize the potential consequences and safety risks associated with such behaviour. </t>
  </si>
  <si>
    <t>The MMME shall replace fabricated chisels with commercially available standard chisels.</t>
  </si>
  <si>
    <t>Miners shall always secure their firm footings.</t>
  </si>
  <si>
    <t>Supervisors shall immediately ensure that all employees report for work physically and mentally fit to be able to do their tasks safely.</t>
  </si>
  <si>
    <t xml:space="preserve">Supervisors shall immediately ensure that all employees observe their proper position for the task. </t>
  </si>
  <si>
    <r>
      <t xml:space="preserve">Immediate Actions Taken: </t>
    </r>
    <r>
      <rPr>
        <sz val="72"/>
        <rFont val="Century Gothic"/>
        <family val="2"/>
      </rPr>
      <t>His companion immediately informed his supervisor about the situation, who then notified the Central Control of the accident. Fellow miners assisted the victim and transported him to the 1150L shaft for further assistance and medical attention.</t>
    </r>
    <r>
      <rPr>
        <b/>
        <sz val="72"/>
        <rFont val="Century Gothic"/>
        <family val="2"/>
      </rPr>
      <t xml:space="preserve">
Findings:
</t>
    </r>
    <r>
      <rPr>
        <sz val="72"/>
        <rFont val="Century Gothic"/>
        <family val="2"/>
      </rPr>
      <t xml:space="preserve">1. The victim and his crew had just shifted from 3rd shift (3:00 PM to 11:00 PM) to day shift (7:00 AM to 3:00 PM), which left him reporting for duty with no adequate rest. 
2. Electrolyte imbalance / Dehydration cause his cramping situation
3. Panel 12502 C 31 N was under a warm atmosphere.
</t>
    </r>
    <r>
      <rPr>
        <b/>
        <sz val="72"/>
        <rFont val="Century Gothic"/>
        <family val="2"/>
      </rPr>
      <t>CPAP:</t>
    </r>
    <r>
      <rPr>
        <sz val="72"/>
        <rFont val="Century Gothic"/>
        <family val="2"/>
      </rPr>
      <t xml:space="preserve">
1. All employees should have at least eight (8) hours of rest.
2. All employees shall have a rest day before changing shift.
</t>
    </r>
    <r>
      <rPr>
        <b/>
        <sz val="72"/>
        <color rgb="FFFF0000"/>
        <rFont val="Century Gothic"/>
        <family val="2"/>
      </rPr>
      <t>CASE CLOSED</t>
    </r>
  </si>
  <si>
    <t>All employees should have at least eight (8) hours of rest.</t>
  </si>
  <si>
    <t>All employees shall have a rest day before changing shift.</t>
  </si>
  <si>
    <t>All concerned supervisors, LHD and LPT Operators shall ensure regular scraping of roadways and access to avoid uneven, muddy and watery access.</t>
  </si>
  <si>
    <t>All concerned supervisors, LHD and LPT Operators shall review the existing LHD operation policy / guidelines or instruction, amend ans re-cascade during LHD refresher training and implement to deter re-occurence of the incident.</t>
  </si>
  <si>
    <t>All concerned supervisors, LHD and LPT Operators shall restore the LHD Operator's seat belt to protect or reduce the impact to the operator caused by the same incident</t>
  </si>
  <si>
    <t xml:space="preserve">The Supervisor shall re-assess the victim's workload and work activities in consideration of his underlying heart condition. </t>
  </si>
  <si>
    <t xml:space="preserve">The Supervisor shall consider adjusting his work shift (by transferring him to a second or third shift) to reduce potential exposure to colder temperatures during the night shift. </t>
  </si>
  <si>
    <t xml:space="preserve">The Supervisor shall monitor his condition and fitness for work before allowing him to resume normal duties. </t>
  </si>
  <si>
    <t>All concerned employees shall initiate thorough and sufficient barring down and install rock support, observing proper spacing as per Rockbolt SOP.</t>
  </si>
  <si>
    <t>All concerned employees shall receive refresher training on proper rock bolting and implementation of the proper Rockbolting SOP.</t>
  </si>
  <si>
    <t>All concerned employees shall avoid high-back condition panels.</t>
  </si>
  <si>
    <t xml:space="preserve">All MMME and MOG employees concerned shall install screen protectors to all LHD Canopy. </t>
  </si>
  <si>
    <t xml:space="preserve">All concerned employees shall receive operator training expounding hazards while performing mucking tasks. </t>
  </si>
  <si>
    <t xml:space="preserve">All Supervisors concerned shall remove the bathing area along active access, or relocate the bathing area as indicated in this case. </t>
  </si>
  <si>
    <t xml:space="preserve">All Supervisors from the MOG or Mine Planning shall design a safe bathing bay. </t>
  </si>
  <si>
    <t xml:space="preserve">All Supervisors concerned shall prepare and install safety signage prohibiting unsafe and undeclared bathing bays, especially along active roadways, as well as cascade the information to all personnel involved. </t>
  </si>
  <si>
    <t>Responsible Department</t>
  </si>
  <si>
    <t>SAFETY</t>
  </si>
  <si>
    <t>MILL OPERATIONS</t>
  </si>
  <si>
    <t>All On-shift Supervisors shall strictly enforce the use of required PPE, particularly safety goggles or appropriate eye/face protection, during bar-down activities.</t>
  </si>
  <si>
    <t>TSF5A</t>
  </si>
  <si>
    <t>ASSAY</t>
  </si>
  <si>
    <t>MEDICAL SVS</t>
  </si>
  <si>
    <t>MINE MGMT</t>
  </si>
  <si>
    <t>MOG/ROCK MECH</t>
  </si>
  <si>
    <t>Victim / Property</t>
  </si>
  <si>
    <t xml:space="preserve">San Roque warehouse Supervisor, Karl Lloyd Valentin, releyed the importance of wearing their complete PPE during loading and unloading activities. It was further clarified that the spectacles they shall wear will be the goggle type or a face shield for wider coverage. </t>
  </si>
  <si>
    <t xml:space="preserve">Safety Officers shall ensure that emergency eyewash facilities or a continuous supply of clean running water are readily accessible, inspected regularly, and functional in all chemical handling areas. Provision of an eye wash station at the Flocculant Area shall be required. </t>
  </si>
  <si>
    <t>SAFETY; PCES</t>
  </si>
  <si>
    <t xml:space="preserve">During the task, the Supervisor / Maintenance Men are required to use cut-resistant gloves when handling stainless steel gutters and other sharp-edged materials before the activity. </t>
  </si>
  <si>
    <t>Status (Closed/Open)</t>
  </si>
  <si>
    <t>CLOSED</t>
  </si>
  <si>
    <t xml:space="preserve">During the task, the Supervisor / Foreman shall conduct a pre-task hazard assessment and toolbox meeting to identify the risks associated with handling sharp-edged materials and review the required control measures. </t>
  </si>
  <si>
    <t>During the task, the Supervisor / Foreman / Safety Officer shall impose a Notice to Explain and Disciplinary Action of workers who violate the Company Safety Rules.</t>
  </si>
  <si>
    <t xml:space="preserve">NTE Served, Employee suspended for 4 days; </t>
  </si>
  <si>
    <t xml:space="preserve">NTE served to his companion; Suspended, 4 days, case reiterated, </t>
  </si>
  <si>
    <t>Personnel audited: Rj Gaang</t>
  </si>
  <si>
    <t>Personnel audited: Jhumel Pinic</t>
  </si>
  <si>
    <t xml:space="preserve">A total of three functional eye wash stations are present in the area:
1. Used oil bank area
2. Carbide area, near acids
3. Carbide area, near flocculant area
Running water was reported to be nonfunctional at all times. According to PCES, a sole connection is planned to be made, but it will still be raised for budgeting. </t>
  </si>
  <si>
    <t>Personnel audited: Rj Gaang (IMD), Jhumel Pinic (PCES)</t>
  </si>
  <si>
    <t>GLOV-0042 is being used and issued;  
Peptalks are being conducted, and the topic was discussed at the monthly departmental safety meeting as well.</t>
  </si>
  <si>
    <t xml:space="preserve">Supervisors are conducting their peptalks every Saturday. Handling of sharp edged tools are discussed, specifically on hot to pull and haul. Constant reminders are being made specially after the accident. </t>
  </si>
  <si>
    <t>Peptalks made by their supervisor discused horseplaying. The offender was counselled before the NTE was served.</t>
  </si>
  <si>
    <t>SAFETY/PCES</t>
  </si>
  <si>
    <t>Supervisor / Foreman shall seek assistance from the Mechanical Department to assess the work area and implement necessary improvements to provide adequate working clearance and prevent workers from being positioned in congested areas during bar-down activities.</t>
  </si>
  <si>
    <t xml:space="preserve">NTE was served to the Supervisor and the victim as well, with NODA on the victim due to noncompliance with proper PPE usage. </t>
  </si>
  <si>
    <t>Personnel Audited: Marites B. Madao</t>
  </si>
  <si>
    <t xml:space="preserve">All on-shift supervisors shall immediately remove and prohibit the use of worn-out fabricated steel bars for bar-down activities. Provide approved and properly sized tools suitable for the task. </t>
  </si>
  <si>
    <t xml:space="preserve">Worn-out fabricated steel bars were removed and replaced with new fabricated steel bars for usage. </t>
  </si>
  <si>
    <t xml:space="preserve">Area is operational and will require work stoppage for about two to three days. As of now, assessment is being made by the team (Sir Dexter Arevalo). </t>
  </si>
  <si>
    <t>IN PROGRESS</t>
  </si>
  <si>
    <t xml:space="preserve">Cascaded to concerned employees. Needed PPE are present in the area. </t>
  </si>
  <si>
    <t>Personnel audited: May Anne Tinoy</t>
  </si>
  <si>
    <t>Secondary containment is present</t>
  </si>
  <si>
    <t xml:space="preserve">Proper lifting techniques and ergonomic safety are being discussed monthly, even before the accident happened. The same reminders were reiterated during the recent safety meeting with the victim's department as well. </t>
  </si>
  <si>
    <t xml:space="preserve">A verbal warning was made, acknowledged by their Department Head. </t>
  </si>
  <si>
    <t>The Physician shall reassess the medical condition of the victim if he is fit for underground duties.</t>
  </si>
  <si>
    <t xml:space="preserve">At the time of the incident, the victim was breaking the rock along the right-back portion of the stope to create sufficient space for installing a secondary cap, using a breaker. Upon breaking the rock into pieces, the victim lost control of the breaker, subsequently losing his balance and falling down on the floor. His left knee struck a rock as a result. </t>
  </si>
  <si>
    <r>
      <t xml:space="preserve">Immediate Actions Taken: </t>
    </r>
    <r>
      <rPr>
        <sz val="72"/>
        <rFont val="Century Gothic"/>
        <family val="2"/>
      </rPr>
      <t xml:space="preserve">First responders immediately cleaned the victim's wounds and applied first aid; Safety Officers on shift immediately conducted investigation.
</t>
    </r>
    <r>
      <rPr>
        <b/>
        <sz val="72"/>
        <rFont val="Century Gothic"/>
        <family val="2"/>
      </rPr>
      <t>Findings:</t>
    </r>
    <r>
      <rPr>
        <sz val="72"/>
        <rFont val="Century Gothic"/>
        <family val="2"/>
      </rPr>
      <t xml:space="preserve">
1. The crew were reassigned by their supervisor from their workplace at 248 to 24913 8L3, 800 L to install top laggings.
2. The victim was onhn the process of breaking the boulder onis the back which was obstructing the secondary cap. When it did, he was not able to control the breaker causing him to loss his balance and fell down on the floor.
3. Poor ground condition and moderate atmosphere. </t>
    </r>
    <r>
      <rPr>
        <b/>
        <sz val="72"/>
        <rFont val="Century Gothic"/>
        <family val="2"/>
      </rPr>
      <t xml:space="preserve">
CPAP:</t>
    </r>
    <r>
      <rPr>
        <sz val="72"/>
        <rFont val="Century Gothic"/>
        <family val="2"/>
      </rPr>
      <t xml:space="preserve">
1. Miners shall always secure their firm footing.
</t>
    </r>
    <r>
      <rPr>
        <b/>
        <sz val="72"/>
        <color rgb="FFFF0000"/>
        <rFont val="Century Gothic"/>
        <family val="2"/>
      </rPr>
      <t xml:space="preserve">CASE CLOSED </t>
    </r>
  </si>
  <si>
    <r>
      <t xml:space="preserve">Immediate Actions Taken: </t>
    </r>
    <r>
      <rPr>
        <sz val="62"/>
        <rFont val="Century Gothic"/>
        <family val="2"/>
      </rPr>
      <t xml:space="preserve">The LHD was immediately extricated by the on-shift MOG and MMME employees, who checked the unit and declared that the unit had no damage. The uneven roadway was backfilled after extricating the unit, and operations proceeded as normal. After the investigation of the 3rd and 1st shift Officers, it was decided by the MOG and Safety Department that corresponding disciplinary Action to the LHD Operator and the concerned MOG Supervisor.
</t>
    </r>
    <r>
      <rPr>
        <b/>
        <sz val="62"/>
        <rFont val="Century Gothic"/>
        <family val="2"/>
      </rPr>
      <t>Findings:</t>
    </r>
    <r>
      <rPr>
        <sz val="62"/>
        <rFont val="Century Gothic"/>
        <family val="2"/>
      </rPr>
      <t xml:space="preserve">
1. Upon dumping the 5th load, the operator noticed the #2 tire was stuck due to uneven roadway. He used rock materials from the left wall of the transfer chute to backfill the uneven portion. However, while reversing, he failed to notice the unit's bucket was raised, causing the unit to flip.
2. Fortunately, no damage occurred since the unit flipped slowly. 
3. The completion of the rescue was completed during the 1st hour of the incoming 3rd shift. The LHD was immediately used by the same shift. 
4. Violation: improper usage of LHD (reversing while bucket is full resulting to imbalance)
</t>
    </r>
    <r>
      <rPr>
        <b/>
        <sz val="62"/>
        <rFont val="Century Gothic"/>
        <family val="2"/>
      </rPr>
      <t xml:space="preserve">CPAP:
</t>
    </r>
    <r>
      <rPr>
        <sz val="62"/>
        <rFont val="Century Gothic"/>
        <family val="2"/>
      </rPr>
      <t xml:space="preserve">1. All concerned supervisors, LHD and LPT Operators shall ensure regular scraping of roadways and access to avoid uneven, muddy and watery access.
2. All concerned supervisors, LHD and LPT Operators shall review the existing LHD operation policy / guidelines or instruction, amend ans re-cascade during LHD refresher training and implement to deter re-occurence of the incident.
3. All concerned supervisors, LHD and LPT Operators shall restore the LHD Operator's seat belt to protect or reduce the impact to the operator caused by the same incident
</t>
    </r>
    <r>
      <rPr>
        <b/>
        <sz val="62"/>
        <color rgb="FFFF0000"/>
        <rFont val="Century Gothic"/>
        <family val="2"/>
      </rPr>
      <t>CASE CLOSED AUGUST 26, 2026</t>
    </r>
  </si>
  <si>
    <t>Followed up on Aug. 8, 2026: No indication, if not for underground works. 
October 2025 Pre-employment exam: Fit to work</t>
  </si>
  <si>
    <t>Personnel audited: Dr. Joyce</t>
  </si>
  <si>
    <t>Information relayed during morning meetings; platforms were reported to be in place on site</t>
  </si>
  <si>
    <t>Personnel audited: Arnel Viernes</t>
  </si>
  <si>
    <t>Information relayed during morning meetings</t>
  </si>
  <si>
    <t>Information relayed during morning meetings; alcoblow implemented for addditional measures</t>
  </si>
  <si>
    <t>Information relayed during morning meetings; concerned personnel conducts scraping regularly</t>
  </si>
  <si>
    <t>Personnel  audited: Manilyn Ragojo</t>
  </si>
  <si>
    <t>As of 9/12/26 no PR has been made yet</t>
  </si>
  <si>
    <t>The victim underwent refresher training and was sanctioned with a Disciplinary Action.</t>
  </si>
  <si>
    <t>in p: relayed; for meeting</t>
  </si>
  <si>
    <t>Personnel audited: Manilyn Ragojo</t>
  </si>
  <si>
    <t xml:space="preserve">Information reached their office as of the audit date (9/12/26). The department stated to relay and consult with the mine operations department for now. </t>
  </si>
  <si>
    <t xml:space="preserve">Workload reassessed by Sir Art Lanip. Victim restricted from lifting activities. Light job applied. </t>
  </si>
  <si>
    <t xml:space="preserve">The victim was advised of the second shift. However, victim insists on 1st shift sometimes due to financial constrict (Payment for his medicines). </t>
  </si>
  <si>
    <t xml:space="preserve">The victim's supervisor monitors his situation. </t>
  </si>
  <si>
    <t>Personnel audited: Art Lanip</t>
  </si>
  <si>
    <t xml:space="preserve">9/12/26: Communicated for follow up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</si>
</sst>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0.00_);_(* \(#,##0.00\);_(* &quot;-&quot;??_);_(@_)"/>
    <numFmt numFmtId="165" formatCode="mmmm\ dd\,\ yyyy"/>
    <numFmt numFmtId="166" formatCode="hh:mm:ss\ AM/PM"/>
    <numFmt numFmtId="167" formatCode="mmm\-yyyy"/>
    <numFmt numFmtId="168" formatCode="mmmm\-yyyy"/>
    <numFmt numFmtId="169" formatCode="mmmm\,\ yyyy"/>
  </numFmts>
  <fonts count="8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9"/>
      <name val="Times New Roman"/>
      <family val="1"/>
    </font>
    <font>
      <sz val="9"/>
      <name val="Times New Roman"/>
      <family val="1"/>
    </font>
    <font>
      <sz val="9"/>
      <color theme="1"/>
      <name val="Times New Roman"/>
      <family val="1"/>
    </font>
    <font>
      <sz val="10"/>
      <name val="Calibri"/>
      <family val="2"/>
      <scheme val="minor"/>
    </font>
    <font>
      <sz val="26"/>
      <name val="Arial"/>
      <family val="2"/>
    </font>
    <font>
      <sz val="26"/>
      <name val="Georgia"/>
      <family val="1"/>
    </font>
    <font>
      <b/>
      <sz val="26"/>
      <name val="Times New Roman"/>
      <family val="1"/>
    </font>
    <font>
      <sz val="26"/>
      <name val="Times New Roman"/>
      <family val="1"/>
    </font>
    <font>
      <sz val="26"/>
      <color theme="1"/>
      <name val="Times New Roman"/>
      <family val="1"/>
    </font>
    <font>
      <sz val="26"/>
      <name val="Century Gothic"/>
      <family val="2"/>
    </font>
    <font>
      <b/>
      <sz val="36"/>
      <name val="Georgia"/>
      <family val="1"/>
    </font>
    <font>
      <b/>
      <sz val="36"/>
      <name val="Times New Roman"/>
      <family val="1"/>
    </font>
    <font>
      <sz val="36"/>
      <name val="Times New Roman"/>
      <family val="1"/>
    </font>
    <font>
      <sz val="36"/>
      <name val="Georgia"/>
      <family val="1"/>
    </font>
    <font>
      <sz val="8"/>
      <name val="Arial"/>
      <family val="2"/>
    </font>
    <font>
      <sz val="36"/>
      <name val="Arial"/>
      <family val="2"/>
    </font>
    <font>
      <b/>
      <sz val="36"/>
      <name val="Century Gothic"/>
      <family val="2"/>
    </font>
    <font>
      <sz val="36"/>
      <name val="Century Gothic"/>
      <family val="2"/>
    </font>
    <font>
      <b/>
      <sz val="10"/>
      <name val="Arial"/>
      <family val="2"/>
    </font>
    <font>
      <b/>
      <sz val="10"/>
      <name val="Calibri"/>
      <family val="2"/>
      <scheme val="minor"/>
    </font>
    <font>
      <sz val="26"/>
      <color rgb="FF0070C0"/>
      <name val="Times New Roman"/>
      <family val="1"/>
    </font>
    <font>
      <sz val="12"/>
      <name val="Century Gothic"/>
      <family val="2"/>
    </font>
    <font>
      <b/>
      <sz val="48"/>
      <name val="Georgia"/>
      <family val="1"/>
    </font>
    <font>
      <b/>
      <sz val="48"/>
      <name val="Times New Roman"/>
      <family val="1"/>
    </font>
    <font>
      <sz val="48"/>
      <name val="Times New Roman"/>
      <family val="1"/>
    </font>
    <font>
      <sz val="48"/>
      <name val="Georgia"/>
      <family val="1"/>
    </font>
    <font>
      <sz val="48"/>
      <name val="Arial"/>
      <family val="2"/>
    </font>
    <font>
      <sz val="48"/>
      <color rgb="FF0070C0"/>
      <name val="Times New Roman"/>
      <family val="1"/>
    </font>
    <font>
      <sz val="48"/>
      <color theme="1"/>
      <name val="Times New Roman"/>
      <family val="1"/>
    </font>
    <font>
      <b/>
      <sz val="48"/>
      <name val="Century Gothic"/>
      <family val="2"/>
    </font>
    <font>
      <sz val="48"/>
      <name val="Century Gothic"/>
      <family val="2"/>
    </font>
    <font>
      <b/>
      <sz val="12"/>
      <color theme="0"/>
      <name val="Century Gothic"/>
      <family val="2"/>
    </font>
    <font>
      <sz val="10"/>
      <color rgb="FFFF6600"/>
      <name val="Calibri"/>
      <family val="2"/>
      <scheme val="minor"/>
    </font>
    <font>
      <sz val="10"/>
      <color rgb="FFC00000"/>
      <name val="Calibri"/>
      <family val="2"/>
      <scheme val="minor"/>
    </font>
    <font>
      <b/>
      <sz val="26"/>
      <color rgb="FF0070C0"/>
      <name val="Times New Roman"/>
      <family val="1"/>
    </font>
    <font>
      <i/>
      <sz val="12"/>
      <name val="Century Gothic"/>
      <family val="2"/>
    </font>
    <font>
      <b/>
      <sz val="72"/>
      <name val="Georgia"/>
      <family val="1"/>
    </font>
    <font>
      <b/>
      <sz val="72"/>
      <name val="Times New Roman"/>
      <family val="1"/>
    </font>
    <font>
      <sz val="72"/>
      <name val="Times New Roman"/>
      <family val="1"/>
    </font>
    <font>
      <sz val="72"/>
      <name val="Georgia"/>
      <family val="1"/>
    </font>
    <font>
      <sz val="72"/>
      <color rgb="FF0070C0"/>
      <name val="Times New Roman"/>
      <family val="1"/>
    </font>
    <font>
      <sz val="72"/>
      <color theme="1"/>
      <name val="Times New Roman"/>
      <family val="1"/>
    </font>
    <font>
      <b/>
      <sz val="72"/>
      <name val="Century Gothic"/>
      <family val="2"/>
    </font>
    <font>
      <sz val="72"/>
      <name val="Century Gothic"/>
      <family val="2"/>
    </font>
    <font>
      <b/>
      <i/>
      <sz val="72"/>
      <name val="Century Gothic"/>
      <family val="2"/>
    </font>
    <font>
      <sz val="10"/>
      <color rgb="FFCC6600"/>
      <name val="Calibri"/>
      <family val="2"/>
      <scheme val="minor"/>
    </font>
    <font>
      <sz val="71"/>
      <name val="Arial"/>
      <family val="2"/>
    </font>
    <font>
      <u/>
      <sz val="11"/>
      <color theme="10"/>
      <name val="Calibri"/>
      <family val="2"/>
    </font>
    <font>
      <sz val="10"/>
      <color theme="5"/>
      <name val="Calibri"/>
      <family val="2"/>
      <scheme val="minor"/>
    </font>
    <font>
      <sz val="36"/>
      <color rgb="FFCC6600"/>
      <name val="Arial"/>
      <family val="2"/>
    </font>
    <font>
      <b/>
      <sz val="72"/>
      <color rgb="FFCC6600"/>
      <name val="Times New Roman"/>
      <family val="1"/>
    </font>
    <font>
      <sz val="72"/>
      <color rgb="FFCC6600"/>
      <name val="Times New Roman"/>
      <family val="1"/>
    </font>
    <font>
      <sz val="72"/>
      <color rgb="FFCC6600"/>
      <name val="Georgia"/>
      <family val="1"/>
    </font>
    <font>
      <sz val="26"/>
      <color rgb="FFCC6600"/>
      <name val="Arial"/>
      <family val="2"/>
    </font>
    <font>
      <sz val="72"/>
      <color theme="4"/>
      <name val="Times New Roman"/>
      <family val="1"/>
    </font>
    <font>
      <b/>
      <sz val="55"/>
      <name val="Century Gothic"/>
      <family val="2"/>
    </font>
    <font>
      <b/>
      <sz val="58"/>
      <name val="Century Gothic"/>
      <family val="2"/>
    </font>
    <font>
      <b/>
      <sz val="62"/>
      <name val="Century Gothic"/>
      <family val="2"/>
    </font>
    <font>
      <b/>
      <sz val="72"/>
      <color rgb="FF0070C0"/>
      <name val="Times New Roman"/>
      <family val="1"/>
    </font>
    <font>
      <b/>
      <sz val="72"/>
      <color rgb="FFFF0000"/>
      <name val="Century Gothic"/>
      <family val="2"/>
    </font>
    <font>
      <b/>
      <sz val="54"/>
      <name val="Century Gothic"/>
      <family val="2"/>
    </font>
    <font>
      <sz val="54"/>
      <name val="Century Gothic"/>
      <family val="2"/>
    </font>
    <font>
      <b/>
      <sz val="54"/>
      <color rgb="FFFF0000"/>
      <name val="Century Gothic"/>
      <family val="2"/>
    </font>
    <font>
      <sz val="62"/>
      <name val="Century Gothic"/>
      <family val="2"/>
    </font>
    <font>
      <b/>
      <sz val="62"/>
      <color rgb="FFFF0000"/>
      <name val="Century Gothic"/>
      <family val="2"/>
    </font>
    <font>
      <b/>
      <sz val="72"/>
      <color rgb="FF0070C0"/>
      <name val="Century Gothic"/>
      <family val="2"/>
    </font>
    <font>
      <b/>
      <sz val="71"/>
      <name val="Century Gothic"/>
      <family val="2"/>
    </font>
    <font>
      <sz val="71"/>
      <name val="Century Gothic"/>
      <family val="2"/>
    </font>
    <font>
      <b/>
      <sz val="71"/>
      <color rgb="FFFF0000"/>
      <name val="Century Gothic"/>
      <family val="2"/>
    </font>
    <font>
      <sz val="72"/>
      <name val="Calibri"/>
      <family val="2"/>
    </font>
    <font>
      <sz val="66"/>
      <name val="Century Gothic"/>
      <family val="2"/>
    </font>
    <font>
      <b/>
      <sz val="52"/>
      <name val="Century Gothic"/>
      <family val="2"/>
    </font>
    <font>
      <sz val="52"/>
      <name val="Century Gothic"/>
      <family val="2"/>
    </font>
    <font>
      <b/>
      <sz val="52"/>
      <color rgb="FFFF0000"/>
      <name val="Century Gothic"/>
      <family val="2"/>
    </font>
    <font>
      <b/>
      <sz val="48"/>
      <color rgb="FFFF0000"/>
      <name val="Century Gothic"/>
      <family val="2"/>
    </font>
    <font>
      <b/>
      <sz val="43"/>
      <name val="Century Gothic"/>
      <family val="2"/>
    </font>
    <font>
      <sz val="43"/>
      <name val="Century Gothic"/>
      <family val="2"/>
    </font>
    <font>
      <b/>
      <sz val="43"/>
      <color rgb="FFFF0000"/>
      <name val="Century Gothic"/>
      <family val="2"/>
    </font>
    <font>
      <sz val="58"/>
      <name val="Century Gothic"/>
      <family val="2"/>
    </font>
    <font>
      <b/>
      <sz val="58"/>
      <color rgb="FFFF0000"/>
      <name val="Century Gothic"/>
      <family val="2"/>
    </font>
  </fonts>
  <fills count="14">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9" tint="0.59999389629810485"/>
        <bgColor indexed="64"/>
      </patternFill>
    </fill>
    <fill>
      <patternFill patternType="solid">
        <fgColor theme="2"/>
        <bgColor indexed="64"/>
      </patternFill>
    </fill>
    <fill>
      <patternFill patternType="solid">
        <fgColor theme="7" tint="0.79992065187536243"/>
        <bgColor indexed="64"/>
      </patternFill>
    </fill>
    <fill>
      <patternFill patternType="solid">
        <fgColor theme="9" tint="0.7999206518753624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4" tint="-0.499984740745262"/>
        <bgColor indexed="64"/>
      </patternFill>
    </fill>
    <fill>
      <patternFill patternType="solid">
        <fgColor theme="9" tint="0.79998168889431442"/>
        <bgColor indexed="64"/>
      </patternFill>
    </fill>
    <fill>
      <patternFill patternType="solid">
        <fgColor rgb="FFFFFF99"/>
        <bgColor indexed="64"/>
      </patternFill>
    </fill>
    <fill>
      <patternFill patternType="solid">
        <fgColor theme="9" tint="0.39997558519241921"/>
        <bgColor indexed="64"/>
      </patternFill>
    </fill>
  </fills>
  <borders count="258">
    <border>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theme="1"/>
      </left>
      <right/>
      <top/>
      <bottom/>
      <diagonal/>
    </border>
    <border>
      <left style="dashDot">
        <color theme="1"/>
      </left>
      <right style="dashDot">
        <color theme="1"/>
      </right>
      <top style="thin">
        <color theme="1"/>
      </top>
      <bottom style="dashed">
        <color rgb="FFFF6600"/>
      </bottom>
      <diagonal/>
    </border>
    <border>
      <left style="dashDot">
        <color theme="1"/>
      </left>
      <right style="dashDot">
        <color theme="1"/>
      </right>
      <top style="dashed">
        <color rgb="FFFF6600"/>
      </top>
      <bottom style="dashed">
        <color rgb="FFFF6600"/>
      </bottom>
      <diagonal/>
    </border>
    <border>
      <left style="dashDot">
        <color theme="1"/>
      </left>
      <right style="dashDot">
        <color theme="1"/>
      </right>
      <top style="dashed">
        <color rgb="FFFF6600"/>
      </top>
      <bottom style="thin">
        <color theme="1"/>
      </bottom>
      <diagonal/>
    </border>
    <border>
      <left style="dashDot">
        <color theme="1"/>
      </left>
      <right/>
      <top style="thin">
        <color theme="1"/>
      </top>
      <bottom style="dashed">
        <color rgb="FFFF6600"/>
      </bottom>
      <diagonal/>
    </border>
    <border>
      <left style="dashDot">
        <color theme="1"/>
      </left>
      <right/>
      <top style="dashed">
        <color rgb="FFFF6600"/>
      </top>
      <bottom style="dashed">
        <color rgb="FFFF6600"/>
      </bottom>
      <diagonal/>
    </border>
    <border>
      <left/>
      <right style="dashDot">
        <color theme="1"/>
      </right>
      <top style="dashed">
        <color rgb="FFFF6600"/>
      </top>
      <bottom style="dashed">
        <color rgb="FFFF6600"/>
      </bottom>
      <diagonal/>
    </border>
    <border>
      <left style="dashDot">
        <color theme="1"/>
      </left>
      <right/>
      <top style="dashed">
        <color rgb="FFFF6600"/>
      </top>
      <bottom style="thin">
        <color theme="1"/>
      </bottom>
      <diagonal/>
    </border>
    <border>
      <left style="dashDot">
        <color auto="1"/>
      </left>
      <right style="dashDot">
        <color auto="1"/>
      </right>
      <top style="dashed">
        <color rgb="FFFF6600"/>
      </top>
      <bottom style="dashed">
        <color rgb="FFFF6600"/>
      </bottom>
      <diagonal/>
    </border>
    <border>
      <left style="dashDot">
        <color auto="1"/>
      </left>
      <right style="dashDot">
        <color auto="1"/>
      </right>
      <top style="thin">
        <color auto="1"/>
      </top>
      <bottom style="dashed">
        <color rgb="FFFF6600"/>
      </bottom>
      <diagonal/>
    </border>
    <border>
      <left style="dashDot">
        <color theme="1"/>
      </left>
      <right style="dashDot">
        <color theme="1"/>
      </right>
      <top style="dashed">
        <color rgb="FFFF6600"/>
      </top>
      <bottom/>
      <diagonal/>
    </border>
    <border>
      <left style="dashDot">
        <color theme="1"/>
      </left>
      <right/>
      <top style="dashed">
        <color rgb="FFFF6600"/>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style="thin">
        <color theme="1"/>
      </right>
      <top/>
      <bottom/>
      <diagonal/>
    </border>
    <border>
      <left/>
      <right style="thin">
        <color theme="1"/>
      </right>
      <top/>
      <bottom/>
      <diagonal/>
    </border>
    <border>
      <left style="thin">
        <color indexed="64"/>
      </left>
      <right style="dashDot">
        <color auto="1"/>
      </right>
      <top style="thin">
        <color indexed="64"/>
      </top>
      <bottom style="thin">
        <color indexed="64"/>
      </bottom>
      <diagonal/>
    </border>
    <border>
      <left style="dashDot">
        <color auto="1"/>
      </left>
      <right style="thin">
        <color indexed="64"/>
      </right>
      <top style="thin">
        <color indexed="64"/>
      </top>
      <bottom style="thin">
        <color indexed="64"/>
      </bottom>
      <diagonal/>
    </border>
    <border>
      <left style="dashDot">
        <color theme="1"/>
      </left>
      <right style="dashDot">
        <color theme="1"/>
      </right>
      <top style="dashed">
        <color rgb="FFFF6600"/>
      </top>
      <bottom style="thin">
        <color auto="1"/>
      </bottom>
      <diagonal/>
    </border>
    <border>
      <left/>
      <right/>
      <top style="dashed">
        <color rgb="FFFF6600"/>
      </top>
      <bottom style="dashed">
        <color rgb="FFFF6600"/>
      </bottom>
      <diagonal/>
    </border>
    <border>
      <left/>
      <right/>
      <top style="thin">
        <color theme="1"/>
      </top>
      <bottom style="dashed">
        <color rgb="FFFF6600"/>
      </bottom>
      <diagonal/>
    </border>
    <border>
      <left/>
      <right style="dashDot">
        <color theme="1"/>
      </right>
      <top style="thin">
        <color theme="1"/>
      </top>
      <bottom style="dashed">
        <color rgb="FFFF6600"/>
      </bottom>
      <diagonal/>
    </border>
    <border>
      <left/>
      <right/>
      <top style="dashed">
        <color rgb="FFFF6600"/>
      </top>
      <bottom style="thin">
        <color theme="1"/>
      </bottom>
      <diagonal/>
    </border>
    <border>
      <left/>
      <right style="dashDot">
        <color theme="1"/>
      </right>
      <top style="dashed">
        <color rgb="FFFF6600"/>
      </top>
      <bottom style="thin">
        <color theme="1"/>
      </bottom>
      <diagonal/>
    </border>
    <border>
      <left style="medium">
        <color auto="1"/>
      </left>
      <right/>
      <top style="medium">
        <color auto="1"/>
      </top>
      <bottom style="thin">
        <color theme="1"/>
      </bottom>
      <diagonal/>
    </border>
    <border>
      <left/>
      <right style="thin">
        <color theme="1"/>
      </right>
      <top style="medium">
        <color auto="1"/>
      </top>
      <bottom style="thin">
        <color theme="1"/>
      </bottom>
      <diagonal/>
    </border>
    <border>
      <left style="thin">
        <color theme="1"/>
      </left>
      <right style="thin">
        <color theme="1"/>
      </right>
      <top style="medium">
        <color auto="1"/>
      </top>
      <bottom style="thin">
        <color theme="1"/>
      </bottom>
      <diagonal/>
    </border>
    <border>
      <left/>
      <right/>
      <top style="medium">
        <color auto="1"/>
      </top>
      <bottom style="thin">
        <color theme="1"/>
      </bottom>
      <diagonal/>
    </border>
    <border>
      <left style="thin">
        <color theme="1"/>
      </left>
      <right style="medium">
        <color auto="1"/>
      </right>
      <top style="medium">
        <color auto="1"/>
      </top>
      <bottom style="thin">
        <color theme="1"/>
      </bottom>
      <diagonal/>
    </border>
    <border>
      <left style="medium">
        <color auto="1"/>
      </left>
      <right style="dashDot">
        <color theme="1"/>
      </right>
      <top style="thin">
        <color theme="1"/>
      </top>
      <bottom style="dashed">
        <color rgb="FFFF6600"/>
      </bottom>
      <diagonal/>
    </border>
    <border>
      <left style="dashDot">
        <color theme="1"/>
      </left>
      <right style="medium">
        <color auto="1"/>
      </right>
      <top style="thin">
        <color theme="1"/>
      </top>
      <bottom style="dashed">
        <color rgb="FFFF6600"/>
      </bottom>
      <diagonal/>
    </border>
    <border>
      <left style="medium">
        <color auto="1"/>
      </left>
      <right/>
      <top style="dashed">
        <color rgb="FFFF6600"/>
      </top>
      <bottom style="dashed">
        <color rgb="FFFF6600"/>
      </bottom>
      <diagonal/>
    </border>
    <border>
      <left style="dashDot">
        <color theme="1"/>
      </left>
      <right style="medium">
        <color auto="1"/>
      </right>
      <top style="dashed">
        <color rgb="FFFF6600"/>
      </top>
      <bottom style="dashed">
        <color rgb="FFFF6600"/>
      </bottom>
      <diagonal/>
    </border>
    <border>
      <left style="medium">
        <color auto="1"/>
      </left>
      <right style="dashDot">
        <color theme="1"/>
      </right>
      <top style="dashed">
        <color rgb="FFFF6600"/>
      </top>
      <bottom style="dashed">
        <color rgb="FFFF6600"/>
      </bottom>
      <diagonal/>
    </border>
    <border>
      <left style="medium">
        <color auto="1"/>
      </left>
      <right style="dashDot">
        <color auto="1"/>
      </right>
      <top style="dashed">
        <color rgb="FFFF6600"/>
      </top>
      <bottom style="dashed">
        <color rgb="FFFF6600"/>
      </bottom>
      <diagonal/>
    </border>
    <border>
      <left style="medium">
        <color auto="1"/>
      </left>
      <right style="dashDot">
        <color theme="1"/>
      </right>
      <top style="dashed">
        <color rgb="FFFF6600"/>
      </top>
      <bottom style="thin">
        <color auto="1"/>
      </bottom>
      <diagonal/>
    </border>
    <border>
      <left style="dashDot">
        <color theme="1"/>
      </left>
      <right style="medium">
        <color auto="1"/>
      </right>
      <top style="dashed">
        <color rgb="FFFF6600"/>
      </top>
      <bottom style="thin">
        <color theme="1"/>
      </bottom>
      <diagonal/>
    </border>
    <border>
      <left style="medium">
        <color auto="1"/>
      </left>
      <right/>
      <top/>
      <bottom style="medium">
        <color auto="1"/>
      </bottom>
      <diagonal/>
    </border>
    <border>
      <left/>
      <right style="thin">
        <color indexed="64"/>
      </right>
      <top/>
      <bottom style="medium">
        <color auto="1"/>
      </bottom>
      <diagonal/>
    </border>
    <border>
      <left style="thin">
        <color indexed="64"/>
      </left>
      <right style="thin">
        <color indexed="64"/>
      </right>
      <top/>
      <bottom style="medium">
        <color auto="1"/>
      </bottom>
      <diagonal/>
    </border>
    <border>
      <left style="thin">
        <color theme="1"/>
      </left>
      <right style="thin">
        <color theme="1"/>
      </right>
      <top style="thin">
        <color theme="1"/>
      </top>
      <bottom style="medium">
        <color auto="1"/>
      </bottom>
      <diagonal/>
    </border>
    <border>
      <left/>
      <right/>
      <top style="thin">
        <color theme="1"/>
      </top>
      <bottom style="medium">
        <color auto="1"/>
      </bottom>
      <diagonal/>
    </border>
    <border>
      <left/>
      <right style="thin">
        <color theme="1"/>
      </right>
      <top style="thin">
        <color theme="1"/>
      </top>
      <bottom style="medium">
        <color auto="1"/>
      </bottom>
      <diagonal/>
    </border>
    <border>
      <left style="thin">
        <color indexed="64"/>
      </left>
      <right style="medium">
        <color auto="1"/>
      </right>
      <top style="thin">
        <color indexed="64"/>
      </top>
      <bottom style="medium">
        <color auto="1"/>
      </bottom>
      <diagonal/>
    </border>
    <border>
      <left/>
      <right style="thin">
        <color theme="1"/>
      </right>
      <top style="medium">
        <color theme="1"/>
      </top>
      <bottom/>
      <diagonal/>
    </border>
    <border>
      <left style="thin">
        <color theme="1"/>
      </left>
      <right style="thin">
        <color theme="1"/>
      </right>
      <top style="medium">
        <color theme="1"/>
      </top>
      <bottom/>
      <diagonal/>
    </border>
    <border>
      <left/>
      <right/>
      <top style="medium">
        <color theme="1"/>
      </top>
      <bottom style="thin">
        <color theme="1"/>
      </bottom>
      <diagonal/>
    </border>
    <border>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medium">
        <color theme="1"/>
      </left>
      <right style="dashDot">
        <color theme="1"/>
      </right>
      <top style="thin">
        <color theme="1"/>
      </top>
      <bottom style="dashed">
        <color rgb="FFFF6600"/>
      </bottom>
      <diagonal/>
    </border>
    <border>
      <left style="dashDot">
        <color theme="1"/>
      </left>
      <right style="medium">
        <color theme="1"/>
      </right>
      <top style="thin">
        <color theme="1"/>
      </top>
      <bottom style="dashed">
        <color rgb="FFFF6600"/>
      </bottom>
      <diagonal/>
    </border>
    <border>
      <left style="medium">
        <color theme="1"/>
      </left>
      <right/>
      <top style="dashed">
        <color rgb="FFFF6600"/>
      </top>
      <bottom style="dashed">
        <color rgb="FFFF6600"/>
      </bottom>
      <diagonal/>
    </border>
    <border>
      <left style="dashDot">
        <color theme="1"/>
      </left>
      <right style="medium">
        <color theme="1"/>
      </right>
      <top style="dashed">
        <color rgb="FFFF6600"/>
      </top>
      <bottom style="dashed">
        <color rgb="FFFF6600"/>
      </bottom>
      <diagonal/>
    </border>
    <border>
      <left style="medium">
        <color theme="1"/>
      </left>
      <right style="dashDot">
        <color theme="1"/>
      </right>
      <top style="dashed">
        <color rgb="FFFF6600"/>
      </top>
      <bottom style="dashed">
        <color rgb="FFFF6600"/>
      </bottom>
      <diagonal/>
    </border>
    <border>
      <left style="medium">
        <color theme="1"/>
      </left>
      <right style="dashDot">
        <color theme="1"/>
      </right>
      <top style="dashed">
        <color rgb="FFFF6600"/>
      </top>
      <bottom style="thin">
        <color theme="1"/>
      </bottom>
      <diagonal/>
    </border>
    <border>
      <left style="dashDot">
        <color theme="1"/>
      </left>
      <right style="medium">
        <color theme="1"/>
      </right>
      <top style="dashed">
        <color rgb="FFFF6600"/>
      </top>
      <bottom style="thin">
        <color theme="1"/>
      </bottom>
      <diagonal/>
    </border>
    <border>
      <left style="medium">
        <color theme="1"/>
      </left>
      <right/>
      <top style="thin">
        <color theme="1"/>
      </top>
      <bottom style="medium">
        <color theme="1"/>
      </bottom>
      <diagonal/>
    </border>
    <border>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right/>
      <top style="thin">
        <color theme="1"/>
      </top>
      <bottom style="medium">
        <color theme="1"/>
      </bottom>
      <diagonal/>
    </border>
    <border>
      <left style="thin">
        <color theme="1"/>
      </left>
      <right style="medium">
        <color theme="1"/>
      </right>
      <top style="thin">
        <color theme="1"/>
      </top>
      <bottom style="medium">
        <color theme="1"/>
      </bottom>
      <diagonal/>
    </border>
    <border>
      <left style="thin">
        <color theme="1"/>
      </left>
      <right style="medium">
        <color theme="1"/>
      </right>
      <top style="thin">
        <color theme="1"/>
      </top>
      <bottom style="medium">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thin">
        <color theme="1"/>
      </left>
      <right style="medium">
        <color indexed="64"/>
      </right>
      <top/>
      <bottom/>
      <diagonal/>
    </border>
    <border>
      <left style="medium">
        <color indexed="64"/>
      </left>
      <right/>
      <top style="thin">
        <color indexed="64"/>
      </top>
      <bottom style="thin">
        <color indexed="64"/>
      </bottom>
      <diagonal/>
    </border>
    <border>
      <left/>
      <right style="medium">
        <color indexed="64"/>
      </right>
      <top/>
      <bottom/>
      <diagonal/>
    </border>
    <border>
      <left style="thin">
        <color theme="1"/>
      </left>
      <right style="medium">
        <color theme="1"/>
      </right>
      <top style="medium">
        <color theme="1"/>
      </top>
      <bottom/>
      <diagonal/>
    </border>
    <border>
      <left style="dashDot">
        <color auto="1"/>
      </left>
      <right style="medium">
        <color theme="1"/>
      </right>
      <top style="thin">
        <color auto="1"/>
      </top>
      <bottom style="dashed">
        <color rgb="FFFF6600"/>
      </bottom>
      <diagonal/>
    </border>
    <border>
      <left style="dashDot">
        <color auto="1"/>
      </left>
      <right style="medium">
        <color theme="1"/>
      </right>
      <top style="dashed">
        <color rgb="FFFF6600"/>
      </top>
      <bottom style="dashed">
        <color rgb="FFFF6600"/>
      </bottom>
      <diagonal/>
    </border>
    <border>
      <left style="dashDot">
        <color auto="1"/>
      </left>
      <right style="medium">
        <color theme="1"/>
      </right>
      <top/>
      <bottom style="dashed">
        <color rgb="FFFF6600"/>
      </bottom>
      <diagonal/>
    </border>
    <border>
      <left style="thin">
        <color theme="1"/>
      </left>
      <right style="medium">
        <color theme="1"/>
      </right>
      <top style="medium">
        <color auto="1"/>
      </top>
      <bottom style="thin">
        <color theme="1"/>
      </bottom>
      <diagonal/>
    </border>
    <border>
      <left style="thin">
        <color indexed="64"/>
      </left>
      <right style="medium">
        <color theme="1"/>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top style="thin">
        <color indexed="64"/>
      </top>
      <bottom style="medium">
        <color indexed="64"/>
      </bottom>
      <diagonal/>
    </border>
    <border>
      <left style="medium">
        <color indexed="64"/>
      </left>
      <right/>
      <top style="thin">
        <color theme="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top style="medium">
        <color indexed="64"/>
      </top>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dashDot">
        <color theme="1"/>
      </left>
      <right style="dashDot">
        <color theme="1"/>
      </right>
      <top style="thin">
        <color theme="1"/>
      </top>
      <bottom/>
      <diagonal/>
    </border>
    <border>
      <left style="dashDot">
        <color theme="1"/>
      </left>
      <right style="dashDot">
        <color theme="1"/>
      </right>
      <top/>
      <bottom/>
      <diagonal/>
    </border>
    <border>
      <left style="dashDot">
        <color theme="1"/>
      </left>
      <right style="dashDot">
        <color theme="1"/>
      </right>
      <top/>
      <bottom style="dashed">
        <color rgb="FFFF6600"/>
      </bottom>
      <diagonal/>
    </border>
    <border>
      <left/>
      <right/>
      <top style="medium">
        <color indexed="64"/>
      </top>
      <bottom style="thin">
        <color indexed="64"/>
      </bottom>
      <diagonal/>
    </border>
    <border>
      <left style="medium">
        <color indexed="64"/>
      </left>
      <right/>
      <top style="medium">
        <color theme="1"/>
      </top>
      <bottom/>
      <diagonal/>
    </border>
    <border>
      <left style="thin">
        <color theme="1"/>
      </left>
      <right style="medium">
        <color indexed="64"/>
      </right>
      <top style="medium">
        <color theme="1"/>
      </top>
      <bottom style="thin">
        <color theme="1"/>
      </bottom>
      <diagonal/>
    </border>
    <border>
      <left style="medium">
        <color indexed="64"/>
      </left>
      <right style="dashDot">
        <color theme="1"/>
      </right>
      <top style="dashed">
        <color rgb="FFFF6600"/>
      </top>
      <bottom style="thin">
        <color theme="1"/>
      </bottom>
      <diagonal/>
    </border>
    <border>
      <left style="medium">
        <color indexed="64"/>
      </left>
      <right/>
      <top style="thin">
        <color theme="1"/>
      </top>
      <bottom style="medium">
        <color theme="1"/>
      </bottom>
      <diagonal/>
    </border>
    <border>
      <left style="thin">
        <color theme="1"/>
      </left>
      <right style="medium">
        <color indexed="64"/>
      </right>
      <top style="thin">
        <color theme="1"/>
      </top>
      <bottom style="medium">
        <color theme="1"/>
      </bottom>
      <diagonal/>
    </border>
    <border>
      <left style="medium">
        <color indexed="64"/>
      </left>
      <right style="dashDot">
        <color auto="1"/>
      </right>
      <top style="thin">
        <color auto="1"/>
      </top>
      <bottom style="dashed">
        <color rgb="FFFF6600"/>
      </bottom>
      <diagonal/>
    </border>
    <border>
      <left style="thin">
        <color theme="1"/>
      </left>
      <right style="medium">
        <color indexed="64"/>
      </right>
      <top style="thin">
        <color theme="1"/>
      </top>
      <bottom style="medium">
        <color auto="1"/>
      </bottom>
      <diagonal/>
    </border>
    <border>
      <left/>
      <right style="thin">
        <color theme="1"/>
      </right>
      <top style="medium">
        <color indexed="64"/>
      </top>
      <bottom/>
      <diagonal/>
    </border>
    <border>
      <left style="thin">
        <color theme="1"/>
      </left>
      <right style="thin">
        <color theme="1"/>
      </right>
      <top style="medium">
        <color indexed="64"/>
      </top>
      <bottom/>
      <diagonal/>
    </border>
    <border>
      <left style="thin">
        <color theme="1"/>
      </left>
      <right style="medium">
        <color theme="1"/>
      </right>
      <top style="medium">
        <color indexed="64"/>
      </top>
      <bottom/>
      <diagonal/>
    </border>
    <border>
      <left style="dashDot">
        <color theme="1"/>
      </left>
      <right style="medium">
        <color theme="1"/>
      </right>
      <top style="dashed">
        <color rgb="FFFF6600"/>
      </top>
      <bottom/>
      <diagonal/>
    </border>
    <border>
      <left style="dashDot">
        <color theme="1"/>
      </left>
      <right style="medium">
        <color theme="1"/>
      </right>
      <top/>
      <bottom/>
      <diagonal/>
    </border>
    <border>
      <left style="dashDot">
        <color theme="1"/>
      </left>
      <right style="medium">
        <color theme="1"/>
      </right>
      <top/>
      <bottom style="dashed">
        <color rgb="FFFF6600"/>
      </bottom>
      <diagonal/>
    </border>
    <border>
      <left style="dashDot">
        <color auto="1"/>
      </left>
      <right style="dashDot">
        <color theme="1"/>
      </right>
      <top/>
      <bottom/>
      <diagonal/>
    </border>
    <border>
      <left style="thin">
        <color indexed="64"/>
      </left>
      <right style="thin">
        <color indexed="64"/>
      </right>
      <top/>
      <bottom style="thin">
        <color indexed="64"/>
      </bottom>
      <diagonal/>
    </border>
    <border>
      <left/>
      <right style="dashDot">
        <color theme="1"/>
      </right>
      <top style="dashed">
        <color rgb="FFFF6600"/>
      </top>
      <bottom/>
      <diagonal/>
    </border>
    <border>
      <left style="medium">
        <color indexed="64"/>
      </left>
      <right/>
      <top style="medium">
        <color indexed="64"/>
      </top>
      <bottom style="medium">
        <color theme="1"/>
      </bottom>
      <diagonal/>
    </border>
    <border>
      <left/>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dashDot">
        <color theme="1"/>
      </right>
      <top style="dashed">
        <color rgb="FFFF6600"/>
      </top>
      <bottom/>
      <diagonal/>
    </border>
    <border>
      <left style="dashDot">
        <color theme="1"/>
      </left>
      <right style="medium">
        <color indexed="64"/>
      </right>
      <top style="dashed">
        <color rgb="FFFF6600"/>
      </top>
      <bottom/>
      <diagonal/>
    </border>
    <border>
      <left style="medium">
        <color indexed="64"/>
      </left>
      <right style="thin">
        <color theme="1"/>
      </right>
      <top style="thin">
        <color theme="1"/>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style="dashed">
        <color rgb="FFFF6600"/>
      </bottom>
      <diagonal/>
    </border>
    <border>
      <left style="medium">
        <color indexed="64"/>
      </left>
      <right style="medium">
        <color indexed="64"/>
      </right>
      <top style="dashed">
        <color rgb="FFFF6600"/>
      </top>
      <bottom style="dashed">
        <color rgb="FFFF6600"/>
      </bottom>
      <diagonal/>
    </border>
    <border>
      <left style="medium">
        <color indexed="64"/>
      </left>
      <right style="medium">
        <color indexed="64"/>
      </right>
      <top style="dashed">
        <color rgb="FFFF6600"/>
      </top>
      <bottom style="thin">
        <color theme="1"/>
      </bottom>
      <diagonal/>
    </border>
    <border>
      <left style="medium">
        <color indexed="64"/>
      </left>
      <right style="medium">
        <color indexed="64"/>
      </right>
      <top style="thin">
        <color theme="1"/>
      </top>
      <bottom style="medium">
        <color indexed="64"/>
      </bottom>
      <diagonal/>
    </border>
    <border>
      <left/>
      <right/>
      <top/>
      <bottom style="dashed">
        <color rgb="FFFF6600"/>
      </bottom>
      <diagonal/>
    </border>
    <border>
      <left style="medium">
        <color auto="1"/>
      </left>
      <right style="dashDot">
        <color theme="1"/>
      </right>
      <top/>
      <bottom style="dashed">
        <color rgb="FFFF6600"/>
      </bottom>
      <diagonal/>
    </border>
    <border>
      <left style="dashDot">
        <color theme="1"/>
      </left>
      <right style="medium">
        <color auto="1"/>
      </right>
      <top/>
      <bottom style="dashed">
        <color rgb="FFFF6600"/>
      </bottom>
      <diagonal/>
    </border>
    <border>
      <left style="medium">
        <color indexed="64"/>
      </left>
      <right style="thin">
        <color theme="1"/>
      </right>
      <top style="medium">
        <color theme="1"/>
      </top>
      <bottom style="medium">
        <color indexed="64"/>
      </bottom>
      <diagonal/>
    </border>
    <border>
      <left style="thin">
        <color theme="1"/>
      </left>
      <right style="thin">
        <color theme="1"/>
      </right>
      <top style="medium">
        <color theme="1"/>
      </top>
      <bottom style="medium">
        <color indexed="64"/>
      </bottom>
      <diagonal/>
    </border>
    <border>
      <left style="thin">
        <color theme="1"/>
      </left>
      <right style="medium">
        <color indexed="64"/>
      </right>
      <top style="medium">
        <color theme="1"/>
      </top>
      <bottom style="medium">
        <color indexed="64"/>
      </bottom>
      <diagonal/>
    </border>
    <border>
      <left style="thin">
        <color theme="1"/>
      </left>
      <right/>
      <top style="medium">
        <color theme="1"/>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thin">
        <color indexed="64"/>
      </bottom>
      <diagonal/>
    </border>
    <border>
      <left style="medium">
        <color indexed="64"/>
      </left>
      <right style="medium">
        <color indexed="64"/>
      </right>
      <top style="medium">
        <color indexed="64"/>
      </top>
      <bottom style="thin">
        <color indexed="64"/>
      </bottom>
      <diagonal/>
    </border>
    <border>
      <left style="thin">
        <color theme="1"/>
      </left>
      <right/>
      <top style="thin">
        <color theme="1"/>
      </top>
      <bottom style="medium">
        <color theme="1"/>
      </bottom>
      <diagonal/>
    </border>
    <border>
      <left/>
      <right style="thin">
        <color theme="1"/>
      </right>
      <top style="medium">
        <color theme="1"/>
      </top>
      <bottom style="medium">
        <color indexed="64"/>
      </bottom>
      <diagonal/>
    </border>
    <border>
      <left/>
      <right style="medium">
        <color indexed="64"/>
      </right>
      <top style="thin">
        <color theme="1"/>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right style="medium">
        <color indexed="64"/>
      </right>
      <top/>
      <bottom style="thin">
        <color indexed="64"/>
      </bottom>
      <diagonal/>
    </border>
    <border>
      <left/>
      <right style="medium">
        <color indexed="64"/>
      </right>
      <top style="thin">
        <color indexed="64"/>
      </top>
      <bottom/>
      <diagonal/>
    </border>
    <border>
      <left style="dashDot">
        <color auto="1"/>
      </left>
      <right style="dashDot">
        <color auto="1"/>
      </right>
      <top style="dashed">
        <color rgb="FFFF6600"/>
      </top>
      <bottom/>
      <diagonal/>
    </border>
    <border>
      <left style="dashDot">
        <color auto="1"/>
      </left>
      <right style="dashDot">
        <color auto="1"/>
      </right>
      <top/>
      <bottom/>
      <diagonal/>
    </border>
    <border>
      <left style="dashDot">
        <color auto="1"/>
      </left>
      <right style="dashDot">
        <color auto="1"/>
      </right>
      <top/>
      <bottom style="dashed">
        <color rgb="FFFF6600"/>
      </bottom>
      <diagonal/>
    </border>
    <border>
      <left style="dashDot">
        <color auto="1"/>
      </left>
      <right style="dashDot">
        <color auto="1"/>
      </right>
      <top/>
      <bottom style="thin">
        <color theme="1"/>
      </bottom>
      <diagonal/>
    </border>
    <border>
      <left style="medium">
        <color theme="1"/>
      </left>
      <right/>
      <top style="dashed">
        <color rgb="FFFF6600"/>
      </top>
      <bottom style="thin">
        <color theme="1"/>
      </bottom>
      <diagonal/>
    </border>
    <border>
      <left style="medium">
        <color auto="1"/>
      </left>
      <right/>
      <top style="dashed">
        <color rgb="FFFF6600"/>
      </top>
      <bottom style="thin">
        <color theme="1"/>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top/>
      <bottom style="thin">
        <color theme="1"/>
      </bottom>
      <diagonal/>
    </border>
    <border>
      <left/>
      <right/>
      <top style="dashed">
        <color rgb="FFFF6600"/>
      </top>
      <bottom/>
      <diagonal/>
    </border>
    <border>
      <left style="medium">
        <color auto="1"/>
      </left>
      <right/>
      <top style="dashed">
        <color rgb="FFFF6600"/>
      </top>
      <bottom/>
      <diagonal/>
    </border>
    <border>
      <left style="medium">
        <color auto="1"/>
      </left>
      <right/>
      <top/>
      <bottom style="thin">
        <color theme="1"/>
      </bottom>
      <diagonal/>
    </border>
    <border>
      <left/>
      <right style="dashDot">
        <color auto="1"/>
      </right>
      <top style="dashed">
        <color rgb="FFFF6600"/>
      </top>
      <bottom/>
      <diagonal/>
    </border>
    <border>
      <left/>
      <right style="dashDot">
        <color auto="1"/>
      </right>
      <top/>
      <bottom/>
      <diagonal/>
    </border>
    <border>
      <left/>
      <right style="dashDot">
        <color auto="1"/>
      </right>
      <top/>
      <bottom style="thin">
        <color theme="1"/>
      </bottom>
      <diagonal/>
    </border>
    <border>
      <left style="dashDot">
        <color indexed="64"/>
      </left>
      <right/>
      <top style="dashed">
        <color rgb="FFFF6600"/>
      </top>
      <bottom/>
      <diagonal/>
    </border>
    <border>
      <left style="dashDot">
        <color indexed="64"/>
      </left>
      <right/>
      <top/>
      <bottom/>
      <diagonal/>
    </border>
    <border>
      <left style="dashDot">
        <color indexed="64"/>
      </left>
      <right/>
      <top/>
      <bottom style="thin">
        <color theme="1"/>
      </bottom>
      <diagonal/>
    </border>
    <border>
      <left style="dashDot">
        <color indexed="64"/>
      </left>
      <right style="medium">
        <color theme="1"/>
      </right>
      <top style="dashed">
        <color rgb="FFFF6600"/>
      </top>
      <bottom/>
      <diagonal/>
    </border>
    <border>
      <left style="dashDot">
        <color indexed="64"/>
      </left>
      <right style="medium">
        <color theme="1"/>
      </right>
      <top/>
      <bottom/>
      <diagonal/>
    </border>
    <border>
      <left style="dashDot">
        <color indexed="64"/>
      </left>
      <right style="medium">
        <color theme="1"/>
      </right>
      <top/>
      <bottom style="thin">
        <color theme="1"/>
      </bottom>
      <diagonal/>
    </border>
    <border>
      <left style="dashDot">
        <color auto="1"/>
      </left>
      <right style="dashDot">
        <color theme="1"/>
      </right>
      <top style="dashed">
        <color rgb="FFFF0000"/>
      </top>
      <bottom/>
      <diagonal/>
    </border>
    <border>
      <left style="dashDot">
        <color auto="1"/>
      </left>
      <right style="dashDot">
        <color theme="1"/>
      </right>
      <top/>
      <bottom style="dashed">
        <color rgb="FFFF0000"/>
      </bottom>
      <diagonal/>
    </border>
    <border>
      <left style="dashDot">
        <color theme="1"/>
      </left>
      <right/>
      <top/>
      <bottom style="dashed">
        <color rgb="FFFF6600"/>
      </bottom>
      <diagonal/>
    </border>
    <border>
      <left style="thin">
        <color theme="1"/>
      </left>
      <right/>
      <top style="medium">
        <color indexed="64"/>
      </top>
      <bottom/>
      <diagonal/>
    </border>
    <border>
      <left style="thin">
        <color theme="1"/>
      </left>
      <right/>
      <top/>
      <bottom style="thin">
        <color indexed="64"/>
      </bottom>
      <diagonal/>
    </border>
    <border>
      <left/>
      <right style="thin">
        <color theme="1"/>
      </right>
      <top/>
      <bottom style="thin">
        <color indexed="64"/>
      </bottom>
      <diagonal/>
    </border>
    <border>
      <left/>
      <right style="medium">
        <color theme="1"/>
      </right>
      <top/>
      <bottom/>
      <diagonal/>
    </border>
    <border>
      <left style="medium">
        <color indexed="64"/>
      </left>
      <right/>
      <top style="thin">
        <color theme="1"/>
      </top>
      <bottom/>
      <diagonal/>
    </border>
    <border>
      <left/>
      <right style="thin">
        <color theme="1"/>
      </right>
      <top style="thin">
        <color theme="1"/>
      </top>
      <bottom/>
      <diagonal/>
    </border>
    <border>
      <left style="thin">
        <color theme="1"/>
      </left>
      <right style="thin">
        <color theme="1"/>
      </right>
      <top style="thin">
        <color theme="1"/>
      </top>
      <bottom/>
      <diagonal/>
    </border>
    <border>
      <left style="thin">
        <color theme="1"/>
      </left>
      <right style="medium">
        <color theme="1"/>
      </right>
      <top style="thin">
        <color theme="1"/>
      </top>
      <bottom/>
      <diagonal/>
    </border>
    <border>
      <left style="medium">
        <color indexed="64"/>
      </left>
      <right/>
      <top style="thin">
        <color indexed="64"/>
      </top>
      <bottom/>
      <diagonal/>
    </border>
    <border>
      <left style="medium">
        <color indexed="64"/>
      </left>
      <right/>
      <top/>
      <bottom style="dashed">
        <color rgb="FFFF6600"/>
      </bottom>
      <diagonal/>
    </border>
    <border>
      <left style="dashDot">
        <color theme="1"/>
      </left>
      <right style="medium">
        <color indexed="64"/>
      </right>
      <top/>
      <bottom/>
      <diagonal/>
    </border>
    <border>
      <left style="dashDot">
        <color indexed="64"/>
      </left>
      <right style="medium">
        <color indexed="64"/>
      </right>
      <top style="dashed">
        <color rgb="FFFF6600"/>
      </top>
      <bottom/>
      <diagonal/>
    </border>
    <border>
      <left style="dashDot">
        <color indexed="64"/>
      </left>
      <right style="medium">
        <color indexed="64"/>
      </right>
      <top/>
      <bottom/>
      <diagonal/>
    </border>
    <border>
      <left style="dashDot">
        <color indexed="64"/>
      </left>
      <right style="medium">
        <color indexed="64"/>
      </right>
      <top/>
      <bottom style="thin">
        <color theme="1"/>
      </bottom>
      <diagonal/>
    </border>
    <border>
      <left/>
      <right style="dashDot">
        <color auto="1"/>
      </right>
      <top/>
      <bottom style="dashed">
        <color rgb="FFFF6600"/>
      </bottom>
      <diagonal/>
    </border>
    <border>
      <left/>
      <right style="thin">
        <color theme="1"/>
      </right>
      <top style="medium">
        <color indexed="64"/>
      </top>
      <bottom style="thin">
        <color indexed="64"/>
      </bottom>
      <diagonal/>
    </border>
    <border>
      <left/>
      <right style="dashDot">
        <color auto="1"/>
      </right>
      <top style="dashed">
        <color rgb="FFFF6600"/>
      </top>
      <bottom style="dashed">
        <color rgb="FFFF6600"/>
      </bottom>
      <diagonal/>
    </border>
    <border>
      <left style="medium">
        <color auto="1"/>
      </left>
      <right/>
      <top style="thin">
        <color theme="1"/>
      </top>
      <bottom style="dashed">
        <color rgb="FFFF6600"/>
      </bottom>
      <diagonal/>
    </border>
    <border>
      <left style="thin">
        <color indexed="64"/>
      </left>
      <right/>
      <top style="thin">
        <color indexed="64"/>
      </top>
      <bottom/>
      <diagonal/>
    </border>
    <border>
      <left style="thin">
        <color indexed="64"/>
      </left>
      <right style="dashDot">
        <color auto="1"/>
      </right>
      <top style="thin">
        <color indexed="64"/>
      </top>
      <bottom/>
      <diagonal/>
    </border>
    <border>
      <left style="dashDot">
        <color auto="1"/>
      </left>
      <right style="thin">
        <color indexed="64"/>
      </right>
      <top style="thin">
        <color indexed="64"/>
      </top>
      <bottom/>
      <diagonal/>
    </border>
    <border>
      <left style="thin">
        <color indexed="64"/>
      </left>
      <right style="medium">
        <color indexed="64"/>
      </right>
      <top style="thin">
        <color indexed="64"/>
      </top>
      <bottom/>
      <diagonal/>
    </border>
    <border>
      <left style="thin">
        <color theme="1"/>
      </left>
      <right style="thin">
        <color theme="1"/>
      </right>
      <top/>
      <bottom style="thin">
        <color theme="1"/>
      </bottom>
      <diagonal/>
    </border>
    <border>
      <left style="thin">
        <color theme="1"/>
      </left>
      <right style="medium">
        <color theme="1"/>
      </right>
      <top/>
      <bottom style="thin">
        <color theme="1"/>
      </bottom>
      <diagonal/>
    </border>
    <border>
      <left/>
      <right style="thin">
        <color theme="1"/>
      </right>
      <top/>
      <bottom style="thin">
        <color theme="1"/>
      </bottom>
      <diagonal/>
    </border>
    <border>
      <left style="thin">
        <color theme="1"/>
      </left>
      <right style="medium">
        <color indexed="64"/>
      </right>
      <top/>
      <bottom style="thin">
        <color theme="1"/>
      </bottom>
      <diagonal/>
    </border>
    <border>
      <left style="dashDot">
        <color theme="1"/>
      </left>
      <right style="dashDot">
        <color theme="1"/>
      </right>
      <top style="thin">
        <color theme="1"/>
      </top>
      <bottom style="medium">
        <color indexed="64"/>
      </bottom>
      <diagonal/>
    </border>
    <border>
      <left style="dashDot">
        <color theme="1"/>
      </left>
      <right style="medium">
        <color indexed="64"/>
      </right>
      <top/>
      <bottom style="thin">
        <color theme="1"/>
      </bottom>
      <diagonal/>
    </border>
    <border>
      <left style="dashDot">
        <color auto="1"/>
      </left>
      <right style="dashDot">
        <color theme="1"/>
      </right>
      <top/>
      <bottom style="thin">
        <color theme="1"/>
      </bottom>
      <diagonal/>
    </border>
    <border>
      <left style="medium">
        <color rgb="FFFF0000"/>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medium">
        <color rgb="FFFF0000"/>
      </right>
      <top style="medium">
        <color rgb="FFFF0000"/>
      </top>
      <bottom style="thin">
        <color indexed="64"/>
      </bottom>
      <diagonal/>
    </border>
    <border>
      <left style="medium">
        <color rgb="FFFF0000"/>
      </left>
      <right style="thin">
        <color indexed="64"/>
      </right>
      <top style="thin">
        <color indexed="64"/>
      </top>
      <bottom style="thin">
        <color indexed="64"/>
      </bottom>
      <diagonal/>
    </border>
    <border>
      <left style="thin">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medium">
        <color rgb="FFFF0000"/>
      </right>
      <top style="thin">
        <color indexed="64"/>
      </top>
      <bottom style="medium">
        <color rgb="FFFF0000"/>
      </bottom>
      <diagonal/>
    </border>
    <border>
      <left/>
      <right style="dashDot">
        <color theme="1"/>
      </right>
      <top/>
      <bottom style="dashed">
        <color rgb="FFFF6600"/>
      </bottom>
      <diagonal/>
    </border>
    <border>
      <left style="medium">
        <color theme="1"/>
      </left>
      <right/>
      <top style="dashed">
        <color rgb="FFFF6600"/>
      </top>
      <bottom style="dashed">
        <color rgb="FFFF0000"/>
      </bottom>
      <diagonal/>
    </border>
    <border>
      <left/>
      <right/>
      <top style="dashed">
        <color rgb="FFFF6600"/>
      </top>
      <bottom style="dashed">
        <color rgb="FFFF0000"/>
      </bottom>
      <diagonal/>
    </border>
    <border>
      <left/>
      <right style="dashDot">
        <color theme="1"/>
      </right>
      <top style="dashed">
        <color rgb="FFFF6600"/>
      </top>
      <bottom style="dashed">
        <color rgb="FFFF0000"/>
      </bottom>
      <diagonal/>
    </border>
    <border>
      <left style="medium">
        <color theme="1"/>
      </left>
      <right/>
      <top style="dashed">
        <color rgb="FFFF0000"/>
      </top>
      <bottom style="dashed">
        <color rgb="FFFF0000"/>
      </bottom>
      <diagonal/>
    </border>
    <border>
      <left/>
      <right/>
      <top style="dashed">
        <color rgb="FFFF0000"/>
      </top>
      <bottom style="dashed">
        <color rgb="FFFF0000"/>
      </bottom>
      <diagonal/>
    </border>
    <border>
      <left/>
      <right style="dashDot">
        <color theme="1"/>
      </right>
      <top style="dashed">
        <color rgb="FFFF0000"/>
      </top>
      <bottom style="dashed">
        <color rgb="FFFF0000"/>
      </bottom>
      <diagonal/>
    </border>
    <border>
      <left style="medium">
        <color theme="1"/>
      </left>
      <right/>
      <top style="dashed">
        <color rgb="FFFF0000"/>
      </top>
      <bottom/>
      <diagonal/>
    </border>
    <border>
      <left/>
      <right/>
      <top style="dashed">
        <color rgb="FFFF0000"/>
      </top>
      <bottom/>
      <diagonal/>
    </border>
    <border>
      <left/>
      <right style="dashDot">
        <color theme="1"/>
      </right>
      <top style="dashed">
        <color rgb="FFFF0000"/>
      </top>
      <bottom/>
      <diagonal/>
    </border>
    <border>
      <left style="medium">
        <color indexed="64"/>
      </left>
      <right/>
      <top style="thin">
        <color indexed="64"/>
      </top>
      <bottom style="dashed">
        <color rgb="FFFF0000"/>
      </bottom>
      <diagonal/>
    </border>
    <border>
      <left/>
      <right/>
      <top style="thin">
        <color indexed="64"/>
      </top>
      <bottom style="dashed">
        <color rgb="FFFF0000"/>
      </bottom>
      <diagonal/>
    </border>
    <border>
      <left style="dashDot">
        <color auto="1"/>
      </left>
      <right style="dashDot">
        <color auto="1"/>
      </right>
      <top style="dashed">
        <color rgb="FFFF6600"/>
      </top>
      <bottom style="dashed">
        <color rgb="FFFF0000"/>
      </bottom>
      <diagonal/>
    </border>
    <border>
      <left style="dashDot">
        <color auto="1"/>
      </left>
      <right style="dashDot">
        <color theme="1"/>
      </right>
      <top style="dashed">
        <color rgb="FFFF0000"/>
      </top>
      <bottom style="dashed">
        <color rgb="FFFF0000"/>
      </bottom>
      <diagonal/>
    </border>
    <border>
      <left style="dashDot">
        <color theme="1"/>
      </left>
      <right style="medium">
        <color indexed="64"/>
      </right>
      <top style="dashed">
        <color rgb="FFFF6600"/>
      </top>
      <bottom style="dashed">
        <color rgb="FFFF0000"/>
      </bottom>
      <diagonal/>
    </border>
    <border>
      <left style="medium">
        <color indexed="64"/>
      </left>
      <right/>
      <top style="dashed">
        <color rgb="FFFF0000"/>
      </top>
      <bottom style="dashed">
        <color rgb="FFFF0000"/>
      </bottom>
      <diagonal/>
    </border>
    <border>
      <left style="dashDot">
        <color auto="1"/>
      </left>
      <right style="dashDot">
        <color auto="1"/>
      </right>
      <top style="dashed">
        <color rgb="FFFF0000"/>
      </top>
      <bottom style="dashed">
        <color rgb="FFFF0000"/>
      </bottom>
      <diagonal/>
    </border>
    <border>
      <left style="dashDot">
        <color theme="1"/>
      </left>
      <right style="medium">
        <color indexed="64"/>
      </right>
      <top style="dashed">
        <color rgb="FFFF0000"/>
      </top>
      <bottom style="dashed">
        <color rgb="FFFF0000"/>
      </bottom>
      <diagonal/>
    </border>
    <border>
      <left/>
      <right style="dashDot">
        <color auto="1"/>
      </right>
      <top style="dashed">
        <color rgb="FFFF0000"/>
      </top>
      <bottom style="dashed">
        <color rgb="FFFF0000"/>
      </bottom>
      <diagonal/>
    </border>
    <border>
      <left style="medium">
        <color indexed="64"/>
      </left>
      <right/>
      <top style="dashed">
        <color rgb="FFFF0000"/>
      </top>
      <bottom style="thin">
        <color theme="1"/>
      </bottom>
      <diagonal/>
    </border>
    <border>
      <left/>
      <right style="dashDot">
        <color auto="1"/>
      </right>
      <top style="dashed">
        <color rgb="FFFF0000"/>
      </top>
      <bottom style="thin">
        <color theme="1"/>
      </bottom>
      <diagonal/>
    </border>
    <border>
      <left style="dashDot">
        <color auto="1"/>
      </left>
      <right style="dashDot">
        <color auto="1"/>
      </right>
      <top style="dashed">
        <color rgb="FFFF0000"/>
      </top>
      <bottom style="thin">
        <color theme="1"/>
      </bottom>
      <diagonal/>
    </border>
    <border>
      <left style="dashDot">
        <color auto="1"/>
      </left>
      <right style="dashDot">
        <color theme="1"/>
      </right>
      <top style="dashed">
        <color rgb="FFFF0000"/>
      </top>
      <bottom style="thin">
        <color theme="1"/>
      </bottom>
      <diagonal/>
    </border>
    <border>
      <left style="dashDot">
        <color theme="1"/>
      </left>
      <right style="medium">
        <color indexed="64"/>
      </right>
      <top style="dashed">
        <color rgb="FFFF0000"/>
      </top>
      <bottom style="thin">
        <color theme="1"/>
      </bottom>
      <diagonal/>
    </border>
    <border>
      <left style="dashDot">
        <color auto="1"/>
      </left>
      <right/>
      <top style="dashed">
        <color rgb="FFFF0000"/>
      </top>
      <bottom/>
      <diagonal/>
    </border>
    <border>
      <left/>
      <right style="thin">
        <color theme="1"/>
      </right>
      <top/>
      <bottom style="medium">
        <color auto="1"/>
      </bottom>
      <diagonal/>
    </border>
    <border>
      <left style="medium">
        <color theme="1"/>
      </left>
      <right/>
      <top style="dashed">
        <color rgb="FFFF6600"/>
      </top>
      <bottom style="thin">
        <color indexed="64"/>
      </bottom>
      <diagonal/>
    </border>
    <border>
      <left/>
      <right/>
      <top style="dashed">
        <color rgb="FFFF6600"/>
      </top>
      <bottom style="thin">
        <color indexed="64"/>
      </bottom>
      <diagonal/>
    </border>
    <border>
      <left/>
      <right style="dashDot">
        <color theme="1"/>
      </right>
      <top style="dashed">
        <color rgb="FFFF6600"/>
      </top>
      <bottom style="thin">
        <color indexed="64"/>
      </bottom>
      <diagonal/>
    </border>
    <border>
      <left style="thin">
        <color theme="1"/>
      </left>
      <right style="thin">
        <color theme="1"/>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7">
    <xf numFmtId="0" fontId="0" fillId="0" borderId="0"/>
    <xf numFmtId="9" fontId="4" fillId="0" borderId="0" applyFont="0" applyFill="0" applyBorder="0" applyAlignment="0" applyProtection="0"/>
    <xf numFmtId="0" fontId="4" fillId="0" borderId="0"/>
    <xf numFmtId="0" fontId="3" fillId="0" borderId="0"/>
    <xf numFmtId="164" fontId="3" fillId="0" borderId="0" applyFont="0" applyFill="0" applyBorder="0" applyAlignment="0" applyProtection="0"/>
    <xf numFmtId="0" fontId="4" fillId="0" borderId="0"/>
    <xf numFmtId="43" fontId="4" fillId="0" borderId="0" applyFont="0" applyFill="0" applyBorder="0" applyAlignment="0" applyProtection="0"/>
    <xf numFmtId="0" fontId="2" fillId="0" borderId="0"/>
    <xf numFmtId="0" fontId="4" fillId="0" borderId="0"/>
    <xf numFmtId="43" fontId="4" fillId="0" borderId="0" applyFont="0" applyFill="0" applyBorder="0" applyAlignment="0" applyProtection="0"/>
    <xf numFmtId="0" fontId="52" fillId="0" borderId="0" applyNumberFormat="0" applyFill="0" applyBorder="0" applyAlignment="0" applyProtection="0">
      <alignment vertical="top"/>
      <protection locked="0"/>
    </xf>
    <xf numFmtId="0" fontId="4" fillId="0" borderId="0"/>
    <xf numFmtId="0" fontId="4" fillId="0" borderId="0"/>
    <xf numFmtId="43" fontId="4" fillId="0" borderId="0" applyFont="0" applyFill="0" applyBorder="0" applyAlignment="0" applyProtection="0"/>
    <xf numFmtId="0" fontId="2" fillId="0" borderId="0"/>
    <xf numFmtId="0" fontId="2" fillId="0" borderId="0"/>
    <xf numFmtId="0" fontId="2" fillId="0" borderId="0"/>
    <xf numFmtId="0" fontId="2" fillId="0" borderId="0"/>
    <xf numFmtId="0" fontId="4" fillId="0" borderId="0"/>
    <xf numFmtId="0" fontId="2" fillId="0" borderId="0"/>
    <xf numFmtId="43" fontId="2" fillId="0" borderId="0" applyFont="0" applyFill="0" applyBorder="0" applyAlignment="0" applyProtection="0"/>
    <xf numFmtId="43" fontId="4" fillId="0" borderId="0" applyFont="0" applyFill="0" applyBorder="0" applyAlignment="0" applyProtection="0"/>
    <xf numFmtId="0" fontId="2" fillId="0" borderId="0"/>
    <xf numFmtId="0" fontId="2" fillId="0" borderId="0"/>
    <xf numFmtId="0" fontId="2" fillId="0" borderId="0"/>
    <xf numFmtId="0" fontId="1" fillId="0" borderId="0"/>
    <xf numFmtId="0" fontId="1" fillId="0" borderId="0"/>
  </cellStyleXfs>
  <cellXfs count="1373">
    <xf numFmtId="0" fontId="0" fillId="0" borderId="0" xfId="0"/>
    <xf numFmtId="0" fontId="7" fillId="0" borderId="7" xfId="0" applyFont="1" applyBorder="1" applyAlignment="1">
      <alignment horizontal="center" vertical="center" wrapText="1"/>
    </xf>
    <xf numFmtId="0" fontId="6" fillId="0" borderId="8" xfId="0" applyFont="1" applyBorder="1" applyAlignment="1">
      <alignment horizontal="center" vertical="center" wrapText="1"/>
    </xf>
    <xf numFmtId="0" fontId="6" fillId="2" borderId="8" xfId="0" applyFont="1" applyFill="1" applyBorder="1" applyAlignment="1">
      <alignment horizontal="center" vertical="center" wrapText="1"/>
    </xf>
    <xf numFmtId="0" fontId="7" fillId="0" borderId="8" xfId="0" applyFont="1" applyBorder="1" applyAlignment="1">
      <alignment horizontal="center" vertical="center" wrapText="1"/>
    </xf>
    <xf numFmtId="0" fontId="6" fillId="0" borderId="9" xfId="0" applyFont="1" applyBorder="1" applyAlignment="1">
      <alignment horizontal="center" vertical="center" wrapText="1"/>
    </xf>
    <xf numFmtId="0" fontId="7" fillId="0" borderId="9" xfId="0" applyFont="1" applyBorder="1" applyAlignment="1">
      <alignment horizontal="center" vertical="center" wrapText="1"/>
    </xf>
    <xf numFmtId="0" fontId="0" fillId="0" borderId="0" xfId="0" applyAlignment="1">
      <alignment horizontal="center"/>
    </xf>
    <xf numFmtId="0" fontId="6" fillId="0" borderId="16" xfId="0" applyFont="1" applyBorder="1" applyAlignment="1">
      <alignment horizontal="center" vertical="center" wrapText="1"/>
    </xf>
    <xf numFmtId="0" fontId="7" fillId="0" borderId="16" xfId="0" applyFont="1" applyBorder="1" applyAlignment="1">
      <alignment horizontal="center" vertical="center" wrapText="1"/>
    </xf>
    <xf numFmtId="0" fontId="5" fillId="4" borderId="48" xfId="0" applyFont="1" applyFill="1" applyBorder="1" applyAlignment="1">
      <alignment horizontal="center" vertical="center" wrapText="1"/>
    </xf>
    <xf numFmtId="0" fontId="5" fillId="4" borderId="66" xfId="0" applyFont="1" applyFill="1" applyBorder="1" applyAlignment="1">
      <alignment horizontal="center" vertical="center" wrapText="1"/>
    </xf>
    <xf numFmtId="0" fontId="6" fillId="5" borderId="7" xfId="0" applyFont="1" applyFill="1" applyBorder="1" applyAlignment="1">
      <alignment horizontal="center" vertical="center" wrapText="1"/>
    </xf>
    <xf numFmtId="0" fontId="6" fillId="5" borderId="7" xfId="0" applyFont="1" applyFill="1" applyBorder="1" applyAlignment="1">
      <alignment horizontal="center" vertical="center"/>
    </xf>
    <xf numFmtId="0" fontId="7" fillId="5" borderId="7"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7" fillId="5" borderId="8" xfId="0" applyFont="1" applyFill="1" applyBorder="1" applyAlignment="1">
      <alignment horizontal="center" vertical="center" wrapText="1"/>
    </xf>
    <xf numFmtId="0" fontId="6" fillId="5" borderId="16"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7" fillId="5" borderId="9"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11" fillId="3" borderId="120" xfId="2" applyFont="1" applyFill="1" applyBorder="1" applyAlignment="1">
      <alignment horizontal="center" vertical="center" wrapText="1"/>
    </xf>
    <xf numFmtId="0" fontId="11" fillId="3" borderId="121" xfId="2" applyFont="1" applyFill="1" applyBorder="1" applyAlignment="1">
      <alignment horizontal="center" vertical="center" wrapText="1"/>
    </xf>
    <xf numFmtId="0" fontId="11" fillId="3" borderId="34" xfId="2" applyFont="1" applyFill="1" applyBorder="1" applyAlignment="1">
      <alignment horizontal="center" vertical="center" wrapText="1"/>
    </xf>
    <xf numFmtId="0" fontId="11" fillId="3" borderId="36" xfId="2" applyFont="1" applyFill="1" applyBorder="1" applyAlignment="1">
      <alignment horizontal="center" vertical="center" wrapText="1"/>
    </xf>
    <xf numFmtId="0" fontId="12" fillId="5" borderId="7" xfId="2" applyFont="1" applyFill="1" applyBorder="1" applyAlignment="1">
      <alignment horizontal="center" vertical="center" wrapText="1"/>
    </xf>
    <xf numFmtId="0" fontId="13" fillId="0" borderId="7" xfId="2" applyFont="1" applyBorder="1" applyAlignment="1">
      <alignment horizontal="center" vertical="center" wrapText="1"/>
    </xf>
    <xf numFmtId="0" fontId="11" fillId="4" borderId="7" xfId="2" applyFont="1" applyFill="1" applyBorder="1" applyAlignment="1">
      <alignment horizontal="center" vertical="center" wrapText="1"/>
    </xf>
    <xf numFmtId="10" fontId="11" fillId="0" borderId="58" xfId="1" applyNumberFormat="1" applyFont="1" applyBorder="1" applyAlignment="1">
      <alignment horizontal="center" vertical="center" wrapText="1"/>
    </xf>
    <xf numFmtId="0" fontId="12" fillId="0" borderId="7" xfId="2" applyFont="1" applyBorder="1" applyAlignment="1">
      <alignment horizontal="center" vertical="center" wrapText="1"/>
    </xf>
    <xf numFmtId="0" fontId="12" fillId="0" borderId="10" xfId="2" applyFont="1" applyBorder="1" applyAlignment="1">
      <alignment horizontal="center" vertical="center" wrapText="1"/>
    </xf>
    <xf numFmtId="10" fontId="11" fillId="0" borderId="38" xfId="1" applyNumberFormat="1" applyFont="1" applyBorder="1" applyAlignment="1">
      <alignment horizontal="center" vertical="center" wrapText="1"/>
    </xf>
    <xf numFmtId="0" fontId="12" fillId="5" borderId="8" xfId="2" applyFont="1" applyFill="1" applyBorder="1" applyAlignment="1">
      <alignment horizontal="center" vertical="center" wrapText="1"/>
    </xf>
    <xf numFmtId="0" fontId="13" fillId="5" borderId="8" xfId="2" applyFont="1" applyFill="1" applyBorder="1" applyAlignment="1">
      <alignment horizontal="center" vertical="center" wrapText="1"/>
    </xf>
    <xf numFmtId="0" fontId="13" fillId="0" borderId="8" xfId="2" applyFont="1" applyBorder="1" applyAlignment="1">
      <alignment horizontal="center" vertical="center" wrapText="1"/>
    </xf>
    <xf numFmtId="10" fontId="11" fillId="0" borderId="60" xfId="2" applyNumberFormat="1" applyFont="1" applyBorder="1" applyAlignment="1">
      <alignment horizontal="center" vertical="center" wrapText="1"/>
    </xf>
    <xf numFmtId="0" fontId="12" fillId="2" borderId="8" xfId="2" applyFont="1" applyFill="1" applyBorder="1" applyAlignment="1">
      <alignment horizontal="center" vertical="center" wrapText="1"/>
    </xf>
    <xf numFmtId="0" fontId="12" fillId="0" borderId="8" xfId="2" applyFont="1" applyBorder="1" applyAlignment="1">
      <alignment horizontal="center" vertical="center" wrapText="1"/>
    </xf>
    <xf numFmtId="0" fontId="12" fillId="0" borderId="11" xfId="2" applyFont="1" applyBorder="1" applyAlignment="1">
      <alignment horizontal="center" vertical="center" wrapText="1"/>
    </xf>
    <xf numFmtId="0" fontId="13" fillId="2" borderId="8" xfId="2" applyFont="1" applyFill="1" applyBorder="1" applyAlignment="1">
      <alignment horizontal="center" vertical="center" wrapText="1"/>
    </xf>
    <xf numFmtId="0" fontId="12" fillId="5" borderId="16" xfId="2" applyFont="1" applyFill="1" applyBorder="1" applyAlignment="1">
      <alignment horizontal="center" vertical="center" wrapText="1"/>
    </xf>
    <xf numFmtId="0" fontId="12" fillId="0" borderId="16" xfId="2" applyFont="1" applyBorder="1" applyAlignment="1">
      <alignment horizontal="center" vertical="center" wrapText="1"/>
    </xf>
    <xf numFmtId="0" fontId="12" fillId="0" borderId="17" xfId="2" applyFont="1" applyBorder="1" applyAlignment="1">
      <alignment horizontal="center" vertical="center" wrapText="1"/>
    </xf>
    <xf numFmtId="0" fontId="13" fillId="5" borderId="16" xfId="2" applyFont="1" applyFill="1" applyBorder="1" applyAlignment="1">
      <alignment horizontal="center" vertical="center" wrapText="1"/>
    </xf>
    <xf numFmtId="0" fontId="13" fillId="0" borderId="16" xfId="2" applyFont="1" applyBorder="1" applyAlignment="1">
      <alignment horizontal="center" vertical="center" wrapText="1"/>
    </xf>
    <xf numFmtId="0" fontId="12" fillId="5" borderId="9" xfId="2" applyFont="1" applyFill="1" applyBorder="1" applyAlignment="1">
      <alignment horizontal="center" vertical="center" wrapText="1"/>
    </xf>
    <xf numFmtId="10" fontId="11" fillId="0" borderId="63" xfId="2" applyNumberFormat="1" applyFont="1" applyBorder="1" applyAlignment="1">
      <alignment horizontal="center" vertical="center" wrapText="1"/>
    </xf>
    <xf numFmtId="0" fontId="12" fillId="0" borderId="9" xfId="2" applyFont="1" applyBorder="1" applyAlignment="1">
      <alignment horizontal="center" vertical="center" wrapText="1"/>
    </xf>
    <xf numFmtId="0" fontId="11" fillId="4" borderId="66" xfId="2" applyFont="1" applyFill="1" applyBorder="1" applyAlignment="1">
      <alignment horizontal="center" vertical="center" wrapText="1"/>
    </xf>
    <xf numFmtId="9" fontId="11" fillId="4" borderId="68" xfId="1" applyFont="1" applyFill="1" applyBorder="1" applyAlignment="1">
      <alignment horizontal="center" vertical="center" wrapText="1"/>
    </xf>
    <xf numFmtId="9" fontId="11" fillId="4" borderId="116" xfId="1" applyFont="1" applyFill="1" applyBorder="1" applyAlignment="1">
      <alignment horizontal="center" vertical="center" wrapText="1"/>
    </xf>
    <xf numFmtId="0" fontId="11" fillId="3" borderId="53" xfId="2" applyFont="1" applyFill="1" applyBorder="1" applyAlignment="1">
      <alignment horizontal="center" vertical="center" wrapText="1"/>
    </xf>
    <xf numFmtId="0" fontId="11" fillId="3" borderId="79" xfId="2" applyFont="1" applyFill="1" applyBorder="1" applyAlignment="1">
      <alignment horizontal="center" vertical="center" wrapText="1"/>
    </xf>
    <xf numFmtId="0" fontId="11" fillId="3" borderId="56" xfId="2" applyFont="1" applyFill="1" applyBorder="1" applyAlignment="1">
      <alignment horizontal="center" vertical="center" wrapText="1"/>
    </xf>
    <xf numFmtId="0" fontId="11" fillId="3" borderId="113" xfId="2" applyFont="1" applyFill="1" applyBorder="1" applyAlignment="1">
      <alignment horizontal="center" vertical="center" wrapText="1"/>
    </xf>
    <xf numFmtId="10" fontId="11" fillId="0" borderId="38" xfId="2" applyNumberFormat="1" applyFont="1" applyBorder="1" applyAlignment="1">
      <alignment horizontal="center" vertical="center" wrapText="1"/>
    </xf>
    <xf numFmtId="0" fontId="11" fillId="4" borderId="48" xfId="2" applyFont="1" applyFill="1" applyBorder="1" applyAlignment="1">
      <alignment horizontal="center" vertical="center" wrapText="1"/>
    </xf>
    <xf numFmtId="0" fontId="11" fillId="3" borderId="83" xfId="2" applyFont="1" applyFill="1" applyBorder="1" applyAlignment="1">
      <alignment horizontal="center" vertical="center" wrapText="1"/>
    </xf>
    <xf numFmtId="0" fontId="12" fillId="2" borderId="16" xfId="2" applyFont="1" applyFill="1" applyBorder="1" applyAlignment="1">
      <alignment horizontal="center" vertical="center" wrapText="1"/>
    </xf>
    <xf numFmtId="0" fontId="12" fillId="5" borderId="14" xfId="2" applyFont="1" applyFill="1" applyBorder="1" applyAlignment="1">
      <alignment horizontal="center" vertical="center" wrapText="1"/>
    </xf>
    <xf numFmtId="0" fontId="12" fillId="0" borderId="14" xfId="2" applyFont="1" applyBorder="1" applyAlignment="1">
      <alignment horizontal="center" vertical="center" wrapText="1"/>
    </xf>
    <xf numFmtId="0" fontId="12" fillId="5" borderId="26" xfId="2" applyFont="1" applyFill="1" applyBorder="1" applyAlignment="1">
      <alignment horizontal="center" vertical="center" wrapText="1"/>
    </xf>
    <xf numFmtId="0" fontId="12" fillId="0" borderId="26" xfId="2" applyFont="1" applyBorder="1" applyAlignment="1">
      <alignment horizontal="center" vertical="center" wrapText="1"/>
    </xf>
    <xf numFmtId="0" fontId="12" fillId="2" borderId="26" xfId="2" applyFont="1" applyFill="1" applyBorder="1" applyAlignment="1">
      <alignment horizontal="center" vertical="center" wrapText="1"/>
    </xf>
    <xf numFmtId="0" fontId="11" fillId="4" borderId="47" xfId="2" applyFont="1" applyFill="1" applyBorder="1" applyAlignment="1">
      <alignment horizontal="center" vertical="center" wrapText="1"/>
    </xf>
    <xf numFmtId="9" fontId="11" fillId="4" borderId="69" xfId="2" applyNumberFormat="1" applyFont="1" applyFill="1" applyBorder="1" applyAlignment="1">
      <alignment horizontal="center" vertical="center" wrapText="1"/>
    </xf>
    <xf numFmtId="9" fontId="11" fillId="4" borderId="118" xfId="2" applyNumberFormat="1" applyFont="1" applyFill="1" applyBorder="1" applyAlignment="1">
      <alignment horizontal="center" vertical="center" wrapText="1"/>
    </xf>
    <xf numFmtId="9" fontId="11" fillId="4" borderId="84" xfId="2" applyNumberFormat="1" applyFont="1" applyFill="1" applyBorder="1" applyAlignment="1">
      <alignment horizontal="center" vertical="center" wrapText="1"/>
    </xf>
    <xf numFmtId="9" fontId="11" fillId="4" borderId="51" xfId="2" applyNumberFormat="1" applyFont="1" applyFill="1" applyBorder="1" applyAlignment="1">
      <alignment horizontal="center" vertical="center" wrapText="1"/>
    </xf>
    <xf numFmtId="0" fontId="17" fillId="0" borderId="18" xfId="2" applyFont="1" applyBorder="1" applyAlignment="1">
      <alignment horizontal="center" vertical="center" wrapText="1"/>
    </xf>
    <xf numFmtId="0" fontId="17" fillId="0" borderId="18" xfId="0" applyFont="1" applyBorder="1" applyAlignment="1">
      <alignment horizontal="center" vertical="center" wrapText="1"/>
    </xf>
    <xf numFmtId="0" fontId="6" fillId="5" borderId="29" xfId="0" applyFont="1" applyFill="1" applyBorder="1" applyAlignment="1">
      <alignment horizontal="center" vertical="center" wrapText="1"/>
    </xf>
    <xf numFmtId="0" fontId="6" fillId="5" borderId="12" xfId="0" applyFont="1" applyFill="1" applyBorder="1" applyAlignment="1">
      <alignment horizontal="center" vertical="center" wrapText="1"/>
    </xf>
    <xf numFmtId="0" fontId="6" fillId="5" borderId="127"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5" fillId="4" borderId="65" xfId="0" applyFont="1" applyFill="1" applyBorder="1" applyAlignment="1">
      <alignment horizontal="center" vertical="center" wrapText="1"/>
    </xf>
    <xf numFmtId="0" fontId="6" fillId="5" borderId="37" xfId="0" applyFont="1" applyFill="1" applyBorder="1" applyAlignment="1">
      <alignment horizontal="center" vertical="center" wrapText="1"/>
    </xf>
    <xf numFmtId="0" fontId="6" fillId="5" borderId="41" xfId="0" applyFont="1" applyFill="1" applyBorder="1" applyAlignment="1">
      <alignment horizontal="center" vertical="center" wrapText="1"/>
    </xf>
    <xf numFmtId="0" fontId="6" fillId="0" borderId="40" xfId="0" applyFont="1" applyBorder="1" applyAlignment="1">
      <alignment horizontal="center" vertical="center" wrapText="1"/>
    </xf>
    <xf numFmtId="0" fontId="6" fillId="5" borderId="131" xfId="0" applyFont="1" applyFill="1" applyBorder="1" applyAlignment="1">
      <alignment horizontal="center" vertical="center" wrapText="1"/>
    </xf>
    <xf numFmtId="0" fontId="6" fillId="0" borderId="132" xfId="0" applyFont="1" applyBorder="1" applyAlignment="1">
      <alignment horizontal="center" vertical="center" wrapText="1"/>
    </xf>
    <xf numFmtId="0" fontId="6" fillId="5" borderId="114" xfId="0" applyFont="1" applyFill="1" applyBorder="1" applyAlignment="1">
      <alignment horizontal="center" vertical="center" wrapText="1"/>
    </xf>
    <xf numFmtId="0" fontId="6" fillId="0" borderId="44" xfId="0" applyFont="1" applyBorder="1" applyAlignment="1">
      <alignment horizontal="center" vertical="center" wrapText="1"/>
    </xf>
    <xf numFmtId="0" fontId="5" fillId="4" borderId="133" xfId="0" applyFont="1" applyFill="1" applyBorder="1" applyAlignment="1">
      <alignment horizontal="center" vertical="center" wrapText="1"/>
    </xf>
    <xf numFmtId="0" fontId="5" fillId="4" borderId="118" xfId="0" applyFont="1" applyFill="1" applyBorder="1" applyAlignment="1">
      <alignment horizontal="center" vertical="center" wrapText="1"/>
    </xf>
    <xf numFmtId="0" fontId="5" fillId="4" borderId="136" xfId="0" applyFont="1" applyFill="1" applyBorder="1" applyAlignment="1">
      <alignment horizontal="center" vertical="center" wrapText="1"/>
    </xf>
    <xf numFmtId="0" fontId="5" fillId="4" borderId="139" xfId="0" applyFont="1" applyFill="1" applyBorder="1" applyAlignment="1">
      <alignment horizontal="center" vertical="center" wrapText="1"/>
    </xf>
    <xf numFmtId="10" fontId="5" fillId="0" borderId="136" xfId="1" applyNumberFormat="1" applyFont="1" applyBorder="1" applyAlignment="1">
      <alignment horizontal="center" vertical="center" wrapText="1"/>
    </xf>
    <xf numFmtId="10" fontId="5" fillId="0" borderId="137" xfId="0" applyNumberFormat="1" applyFont="1" applyBorder="1" applyAlignment="1">
      <alignment horizontal="center" vertical="center" wrapText="1"/>
    </xf>
    <xf numFmtId="10" fontId="5" fillId="0" borderId="138" xfId="0" applyNumberFormat="1" applyFont="1" applyBorder="1" applyAlignment="1">
      <alignment horizontal="center" vertical="center" wrapText="1"/>
    </xf>
    <xf numFmtId="9" fontId="5" fillId="4" borderId="139" xfId="1" applyFont="1" applyFill="1" applyBorder="1" applyAlignment="1">
      <alignment horizontal="center" vertical="center" wrapText="1"/>
    </xf>
    <xf numFmtId="0" fontId="6" fillId="5" borderId="141" xfId="0" applyFont="1" applyFill="1" applyBorder="1" applyAlignment="1">
      <alignment horizontal="center" vertical="center" wrapText="1"/>
    </xf>
    <xf numFmtId="0" fontId="6" fillId="5" borderId="110" xfId="0" applyFont="1" applyFill="1" applyBorder="1" applyAlignment="1">
      <alignment horizontal="center" vertical="center" wrapText="1"/>
    </xf>
    <xf numFmtId="0" fontId="6" fillId="0" borderId="110" xfId="0" applyFont="1" applyBorder="1" applyAlignment="1">
      <alignment horizontal="center" vertical="center" wrapText="1"/>
    </xf>
    <xf numFmtId="0" fontId="6" fillId="0" borderId="142" xfId="0" applyFont="1" applyBorder="1" applyAlignment="1">
      <alignment horizontal="center" vertical="center" wrapText="1"/>
    </xf>
    <xf numFmtId="0" fontId="5" fillId="3" borderId="143" xfId="0" applyFont="1" applyFill="1" applyBorder="1" applyAlignment="1">
      <alignment horizontal="center" vertical="center" wrapText="1"/>
    </xf>
    <xf numFmtId="0" fontId="5" fillId="3" borderId="144" xfId="0" applyFont="1" applyFill="1" applyBorder="1" applyAlignment="1">
      <alignment horizontal="center" vertical="center" wrapText="1"/>
    </xf>
    <xf numFmtId="0" fontId="5" fillId="3" borderId="145" xfId="0" applyFont="1" applyFill="1" applyBorder="1" applyAlignment="1">
      <alignment horizontal="center" vertical="center" wrapText="1"/>
    </xf>
    <xf numFmtId="0" fontId="5" fillId="3" borderId="146" xfId="0" applyFont="1" applyFill="1" applyBorder="1" applyAlignment="1">
      <alignment horizontal="center" vertical="center" wrapText="1"/>
    </xf>
    <xf numFmtId="0" fontId="6" fillId="8" borderId="18" xfId="0" applyFont="1" applyFill="1" applyBorder="1" applyAlignment="1">
      <alignment vertical="center"/>
    </xf>
    <xf numFmtId="0" fontId="6" fillId="0" borderId="18" xfId="0" applyFont="1" applyBorder="1" applyAlignment="1">
      <alignment vertical="center"/>
    </xf>
    <xf numFmtId="0" fontId="6" fillId="8" borderId="21" xfId="0" applyFont="1" applyFill="1" applyBorder="1" applyAlignment="1">
      <alignment vertical="center"/>
    </xf>
    <xf numFmtId="0" fontId="6" fillId="0" borderId="21" xfId="0" applyFont="1" applyBorder="1" applyAlignment="1">
      <alignment vertical="center"/>
    </xf>
    <xf numFmtId="0" fontId="6" fillId="8" borderId="2" xfId="0" applyFont="1" applyFill="1" applyBorder="1" applyAlignment="1">
      <alignment vertical="center"/>
    </xf>
    <xf numFmtId="0" fontId="6" fillId="8" borderId="126" xfId="0" applyFont="1" applyFill="1" applyBorder="1" applyAlignment="1">
      <alignment vertical="center"/>
    </xf>
    <xf numFmtId="0" fontId="6" fillId="8" borderId="1" xfId="0" applyFont="1" applyFill="1" applyBorder="1" applyAlignment="1">
      <alignment vertical="center"/>
    </xf>
    <xf numFmtId="0" fontId="6" fillId="8" borderId="20" xfId="0" applyFont="1" applyFill="1" applyBorder="1" applyAlignment="1">
      <alignment vertical="center"/>
    </xf>
    <xf numFmtId="0" fontId="6" fillId="0" borderId="20" xfId="0" applyFont="1" applyBorder="1" applyAlignment="1">
      <alignment vertical="center"/>
    </xf>
    <xf numFmtId="0" fontId="5" fillId="4" borderId="148" xfId="0" applyFont="1" applyFill="1" applyBorder="1" applyAlignment="1">
      <alignment horizontal="center" vertical="center"/>
    </xf>
    <xf numFmtId="0" fontId="5" fillId="4" borderId="154" xfId="0" applyFont="1" applyFill="1" applyBorder="1" applyAlignment="1">
      <alignment horizontal="center" vertical="center"/>
    </xf>
    <xf numFmtId="0" fontId="5" fillId="4" borderId="77" xfId="0" applyFont="1" applyFill="1" applyBorder="1" applyAlignment="1">
      <alignment horizontal="center" vertical="center"/>
    </xf>
    <xf numFmtId="0" fontId="5" fillId="4" borderId="99" xfId="0" applyFont="1" applyFill="1" applyBorder="1" applyAlignment="1">
      <alignment horizontal="center" vertical="center"/>
    </xf>
    <xf numFmtId="0" fontId="7" fillId="0" borderId="10"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3" xfId="0" applyFont="1" applyBorder="1" applyAlignment="1">
      <alignment horizontal="center" vertical="center" wrapText="1"/>
    </xf>
    <xf numFmtId="0" fontId="5" fillId="4" borderId="156" xfId="0" applyFont="1" applyFill="1" applyBorder="1" applyAlignment="1">
      <alignment horizontal="center" vertical="center" wrapText="1"/>
    </xf>
    <xf numFmtId="0" fontId="0" fillId="4" borderId="151" xfId="0" applyFill="1" applyBorder="1"/>
    <xf numFmtId="0" fontId="0" fillId="4" borderId="152" xfId="0" applyFill="1" applyBorder="1"/>
    <xf numFmtId="0" fontId="0" fillId="4" borderId="150" xfId="0" applyFill="1" applyBorder="1"/>
    <xf numFmtId="0" fontId="5" fillId="3" borderId="157" xfId="0" applyFont="1" applyFill="1" applyBorder="1" applyAlignment="1">
      <alignment horizontal="center" vertical="center" wrapText="1"/>
    </xf>
    <xf numFmtId="0" fontId="7" fillId="0" borderId="38" xfId="0" applyFont="1" applyBorder="1" applyAlignment="1">
      <alignment horizontal="center" vertical="center" wrapText="1"/>
    </xf>
    <xf numFmtId="0" fontId="7" fillId="0" borderId="40" xfId="0" applyFont="1" applyBorder="1" applyAlignment="1">
      <alignment horizontal="center" vertical="center" wrapText="1"/>
    </xf>
    <xf numFmtId="0" fontId="7" fillId="0" borderId="132" xfId="0" applyFont="1" applyBorder="1" applyAlignment="1">
      <alignment horizontal="center" vertical="center" wrapText="1"/>
    </xf>
    <xf numFmtId="0" fontId="7" fillId="0" borderId="44" xfId="0" applyFont="1" applyBorder="1" applyAlignment="1">
      <alignment horizontal="center" vertical="center" wrapText="1"/>
    </xf>
    <xf numFmtId="0" fontId="5" fillId="4" borderId="50" xfId="0" applyFont="1" applyFill="1" applyBorder="1" applyAlignment="1">
      <alignment horizontal="center" vertical="center" wrapText="1"/>
    </xf>
    <xf numFmtId="0" fontId="5" fillId="4" borderId="158" xfId="0" applyFont="1" applyFill="1" applyBorder="1" applyAlignment="1">
      <alignment horizontal="center" vertical="center" wrapText="1"/>
    </xf>
    <xf numFmtId="0" fontId="9" fillId="0" borderId="0" xfId="2" applyFont="1" applyAlignment="1">
      <alignment vertical="center" wrapText="1"/>
    </xf>
    <xf numFmtId="0" fontId="10" fillId="0" borderId="0" xfId="2" applyFont="1" applyAlignment="1">
      <alignment vertical="center" wrapText="1"/>
    </xf>
    <xf numFmtId="0" fontId="14" fillId="0" borderId="0" xfId="2" applyFont="1" applyAlignment="1">
      <alignment vertical="center" wrapText="1"/>
    </xf>
    <xf numFmtId="0" fontId="14" fillId="0" borderId="0" xfId="2" applyFont="1" applyAlignment="1">
      <alignment horizontal="left" vertical="center" wrapText="1"/>
    </xf>
    <xf numFmtId="0" fontId="9" fillId="0" borderId="0" xfId="2" applyFont="1" applyAlignment="1">
      <alignment horizontal="center" vertical="center" wrapText="1"/>
    </xf>
    <xf numFmtId="0" fontId="20" fillId="0" borderId="0" xfId="2" applyFont="1" applyAlignment="1">
      <alignment vertical="center" wrapText="1"/>
    </xf>
    <xf numFmtId="0" fontId="5" fillId="4" borderId="134" xfId="0" applyFont="1" applyFill="1" applyBorder="1" applyAlignment="1">
      <alignment horizontal="center" vertical="center"/>
    </xf>
    <xf numFmtId="0" fontId="5" fillId="4" borderId="135" xfId="0" applyFont="1" applyFill="1" applyBorder="1" applyAlignment="1">
      <alignment horizontal="center" vertical="center"/>
    </xf>
    <xf numFmtId="0" fontId="6" fillId="0" borderId="97" xfId="0" applyFont="1" applyBorder="1" applyAlignment="1">
      <alignment vertical="center"/>
    </xf>
    <xf numFmtId="0" fontId="23" fillId="0" borderId="0" xfId="0" applyFont="1"/>
    <xf numFmtId="0" fontId="4" fillId="0" borderId="0" xfId="0" applyFont="1"/>
    <xf numFmtId="0" fontId="5" fillId="4" borderId="160" xfId="0" applyFont="1" applyFill="1" applyBorder="1" applyAlignment="1">
      <alignment horizontal="center" vertical="center"/>
    </xf>
    <xf numFmtId="0" fontId="5" fillId="3" borderId="96" xfId="0" applyFont="1" applyFill="1" applyBorder="1" applyAlignment="1">
      <alignment horizontal="center" vertical="center" wrapText="1"/>
    </xf>
    <xf numFmtId="0" fontId="5" fillId="3" borderId="161" xfId="0" applyFont="1" applyFill="1" applyBorder="1" applyAlignment="1">
      <alignment horizontal="center" vertical="center" wrapText="1"/>
    </xf>
    <xf numFmtId="0" fontId="5" fillId="3" borderId="91" xfId="0" applyFont="1" applyFill="1" applyBorder="1" applyAlignment="1">
      <alignment horizontal="center" vertical="center" wrapText="1"/>
    </xf>
    <xf numFmtId="0" fontId="5" fillId="4" borderId="103" xfId="0" applyFont="1" applyFill="1" applyBorder="1" applyAlignment="1">
      <alignment horizontal="center" vertical="center"/>
    </xf>
    <xf numFmtId="0" fontId="23" fillId="0" borderId="134" xfId="0" applyFont="1" applyBorder="1" applyAlignment="1">
      <alignment vertical="center" wrapText="1"/>
    </xf>
    <xf numFmtId="0" fontId="5" fillId="4" borderId="87" xfId="0" applyFont="1" applyFill="1" applyBorder="1" applyAlignment="1">
      <alignment horizontal="center" vertical="center"/>
    </xf>
    <xf numFmtId="0" fontId="5" fillId="4" borderId="89" xfId="0" applyFont="1" applyFill="1" applyBorder="1" applyAlignment="1">
      <alignment horizontal="center" vertical="center"/>
    </xf>
    <xf numFmtId="0" fontId="6" fillId="8" borderId="88" xfId="0" applyFont="1" applyFill="1" applyBorder="1" applyAlignment="1">
      <alignment vertical="center"/>
    </xf>
    <xf numFmtId="0" fontId="6" fillId="8" borderId="86" xfId="0" applyFont="1" applyFill="1" applyBorder="1" applyAlignment="1">
      <alignment vertical="center"/>
    </xf>
    <xf numFmtId="0" fontId="6" fillId="8" borderId="97" xfId="0" applyFont="1" applyFill="1" applyBorder="1" applyAlignment="1">
      <alignment vertical="center"/>
    </xf>
    <xf numFmtId="0" fontId="23" fillId="0" borderId="135" xfId="0" applyFont="1" applyBorder="1" applyAlignment="1">
      <alignment horizontal="center" vertical="center"/>
    </xf>
    <xf numFmtId="0" fontId="6" fillId="0" borderId="90" xfId="0" applyFont="1" applyBorder="1" applyAlignment="1">
      <alignment vertical="center"/>
    </xf>
    <xf numFmtId="0" fontId="6" fillId="0" borderId="71" xfId="0" applyFont="1" applyBorder="1" applyAlignment="1">
      <alignment vertical="center"/>
    </xf>
    <xf numFmtId="0" fontId="6" fillId="0" borderId="102" xfId="0" applyFont="1" applyBorder="1" applyAlignment="1">
      <alignment vertical="center"/>
    </xf>
    <xf numFmtId="0" fontId="6" fillId="0" borderId="88" xfId="0" applyFont="1" applyBorder="1" applyAlignment="1">
      <alignment vertical="center"/>
    </xf>
    <xf numFmtId="0" fontId="6" fillId="0" borderId="86" xfId="0" applyFont="1" applyBorder="1" applyAlignment="1">
      <alignment vertical="center"/>
    </xf>
    <xf numFmtId="0" fontId="6" fillId="0" borderId="148" xfId="0" applyFont="1" applyBorder="1" applyAlignment="1">
      <alignment vertical="center"/>
    </xf>
    <xf numFmtId="0" fontId="6" fillId="0" borderId="147" xfId="0" applyFont="1" applyBorder="1" applyAlignment="1">
      <alignment vertical="center"/>
    </xf>
    <xf numFmtId="0" fontId="6" fillId="0" borderId="149" xfId="0" applyFont="1" applyBorder="1" applyAlignment="1">
      <alignment vertical="center"/>
    </xf>
    <xf numFmtId="0" fontId="23" fillId="0" borderId="160" xfId="0" applyFont="1" applyBorder="1" applyAlignment="1">
      <alignment horizontal="center" vertical="center"/>
    </xf>
    <xf numFmtId="0" fontId="5" fillId="4" borderId="45" xfId="0" applyFont="1" applyFill="1" applyBorder="1" applyAlignment="1">
      <alignment horizontal="center" vertical="center"/>
    </xf>
    <xf numFmtId="0" fontId="5" fillId="4" borderId="47" xfId="0" applyFont="1" applyFill="1" applyBorder="1" applyAlignment="1">
      <alignment horizontal="center" vertical="center"/>
    </xf>
    <xf numFmtId="0" fontId="5" fillId="4" borderId="46" xfId="0" applyFont="1" applyFill="1" applyBorder="1" applyAlignment="1">
      <alignment horizontal="center" vertical="center"/>
    </xf>
    <xf numFmtId="0" fontId="6" fillId="8" borderId="148" xfId="0" applyFont="1" applyFill="1" applyBorder="1" applyAlignment="1">
      <alignment vertical="center"/>
    </xf>
    <xf numFmtId="0" fontId="6" fillId="8" borderId="147" xfId="0" applyFont="1" applyFill="1" applyBorder="1" applyAlignment="1">
      <alignment vertical="center"/>
    </xf>
    <xf numFmtId="0" fontId="6" fillId="8" borderId="149" xfId="0" applyFont="1" applyFill="1" applyBorder="1" applyAlignment="1">
      <alignment vertical="center"/>
    </xf>
    <xf numFmtId="0" fontId="5" fillId="4" borderId="9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104" xfId="0" applyFont="1" applyFill="1" applyBorder="1" applyAlignment="1">
      <alignment horizontal="center" vertical="center"/>
    </xf>
    <xf numFmtId="0" fontId="0" fillId="0" borderId="18" xfId="0" applyBorder="1"/>
    <xf numFmtId="0" fontId="0" fillId="0" borderId="71" xfId="0" applyBorder="1"/>
    <xf numFmtId="0" fontId="0" fillId="0" borderId="86" xfId="0" applyBorder="1"/>
    <xf numFmtId="0" fontId="0" fillId="0" borderId="135" xfId="0" applyBorder="1" applyAlignment="1">
      <alignment horizontal="center"/>
    </xf>
    <xf numFmtId="0" fontId="0" fillId="0" borderId="90" xfId="0" applyBorder="1"/>
    <xf numFmtId="0" fontId="0" fillId="0" borderId="21" xfId="0" applyBorder="1"/>
    <xf numFmtId="0" fontId="0" fillId="0" borderId="88" xfId="0" applyBorder="1"/>
    <xf numFmtId="0" fontId="5" fillId="4" borderId="93" xfId="0" applyFont="1" applyFill="1" applyBorder="1" applyAlignment="1">
      <alignment horizontal="center" vertical="center"/>
    </xf>
    <xf numFmtId="0" fontId="5" fillId="4" borderId="163" xfId="0" applyFont="1" applyFill="1" applyBorder="1" applyAlignment="1">
      <alignment horizontal="center" vertical="center"/>
    </xf>
    <xf numFmtId="0" fontId="5" fillId="4" borderId="107" xfId="0" applyFont="1" applyFill="1" applyBorder="1" applyAlignment="1">
      <alignment horizontal="center" vertical="center"/>
    </xf>
    <xf numFmtId="0" fontId="4" fillId="0" borderId="18" xfId="0" applyFont="1" applyBorder="1"/>
    <xf numFmtId="0" fontId="4" fillId="0" borderId="71" xfId="0" applyFont="1" applyBorder="1"/>
    <xf numFmtId="0" fontId="4" fillId="0" borderId="86" xfId="0" applyFont="1" applyBorder="1"/>
    <xf numFmtId="0" fontId="0" fillId="0" borderId="153" xfId="0" applyBorder="1"/>
    <xf numFmtId="0" fontId="0" fillId="0" borderId="4" xfId="0" applyBorder="1"/>
    <xf numFmtId="0" fontId="24" fillId="0" borderId="0" xfId="0" applyFont="1" applyAlignment="1">
      <alignment horizontal="center" vertical="center" wrapText="1"/>
    </xf>
    <xf numFmtId="0" fontId="8" fillId="0" borderId="0" xfId="0" applyFont="1" applyAlignment="1">
      <alignment horizontal="left" vertical="center"/>
    </xf>
    <xf numFmtId="0" fontId="17" fillId="0" borderId="18" xfId="0" applyFont="1" applyBorder="1" applyAlignment="1">
      <alignment horizontal="center" vertical="center"/>
    </xf>
    <xf numFmtId="18" fontId="17" fillId="0" borderId="21" xfId="0" applyNumberFormat="1" applyFont="1" applyBorder="1" applyAlignment="1">
      <alignment horizontal="center" vertical="center"/>
    </xf>
    <xf numFmtId="0" fontId="17" fillId="2" borderId="18" xfId="2" applyFont="1" applyFill="1" applyBorder="1" applyAlignment="1">
      <alignment horizontal="center" vertical="center"/>
    </xf>
    <xf numFmtId="0" fontId="16" fillId="0" borderId="18" xfId="0" applyFont="1" applyBorder="1" applyAlignment="1">
      <alignment horizontal="center" vertical="center"/>
    </xf>
    <xf numFmtId="0" fontId="18" fillId="2" borderId="74" xfId="0" applyFont="1" applyFill="1" applyBorder="1" applyAlignment="1">
      <alignment horizontal="center" vertical="center"/>
    </xf>
    <xf numFmtId="0" fontId="20" fillId="0" borderId="0" xfId="0" applyFont="1" applyAlignment="1">
      <alignment vertical="center"/>
    </xf>
    <xf numFmtId="165" fontId="24" fillId="0" borderId="0" xfId="0" applyNumberFormat="1" applyFont="1" applyAlignment="1">
      <alignment horizontal="center" vertical="center" wrapText="1"/>
    </xf>
    <xf numFmtId="165" fontId="8" fillId="0" borderId="0" xfId="0" applyNumberFormat="1" applyFont="1" applyAlignment="1">
      <alignment horizontal="left" vertical="center"/>
    </xf>
    <xf numFmtId="166" fontId="24" fillId="0" borderId="0" xfId="0" applyNumberFormat="1" applyFont="1" applyAlignment="1">
      <alignment horizontal="center" vertical="center" wrapText="1"/>
    </xf>
    <xf numFmtId="166" fontId="8" fillId="0" borderId="0" xfId="0" applyNumberFormat="1" applyFont="1" applyAlignment="1">
      <alignment horizontal="left" vertical="center"/>
    </xf>
    <xf numFmtId="0" fontId="26" fillId="0" borderId="0" xfId="0" applyFont="1" applyAlignment="1">
      <alignment horizontal="left" vertical="center"/>
    </xf>
    <xf numFmtId="0" fontId="8" fillId="0" borderId="0" xfId="0" applyFont="1" applyAlignment="1">
      <alignment horizontal="left" vertical="center" wrapText="1"/>
    </xf>
    <xf numFmtId="0" fontId="8" fillId="9" borderId="0" xfId="0" applyFont="1" applyFill="1" applyAlignment="1">
      <alignment horizontal="left" vertical="center" wrapText="1"/>
    </xf>
    <xf numFmtId="168" fontId="24" fillId="0" borderId="0" xfId="0" applyNumberFormat="1" applyFont="1" applyAlignment="1">
      <alignment horizontal="center" vertical="center" wrapText="1"/>
    </xf>
    <xf numFmtId="168" fontId="8" fillId="0" borderId="0" xfId="0" applyNumberFormat="1" applyFont="1" applyAlignment="1">
      <alignment horizontal="left" vertical="center"/>
    </xf>
    <xf numFmtId="0" fontId="29" fillId="0" borderId="18" xfId="0" applyFont="1" applyBorder="1" applyAlignment="1">
      <alignment horizontal="center" vertical="center"/>
    </xf>
    <xf numFmtId="18" fontId="29" fillId="0" borderId="21" xfId="0" applyNumberFormat="1" applyFont="1" applyBorder="1" applyAlignment="1">
      <alignment horizontal="center" vertical="center"/>
    </xf>
    <xf numFmtId="0" fontId="29" fillId="2" borderId="18" xfId="2" applyFont="1" applyFill="1" applyBorder="1" applyAlignment="1">
      <alignment horizontal="center" vertical="center"/>
    </xf>
    <xf numFmtId="0" fontId="28" fillId="0" borderId="18" xfId="0" applyFont="1" applyBorder="1" applyAlignment="1">
      <alignment horizontal="center" vertical="center"/>
    </xf>
    <xf numFmtId="0" fontId="30" fillId="2" borderId="74" xfId="0" applyFont="1" applyFill="1" applyBorder="1" applyAlignment="1">
      <alignment horizontal="center" vertical="center"/>
    </xf>
    <xf numFmtId="0" fontId="29" fillId="0" borderId="18" xfId="2" applyFont="1" applyBorder="1" applyAlignment="1">
      <alignment horizontal="center" vertical="center" wrapText="1"/>
    </xf>
    <xf numFmtId="0" fontId="29" fillId="2" borderId="18" xfId="2" applyFont="1" applyFill="1" applyBorder="1" applyAlignment="1">
      <alignment horizontal="center" vertical="center" wrapText="1"/>
    </xf>
    <xf numFmtId="0" fontId="29" fillId="0" borderId="18" xfId="0" applyFont="1" applyBorder="1" applyAlignment="1">
      <alignment horizontal="center" vertical="center" wrapText="1"/>
    </xf>
    <xf numFmtId="0" fontId="31" fillId="0" borderId="0" xfId="2" applyFont="1" applyAlignment="1">
      <alignment vertical="center" wrapText="1"/>
    </xf>
    <xf numFmtId="0" fontId="30" fillId="0" borderId="0" xfId="2" applyFont="1" applyAlignment="1">
      <alignment vertical="center" wrapText="1"/>
    </xf>
    <xf numFmtId="0" fontId="31" fillId="0" borderId="0" xfId="0" applyFont="1" applyAlignment="1">
      <alignment vertical="center"/>
    </xf>
    <xf numFmtId="0" fontId="31" fillId="0" borderId="5" xfId="2" applyFont="1" applyBorder="1" applyAlignment="1">
      <alignment vertical="center" wrapText="1"/>
    </xf>
    <xf numFmtId="0" fontId="28" fillId="3" borderId="120" xfId="2" applyFont="1" applyFill="1" applyBorder="1" applyAlignment="1">
      <alignment horizontal="center" vertical="center" wrapText="1"/>
    </xf>
    <xf numFmtId="0" fontId="28" fillId="3" borderId="121" xfId="2" applyFont="1" applyFill="1" applyBorder="1" applyAlignment="1">
      <alignment horizontal="center" vertical="center" wrapText="1"/>
    </xf>
    <xf numFmtId="0" fontId="28" fillId="3" borderId="34" xfId="2" applyFont="1" applyFill="1" applyBorder="1" applyAlignment="1">
      <alignment horizontal="center" vertical="center" wrapText="1"/>
    </xf>
    <xf numFmtId="0" fontId="28" fillId="3" borderId="36" xfId="2" applyFont="1" applyFill="1" applyBorder="1" applyAlignment="1">
      <alignment horizontal="center" vertical="center" wrapText="1"/>
    </xf>
    <xf numFmtId="0" fontId="29" fillId="5" borderId="7" xfId="2" applyFont="1" applyFill="1" applyBorder="1" applyAlignment="1">
      <alignment horizontal="center" vertical="center" wrapText="1"/>
    </xf>
    <xf numFmtId="0" fontId="33" fillId="0" borderId="7" xfId="2" applyFont="1" applyBorder="1" applyAlignment="1">
      <alignment horizontal="center" vertical="center" wrapText="1"/>
    </xf>
    <xf numFmtId="0" fontId="28" fillId="4" borderId="7" xfId="2" applyFont="1" applyFill="1" applyBorder="1" applyAlignment="1">
      <alignment horizontal="center" vertical="center" wrapText="1"/>
    </xf>
    <xf numFmtId="10" fontId="28" fillId="0" borderId="58" xfId="1" applyNumberFormat="1" applyFont="1" applyBorder="1" applyAlignment="1">
      <alignment horizontal="center" vertical="center" wrapText="1"/>
    </xf>
    <xf numFmtId="0" fontId="29" fillId="0" borderId="7" xfId="2" applyFont="1" applyBorder="1" applyAlignment="1">
      <alignment horizontal="center" vertical="center" wrapText="1"/>
    </xf>
    <xf numFmtId="10" fontId="28" fillId="0" borderId="38" xfId="1" applyNumberFormat="1" applyFont="1" applyBorder="1" applyAlignment="1">
      <alignment horizontal="center" vertical="center" wrapText="1"/>
    </xf>
    <xf numFmtId="0" fontId="29" fillId="5" borderId="8" xfId="2" applyFont="1" applyFill="1" applyBorder="1" applyAlignment="1">
      <alignment horizontal="center" vertical="center" wrapText="1"/>
    </xf>
    <xf numFmtId="0" fontId="33" fillId="5" borderId="8" xfId="2" applyFont="1" applyFill="1" applyBorder="1" applyAlignment="1">
      <alignment horizontal="center" vertical="center" wrapText="1"/>
    </xf>
    <xf numFmtId="0" fontId="33" fillId="0" borderId="8" xfId="2" applyFont="1" applyBorder="1" applyAlignment="1">
      <alignment horizontal="center" vertical="center" wrapText="1"/>
    </xf>
    <xf numFmtId="10" fontId="28" fillId="0" borderId="60" xfId="2" applyNumberFormat="1" applyFont="1" applyBorder="1" applyAlignment="1">
      <alignment horizontal="center" vertical="center" wrapText="1"/>
    </xf>
    <xf numFmtId="0" fontId="29" fillId="0" borderId="12" xfId="2" applyFont="1" applyBorder="1" applyAlignment="1">
      <alignment horizontal="left" vertical="center" wrapText="1"/>
    </xf>
    <xf numFmtId="0" fontId="29" fillId="2" borderId="8" xfId="2" applyFont="1" applyFill="1" applyBorder="1" applyAlignment="1">
      <alignment horizontal="center" vertical="center" wrapText="1"/>
    </xf>
    <xf numFmtId="0" fontId="29" fillId="0" borderId="8" xfId="2" applyFont="1" applyBorder="1" applyAlignment="1">
      <alignment horizontal="center" vertical="center" wrapText="1"/>
    </xf>
    <xf numFmtId="0" fontId="29" fillId="0" borderId="11" xfId="2" applyFont="1" applyBorder="1" applyAlignment="1">
      <alignment horizontal="center" vertical="center" wrapText="1"/>
    </xf>
    <xf numFmtId="0" fontId="32" fillId="0" borderId="12" xfId="2" applyFont="1" applyBorder="1" applyAlignment="1">
      <alignment horizontal="left" vertical="center" wrapText="1"/>
    </xf>
    <xf numFmtId="0" fontId="33" fillId="2" borderId="8" xfId="2" applyFont="1" applyFill="1" applyBorder="1" applyAlignment="1">
      <alignment horizontal="center" vertical="center" wrapText="1"/>
    </xf>
    <xf numFmtId="0" fontId="29" fillId="5" borderId="16" xfId="2" applyFont="1" applyFill="1" applyBorder="1" applyAlignment="1">
      <alignment horizontal="center" vertical="center" wrapText="1"/>
    </xf>
    <xf numFmtId="0" fontId="29" fillId="0" borderId="16" xfId="2" applyFont="1" applyBorder="1" applyAlignment="1">
      <alignment horizontal="center" vertical="center" wrapText="1"/>
    </xf>
    <xf numFmtId="0" fontId="29" fillId="0" borderId="17" xfId="2" applyFont="1" applyBorder="1" applyAlignment="1">
      <alignment horizontal="center" vertical="center" wrapText="1"/>
    </xf>
    <xf numFmtId="0" fontId="33" fillId="5" borderId="16" xfId="2" applyFont="1" applyFill="1" applyBorder="1" applyAlignment="1">
      <alignment horizontal="center" vertical="center" wrapText="1"/>
    </xf>
    <xf numFmtId="0" fontId="33" fillId="0" borderId="16" xfId="2" applyFont="1" applyBorder="1" applyAlignment="1">
      <alignment horizontal="center" vertical="center" wrapText="1"/>
    </xf>
    <xf numFmtId="0" fontId="28" fillId="4" borderId="66" xfId="2" applyFont="1" applyFill="1" applyBorder="1" applyAlignment="1">
      <alignment horizontal="center" vertical="center" wrapText="1"/>
    </xf>
    <xf numFmtId="9" fontId="28" fillId="4" borderId="68" xfId="1" applyFont="1" applyFill="1" applyBorder="1" applyAlignment="1">
      <alignment horizontal="center" vertical="center" wrapText="1"/>
    </xf>
    <xf numFmtId="9" fontId="28" fillId="4" borderId="116" xfId="1" applyFont="1" applyFill="1" applyBorder="1" applyAlignment="1">
      <alignment horizontal="center" vertical="center" wrapText="1"/>
    </xf>
    <xf numFmtId="0" fontId="28" fillId="3" borderId="53" xfId="2" applyFont="1" applyFill="1" applyBorder="1" applyAlignment="1">
      <alignment horizontal="center" vertical="center" wrapText="1"/>
    </xf>
    <xf numFmtId="0" fontId="28" fillId="3" borderId="79" xfId="2" applyFont="1" applyFill="1" applyBorder="1" applyAlignment="1">
      <alignment horizontal="center" vertical="center" wrapText="1"/>
    </xf>
    <xf numFmtId="0" fontId="28" fillId="3" borderId="56" xfId="2" applyFont="1" applyFill="1" applyBorder="1" applyAlignment="1">
      <alignment horizontal="center" vertical="center" wrapText="1"/>
    </xf>
    <xf numFmtId="0" fontId="28" fillId="3" borderId="113" xfId="2" applyFont="1" applyFill="1" applyBorder="1" applyAlignment="1">
      <alignment horizontal="center" vertical="center" wrapText="1"/>
    </xf>
    <xf numFmtId="10" fontId="28" fillId="0" borderId="38" xfId="2" applyNumberFormat="1" applyFont="1" applyBorder="1" applyAlignment="1">
      <alignment horizontal="center" vertical="center" wrapText="1"/>
    </xf>
    <xf numFmtId="0" fontId="29" fillId="0" borderId="14" xfId="2" applyFont="1" applyBorder="1" applyAlignment="1">
      <alignment horizontal="center" vertical="center" wrapText="1"/>
    </xf>
    <xf numFmtId="0" fontId="29" fillId="5" borderId="14" xfId="2" applyFont="1" applyFill="1" applyBorder="1" applyAlignment="1">
      <alignment horizontal="center" vertical="center" wrapText="1"/>
    </xf>
    <xf numFmtId="0" fontId="29" fillId="5" borderId="9" xfId="2" applyFont="1" applyFill="1" applyBorder="1" applyAlignment="1">
      <alignment horizontal="center" vertical="center" wrapText="1"/>
    </xf>
    <xf numFmtId="0" fontId="29" fillId="0" borderId="9" xfId="2" applyFont="1" applyBorder="1" applyAlignment="1">
      <alignment horizontal="center" vertical="center" wrapText="1"/>
    </xf>
    <xf numFmtId="0" fontId="28" fillId="4" borderId="48" xfId="2" applyFont="1" applyFill="1" applyBorder="1" applyAlignment="1">
      <alignment horizontal="center" vertical="center" wrapText="1"/>
    </xf>
    <xf numFmtId="9" fontId="28" fillId="4" borderId="69" xfId="2" applyNumberFormat="1" applyFont="1" applyFill="1" applyBorder="1" applyAlignment="1">
      <alignment horizontal="center" vertical="center" wrapText="1"/>
    </xf>
    <xf numFmtId="9" fontId="28" fillId="4" borderId="118" xfId="2" applyNumberFormat="1" applyFont="1" applyFill="1" applyBorder="1" applyAlignment="1">
      <alignment horizontal="center" vertical="center" wrapText="1"/>
    </xf>
    <xf numFmtId="0" fontId="28" fillId="3" borderId="83" xfId="2" applyFont="1" applyFill="1" applyBorder="1" applyAlignment="1">
      <alignment horizontal="center" vertical="center" wrapText="1"/>
    </xf>
    <xf numFmtId="0" fontId="29" fillId="0" borderId="10" xfId="2" applyFont="1" applyBorder="1" applyAlignment="1">
      <alignment horizontal="center" vertical="center" wrapText="1"/>
    </xf>
    <xf numFmtId="0" fontId="29" fillId="2" borderId="16" xfId="2" applyFont="1" applyFill="1" applyBorder="1" applyAlignment="1">
      <alignment horizontal="center" vertical="center" wrapText="1"/>
    </xf>
    <xf numFmtId="0" fontId="29" fillId="5" borderId="26" xfId="2" applyFont="1" applyFill="1" applyBorder="1" applyAlignment="1">
      <alignment horizontal="center" vertical="center" wrapText="1"/>
    </xf>
    <xf numFmtId="0" fontId="29" fillId="0" borderId="26" xfId="2" applyFont="1" applyBorder="1" applyAlignment="1">
      <alignment horizontal="center" vertical="center" wrapText="1"/>
    </xf>
    <xf numFmtId="0" fontId="29" fillId="2" borderId="26" xfId="2" applyFont="1" applyFill="1" applyBorder="1" applyAlignment="1">
      <alignment horizontal="center" vertical="center" wrapText="1"/>
    </xf>
    <xf numFmtId="10" fontId="28" fillId="0" borderId="63" xfId="2" applyNumberFormat="1" applyFont="1" applyBorder="1" applyAlignment="1">
      <alignment horizontal="center" vertical="center" wrapText="1"/>
    </xf>
    <xf numFmtId="9" fontId="28" fillId="4" borderId="84" xfId="2" applyNumberFormat="1" applyFont="1" applyFill="1" applyBorder="1" applyAlignment="1">
      <alignment horizontal="center" vertical="center" wrapText="1"/>
    </xf>
    <xf numFmtId="0" fontId="28" fillId="4" borderId="47" xfId="2" applyFont="1" applyFill="1" applyBorder="1" applyAlignment="1">
      <alignment horizontal="center" vertical="center" wrapText="1"/>
    </xf>
    <xf numFmtId="9" fontId="28" fillId="4" borderId="51" xfId="2" applyNumberFormat="1" applyFont="1" applyFill="1" applyBorder="1" applyAlignment="1">
      <alignment horizontal="center" vertical="center" wrapText="1"/>
    </xf>
    <xf numFmtId="0" fontId="35" fillId="0" borderId="0" xfId="2" applyFont="1" applyAlignment="1">
      <alignment vertical="center" wrapText="1"/>
    </xf>
    <xf numFmtId="0" fontId="35" fillId="0" borderId="0" xfId="2" applyFont="1" applyAlignment="1">
      <alignment horizontal="left" vertical="center" wrapText="1"/>
    </xf>
    <xf numFmtId="0" fontId="31" fillId="0" borderId="0" xfId="2" applyFont="1" applyAlignment="1">
      <alignment horizontal="center" vertical="center" wrapText="1"/>
    </xf>
    <xf numFmtId="0" fontId="36" fillId="10" borderId="160" xfId="0" applyFont="1" applyFill="1" applyBorder="1" applyAlignment="1">
      <alignment vertical="center"/>
    </xf>
    <xf numFmtId="169" fontId="36" fillId="10" borderId="160" xfId="0" applyNumberFormat="1" applyFont="1" applyFill="1" applyBorder="1" applyAlignment="1">
      <alignment horizontal="center" vertical="center"/>
    </xf>
    <xf numFmtId="0" fontId="36" fillId="10" borderId="134" xfId="0" applyFont="1" applyFill="1" applyBorder="1" applyAlignment="1">
      <alignment vertical="center"/>
    </xf>
    <xf numFmtId="169" fontId="36" fillId="10" borderId="134" xfId="0" applyNumberFormat="1" applyFont="1" applyFill="1" applyBorder="1" applyAlignment="1">
      <alignment horizontal="center" vertical="center"/>
    </xf>
    <xf numFmtId="0" fontId="26" fillId="0" borderId="70" xfId="0" applyFont="1" applyBorder="1" applyAlignment="1">
      <alignment horizontal="left" vertical="center"/>
    </xf>
    <xf numFmtId="0" fontId="26" fillId="0" borderId="73" xfId="0" applyFont="1" applyBorder="1" applyAlignment="1">
      <alignment horizontal="left" vertical="center"/>
    </xf>
    <xf numFmtId="0" fontId="26" fillId="0" borderId="85" xfId="0" applyFont="1" applyBorder="1" applyAlignment="1">
      <alignment horizontal="left" vertical="center"/>
    </xf>
    <xf numFmtId="168" fontId="37" fillId="0" borderId="0" xfId="0" applyNumberFormat="1" applyFont="1" applyAlignment="1">
      <alignment horizontal="left" vertical="center"/>
    </xf>
    <xf numFmtId="0" fontId="37" fillId="0" borderId="0" xfId="0" applyFont="1" applyAlignment="1">
      <alignment horizontal="left" vertical="center"/>
    </xf>
    <xf numFmtId="165" fontId="37" fillId="0" borderId="0" xfId="0" applyNumberFormat="1" applyFont="1" applyAlignment="1">
      <alignment horizontal="left" vertical="center"/>
    </xf>
    <xf numFmtId="166" fontId="37" fillId="0" borderId="0" xfId="0" applyNumberFormat="1" applyFont="1" applyAlignment="1">
      <alignment horizontal="left" vertical="center"/>
    </xf>
    <xf numFmtId="0" fontId="37" fillId="0" borderId="0" xfId="0" applyFont="1" applyAlignment="1">
      <alignment horizontal="left" vertical="center" wrapText="1"/>
    </xf>
    <xf numFmtId="168" fontId="38" fillId="0" borderId="0" xfId="0" applyNumberFormat="1" applyFont="1" applyAlignment="1">
      <alignment horizontal="left" vertical="center"/>
    </xf>
    <xf numFmtId="0" fontId="38" fillId="0" borderId="0" xfId="0" applyFont="1" applyAlignment="1">
      <alignment horizontal="left" vertical="center"/>
    </xf>
    <xf numFmtId="165" fontId="38" fillId="0" borderId="0" xfId="0" applyNumberFormat="1" applyFont="1" applyAlignment="1">
      <alignment horizontal="left" vertical="center"/>
    </xf>
    <xf numFmtId="166" fontId="38" fillId="0" borderId="0" xfId="0" applyNumberFormat="1" applyFont="1" applyAlignment="1">
      <alignment horizontal="left" vertical="center"/>
    </xf>
    <xf numFmtId="0" fontId="38" fillId="0" borderId="0" xfId="0" applyFont="1" applyAlignment="1">
      <alignment horizontal="left" vertical="center" wrapText="1"/>
    </xf>
    <xf numFmtId="0" fontId="25" fillId="0" borderId="39" xfId="2" applyFont="1" applyBorder="1" applyAlignment="1">
      <alignment horizontal="left" vertical="center" wrapText="1"/>
    </xf>
    <xf numFmtId="0" fontId="25" fillId="0" borderId="12" xfId="2" applyFont="1" applyBorder="1" applyAlignment="1">
      <alignment horizontal="left" vertical="center" wrapText="1"/>
    </xf>
    <xf numFmtId="0" fontId="32" fillId="0" borderId="27" xfId="2" applyFont="1" applyBorder="1" applyAlignment="1">
      <alignment horizontal="left" vertical="center" wrapText="1"/>
    </xf>
    <xf numFmtId="0" fontId="29" fillId="0" borderId="27" xfId="2" applyFont="1" applyBorder="1" applyAlignment="1">
      <alignment horizontal="left" vertical="center" wrapText="1"/>
    </xf>
    <xf numFmtId="0" fontId="15" fillId="3" borderId="6" xfId="2" applyFont="1" applyFill="1" applyBorder="1" applyAlignment="1">
      <alignment horizontal="center" vertical="center" wrapText="1"/>
    </xf>
    <xf numFmtId="0" fontId="33" fillId="0" borderId="110" xfId="2" applyFont="1" applyBorder="1" applyAlignment="1">
      <alignment horizontal="center" vertical="center" wrapText="1"/>
    </xf>
    <xf numFmtId="0" fontId="29" fillId="2" borderId="110" xfId="2" applyFont="1" applyFill="1" applyBorder="1" applyAlignment="1">
      <alignment horizontal="center" vertical="center" wrapText="1"/>
    </xf>
    <xf numFmtId="0" fontId="29" fillId="2" borderId="109" xfId="2" applyFont="1" applyFill="1" applyBorder="1" applyAlignment="1">
      <alignment horizontal="center" vertical="center" wrapText="1"/>
    </xf>
    <xf numFmtId="0" fontId="29" fillId="0" borderId="188" xfId="2" applyFont="1" applyBorder="1" applyAlignment="1">
      <alignment horizontal="center" vertical="center" wrapText="1"/>
    </xf>
    <xf numFmtId="0" fontId="29" fillId="0" borderId="110" xfId="2" applyFont="1" applyBorder="1" applyAlignment="1">
      <alignment horizontal="center" vertical="center" wrapText="1"/>
    </xf>
    <xf numFmtId="0" fontId="26" fillId="0" borderId="70" xfId="0" applyFont="1" applyBorder="1" applyAlignment="1">
      <alignment horizontal="left" vertical="center" shrinkToFit="1"/>
    </xf>
    <xf numFmtId="0" fontId="26" fillId="0" borderId="73" xfId="0" applyFont="1" applyBorder="1" applyAlignment="1">
      <alignment horizontal="left" vertical="center" shrinkToFit="1"/>
    </xf>
    <xf numFmtId="0" fontId="26" fillId="0" borderId="85" xfId="0" applyFont="1" applyBorder="1" applyAlignment="1">
      <alignment horizontal="left" vertical="center" shrinkToFit="1"/>
    </xf>
    <xf numFmtId="0" fontId="13" fillId="0" borderId="110" xfId="2" applyFont="1" applyBorder="1" applyAlignment="1">
      <alignment horizontal="center" vertical="center" wrapText="1"/>
    </xf>
    <xf numFmtId="0" fontId="12" fillId="2" borderId="110" xfId="2" applyFont="1" applyFill="1" applyBorder="1" applyAlignment="1">
      <alignment horizontal="center" vertical="center" wrapText="1"/>
    </xf>
    <xf numFmtId="0" fontId="12" fillId="2" borderId="109" xfId="2" applyFont="1" applyFill="1" applyBorder="1" applyAlignment="1">
      <alignment horizontal="center" vertical="center" wrapText="1"/>
    </xf>
    <xf numFmtId="0" fontId="12" fillId="0" borderId="188" xfId="2" applyFont="1" applyBorder="1" applyAlignment="1">
      <alignment horizontal="center" vertical="center" wrapText="1"/>
    </xf>
    <xf numFmtId="0" fontId="12" fillId="0" borderId="110" xfId="2" applyFont="1" applyBorder="1" applyAlignment="1">
      <alignment horizontal="center" vertical="center" wrapText="1"/>
    </xf>
    <xf numFmtId="0" fontId="12" fillId="0" borderId="109" xfId="2" applyFont="1" applyBorder="1" applyAlignment="1">
      <alignment horizontal="center" vertical="center" wrapText="1"/>
    </xf>
    <xf numFmtId="10" fontId="11" fillId="0" borderId="192" xfId="2" applyNumberFormat="1" applyFont="1" applyBorder="1" applyAlignment="1">
      <alignment horizontal="center" vertical="center" wrapText="1"/>
    </xf>
    <xf numFmtId="0" fontId="42" fillId="0" borderId="18" xfId="0" applyFont="1" applyBorder="1" applyAlignment="1">
      <alignment horizontal="center" vertical="center" wrapText="1"/>
    </xf>
    <xf numFmtId="0" fontId="43" fillId="0" borderId="18" xfId="2" applyFont="1" applyBorder="1" applyAlignment="1">
      <alignment horizontal="center" vertical="center" wrapText="1"/>
    </xf>
    <xf numFmtId="0" fontId="43" fillId="0" borderId="18" xfId="0" applyFont="1" applyBorder="1" applyAlignment="1">
      <alignment horizontal="center" vertical="center" wrapText="1"/>
    </xf>
    <xf numFmtId="0" fontId="42" fillId="3" borderId="120" xfId="2" applyFont="1" applyFill="1" applyBorder="1" applyAlignment="1">
      <alignment horizontal="center" vertical="center" wrapText="1"/>
    </xf>
    <xf numFmtId="0" fontId="42" fillId="3" borderId="121" xfId="2" applyFont="1" applyFill="1" applyBorder="1" applyAlignment="1">
      <alignment horizontal="center" vertical="center" wrapText="1"/>
    </xf>
    <xf numFmtId="0" fontId="42" fillId="3" borderId="34" xfId="2" applyFont="1" applyFill="1" applyBorder="1" applyAlignment="1">
      <alignment horizontal="center" vertical="center" wrapText="1"/>
    </xf>
    <xf numFmtId="0" fontId="42" fillId="3" borderId="36" xfId="2" applyFont="1" applyFill="1" applyBorder="1" applyAlignment="1">
      <alignment horizontal="center" vertical="center" wrapText="1"/>
    </xf>
    <xf numFmtId="0" fontId="43" fillId="5" borderId="7" xfId="2" applyFont="1" applyFill="1" applyBorder="1" applyAlignment="1">
      <alignment horizontal="center" vertical="center" wrapText="1"/>
    </xf>
    <xf numFmtId="0" fontId="46" fillId="0" borderId="7" xfId="2" applyFont="1" applyBorder="1" applyAlignment="1">
      <alignment horizontal="center" vertical="center" wrapText="1"/>
    </xf>
    <xf numFmtId="0" fontId="42" fillId="4" borderId="7" xfId="2" applyFont="1" applyFill="1" applyBorder="1" applyAlignment="1">
      <alignment horizontal="center" vertical="center" wrapText="1"/>
    </xf>
    <xf numFmtId="10" fontId="42" fillId="0" borderId="58" xfId="1" applyNumberFormat="1" applyFont="1" applyBorder="1" applyAlignment="1">
      <alignment horizontal="center" vertical="center" wrapText="1"/>
    </xf>
    <xf numFmtId="0" fontId="43" fillId="0" borderId="7" xfId="2" applyFont="1" applyBorder="1" applyAlignment="1">
      <alignment horizontal="center" vertical="center" wrapText="1"/>
    </xf>
    <xf numFmtId="10" fontId="42" fillId="0" borderId="38" xfId="1" applyNumberFormat="1" applyFont="1" applyBorder="1" applyAlignment="1">
      <alignment horizontal="center" vertical="center" wrapText="1"/>
    </xf>
    <xf numFmtId="0" fontId="43" fillId="5" borderId="8" xfId="2" applyFont="1" applyFill="1" applyBorder="1" applyAlignment="1">
      <alignment horizontal="center" vertical="center" wrapText="1"/>
    </xf>
    <xf numFmtId="0" fontId="46" fillId="5" borderId="8" xfId="2" applyFont="1" applyFill="1" applyBorder="1" applyAlignment="1">
      <alignment horizontal="center" vertical="center" wrapText="1"/>
    </xf>
    <xf numFmtId="0" fontId="46" fillId="0" borderId="8" xfId="2" applyFont="1" applyBorder="1" applyAlignment="1">
      <alignment horizontal="center" vertical="center" wrapText="1"/>
    </xf>
    <xf numFmtId="0" fontId="46" fillId="0" borderId="110" xfId="2" applyFont="1" applyBorder="1" applyAlignment="1">
      <alignment horizontal="center" vertical="center" wrapText="1"/>
    </xf>
    <xf numFmtId="10" fontId="42" fillId="0" borderId="60" xfId="2" applyNumberFormat="1" applyFont="1" applyBorder="1" applyAlignment="1">
      <alignment horizontal="center" vertical="center" wrapText="1"/>
    </xf>
    <xf numFmtId="0" fontId="43" fillId="2" borderId="8" xfId="2" applyFont="1" applyFill="1" applyBorder="1" applyAlignment="1">
      <alignment horizontal="center" vertical="center" wrapText="1"/>
    </xf>
    <xf numFmtId="0" fontId="43" fillId="0" borderId="8" xfId="2" applyFont="1" applyBorder="1" applyAlignment="1">
      <alignment horizontal="center" vertical="center" wrapText="1"/>
    </xf>
    <xf numFmtId="0" fontId="43" fillId="0" borderId="11" xfId="2" applyFont="1" applyBorder="1" applyAlignment="1">
      <alignment horizontal="center" vertical="center" wrapText="1"/>
    </xf>
    <xf numFmtId="0" fontId="43" fillId="0" borderId="188" xfId="2" applyFont="1" applyBorder="1" applyAlignment="1">
      <alignment horizontal="center" vertical="center" wrapText="1"/>
    </xf>
    <xf numFmtId="0" fontId="46" fillId="2" borderId="8" xfId="2" applyFont="1" applyFill="1" applyBorder="1" applyAlignment="1">
      <alignment horizontal="center" vertical="center" wrapText="1"/>
    </xf>
    <xf numFmtId="0" fontId="43" fillId="5" borderId="16" xfId="2" applyFont="1" applyFill="1" applyBorder="1" applyAlignment="1">
      <alignment horizontal="center" vertical="center" wrapText="1"/>
    </xf>
    <xf numFmtId="0" fontId="43" fillId="0" borderId="16" xfId="2" applyFont="1" applyBorder="1" applyAlignment="1">
      <alignment horizontal="center" vertical="center" wrapText="1"/>
    </xf>
    <xf numFmtId="0" fontId="43" fillId="0" borderId="17" xfId="2" applyFont="1" applyBorder="1" applyAlignment="1">
      <alignment horizontal="center" vertical="center" wrapText="1"/>
    </xf>
    <xf numFmtId="0" fontId="46" fillId="5" borderId="16" xfId="2" applyFont="1" applyFill="1" applyBorder="1" applyAlignment="1">
      <alignment horizontal="center" vertical="center" wrapText="1"/>
    </xf>
    <xf numFmtId="0" fontId="46" fillId="0" borderId="16" xfId="2" applyFont="1" applyBorder="1" applyAlignment="1">
      <alignment horizontal="center" vertical="center" wrapText="1"/>
    </xf>
    <xf numFmtId="0" fontId="42" fillId="4" borderId="195" xfId="2" applyFont="1" applyFill="1" applyBorder="1" applyAlignment="1">
      <alignment horizontal="center" vertical="center" wrapText="1"/>
    </xf>
    <xf numFmtId="0" fontId="42" fillId="4" borderId="108" xfId="2" applyFont="1" applyFill="1" applyBorder="1" applyAlignment="1">
      <alignment horizontal="center" vertical="center" wrapText="1"/>
    </xf>
    <xf numFmtId="9" fontId="42" fillId="4" borderId="196" xfId="1" applyFont="1" applyFill="1" applyBorder="1" applyAlignment="1">
      <alignment horizontal="center" vertical="center" wrapText="1"/>
    </xf>
    <xf numFmtId="0" fontId="42" fillId="4" borderId="66" xfId="2" applyFont="1" applyFill="1" applyBorder="1" applyAlignment="1">
      <alignment horizontal="center" vertical="center" wrapText="1"/>
    </xf>
    <xf numFmtId="9" fontId="42" fillId="4" borderId="116" xfId="1" applyFont="1" applyFill="1" applyBorder="1" applyAlignment="1">
      <alignment horizontal="center" vertical="center" wrapText="1"/>
    </xf>
    <xf numFmtId="0" fontId="42" fillId="3" borderId="83" xfId="2" applyFont="1" applyFill="1" applyBorder="1" applyAlignment="1">
      <alignment horizontal="center" vertical="center" wrapText="1"/>
    </xf>
    <xf numFmtId="0" fontId="42" fillId="3" borderId="56" xfId="2" applyFont="1" applyFill="1" applyBorder="1" applyAlignment="1">
      <alignment horizontal="center" vertical="center" wrapText="1"/>
    </xf>
    <xf numFmtId="0" fontId="42" fillId="3" borderId="113" xfId="2" applyFont="1" applyFill="1" applyBorder="1" applyAlignment="1">
      <alignment horizontal="center" vertical="center" wrapText="1"/>
    </xf>
    <xf numFmtId="10" fontId="42" fillId="0" borderId="38" xfId="2" applyNumberFormat="1" applyFont="1" applyBorder="1" applyAlignment="1">
      <alignment horizontal="center" vertical="center" wrapText="1"/>
    </xf>
    <xf numFmtId="0" fontId="42" fillId="4" borderId="48" xfId="2" applyFont="1" applyFill="1" applyBorder="1" applyAlignment="1">
      <alignment horizontal="center" vertical="center" wrapText="1"/>
    </xf>
    <xf numFmtId="9" fontId="42" fillId="4" borderId="118" xfId="2" applyNumberFormat="1" applyFont="1" applyFill="1" applyBorder="1" applyAlignment="1">
      <alignment horizontal="center" vertical="center" wrapText="1"/>
    </xf>
    <xf numFmtId="0" fontId="43" fillId="0" borderId="10" xfId="2" applyFont="1" applyBorder="1" applyAlignment="1">
      <alignment horizontal="center" vertical="center" wrapText="1"/>
    </xf>
    <xf numFmtId="0" fontId="43" fillId="2" borderId="110" xfId="2" applyFont="1" applyFill="1" applyBorder="1" applyAlignment="1">
      <alignment horizontal="center" vertical="center" wrapText="1"/>
    </xf>
    <xf numFmtId="10" fontId="42" fillId="0" borderId="63" xfId="2" applyNumberFormat="1" applyFont="1" applyBorder="1" applyAlignment="1">
      <alignment horizontal="center" vertical="center" wrapText="1"/>
    </xf>
    <xf numFmtId="0" fontId="43" fillId="5" borderId="26" xfId="2" applyFont="1" applyFill="1" applyBorder="1" applyAlignment="1">
      <alignment horizontal="center" vertical="center" wrapText="1"/>
    </xf>
    <xf numFmtId="0" fontId="43" fillId="0" borderId="26" xfId="2" applyFont="1" applyBorder="1" applyAlignment="1">
      <alignment horizontal="center" vertical="center" wrapText="1"/>
    </xf>
    <xf numFmtId="9" fontId="42" fillId="4" borderId="84" xfId="2" applyNumberFormat="1" applyFont="1" applyFill="1" applyBorder="1" applyAlignment="1">
      <alignment horizontal="center" vertical="center" wrapText="1"/>
    </xf>
    <xf numFmtId="0" fontId="42" fillId="4" borderId="47" xfId="2" applyFont="1" applyFill="1" applyBorder="1" applyAlignment="1">
      <alignment horizontal="center" vertical="center" wrapText="1"/>
    </xf>
    <xf numFmtId="9" fontId="42" fillId="4" borderId="51" xfId="2" applyNumberFormat="1" applyFont="1" applyFill="1" applyBorder="1" applyAlignment="1">
      <alignment horizontal="center" vertical="center" wrapText="1"/>
    </xf>
    <xf numFmtId="0" fontId="20" fillId="0" borderId="0" xfId="0" applyFont="1" applyAlignment="1">
      <alignment vertical="center" wrapText="1"/>
    </xf>
    <xf numFmtId="18" fontId="43" fillId="0" borderId="21" xfId="0" applyNumberFormat="1" applyFont="1" applyBorder="1" applyAlignment="1">
      <alignment horizontal="center" vertical="center" wrapText="1"/>
    </xf>
    <xf numFmtId="0" fontId="43" fillId="2" borderId="18" xfId="2" applyFont="1" applyFill="1" applyBorder="1" applyAlignment="1">
      <alignment horizontal="center" vertical="center" wrapText="1"/>
    </xf>
    <xf numFmtId="0" fontId="44" fillId="2" borderId="74" xfId="0" applyFont="1" applyFill="1" applyBorder="1" applyAlignment="1">
      <alignment horizontal="center" vertical="center" wrapText="1"/>
    </xf>
    <xf numFmtId="0" fontId="0" fillId="0" borderId="0" xfId="0" applyAlignment="1">
      <alignment vertical="center"/>
    </xf>
    <xf numFmtId="0" fontId="23" fillId="0" borderId="0" xfId="0" applyFont="1" applyAlignment="1">
      <alignment vertical="center" wrapText="1"/>
    </xf>
    <xf numFmtId="0" fontId="0" fillId="0" borderId="0" xfId="0" applyAlignment="1">
      <alignment vertical="center" wrapText="1"/>
    </xf>
    <xf numFmtId="0" fontId="4" fillId="0" borderId="0" xfId="0" applyFont="1" applyAlignment="1">
      <alignment vertical="center" wrapText="1"/>
    </xf>
    <xf numFmtId="0" fontId="23" fillId="0" borderId="0" xfId="0" applyFont="1" applyAlignment="1">
      <alignment vertical="center"/>
    </xf>
    <xf numFmtId="0" fontId="4" fillId="0" borderId="0" xfId="0" applyFont="1" applyAlignment="1">
      <alignment vertical="center"/>
    </xf>
    <xf numFmtId="49" fontId="4" fillId="0" borderId="0" xfId="0" applyNumberFormat="1" applyFont="1" applyAlignment="1">
      <alignment vertical="center"/>
    </xf>
    <xf numFmtId="0" fontId="0" fillId="8" borderId="0" xfId="0" applyFill="1" applyAlignment="1">
      <alignment vertical="center"/>
    </xf>
    <xf numFmtId="49" fontId="0" fillId="0" borderId="0" xfId="0" applyNumberFormat="1" applyAlignment="1">
      <alignment horizontal="left" vertical="center"/>
    </xf>
    <xf numFmtId="49" fontId="23" fillId="0" borderId="0" xfId="0" applyNumberFormat="1" applyFont="1" applyAlignment="1">
      <alignment horizontal="left" vertical="center"/>
    </xf>
    <xf numFmtId="49" fontId="4" fillId="0" borderId="0" xfId="0" applyNumberFormat="1" applyFont="1" applyAlignment="1">
      <alignment horizontal="left" vertical="center"/>
    </xf>
    <xf numFmtId="0" fontId="48" fillId="0" borderId="0" xfId="2" applyFont="1" applyAlignment="1">
      <alignment vertical="center" wrapText="1"/>
    </xf>
    <xf numFmtId="0" fontId="48" fillId="0" borderId="0" xfId="2" applyFont="1" applyAlignment="1">
      <alignment horizontal="left" vertical="center" wrapText="1"/>
    </xf>
    <xf numFmtId="168" fontId="50" fillId="0" borderId="0" xfId="0" applyNumberFormat="1" applyFont="1" applyAlignment="1">
      <alignment horizontal="left" vertical="center"/>
    </xf>
    <xf numFmtId="0" fontId="50" fillId="0" borderId="0" xfId="0" applyFont="1" applyAlignment="1">
      <alignment horizontal="left" vertical="center"/>
    </xf>
    <xf numFmtId="165" fontId="50" fillId="0" borderId="0" xfId="0" applyNumberFormat="1" applyFont="1" applyAlignment="1">
      <alignment horizontal="left" vertical="center"/>
    </xf>
    <xf numFmtId="166" fontId="50" fillId="0" borderId="0" xfId="0" applyNumberFormat="1" applyFont="1" applyAlignment="1">
      <alignment horizontal="left" vertical="center"/>
    </xf>
    <xf numFmtId="0" fontId="50" fillId="0" borderId="0" xfId="0" applyFont="1" applyAlignment="1">
      <alignment horizontal="left" vertical="center" wrapText="1"/>
    </xf>
    <xf numFmtId="0" fontId="51" fillId="0" borderId="0" xfId="0" applyFont="1" applyAlignment="1">
      <alignment vertical="center" wrapText="1"/>
    </xf>
    <xf numFmtId="0" fontId="51" fillId="0" borderId="0" xfId="2" applyFont="1" applyAlignment="1">
      <alignment vertical="center" wrapText="1"/>
    </xf>
    <xf numFmtId="49" fontId="0" fillId="0" borderId="0" xfId="0" applyNumberFormat="1" applyAlignment="1">
      <alignment vertical="center"/>
    </xf>
    <xf numFmtId="0" fontId="0" fillId="0" borderId="18" xfId="0" applyBorder="1" applyAlignment="1">
      <alignment vertical="center" wrapText="1"/>
    </xf>
    <xf numFmtId="0" fontId="23" fillId="0" borderId="0" xfId="0" applyFont="1" applyAlignment="1">
      <alignment horizontal="left" vertical="center"/>
    </xf>
    <xf numFmtId="168" fontId="4" fillId="0" borderId="0" xfId="0" applyNumberFormat="1" applyFont="1" applyAlignment="1">
      <alignment horizontal="left" vertical="center"/>
    </xf>
    <xf numFmtId="0" fontId="26" fillId="0" borderId="85" xfId="0" applyFont="1" applyBorder="1" applyAlignment="1">
      <alignment horizontal="left" vertical="center" wrapText="1"/>
    </xf>
    <xf numFmtId="0" fontId="4" fillId="0" borderId="5" xfId="0" applyFont="1" applyBorder="1" applyAlignment="1">
      <alignment vertical="center"/>
    </xf>
    <xf numFmtId="0" fontId="4" fillId="0" borderId="19" xfId="0" applyFont="1" applyBorder="1" applyAlignment="1">
      <alignment vertical="center"/>
    </xf>
    <xf numFmtId="0" fontId="26" fillId="0" borderId="70" xfId="0" applyFont="1" applyBorder="1" applyAlignment="1">
      <alignment horizontal="left" vertical="center" wrapText="1"/>
    </xf>
    <xf numFmtId="0" fontId="43" fillId="0" borderId="59" xfId="2" applyFont="1" applyBorder="1" applyAlignment="1">
      <alignment vertical="center" wrapText="1"/>
    </xf>
    <xf numFmtId="0" fontId="43" fillId="0" borderId="27" xfId="2" applyFont="1" applyBorder="1" applyAlignment="1">
      <alignment vertical="center" wrapText="1"/>
    </xf>
    <xf numFmtId="0" fontId="43" fillId="0" borderId="12" xfId="2" applyFont="1" applyBorder="1" applyAlignment="1">
      <alignment vertical="center" wrapText="1"/>
    </xf>
    <xf numFmtId="0" fontId="45" fillId="0" borderId="59" xfId="2" applyFont="1" applyBorder="1" applyAlignment="1">
      <alignment vertical="center" wrapText="1"/>
    </xf>
    <xf numFmtId="0" fontId="45" fillId="0" borderId="27" xfId="2" applyFont="1" applyBorder="1" applyAlignment="1">
      <alignment vertical="center" wrapText="1"/>
    </xf>
    <xf numFmtId="0" fontId="45" fillId="0" borderId="12" xfId="2" applyFont="1" applyBorder="1" applyAlignment="1">
      <alignment vertical="center" wrapText="1"/>
    </xf>
    <xf numFmtId="0" fontId="45" fillId="0" borderId="12" xfId="2" applyFont="1" applyBorder="1" applyAlignment="1">
      <alignment horizontal="left" vertical="center" wrapText="1"/>
    </xf>
    <xf numFmtId="0" fontId="45" fillId="0" borderId="27" xfId="2" applyFont="1" applyBorder="1" applyAlignment="1">
      <alignment horizontal="left" vertical="center" wrapText="1"/>
    </xf>
    <xf numFmtId="0" fontId="43" fillId="0" borderId="27" xfId="2" applyFont="1" applyBorder="1" applyAlignment="1">
      <alignment horizontal="left" vertical="center" wrapText="1"/>
    </xf>
    <xf numFmtId="0" fontId="43" fillId="0" borderId="12" xfId="2" applyFont="1" applyBorder="1" applyAlignment="1">
      <alignment horizontal="left" vertical="center" wrapText="1"/>
    </xf>
    <xf numFmtId="18" fontId="43" fillId="0" borderId="18" xfId="0" applyNumberFormat="1" applyFont="1" applyBorder="1" applyAlignment="1">
      <alignment horizontal="center" vertical="center" wrapText="1"/>
    </xf>
    <xf numFmtId="0" fontId="43" fillId="0" borderId="153" xfId="2" applyFont="1" applyBorder="1" applyAlignment="1">
      <alignment horizontal="center" vertical="center" wrapText="1"/>
    </xf>
    <xf numFmtId="0" fontId="43" fillId="0" borderId="153" xfId="0" applyFont="1" applyBorder="1" applyAlignment="1">
      <alignment horizontal="center" vertical="center" wrapText="1"/>
    </xf>
    <xf numFmtId="18" fontId="43" fillId="0" borderId="153" xfId="0" applyNumberFormat="1" applyFont="1" applyBorder="1" applyAlignment="1">
      <alignment horizontal="center" vertical="center" wrapText="1"/>
    </xf>
    <xf numFmtId="0" fontId="43" fillId="2" borderId="153" xfId="2" applyFont="1" applyFill="1" applyBorder="1" applyAlignment="1">
      <alignment horizontal="center" vertical="center" wrapText="1"/>
    </xf>
    <xf numFmtId="0" fontId="44" fillId="2" borderId="210" xfId="0" applyFont="1" applyFill="1" applyBorder="1" applyAlignment="1">
      <alignment horizontal="center" vertical="center" wrapText="1"/>
    </xf>
    <xf numFmtId="0" fontId="42" fillId="3" borderId="211" xfId="2" applyFont="1" applyFill="1" applyBorder="1" applyAlignment="1">
      <alignment horizontal="center" vertical="center" wrapText="1"/>
    </xf>
    <xf numFmtId="0" fontId="42" fillId="3" borderId="212" xfId="2" applyFont="1" applyFill="1" applyBorder="1" applyAlignment="1">
      <alignment horizontal="center" vertical="center" wrapText="1"/>
    </xf>
    <xf numFmtId="0" fontId="42" fillId="3" borderId="214" xfId="2" applyFont="1" applyFill="1" applyBorder="1" applyAlignment="1">
      <alignment horizontal="center" vertical="center" wrapText="1"/>
    </xf>
    <xf numFmtId="0" fontId="42" fillId="4" borderId="215" xfId="2" applyFont="1" applyFill="1" applyBorder="1" applyAlignment="1">
      <alignment horizontal="center" vertical="center" wrapText="1"/>
    </xf>
    <xf numFmtId="9" fontId="42" fillId="4" borderId="69" xfId="1" applyFont="1" applyFill="1" applyBorder="1" applyAlignment="1">
      <alignment horizontal="center" vertical="center" wrapText="1"/>
    </xf>
    <xf numFmtId="9" fontId="42" fillId="4" borderId="118" xfId="1" applyFont="1" applyFill="1" applyBorder="1" applyAlignment="1">
      <alignment horizontal="center" vertical="center" wrapText="1"/>
    </xf>
    <xf numFmtId="168" fontId="53" fillId="0" borderId="0" xfId="0" applyNumberFormat="1" applyFont="1" applyAlignment="1">
      <alignment horizontal="left" vertical="center"/>
    </xf>
    <xf numFmtId="0" fontId="53" fillId="0" borderId="0" xfId="0" applyFont="1" applyAlignment="1">
      <alignment horizontal="left" vertical="center"/>
    </xf>
    <xf numFmtId="165" fontId="53" fillId="0" borderId="0" xfId="0" applyNumberFormat="1" applyFont="1" applyAlignment="1">
      <alignment horizontal="left" vertical="center"/>
    </xf>
    <xf numFmtId="166" fontId="53" fillId="0" borderId="0" xfId="0" applyNumberFormat="1" applyFont="1" applyAlignment="1">
      <alignment horizontal="left" vertical="center"/>
    </xf>
    <xf numFmtId="0" fontId="53" fillId="0" borderId="0" xfId="0" applyFont="1" applyAlignment="1">
      <alignment horizontal="left" vertical="center" wrapText="1"/>
    </xf>
    <xf numFmtId="0" fontId="54" fillId="0" borderId="0" xfId="0" applyFont="1" applyAlignment="1">
      <alignment vertical="center" wrapText="1"/>
    </xf>
    <xf numFmtId="0" fontId="56" fillId="0" borderId="18" xfId="0" applyFont="1" applyBorder="1" applyAlignment="1">
      <alignment horizontal="center" vertical="center" wrapText="1"/>
    </xf>
    <xf numFmtId="18" fontId="56" fillId="0" borderId="18" xfId="0" applyNumberFormat="1" applyFont="1" applyBorder="1" applyAlignment="1">
      <alignment horizontal="center" vertical="center" wrapText="1"/>
    </xf>
    <xf numFmtId="18" fontId="56" fillId="0" borderId="21" xfId="0" applyNumberFormat="1" applyFont="1" applyBorder="1" applyAlignment="1">
      <alignment horizontal="center" vertical="center" wrapText="1"/>
    </xf>
    <xf numFmtId="18" fontId="55" fillId="0" borderId="21" xfId="0" applyNumberFormat="1" applyFont="1" applyBorder="1" applyAlignment="1">
      <alignment horizontal="center" vertical="center" wrapText="1"/>
    </xf>
    <xf numFmtId="0" fontId="57" fillId="2" borderId="74" xfId="0" applyFont="1" applyFill="1" applyBorder="1" applyAlignment="1">
      <alignment horizontal="center" vertical="center" wrapText="1"/>
    </xf>
    <xf numFmtId="0" fontId="58" fillId="0" borderId="0" xfId="2" applyFont="1" applyAlignment="1">
      <alignment vertical="center" wrapText="1"/>
    </xf>
    <xf numFmtId="0" fontId="0" fillId="0" borderId="0" xfId="0" applyAlignment="1">
      <alignment horizontal="center" vertical="center" wrapText="1"/>
    </xf>
    <xf numFmtId="0" fontId="42" fillId="4" borderId="125" xfId="2" applyFont="1" applyFill="1" applyBorder="1" applyAlignment="1">
      <alignment horizontal="center" vertical="center" wrapText="1"/>
    </xf>
    <xf numFmtId="0" fontId="8" fillId="9" borderId="0" xfId="0" applyFont="1" applyFill="1" applyAlignment="1">
      <alignment horizontal="left" vertical="center"/>
    </xf>
    <xf numFmtId="0" fontId="8" fillId="0" borderId="0" xfId="0" quotePrefix="1" applyFont="1" applyAlignment="1">
      <alignment horizontal="left" vertical="center" wrapText="1"/>
    </xf>
    <xf numFmtId="18" fontId="43" fillId="11" borderId="21" xfId="0" applyNumberFormat="1" applyFont="1" applyFill="1" applyBorder="1" applyAlignment="1">
      <alignment horizontal="center" vertical="center" wrapText="1"/>
    </xf>
    <xf numFmtId="0" fontId="43" fillId="11" borderId="18" xfId="2" applyFont="1" applyFill="1" applyBorder="1" applyAlignment="1">
      <alignment horizontal="center" vertical="center" wrapText="1"/>
    </xf>
    <xf numFmtId="0" fontId="8" fillId="12" borderId="0" xfId="0" applyFont="1" applyFill="1" applyAlignment="1">
      <alignment horizontal="left" vertical="center" wrapText="1"/>
    </xf>
    <xf numFmtId="0" fontId="4" fillId="0" borderId="94" xfId="0" applyFont="1" applyBorder="1" applyAlignment="1">
      <alignment vertical="center"/>
    </xf>
    <xf numFmtId="0" fontId="23" fillId="0" borderId="218" xfId="0" applyFont="1" applyBorder="1" applyAlignment="1">
      <alignment vertical="center" wrapText="1"/>
    </xf>
    <xf numFmtId="0" fontId="23" fillId="0" borderId="219" xfId="0" applyFont="1" applyBorder="1" applyAlignment="1">
      <alignment vertical="center" wrapText="1"/>
    </xf>
    <xf numFmtId="0" fontId="23" fillId="0" borderId="220" xfId="0" applyFont="1" applyBorder="1" applyAlignment="1">
      <alignment vertical="center" wrapText="1"/>
    </xf>
    <xf numFmtId="0" fontId="0" fillId="0" borderId="221" xfId="0" applyBorder="1" applyAlignment="1">
      <alignment vertical="center" wrapText="1"/>
    </xf>
    <xf numFmtId="0" fontId="0" fillId="0" borderId="222" xfId="0" applyBorder="1" applyAlignment="1">
      <alignment vertical="center" wrapText="1"/>
    </xf>
    <xf numFmtId="0" fontId="0" fillId="0" borderId="223" xfId="0" applyBorder="1" applyAlignment="1">
      <alignment vertical="center" wrapText="1"/>
    </xf>
    <xf numFmtId="0" fontId="0" fillId="0" borderId="224" xfId="0" applyBorder="1" applyAlignment="1">
      <alignment vertical="center" wrapText="1"/>
    </xf>
    <xf numFmtId="0" fontId="0" fillId="0" borderId="225" xfId="0" applyBorder="1" applyAlignment="1">
      <alignment vertical="center" wrapText="1"/>
    </xf>
    <xf numFmtId="0" fontId="43" fillId="0" borderId="230" xfId="2" applyFont="1" applyBorder="1" applyAlignment="1">
      <alignment horizontal="left" vertical="center" wrapText="1"/>
    </xf>
    <xf numFmtId="0" fontId="43" fillId="0" borderId="231" xfId="2" applyFont="1" applyBorder="1" applyAlignment="1">
      <alignment horizontal="left" vertical="center" wrapText="1"/>
    </xf>
    <xf numFmtId="0" fontId="43" fillId="0" borderId="232" xfId="2" applyFont="1" applyBorder="1" applyAlignment="1">
      <alignment horizontal="left" vertical="center" wrapText="1"/>
    </xf>
    <xf numFmtId="0" fontId="42" fillId="4" borderId="239" xfId="2" applyFont="1" applyFill="1" applyBorder="1" applyAlignment="1">
      <alignment horizontal="center" vertical="center" wrapText="1"/>
    </xf>
    <xf numFmtId="0" fontId="43" fillId="0" borderId="110" xfId="2" applyFont="1" applyBorder="1" applyAlignment="1">
      <alignment horizontal="center" vertical="center" wrapText="1"/>
    </xf>
    <xf numFmtId="168" fontId="0" fillId="0" borderId="0" xfId="0" applyNumberFormat="1" applyAlignment="1">
      <alignment vertical="center" wrapText="1"/>
    </xf>
    <xf numFmtId="165" fontId="0" fillId="0" borderId="0" xfId="0" applyNumberFormat="1" applyAlignment="1">
      <alignment vertical="center" wrapText="1"/>
    </xf>
    <xf numFmtId="168" fontId="0" fillId="0" borderId="18" xfId="0" applyNumberFormat="1" applyBorder="1" applyAlignment="1">
      <alignment vertical="center" wrapText="1"/>
    </xf>
    <xf numFmtId="0" fontId="4" fillId="0" borderId="18" xfId="0" applyFont="1" applyBorder="1" applyAlignment="1">
      <alignment vertical="center" wrapText="1"/>
    </xf>
    <xf numFmtId="165" fontId="23" fillId="13" borderId="256" xfId="0" applyNumberFormat="1" applyFont="1" applyFill="1" applyBorder="1" applyAlignment="1">
      <alignment vertical="center" wrapText="1"/>
    </xf>
    <xf numFmtId="168" fontId="23" fillId="13" borderId="147" xfId="0" applyNumberFormat="1" applyFont="1" applyFill="1" applyBorder="1" applyAlignment="1">
      <alignment vertical="center" wrapText="1"/>
    </xf>
    <xf numFmtId="0" fontId="23" fillId="13" borderId="147" xfId="0" applyFont="1" applyFill="1" applyBorder="1" applyAlignment="1">
      <alignment vertical="center" wrapText="1"/>
    </xf>
    <xf numFmtId="0" fontId="23" fillId="13" borderId="257" xfId="0" applyFont="1" applyFill="1" applyBorder="1" applyAlignment="1">
      <alignment vertical="center" wrapText="1"/>
    </xf>
    <xf numFmtId="165" fontId="0" fillId="0" borderId="70" xfId="0" applyNumberFormat="1" applyBorder="1" applyAlignment="1">
      <alignment vertical="center" wrapText="1"/>
    </xf>
    <xf numFmtId="168" fontId="0" fillId="0" borderId="71" xfId="0" applyNumberFormat="1" applyBorder="1" applyAlignment="1">
      <alignment vertical="center" wrapText="1"/>
    </xf>
    <xf numFmtId="0" fontId="0" fillId="0" borderId="71" xfId="0" applyBorder="1" applyAlignment="1">
      <alignment vertical="center" wrapText="1"/>
    </xf>
    <xf numFmtId="0" fontId="4" fillId="0" borderId="71" xfId="0" applyFont="1" applyBorder="1" applyAlignment="1">
      <alignment vertical="center" wrapText="1"/>
    </xf>
    <xf numFmtId="14" fontId="0" fillId="0" borderId="71" xfId="0" applyNumberFormat="1" applyBorder="1" applyAlignment="1">
      <alignment vertical="center" wrapText="1"/>
    </xf>
    <xf numFmtId="0" fontId="0" fillId="0" borderId="72" xfId="0" applyBorder="1" applyAlignment="1">
      <alignment vertical="center" wrapText="1"/>
    </xf>
    <xf numFmtId="165" fontId="4" fillId="0" borderId="85" xfId="0" applyNumberFormat="1" applyFont="1" applyBorder="1" applyAlignment="1">
      <alignment vertical="center" wrapText="1"/>
    </xf>
    <xf numFmtId="168" fontId="0" fillId="0" borderId="86" xfId="0" applyNumberFormat="1" applyBorder="1" applyAlignment="1">
      <alignment vertical="center" wrapText="1"/>
    </xf>
    <xf numFmtId="0" fontId="0" fillId="0" borderId="86" xfId="0" applyBorder="1" applyAlignment="1">
      <alignment vertical="center" wrapText="1"/>
    </xf>
    <xf numFmtId="0" fontId="4" fillId="0" borderId="86" xfId="0" applyFont="1" applyBorder="1" applyAlignment="1">
      <alignment vertical="center" wrapText="1"/>
    </xf>
    <xf numFmtId="14" fontId="0" fillId="0" borderId="86" xfId="0" applyNumberFormat="1" applyBorder="1" applyAlignment="1">
      <alignment vertical="center" wrapText="1"/>
    </xf>
    <xf numFmtId="0" fontId="0" fillId="0" borderId="51" xfId="0" applyBorder="1" applyAlignment="1">
      <alignment vertical="center" wrapText="1"/>
    </xf>
    <xf numFmtId="165" fontId="0" fillId="0" borderId="73" xfId="0" applyNumberFormat="1" applyBorder="1" applyAlignment="1">
      <alignment vertical="center" wrapText="1"/>
    </xf>
    <xf numFmtId="0" fontId="0" fillId="0" borderId="74" xfId="0" applyBorder="1" applyAlignment="1">
      <alignment vertical="center" wrapText="1"/>
    </xf>
    <xf numFmtId="165" fontId="0" fillId="0" borderId="85" xfId="0" applyNumberFormat="1" applyBorder="1" applyAlignment="1">
      <alignment vertical="center" wrapText="1"/>
    </xf>
    <xf numFmtId="165" fontId="0" fillId="0" borderId="256" xfId="0" applyNumberFormat="1" applyBorder="1" applyAlignment="1">
      <alignment vertical="center" wrapText="1"/>
    </xf>
    <xf numFmtId="168" fontId="0" fillId="0" borderId="147" xfId="0" applyNumberFormat="1" applyBorder="1" applyAlignment="1">
      <alignment vertical="center" wrapText="1"/>
    </xf>
    <xf numFmtId="0" fontId="0" fillId="0" borderId="147" xfId="0" applyBorder="1" applyAlignment="1">
      <alignment vertical="center" wrapText="1"/>
    </xf>
    <xf numFmtId="0" fontId="4" fillId="0" borderId="147" xfId="0" applyFont="1" applyBorder="1" applyAlignment="1">
      <alignment vertical="center" wrapText="1"/>
    </xf>
    <xf numFmtId="0" fontId="0" fillId="0" borderId="257" xfId="0" applyBorder="1" applyAlignment="1">
      <alignment vertical="center" wrapText="1"/>
    </xf>
    <xf numFmtId="0" fontId="5" fillId="3" borderId="103" xfId="0" applyFont="1" applyFill="1" applyBorder="1" applyAlignment="1">
      <alignment horizontal="center" vertical="center" wrapText="1"/>
    </xf>
    <xf numFmtId="0" fontId="5" fillId="3" borderId="92" xfId="0" applyFont="1" applyFill="1" applyBorder="1" applyAlignment="1">
      <alignment horizontal="center" vertical="center" wrapText="1"/>
    </xf>
    <xf numFmtId="0" fontId="5" fillId="3" borderId="93" xfId="0" applyFont="1" applyFill="1" applyBorder="1" applyAlignment="1">
      <alignment horizontal="center" vertical="center" wrapText="1"/>
    </xf>
    <xf numFmtId="0" fontId="6" fillId="0" borderId="77" xfId="0" applyFont="1" applyBorder="1" applyAlignment="1">
      <alignment horizontal="center" vertical="center"/>
    </xf>
    <xf numFmtId="0" fontId="6" fillId="0" borderId="19" xfId="0" applyFont="1" applyBorder="1" applyAlignment="1">
      <alignment horizontal="center" vertical="center"/>
    </xf>
    <xf numFmtId="0" fontId="6" fillId="0" borderId="105" xfId="0" applyFont="1" applyBorder="1" applyAlignment="1">
      <alignment horizontal="center" vertical="center"/>
    </xf>
    <xf numFmtId="0" fontId="6" fillId="0" borderId="89" xfId="0" applyFont="1" applyBorder="1" applyAlignment="1">
      <alignment horizontal="center" vertical="center"/>
    </xf>
    <xf numFmtId="0" fontId="6" fillId="0" borderId="111" xfId="0" applyFont="1" applyBorder="1" applyAlignment="1">
      <alignment horizontal="center" vertical="center"/>
    </xf>
    <xf numFmtId="0" fontId="6" fillId="0" borderId="106" xfId="0" applyFont="1" applyBorder="1" applyAlignment="1">
      <alignment horizontal="center" vertical="center"/>
    </xf>
    <xf numFmtId="0" fontId="6" fillId="0" borderId="99" xfId="0" applyFont="1" applyBorder="1" applyAlignment="1">
      <alignment horizontal="center" vertical="center"/>
    </xf>
    <xf numFmtId="0" fontId="6" fillId="0" borderId="100" xfId="0" applyFont="1" applyBorder="1" applyAlignment="1">
      <alignment horizontal="center" vertical="center"/>
    </xf>
    <xf numFmtId="0" fontId="6" fillId="0" borderId="101" xfId="0" applyFont="1" applyBorder="1" applyAlignment="1">
      <alignment horizontal="center" vertical="center"/>
    </xf>
    <xf numFmtId="0" fontId="6" fillId="0" borderId="87" xfId="0" applyFont="1" applyBorder="1" applyAlignment="1">
      <alignment horizontal="center" vertical="center"/>
    </xf>
    <xf numFmtId="0" fontId="6" fillId="0" borderId="104" xfId="0" applyFont="1" applyBorder="1" applyAlignment="1">
      <alignment horizontal="center" vertical="center"/>
    </xf>
    <xf numFmtId="0" fontId="6" fillId="0" borderId="107" xfId="0" applyFont="1" applyBorder="1" applyAlignment="1">
      <alignment horizontal="center" vertical="center"/>
    </xf>
    <xf numFmtId="0" fontId="6" fillId="8" borderId="154" xfId="0" applyFont="1" applyFill="1" applyBorder="1" applyAlignment="1">
      <alignment horizontal="center" vertical="center"/>
    </xf>
    <xf numFmtId="0" fontId="6" fillId="8" borderId="5" xfId="0" applyFont="1" applyFill="1" applyBorder="1" applyAlignment="1">
      <alignment horizontal="center" vertical="center"/>
    </xf>
    <xf numFmtId="0" fontId="6" fillId="8" borderId="162" xfId="0" applyFont="1" applyFill="1" applyBorder="1" applyAlignment="1">
      <alignment horizontal="center" vertical="center"/>
    </xf>
    <xf numFmtId="0" fontId="6" fillId="8" borderId="99" xfId="0" applyFont="1" applyFill="1" applyBorder="1" applyAlignment="1">
      <alignment horizontal="center" vertical="center"/>
    </xf>
    <xf numFmtId="0" fontId="6" fillId="8" borderId="100" xfId="0" applyFont="1" applyFill="1" applyBorder="1" applyAlignment="1">
      <alignment horizontal="center" vertical="center"/>
    </xf>
    <xf numFmtId="0" fontId="6" fillId="8" borderId="101" xfId="0" applyFont="1" applyFill="1" applyBorder="1" applyAlignment="1">
      <alignment horizontal="center" vertical="center"/>
    </xf>
    <xf numFmtId="0" fontId="23" fillId="0" borderId="159" xfId="0" applyFont="1" applyBorder="1" applyAlignment="1">
      <alignment horizontal="center" vertical="center"/>
    </xf>
    <xf numFmtId="0" fontId="23" fillId="0" borderId="135" xfId="0" applyFont="1" applyBorder="1" applyAlignment="1">
      <alignment horizontal="center" vertical="center"/>
    </xf>
    <xf numFmtId="0" fontId="5" fillId="4" borderId="45" xfId="0" applyFont="1" applyFill="1" applyBorder="1" applyAlignment="1">
      <alignment horizontal="center" vertical="center"/>
    </xf>
    <xf numFmtId="0" fontId="5" fillId="4" borderId="94" xfId="0" applyFont="1" applyFill="1" applyBorder="1" applyAlignment="1">
      <alignment horizontal="center" vertical="center"/>
    </xf>
    <xf numFmtId="0" fontId="5" fillId="4" borderId="95" xfId="0" applyFont="1" applyFill="1" applyBorder="1" applyAlignment="1">
      <alignment horizontal="center" vertical="center"/>
    </xf>
    <xf numFmtId="0" fontId="6" fillId="8" borderId="87" xfId="0" applyFont="1" applyFill="1" applyBorder="1" applyAlignment="1">
      <alignment horizontal="center" vertical="center"/>
    </xf>
    <xf numFmtId="0" fontId="6" fillId="8" borderId="104" xfId="0" applyFont="1" applyFill="1" applyBorder="1" applyAlignment="1">
      <alignment horizontal="center" vertical="center"/>
    </xf>
    <xf numFmtId="0" fontId="6" fillId="8" borderId="107" xfId="0" applyFont="1" applyFill="1" applyBorder="1" applyAlignment="1">
      <alignment horizontal="center" vertical="center"/>
    </xf>
    <xf numFmtId="0" fontId="6" fillId="8" borderId="77" xfId="0" applyFont="1" applyFill="1" applyBorder="1" applyAlignment="1">
      <alignment horizontal="center" vertical="center"/>
    </xf>
    <xf numFmtId="0" fontId="6" fillId="8" borderId="19" xfId="0" applyFont="1" applyFill="1" applyBorder="1" applyAlignment="1">
      <alignment horizontal="center" vertical="center"/>
    </xf>
    <xf numFmtId="0" fontId="6" fillId="8" borderId="105" xfId="0" applyFont="1" applyFill="1" applyBorder="1" applyAlignment="1">
      <alignment horizontal="center" vertical="center"/>
    </xf>
    <xf numFmtId="0" fontId="23" fillId="0" borderId="155" xfId="0" applyFont="1" applyBorder="1" applyAlignment="1">
      <alignment horizontal="center" vertical="center"/>
    </xf>
    <xf numFmtId="0" fontId="23" fillId="0" borderId="151" xfId="0" applyFont="1" applyBorder="1" applyAlignment="1">
      <alignment horizontal="center" vertical="center"/>
    </xf>
    <xf numFmtId="0" fontId="23" fillId="0" borderId="152" xfId="0" applyFont="1" applyBorder="1" applyAlignment="1">
      <alignment horizontal="center" vertical="center"/>
    </xf>
    <xf numFmtId="0" fontId="4" fillId="0" borderId="73" xfId="0" applyFont="1" applyBorder="1" applyAlignment="1">
      <alignment horizontal="center"/>
    </xf>
    <xf numFmtId="0" fontId="4" fillId="0" borderId="18" xfId="0" applyFont="1" applyBorder="1" applyAlignment="1">
      <alignment horizontal="center"/>
    </xf>
    <xf numFmtId="0" fontId="4" fillId="0" borderId="74" xfId="0" applyFont="1" applyBorder="1" applyAlignment="1">
      <alignment horizontal="center"/>
    </xf>
    <xf numFmtId="0" fontId="4" fillId="0" borderId="70" xfId="0" applyFont="1" applyBorder="1" applyAlignment="1">
      <alignment horizontal="center"/>
    </xf>
    <xf numFmtId="0" fontId="4" fillId="0" borderId="71" xfId="0" applyFont="1" applyBorder="1" applyAlignment="1">
      <alignment horizontal="center"/>
    </xf>
    <xf numFmtId="0" fontId="4" fillId="0" borderId="72" xfId="0" applyFont="1" applyBorder="1" applyAlignment="1">
      <alignment horizontal="center"/>
    </xf>
    <xf numFmtId="0" fontId="4" fillId="0" borderId="85" xfId="0" applyFont="1" applyBorder="1" applyAlignment="1">
      <alignment horizontal="center"/>
    </xf>
    <xf numFmtId="0" fontId="4" fillId="0" borderId="86" xfId="0" applyFont="1" applyBorder="1" applyAlignment="1">
      <alignment horizontal="center"/>
    </xf>
    <xf numFmtId="0" fontId="4" fillId="0" borderId="51" xfId="0" applyFont="1" applyBorder="1" applyAlignment="1">
      <alignment horizontal="center"/>
    </xf>
    <xf numFmtId="0" fontId="4" fillId="0" borderId="70" xfId="0" applyFont="1" applyBorder="1" applyAlignment="1">
      <alignment horizontal="center" vertical="center"/>
    </xf>
    <xf numFmtId="0" fontId="4" fillId="0" borderId="73" xfId="0" applyFont="1" applyBorder="1" applyAlignment="1">
      <alignment horizontal="center" vertical="center"/>
    </xf>
    <xf numFmtId="0" fontId="4" fillId="0" borderId="85" xfId="0" applyFont="1" applyBorder="1" applyAlignment="1">
      <alignment horizontal="center" vertical="center"/>
    </xf>
    <xf numFmtId="0" fontId="5" fillId="4" borderId="99" xfId="0" applyFont="1" applyFill="1" applyBorder="1" applyAlignment="1">
      <alignment horizontal="center" vertical="center"/>
    </xf>
    <xf numFmtId="0" fontId="5" fillId="4" borderId="100" xfId="0" applyFont="1" applyFill="1" applyBorder="1" applyAlignment="1">
      <alignment horizontal="center" vertical="center"/>
    </xf>
    <xf numFmtId="0" fontId="5" fillId="4" borderId="101" xfId="0" applyFont="1" applyFill="1" applyBorder="1" applyAlignment="1">
      <alignment horizontal="center" vertical="center"/>
    </xf>
    <xf numFmtId="0" fontId="4" fillId="0" borderId="77" xfId="0" applyFont="1" applyBorder="1" applyAlignment="1">
      <alignment horizontal="center"/>
    </xf>
    <xf numFmtId="0" fontId="4" fillId="0" borderId="19" xfId="0" applyFont="1" applyBorder="1" applyAlignment="1">
      <alignment horizontal="center"/>
    </xf>
    <xf numFmtId="0" fontId="4" fillId="0" borderId="105" xfId="0" applyFont="1" applyBorder="1" applyAlignment="1">
      <alignment horizontal="center"/>
    </xf>
    <xf numFmtId="0" fontId="23" fillId="0" borderId="134" xfId="0" applyFont="1" applyBorder="1" applyAlignment="1">
      <alignment horizontal="center" vertical="center"/>
    </xf>
    <xf numFmtId="0" fontId="4" fillId="0" borderId="20" xfId="0" applyFont="1" applyBorder="1" applyAlignment="1">
      <alignment horizontal="center"/>
    </xf>
    <xf numFmtId="0" fontId="4" fillId="0" borderId="102" xfId="0" applyFont="1" applyBorder="1" applyAlignment="1">
      <alignment horizontal="center"/>
    </xf>
    <xf numFmtId="0" fontId="4" fillId="0" borderId="106" xfId="0" applyFont="1" applyBorder="1" applyAlignment="1">
      <alignment horizontal="center"/>
    </xf>
    <xf numFmtId="0" fontId="4" fillId="0" borderId="97" xfId="0" applyFont="1" applyBorder="1" applyAlignment="1">
      <alignment horizontal="center"/>
    </xf>
    <xf numFmtId="0" fontId="4" fillId="0" borderId="107" xfId="0" applyFont="1" applyBorder="1" applyAlignment="1">
      <alignment horizontal="center"/>
    </xf>
    <xf numFmtId="0" fontId="4" fillId="0" borderId="87" xfId="0" applyFont="1" applyBorder="1" applyAlignment="1">
      <alignment horizontal="center"/>
    </xf>
    <xf numFmtId="0" fontId="4" fillId="0" borderId="104" xfId="0" applyFont="1" applyBorder="1" applyAlignment="1">
      <alignment horizontal="center"/>
    </xf>
    <xf numFmtId="0" fontId="6" fillId="0" borderId="27" xfId="0" applyFont="1" applyBorder="1" applyAlignment="1">
      <alignment horizontal="left" vertical="center"/>
    </xf>
    <xf numFmtId="0" fontId="6" fillId="0" borderId="30" xfId="0" applyFont="1" applyBorder="1" applyAlignment="1">
      <alignment horizontal="left"/>
    </xf>
    <xf numFmtId="0" fontId="5" fillId="4" borderId="67" xfId="0" applyFont="1" applyFill="1" applyBorder="1" applyAlignment="1">
      <alignment horizontal="right" vertical="center"/>
    </xf>
    <xf numFmtId="0" fontId="5" fillId="3" borderId="128" xfId="0" applyFont="1" applyFill="1" applyBorder="1" applyAlignment="1">
      <alignment horizontal="center" vertical="center" wrapText="1"/>
    </xf>
    <xf numFmtId="0" fontId="5" fillId="3" borderId="129" xfId="0" applyFont="1" applyFill="1" applyBorder="1" applyAlignment="1">
      <alignment horizontal="center" vertical="center" wrapText="1"/>
    </xf>
    <xf numFmtId="0" fontId="5" fillId="3" borderId="130" xfId="0" applyFont="1" applyFill="1" applyBorder="1" applyAlignment="1">
      <alignment horizontal="center" vertical="center" wrapText="1"/>
    </xf>
    <xf numFmtId="0" fontId="6" fillId="0" borderId="140" xfId="0" applyFont="1" applyBorder="1" applyAlignment="1">
      <alignment horizontal="left" vertical="center"/>
    </xf>
    <xf numFmtId="0" fontId="6" fillId="0" borderId="59" xfId="0" applyFont="1" applyBorder="1" applyAlignment="1">
      <alignment vertical="center"/>
    </xf>
    <xf numFmtId="0" fontId="6" fillId="0" borderId="27" xfId="0" applyFont="1" applyBorder="1" applyAlignment="1">
      <alignment vertical="center"/>
    </xf>
    <xf numFmtId="0" fontId="5" fillId="3" borderId="134" xfId="0" applyFont="1" applyFill="1" applyBorder="1" applyAlignment="1">
      <alignment horizontal="center" vertical="center" wrapText="1"/>
    </xf>
    <xf numFmtId="0" fontId="5" fillId="3" borderId="135" xfId="0" applyFont="1" applyFill="1" applyBorder="1" applyAlignment="1">
      <alignment horizontal="center" vertical="center" wrapText="1"/>
    </xf>
    <xf numFmtId="0" fontId="5" fillId="3" borderId="103" xfId="0" applyFont="1" applyFill="1" applyBorder="1" applyAlignment="1">
      <alignment horizontal="center" vertical="center"/>
    </xf>
    <xf numFmtId="0" fontId="5" fillId="3" borderId="92" xfId="0" applyFont="1" applyFill="1" applyBorder="1" applyAlignment="1">
      <alignment horizontal="center" vertical="center"/>
    </xf>
    <xf numFmtId="0" fontId="5" fillId="3" borderId="45" xfId="0" applyFont="1" applyFill="1" applyBorder="1" applyAlignment="1">
      <alignment horizontal="center" vertical="center"/>
    </xf>
    <xf numFmtId="0" fontId="5" fillId="3" borderId="94" xfId="0" applyFont="1" applyFill="1" applyBorder="1" applyAlignment="1">
      <alignment horizontal="center" vertical="center"/>
    </xf>
    <xf numFmtId="0" fontId="5" fillId="3" borderId="134" xfId="0" applyFont="1" applyFill="1" applyBorder="1" applyAlignment="1">
      <alignment horizontal="center" vertical="center"/>
    </xf>
    <xf numFmtId="0" fontId="5" fillId="3" borderId="135" xfId="0" applyFont="1" applyFill="1" applyBorder="1" applyAlignment="1">
      <alignment horizontal="center" vertical="center"/>
    </xf>
    <xf numFmtId="0" fontId="6" fillId="0" borderId="57" xfId="0" applyFont="1" applyBorder="1" applyAlignment="1">
      <alignment horizontal="left" vertical="center"/>
    </xf>
    <xf numFmtId="0" fontId="6" fillId="0" borderId="10" xfId="0" applyFont="1" applyBorder="1" applyAlignment="1">
      <alignment horizontal="left" vertical="center"/>
    </xf>
    <xf numFmtId="0" fontId="6" fillId="0" borderId="62" xfId="0" applyFont="1" applyBorder="1" applyAlignment="1">
      <alignment horizontal="left" vertical="center"/>
    </xf>
    <xf numFmtId="0" fontId="6" fillId="0" borderId="13" xfId="0" applyFont="1" applyBorder="1" applyAlignment="1">
      <alignment horizontal="left" vertical="center"/>
    </xf>
    <xf numFmtId="0" fontId="6" fillId="0" borderId="59" xfId="0" applyFont="1" applyBorder="1" applyAlignment="1">
      <alignment horizontal="left" vertical="center"/>
    </xf>
    <xf numFmtId="0" fontId="6" fillId="0" borderId="61" xfId="0" applyFont="1" applyBorder="1" applyAlignment="1">
      <alignment horizontal="left" vertical="center"/>
    </xf>
    <xf numFmtId="0" fontId="6" fillId="0" borderId="11" xfId="0" applyFont="1" applyBorder="1" applyAlignment="1">
      <alignment horizontal="left" vertical="center"/>
    </xf>
    <xf numFmtId="0" fontId="5" fillId="4" borderId="134" xfId="0" applyFont="1" applyFill="1" applyBorder="1" applyAlignment="1">
      <alignment horizontal="center" vertical="center"/>
    </xf>
    <xf numFmtId="0" fontId="5" fillId="4" borderId="135" xfId="0" applyFont="1" applyFill="1" applyBorder="1" applyAlignment="1">
      <alignment horizontal="center" vertical="center"/>
    </xf>
    <xf numFmtId="0" fontId="5" fillId="4" borderId="134" xfId="0" applyFont="1" applyFill="1" applyBorder="1" applyAlignment="1">
      <alignment horizontal="center" vertical="center" wrapText="1"/>
    </xf>
    <xf numFmtId="0" fontId="5" fillId="4" borderId="135" xfId="0" applyFont="1" applyFill="1" applyBorder="1" applyAlignment="1">
      <alignment horizontal="center" vertical="center" wrapText="1"/>
    </xf>
    <xf numFmtId="0" fontId="5" fillId="4" borderId="64" xfId="0" applyFont="1" applyFill="1" applyBorder="1" applyAlignment="1">
      <alignment horizontal="right" vertical="center"/>
    </xf>
    <xf numFmtId="0" fontId="26" fillId="0" borderId="170" xfId="0" applyFont="1" applyBorder="1" applyAlignment="1">
      <alignment horizontal="left" vertical="center" wrapText="1"/>
    </xf>
    <xf numFmtId="0" fontId="26" fillId="0" borderId="171" xfId="0" applyFont="1" applyBorder="1" applyAlignment="1">
      <alignment horizontal="left" vertical="center" wrapText="1"/>
    </xf>
    <xf numFmtId="0" fontId="26" fillId="0" borderId="172" xfId="0" applyFont="1" applyBorder="1" applyAlignment="1">
      <alignment horizontal="left" vertical="center" wrapText="1"/>
    </xf>
    <xf numFmtId="0" fontId="26" fillId="2" borderId="72" xfId="0" applyFont="1" applyFill="1" applyBorder="1" applyAlignment="1">
      <alignment horizontal="left" vertical="center" wrapText="1"/>
    </xf>
    <xf numFmtId="0" fontId="26" fillId="2" borderId="74" xfId="0" applyFont="1" applyFill="1" applyBorder="1" applyAlignment="1">
      <alignment horizontal="left" vertical="center" wrapText="1"/>
    </xf>
    <xf numFmtId="0" fontId="26" fillId="2" borderId="51" xfId="0" applyFont="1" applyFill="1" applyBorder="1" applyAlignment="1">
      <alignment horizontal="left" vertical="center" wrapText="1"/>
    </xf>
    <xf numFmtId="0" fontId="26" fillId="0" borderId="72" xfId="0" applyFont="1" applyBorder="1" applyAlignment="1">
      <alignment horizontal="left" vertical="center" wrapText="1"/>
    </xf>
    <xf numFmtId="0" fontId="26" fillId="0" borderId="74" xfId="0" applyFont="1" applyBorder="1" applyAlignment="1">
      <alignment horizontal="left" vertical="center" wrapText="1"/>
    </xf>
    <xf numFmtId="0" fontId="26" fillId="0" borderId="51" xfId="0" applyFont="1" applyBorder="1" applyAlignment="1">
      <alignment horizontal="left" vertical="center" wrapText="1"/>
    </xf>
    <xf numFmtId="0" fontId="26" fillId="0" borderId="74" xfId="0" applyFont="1" applyBorder="1" applyAlignment="1">
      <alignment horizontal="left" vertical="center"/>
    </xf>
    <xf numFmtId="0" fontId="26" fillId="0" borderId="51" xfId="0" applyFont="1" applyBorder="1" applyAlignment="1">
      <alignment horizontal="left" vertical="center"/>
    </xf>
    <xf numFmtId="0" fontId="29" fillId="0" borderId="27" xfId="2" applyFont="1" applyBorder="1" applyAlignment="1">
      <alignment horizontal="left" vertical="center" wrapText="1"/>
    </xf>
    <xf numFmtId="0" fontId="29" fillId="0" borderId="12" xfId="2" applyFont="1" applyBorder="1" applyAlignment="1">
      <alignment horizontal="left" vertical="center" wrapText="1"/>
    </xf>
    <xf numFmtId="0" fontId="32" fillId="0" borderId="59" xfId="2" applyFont="1" applyBorder="1" applyAlignment="1">
      <alignment horizontal="left" vertical="center" wrapText="1"/>
    </xf>
    <xf numFmtId="0" fontId="32" fillId="0" borderId="27" xfId="2" applyFont="1" applyBorder="1" applyAlignment="1">
      <alignment horizontal="left" vertical="center" wrapText="1"/>
    </xf>
    <xf numFmtId="0" fontId="32" fillId="0" borderId="12" xfId="2" applyFont="1" applyBorder="1" applyAlignment="1">
      <alignment horizontal="left" vertical="center" wrapText="1"/>
    </xf>
    <xf numFmtId="0" fontId="32" fillId="0" borderId="39" xfId="2" applyFont="1" applyBorder="1" applyAlignment="1">
      <alignment horizontal="left" vertical="center" wrapText="1"/>
    </xf>
    <xf numFmtId="0" fontId="32" fillId="0" borderId="39" xfId="2" applyFont="1" applyBorder="1" applyAlignment="1">
      <alignment vertical="center" wrapText="1"/>
    </xf>
    <xf numFmtId="0" fontId="32" fillId="0" borderId="12" xfId="2" applyFont="1" applyBorder="1" applyAlignment="1">
      <alignment vertical="center" wrapText="1"/>
    </xf>
    <xf numFmtId="0" fontId="29" fillId="0" borderId="39" xfId="2" applyFont="1" applyBorder="1" applyAlignment="1">
      <alignment vertical="center" wrapText="1"/>
    </xf>
    <xf numFmtId="0" fontId="29" fillId="0" borderId="12" xfId="2" applyFont="1" applyBorder="1" applyAlignment="1">
      <alignment vertical="center" wrapText="1"/>
    </xf>
    <xf numFmtId="18" fontId="29" fillId="0" borderId="20" xfId="0" applyNumberFormat="1" applyFont="1" applyBorder="1" applyAlignment="1">
      <alignment horizontal="center" vertical="center"/>
    </xf>
    <xf numFmtId="18" fontId="29" fillId="0" borderId="21" xfId="0" applyNumberFormat="1" applyFont="1" applyBorder="1" applyAlignment="1">
      <alignment horizontal="center" vertical="center"/>
    </xf>
    <xf numFmtId="0" fontId="29" fillId="2" borderId="24" xfId="0" applyFont="1" applyFill="1" applyBorder="1" applyAlignment="1">
      <alignment horizontal="center" vertical="center"/>
    </xf>
    <xf numFmtId="0" fontId="29" fillId="2" borderId="25" xfId="0" applyFont="1" applyFill="1" applyBorder="1" applyAlignment="1">
      <alignment horizontal="center" vertical="center"/>
    </xf>
    <xf numFmtId="0" fontId="28" fillId="0" borderId="77" xfId="2" applyFont="1" applyBorder="1" applyAlignment="1">
      <alignment horizontal="left" vertical="center" wrapText="1"/>
    </xf>
    <xf numFmtId="0" fontId="28" fillId="0" borderId="21" xfId="2" applyFont="1" applyBorder="1" applyAlignment="1">
      <alignment horizontal="left" vertical="center" wrapText="1"/>
    </xf>
    <xf numFmtId="0" fontId="29" fillId="0" borderId="20" xfId="0" applyFont="1" applyBorder="1" applyAlignment="1">
      <alignment horizontal="center" vertical="center" wrapText="1"/>
    </xf>
    <xf numFmtId="0" fontId="29" fillId="0" borderId="21" xfId="0" applyFont="1" applyBorder="1" applyAlignment="1">
      <alignment horizontal="center" vertical="center" wrapText="1"/>
    </xf>
    <xf numFmtId="0" fontId="29" fillId="0" borderId="20" xfId="0" applyFont="1" applyBorder="1" applyAlignment="1">
      <alignment horizontal="center" vertical="center"/>
    </xf>
    <xf numFmtId="0" fontId="29" fillId="0" borderId="21" xfId="0" applyFont="1" applyBorder="1" applyAlignment="1">
      <alignment horizontal="center" vertical="center"/>
    </xf>
    <xf numFmtId="0" fontId="29" fillId="0" borderId="20" xfId="2" applyFont="1" applyBorder="1" applyAlignment="1">
      <alignment horizontal="center" vertical="center" wrapText="1"/>
    </xf>
    <xf numFmtId="0" fontId="29" fillId="0" borderId="21" xfId="2" applyFont="1" applyBorder="1" applyAlignment="1">
      <alignment horizontal="center" vertical="center" wrapText="1"/>
    </xf>
    <xf numFmtId="0" fontId="28" fillId="0" borderId="77" xfId="0" applyFont="1" applyBorder="1" applyAlignment="1">
      <alignment horizontal="left" vertical="center"/>
    </xf>
    <xf numFmtId="0" fontId="28" fillId="0" borderId="21" xfId="0" applyFont="1" applyBorder="1" applyAlignment="1">
      <alignment horizontal="left" vertical="center"/>
    </xf>
    <xf numFmtId="0" fontId="28" fillId="7" borderId="77" xfId="2" applyFont="1" applyFill="1" applyBorder="1" applyAlignment="1">
      <alignment horizontal="center" vertical="center" wrapText="1"/>
    </xf>
    <xf numFmtId="0" fontId="28" fillId="7" borderId="19" xfId="2" applyFont="1" applyFill="1" applyBorder="1" applyAlignment="1">
      <alignment horizontal="center" vertical="center" wrapText="1"/>
    </xf>
    <xf numFmtId="0" fontId="28" fillId="7" borderId="105" xfId="2" applyFont="1" applyFill="1" applyBorder="1" applyAlignment="1">
      <alignment horizontal="center" vertical="center" wrapText="1"/>
    </xf>
    <xf numFmtId="0" fontId="27" fillId="3" borderId="22" xfId="2" applyFont="1" applyFill="1" applyBorder="1" applyAlignment="1">
      <alignment horizontal="center" vertical="center" wrapText="1"/>
    </xf>
    <xf numFmtId="167" fontId="27" fillId="4" borderId="45" xfId="2" applyNumberFormat="1" applyFont="1" applyFill="1" applyBorder="1" applyAlignment="1">
      <alignment horizontal="center" vertical="center" wrapText="1"/>
    </xf>
    <xf numFmtId="167" fontId="27" fillId="4" borderId="94" xfId="2" applyNumberFormat="1" applyFont="1" applyFill="1" applyBorder="1" applyAlignment="1">
      <alignment horizontal="center" vertical="center" wrapText="1"/>
    </xf>
    <xf numFmtId="167" fontId="27" fillId="4" borderId="95" xfId="2" applyNumberFormat="1" applyFont="1" applyFill="1" applyBorder="1" applyAlignment="1">
      <alignment horizontal="center" vertical="center" wrapText="1"/>
    </xf>
    <xf numFmtId="0" fontId="27" fillId="6" borderId="103" xfId="2" applyFont="1" applyFill="1" applyBorder="1" applyAlignment="1">
      <alignment horizontal="center" vertical="center" wrapText="1"/>
    </xf>
    <xf numFmtId="0" fontId="27" fillId="6" borderId="92" xfId="2" applyFont="1" applyFill="1" applyBorder="1" applyAlignment="1">
      <alignment horizontal="center" vertical="center" wrapText="1"/>
    </xf>
    <xf numFmtId="0" fontId="27" fillId="6" borderId="93" xfId="2" applyFont="1" applyFill="1" applyBorder="1" applyAlignment="1">
      <alignment horizontal="center" vertical="center" wrapText="1"/>
    </xf>
    <xf numFmtId="0" fontId="29" fillId="0" borderId="39" xfId="2" applyFont="1" applyBorder="1" applyAlignment="1">
      <alignment horizontal="left" vertical="center" wrapText="1"/>
    </xf>
    <xf numFmtId="0" fontId="27" fillId="3" borderId="75" xfId="2" applyFont="1" applyFill="1" applyBorder="1" applyAlignment="1">
      <alignment horizontal="center" vertical="center" wrapText="1"/>
    </xf>
    <xf numFmtId="0" fontId="27" fillId="3" borderId="23" xfId="2" applyFont="1" applyFill="1" applyBorder="1" applyAlignment="1">
      <alignment horizontal="center" vertical="center" wrapText="1"/>
    </xf>
    <xf numFmtId="0" fontId="27" fillId="3" borderId="6" xfId="2" applyFont="1" applyFill="1" applyBorder="1" applyAlignment="1">
      <alignment horizontal="center" vertical="center" wrapText="1"/>
    </xf>
    <xf numFmtId="0" fontId="27" fillId="3" borderId="76" xfId="2" applyFont="1" applyFill="1" applyBorder="1" applyAlignment="1">
      <alignment horizontal="center" vertical="center" wrapText="1"/>
    </xf>
    <xf numFmtId="0" fontId="28" fillId="3" borderId="103" xfId="2" applyFont="1" applyFill="1" applyBorder="1" applyAlignment="1">
      <alignment horizontal="center" vertical="center" wrapText="1"/>
    </xf>
    <xf numFmtId="0" fontId="28" fillId="3" borderId="119" xfId="2" applyFont="1" applyFill="1" applyBorder="1" applyAlignment="1">
      <alignment horizontal="center" vertical="center" wrapText="1"/>
    </xf>
    <xf numFmtId="0" fontId="28" fillId="3" borderId="35" xfId="2" applyFont="1" applyFill="1" applyBorder="1" applyAlignment="1">
      <alignment horizontal="center" vertical="center" wrapText="1"/>
    </xf>
    <xf numFmtId="0" fontId="28" fillId="3" borderId="33" xfId="2" applyFont="1" applyFill="1" applyBorder="1" applyAlignment="1">
      <alignment horizontal="center" vertical="center" wrapText="1"/>
    </xf>
    <xf numFmtId="0" fontId="28" fillId="7" borderId="73" xfId="2" applyFont="1" applyFill="1" applyBorder="1" applyAlignment="1">
      <alignment horizontal="center" vertical="center" wrapText="1"/>
    </xf>
    <xf numFmtId="0" fontId="28" fillId="7" borderId="18" xfId="2" applyFont="1" applyFill="1" applyBorder="1" applyAlignment="1">
      <alignment horizontal="center" vertical="center" wrapText="1"/>
    </xf>
    <xf numFmtId="0" fontId="28" fillId="7" borderId="74" xfId="2" applyFont="1" applyFill="1" applyBorder="1" applyAlignment="1">
      <alignment horizontal="center" vertical="center" wrapText="1"/>
    </xf>
    <xf numFmtId="0" fontId="32" fillId="0" borderId="37" xfId="2" applyFont="1" applyBorder="1" applyAlignment="1">
      <alignment horizontal="left" vertical="center" wrapText="1"/>
    </xf>
    <xf numFmtId="0" fontId="32" fillId="0" borderId="7" xfId="2" applyFont="1" applyBorder="1" applyAlignment="1">
      <alignment horizontal="left" vertical="center" wrapText="1"/>
    </xf>
    <xf numFmtId="0" fontId="32" fillId="0" borderId="28" xfId="2" applyFont="1" applyBorder="1" applyAlignment="1">
      <alignment horizontal="left" vertical="center" wrapText="1"/>
    </xf>
    <xf numFmtId="0" fontId="32" fillId="0" borderId="29" xfId="2" applyFont="1" applyBorder="1" applyAlignment="1">
      <alignment horizontal="left" vertical="center" wrapText="1"/>
    </xf>
    <xf numFmtId="0" fontId="28" fillId="4" borderId="115" xfId="2" applyFont="1" applyFill="1" applyBorder="1" applyAlignment="1">
      <alignment horizontal="right" vertical="center" wrapText="1"/>
    </xf>
    <xf numFmtId="0" fontId="28" fillId="4" borderId="65" xfId="2" applyFont="1" applyFill="1" applyBorder="1" applyAlignment="1">
      <alignment horizontal="right" vertical="center" wrapText="1"/>
    </xf>
    <xf numFmtId="0" fontId="28" fillId="4" borderId="67" xfId="2" applyFont="1" applyFill="1" applyBorder="1" applyAlignment="1">
      <alignment horizontal="right" vertical="center" wrapText="1"/>
    </xf>
    <xf numFmtId="0" fontId="28" fillId="3" borderId="112" xfId="2" applyFont="1" applyFill="1" applyBorder="1" applyAlignment="1">
      <alignment horizontal="center" vertical="center" wrapText="1"/>
    </xf>
    <xf numFmtId="0" fontId="28" fillId="3" borderId="52" xfId="2" applyFont="1" applyFill="1" applyBorder="1" applyAlignment="1">
      <alignment horizontal="center" vertical="center" wrapText="1"/>
    </xf>
    <xf numFmtId="0" fontId="28" fillId="3" borderId="54" xfId="2" applyFont="1" applyFill="1" applyBorder="1" applyAlignment="1">
      <alignment horizontal="center" vertical="center" wrapText="1"/>
    </xf>
    <xf numFmtId="0" fontId="28" fillId="3" borderId="55" xfId="2" applyFont="1" applyFill="1" applyBorder="1" applyAlignment="1">
      <alignment horizontal="center" vertical="center" wrapText="1"/>
    </xf>
    <xf numFmtId="0" fontId="29" fillId="0" borderId="117" xfId="2" applyFont="1" applyBorder="1" applyAlignment="1">
      <alignment horizontal="center" vertical="center" wrapText="1"/>
    </xf>
    <xf numFmtId="0" fontId="29" fillId="0" borderId="15" xfId="2" applyFont="1" applyBorder="1" applyAlignment="1">
      <alignment horizontal="center" vertical="center" wrapText="1"/>
    </xf>
    <xf numFmtId="0" fontId="29" fillId="0" borderId="42" xfId="2" applyFont="1" applyBorder="1" applyAlignment="1">
      <alignment horizontal="center" vertical="center" wrapText="1"/>
    </xf>
    <xf numFmtId="0" fontId="29" fillId="0" borderId="14" xfId="2" applyFont="1" applyBorder="1" applyAlignment="1">
      <alignment horizontal="center" vertical="center" wrapText="1"/>
    </xf>
    <xf numFmtId="0" fontId="29" fillId="5" borderId="15" xfId="2" applyFont="1" applyFill="1" applyBorder="1" applyAlignment="1">
      <alignment horizontal="center" vertical="center" wrapText="1"/>
    </xf>
    <xf numFmtId="0" fontId="29" fillId="5" borderId="14" xfId="2" applyFont="1" applyFill="1" applyBorder="1" applyAlignment="1">
      <alignment horizontal="center" vertical="center" wrapText="1"/>
    </xf>
    <xf numFmtId="0" fontId="28" fillId="4" borderId="108" xfId="2" applyFont="1" applyFill="1" applyBorder="1" applyAlignment="1">
      <alignment horizontal="center" vertical="center" wrapText="1"/>
    </xf>
    <xf numFmtId="0" fontId="28" fillId="4" borderId="109" xfId="2" applyFont="1" applyFill="1" applyBorder="1" applyAlignment="1">
      <alignment horizontal="center" vertical="center" wrapText="1"/>
    </xf>
    <xf numFmtId="0" fontId="28" fillId="4" borderId="110" xfId="2" applyFont="1" applyFill="1" applyBorder="1" applyAlignment="1">
      <alignment horizontal="center" vertical="center" wrapText="1"/>
    </xf>
    <xf numFmtId="10" fontId="28" fillId="0" borderId="80" xfId="1" applyNumberFormat="1" applyFont="1" applyFill="1" applyBorder="1" applyAlignment="1">
      <alignment horizontal="center" vertical="center" wrapText="1"/>
    </xf>
    <xf numFmtId="10" fontId="28" fillId="0" borderId="81" xfId="1" applyNumberFormat="1" applyFont="1" applyFill="1" applyBorder="1" applyAlignment="1">
      <alignment horizontal="center" vertical="center" wrapText="1"/>
    </xf>
    <xf numFmtId="0" fontId="29" fillId="5" borderId="164" xfId="2" applyFont="1" applyFill="1" applyBorder="1" applyAlignment="1">
      <alignment horizontal="center" vertical="center" wrapText="1"/>
    </xf>
    <xf numFmtId="0" fontId="29" fillId="5" borderId="165" xfId="2" applyFont="1" applyFill="1" applyBorder="1" applyAlignment="1">
      <alignment horizontal="center" vertical="center" wrapText="1"/>
    </xf>
    <xf numFmtId="0" fontId="29" fillId="5" borderId="166" xfId="2" applyFont="1" applyFill="1" applyBorder="1" applyAlignment="1">
      <alignment horizontal="center" vertical="center" wrapText="1"/>
    </xf>
    <xf numFmtId="0" fontId="29" fillId="2" borderId="14" xfId="2" applyFont="1" applyFill="1" applyBorder="1" applyAlignment="1">
      <alignment horizontal="center" vertical="center" wrapText="1"/>
    </xf>
    <xf numFmtId="10" fontId="28" fillId="0" borderId="122" xfId="1" applyNumberFormat="1" applyFont="1" applyFill="1" applyBorder="1" applyAlignment="1">
      <alignment horizontal="center" vertical="center" wrapText="1"/>
    </xf>
    <xf numFmtId="10" fontId="28" fillId="0" borderId="123" xfId="1" applyNumberFormat="1" applyFont="1" applyFill="1" applyBorder="1" applyAlignment="1">
      <alignment horizontal="center" vertical="center" wrapText="1"/>
    </xf>
    <xf numFmtId="10" fontId="28" fillId="0" borderId="124" xfId="1" applyNumberFormat="1" applyFont="1" applyFill="1" applyBorder="1" applyAlignment="1">
      <alignment horizontal="center" vertical="center" wrapText="1"/>
    </xf>
    <xf numFmtId="0" fontId="29" fillId="2" borderId="39" xfId="2" applyFont="1" applyFill="1" applyBorder="1" applyAlignment="1">
      <alignment horizontal="left" vertical="center" wrapText="1"/>
    </xf>
    <xf numFmtId="0" fontId="29" fillId="2" borderId="12" xfId="2" applyFont="1" applyFill="1" applyBorder="1" applyAlignment="1">
      <alignment horizontal="left" vertical="center" wrapText="1"/>
    </xf>
    <xf numFmtId="0" fontId="29" fillId="0" borderId="59" xfId="2" applyFont="1" applyBorder="1" applyAlignment="1">
      <alignment horizontal="left" vertical="center" wrapText="1"/>
    </xf>
    <xf numFmtId="0" fontId="28" fillId="3" borderId="99" xfId="2" applyFont="1" applyFill="1" applyBorder="1" applyAlignment="1">
      <alignment horizontal="center" vertical="center" wrapText="1"/>
    </xf>
    <xf numFmtId="0" fontId="28" fillId="3" borderId="101" xfId="2" applyFont="1" applyFill="1" applyBorder="1" applyAlignment="1">
      <alignment horizontal="center" vertical="center" wrapText="1"/>
    </xf>
    <xf numFmtId="0" fontId="28" fillId="3" borderId="99" xfId="2" applyFont="1" applyFill="1" applyBorder="1" applyAlignment="1">
      <alignment horizontal="left" vertical="center" wrapText="1"/>
    </xf>
    <xf numFmtId="0" fontId="28" fillId="3" borderId="100" xfId="2" applyFont="1" applyFill="1" applyBorder="1" applyAlignment="1">
      <alignment horizontal="left" vertical="center" wrapText="1"/>
    </xf>
    <xf numFmtId="0" fontId="28" fillId="3" borderId="101" xfId="2" applyFont="1" applyFill="1" applyBorder="1" applyAlignment="1">
      <alignment horizontal="left" vertical="center" wrapText="1"/>
    </xf>
    <xf numFmtId="0" fontId="34" fillId="0" borderId="70" xfId="2" applyFont="1" applyBorder="1" applyAlignment="1">
      <alignment horizontal="left" vertical="center" wrapText="1" shrinkToFit="1"/>
    </xf>
    <xf numFmtId="0" fontId="34" fillId="0" borderId="72" xfId="2" applyFont="1" applyBorder="1" applyAlignment="1">
      <alignment horizontal="left" vertical="center" wrapText="1" shrinkToFit="1"/>
    </xf>
    <xf numFmtId="0" fontId="34" fillId="2" borderId="103" xfId="2" applyFont="1" applyFill="1" applyBorder="1" applyAlignment="1">
      <alignment horizontal="left" vertical="center" wrapText="1"/>
    </xf>
    <xf numFmtId="0" fontId="34" fillId="2" borderId="92" xfId="2" applyFont="1" applyFill="1" applyBorder="1" applyAlignment="1">
      <alignment horizontal="left" vertical="center" wrapText="1"/>
    </xf>
    <xf numFmtId="0" fontId="34" fillId="2" borderId="93" xfId="2" applyFont="1" applyFill="1" applyBorder="1" applyAlignment="1">
      <alignment horizontal="left" vertical="center" wrapText="1"/>
    </xf>
    <xf numFmtId="0" fontId="34" fillId="2" borderId="75" xfId="2" applyFont="1" applyFill="1" applyBorder="1" applyAlignment="1">
      <alignment horizontal="left" vertical="center" wrapText="1"/>
    </xf>
    <xf numFmtId="0" fontId="34" fillId="2" borderId="0" xfId="2" applyFont="1" applyFill="1" applyAlignment="1">
      <alignment horizontal="left" vertical="center" wrapText="1"/>
    </xf>
    <xf numFmtId="0" fontId="34" fillId="2" borderId="78" xfId="2" applyFont="1" applyFill="1" applyBorder="1" applyAlignment="1">
      <alignment horizontal="left" vertical="center" wrapText="1"/>
    </xf>
    <xf numFmtId="0" fontId="34" fillId="2" borderId="45" xfId="2" applyFont="1" applyFill="1" applyBorder="1" applyAlignment="1">
      <alignment horizontal="left" vertical="center" wrapText="1"/>
    </xf>
    <xf numFmtId="0" fontId="34" fillId="2" borderId="94" xfId="2" applyFont="1" applyFill="1" applyBorder="1" applyAlignment="1">
      <alignment horizontal="left" vertical="center" wrapText="1"/>
    </xf>
    <xf numFmtId="0" fontId="34" fillId="2" borderId="95" xfId="2" applyFont="1" applyFill="1" applyBorder="1" applyAlignment="1">
      <alignment horizontal="left" vertical="center" wrapText="1"/>
    </xf>
    <xf numFmtId="0" fontId="35" fillId="0" borderId="73" xfId="2" applyFont="1" applyBorder="1" applyAlignment="1">
      <alignment horizontal="left" vertical="center" wrapText="1" shrinkToFit="1"/>
    </xf>
    <xf numFmtId="0" fontId="35" fillId="0" borderId="74" xfId="2" applyFont="1" applyBorder="1" applyAlignment="1">
      <alignment horizontal="left" vertical="center" wrapText="1" shrinkToFit="1"/>
    </xf>
    <xf numFmtId="0" fontId="35" fillId="0" borderId="85" xfId="2" applyFont="1" applyBorder="1" applyAlignment="1">
      <alignment horizontal="left" vertical="center" wrapText="1" shrinkToFit="1"/>
    </xf>
    <xf numFmtId="0" fontId="35" fillId="0" borderId="51" xfId="2" applyFont="1" applyBorder="1" applyAlignment="1">
      <alignment horizontal="left" vertical="center" wrapText="1" shrinkToFit="1"/>
    </xf>
    <xf numFmtId="0" fontId="32" fillId="0" borderId="43" xfId="2" applyFont="1" applyBorder="1" applyAlignment="1">
      <alignment horizontal="left" vertical="center" wrapText="1"/>
    </xf>
    <xf numFmtId="0" fontId="32" fillId="0" borderId="26" xfId="2" applyFont="1" applyBorder="1" applyAlignment="1">
      <alignment horizontal="left" vertical="center" wrapText="1"/>
    </xf>
    <xf numFmtId="0" fontId="29" fillId="0" borderId="168" xfId="2" applyFont="1" applyBorder="1" applyAlignment="1">
      <alignment horizontal="left" vertical="center" wrapText="1"/>
    </xf>
    <xf numFmtId="0" fontId="29" fillId="0" borderId="30" xfId="2" applyFont="1" applyBorder="1" applyAlignment="1">
      <alignment horizontal="left" vertical="center" wrapText="1"/>
    </xf>
    <xf numFmtId="0" fontId="29" fillId="0" borderId="31" xfId="2" applyFont="1" applyBorder="1" applyAlignment="1">
      <alignment horizontal="left" vertical="center" wrapText="1"/>
    </xf>
    <xf numFmtId="0" fontId="28" fillId="4" borderId="45" xfId="2" applyFont="1" applyFill="1" applyBorder="1" applyAlignment="1">
      <alignment horizontal="right" vertical="center" wrapText="1"/>
    </xf>
    <xf numFmtId="0" fontId="28" fillId="4" borderId="46" xfId="2" applyFont="1" applyFill="1" applyBorder="1" applyAlignment="1">
      <alignment horizontal="right" vertical="center" wrapText="1"/>
    </xf>
    <xf numFmtId="0" fontId="28" fillId="4" borderId="49" xfId="2" applyFont="1" applyFill="1" applyBorder="1" applyAlignment="1">
      <alignment horizontal="right" vertical="center" wrapText="1"/>
    </xf>
    <xf numFmtId="0" fontId="28" fillId="4" borderId="50" xfId="2" applyFont="1" applyFill="1" applyBorder="1" applyAlignment="1">
      <alignment horizontal="right" vertical="center" wrapText="1"/>
    </xf>
    <xf numFmtId="0" fontId="34" fillId="3" borderId="89" xfId="2" applyFont="1" applyFill="1" applyBorder="1" applyAlignment="1">
      <alignment horizontal="left" vertical="center" wrapText="1" shrinkToFit="1"/>
    </xf>
    <xf numFmtId="0" fontId="34" fillId="3" borderId="106" xfId="2" applyFont="1" applyFill="1" applyBorder="1" applyAlignment="1">
      <alignment horizontal="left" vertical="center" wrapText="1" shrinkToFit="1"/>
    </xf>
    <xf numFmtId="0" fontId="34" fillId="3" borderId="103" xfId="2" applyFont="1" applyFill="1" applyBorder="1" applyAlignment="1">
      <alignment horizontal="left" vertical="center" wrapText="1"/>
    </xf>
    <xf numFmtId="0" fontId="34" fillId="3" borderId="92" xfId="2" applyFont="1" applyFill="1" applyBorder="1" applyAlignment="1">
      <alignment horizontal="left" vertical="center" wrapText="1"/>
    </xf>
    <xf numFmtId="0" fontId="34" fillId="3" borderId="93" xfId="2" applyFont="1" applyFill="1" applyBorder="1" applyAlignment="1">
      <alignment horizontal="left" vertical="center" wrapText="1"/>
    </xf>
    <xf numFmtId="0" fontId="34" fillId="3" borderId="75" xfId="2" applyFont="1" applyFill="1" applyBorder="1" applyAlignment="1">
      <alignment horizontal="left" vertical="center" wrapText="1"/>
    </xf>
    <xf numFmtId="0" fontId="34" fillId="3" borderId="0" xfId="2" applyFont="1" applyFill="1" applyAlignment="1">
      <alignment horizontal="left" vertical="center" wrapText="1"/>
    </xf>
    <xf numFmtId="0" fontId="34" fillId="3" borderId="78" xfId="2" applyFont="1" applyFill="1" applyBorder="1" applyAlignment="1">
      <alignment horizontal="left" vertical="center" wrapText="1"/>
    </xf>
    <xf numFmtId="0" fontId="34" fillId="3" borderId="45" xfId="2" applyFont="1" applyFill="1" applyBorder="1" applyAlignment="1">
      <alignment horizontal="left" vertical="center" wrapText="1"/>
    </xf>
    <xf numFmtId="0" fontId="34" fillId="3" borderId="94" xfId="2" applyFont="1" applyFill="1" applyBorder="1" applyAlignment="1">
      <alignment horizontal="left" vertical="center" wrapText="1"/>
    </xf>
    <xf numFmtId="0" fontId="34" fillId="3" borderId="95" xfId="2" applyFont="1" applyFill="1" applyBorder="1" applyAlignment="1">
      <alignment horizontal="left" vertical="center" wrapText="1"/>
    </xf>
    <xf numFmtId="0" fontId="35" fillId="3" borderId="77" xfId="2" applyFont="1" applyFill="1" applyBorder="1" applyAlignment="1">
      <alignment horizontal="left" vertical="center" wrapText="1" shrinkToFit="1"/>
    </xf>
    <xf numFmtId="0" fontId="35" fillId="3" borderId="105" xfId="2" applyFont="1" applyFill="1" applyBorder="1" applyAlignment="1">
      <alignment horizontal="left" vertical="center" wrapText="1" shrinkToFit="1"/>
    </xf>
    <xf numFmtId="0" fontId="35" fillId="3" borderId="87" xfId="2" applyFont="1" applyFill="1" applyBorder="1" applyAlignment="1">
      <alignment horizontal="left" vertical="center" wrapText="1" shrinkToFit="1"/>
    </xf>
    <xf numFmtId="0" fontId="35" fillId="3" borderId="107" xfId="2" applyFont="1" applyFill="1" applyBorder="1" applyAlignment="1">
      <alignment horizontal="left" vertical="center" wrapText="1" shrinkToFit="1"/>
    </xf>
    <xf numFmtId="0" fontId="35" fillId="9" borderId="73" xfId="2" applyFont="1" applyFill="1" applyBorder="1" applyAlignment="1">
      <alignment horizontal="left" vertical="center" wrapText="1" shrinkToFit="1"/>
    </xf>
    <xf numFmtId="0" fontId="35" fillId="9" borderId="74" xfId="2" applyFont="1" applyFill="1" applyBorder="1" applyAlignment="1">
      <alignment horizontal="left" vertical="center" wrapText="1" shrinkToFit="1"/>
    </xf>
    <xf numFmtId="0" fontId="35" fillId="9" borderId="77" xfId="2" applyFont="1" applyFill="1" applyBorder="1" applyAlignment="1">
      <alignment horizontal="left" vertical="center" wrapText="1" shrinkToFit="1"/>
    </xf>
    <xf numFmtId="0" fontId="35" fillId="9" borderId="105" xfId="2" applyFont="1" applyFill="1" applyBorder="1" applyAlignment="1">
      <alignment horizontal="left" vertical="center" wrapText="1" shrinkToFit="1"/>
    </xf>
    <xf numFmtId="0" fontId="34" fillId="0" borderId="89" xfId="2" applyFont="1" applyBorder="1" applyAlignment="1">
      <alignment horizontal="left" vertical="center" wrapText="1" shrinkToFit="1"/>
    </xf>
    <xf numFmtId="0" fontId="34" fillId="0" borderId="106" xfId="2" applyFont="1" applyBorder="1" applyAlignment="1">
      <alignment horizontal="left" vertical="center" wrapText="1" shrinkToFit="1"/>
    </xf>
    <xf numFmtId="0" fontId="35" fillId="0" borderId="77" xfId="2" applyFont="1" applyBorder="1" applyAlignment="1">
      <alignment horizontal="left" vertical="center" wrapText="1" shrinkToFit="1"/>
    </xf>
    <xf numFmtId="0" fontId="35" fillId="0" borderId="105" xfId="2" applyFont="1" applyBorder="1" applyAlignment="1">
      <alignment horizontal="left" vertical="center" wrapText="1" shrinkToFit="1"/>
    </xf>
    <xf numFmtId="0" fontId="35" fillId="0" borderId="87" xfId="2" applyFont="1" applyBorder="1" applyAlignment="1">
      <alignment horizontal="left" vertical="center" wrapText="1" shrinkToFit="1"/>
    </xf>
    <xf numFmtId="0" fontId="35" fillId="0" borderId="107" xfId="2" applyFont="1" applyBorder="1" applyAlignment="1">
      <alignment horizontal="left" vertical="center" wrapText="1" shrinkToFit="1"/>
    </xf>
    <xf numFmtId="0" fontId="35" fillId="3" borderId="104" xfId="2" applyFont="1" applyFill="1" applyBorder="1" applyAlignment="1">
      <alignment horizontal="left" vertical="center" wrapText="1" shrinkToFit="1"/>
    </xf>
    <xf numFmtId="0" fontId="34" fillId="2" borderId="103" xfId="2" applyFont="1" applyFill="1" applyBorder="1" applyAlignment="1">
      <alignment vertical="center" wrapText="1"/>
    </xf>
    <xf numFmtId="0" fontId="34" fillId="2" borderId="92" xfId="2" applyFont="1" applyFill="1" applyBorder="1" applyAlignment="1">
      <alignment vertical="center" wrapText="1"/>
    </xf>
    <xf numFmtId="0" fontId="34" fillId="2" borderId="93" xfId="2" applyFont="1" applyFill="1" applyBorder="1" applyAlignment="1">
      <alignment vertical="center" wrapText="1"/>
    </xf>
    <xf numFmtId="0" fontId="34" fillId="2" borderId="75" xfId="2" applyFont="1" applyFill="1" applyBorder="1" applyAlignment="1">
      <alignment vertical="center" wrapText="1"/>
    </xf>
    <xf numFmtId="0" fontId="34" fillId="2" borderId="0" xfId="2" applyFont="1" applyFill="1" applyAlignment="1">
      <alignment vertical="center" wrapText="1"/>
    </xf>
    <xf numFmtId="0" fontId="34" fillId="2" borderId="78" xfId="2" applyFont="1" applyFill="1" applyBorder="1" applyAlignment="1">
      <alignment vertical="center" wrapText="1"/>
    </xf>
    <xf numFmtId="0" fontId="34" fillId="2" borderId="45" xfId="2" applyFont="1" applyFill="1" applyBorder="1" applyAlignment="1">
      <alignment vertical="center" wrapText="1"/>
    </xf>
    <xf numFmtId="0" fontId="34" fillId="2" borderId="94" xfId="2" applyFont="1" applyFill="1" applyBorder="1" applyAlignment="1">
      <alignment vertical="center" wrapText="1"/>
    </xf>
    <xf numFmtId="0" fontId="34" fillId="2" borderId="95" xfId="2" applyFont="1" applyFill="1" applyBorder="1" applyAlignment="1">
      <alignment vertical="center" wrapText="1"/>
    </xf>
    <xf numFmtId="0" fontId="34" fillId="3" borderId="75" xfId="2" applyFont="1" applyFill="1" applyBorder="1" applyAlignment="1">
      <alignment horizontal="left" vertical="center" wrapText="1" shrinkToFit="1"/>
    </xf>
    <xf numFmtId="0" fontId="34" fillId="3" borderId="0" xfId="2" applyFont="1" applyFill="1" applyAlignment="1">
      <alignment horizontal="left" vertical="center" wrapText="1" shrinkToFit="1"/>
    </xf>
    <xf numFmtId="0" fontId="35" fillId="3" borderId="19" xfId="2" applyFont="1" applyFill="1" applyBorder="1" applyAlignment="1">
      <alignment horizontal="left" vertical="center" wrapText="1" shrinkToFit="1"/>
    </xf>
    <xf numFmtId="0" fontId="34" fillId="0" borderId="70" xfId="2" quotePrefix="1" applyFont="1" applyBorder="1" applyAlignment="1">
      <alignment horizontal="left" vertical="center" wrapText="1" shrinkToFit="1"/>
    </xf>
    <xf numFmtId="0" fontId="28" fillId="4" borderId="98" xfId="2" applyFont="1" applyFill="1" applyBorder="1" applyAlignment="1">
      <alignment horizontal="right" vertical="center" wrapText="1"/>
    </xf>
    <xf numFmtId="0" fontId="28" fillId="3" borderId="32" xfId="2" applyFont="1" applyFill="1" applyBorder="1" applyAlignment="1">
      <alignment horizontal="center" vertical="center" wrapText="1"/>
    </xf>
    <xf numFmtId="0" fontId="29" fillId="0" borderId="28" xfId="2" applyFont="1" applyBorder="1" applyAlignment="1">
      <alignment vertical="center" wrapText="1"/>
    </xf>
    <xf numFmtId="0" fontId="29" fillId="0" borderId="29" xfId="2" applyFont="1" applyBorder="1" applyAlignment="1">
      <alignment vertical="center" wrapText="1"/>
    </xf>
    <xf numFmtId="10" fontId="28" fillId="0" borderId="82" xfId="1" applyNumberFormat="1" applyFont="1" applyFill="1" applyBorder="1" applyAlignment="1">
      <alignment horizontal="center" vertical="center" wrapText="1"/>
    </xf>
    <xf numFmtId="0" fontId="32" fillId="0" borderId="168" xfId="2" applyFont="1" applyBorder="1" applyAlignment="1">
      <alignment vertical="center" wrapText="1"/>
    </xf>
    <xf numFmtId="0" fontId="32" fillId="0" borderId="30" xfId="2" applyFont="1" applyBorder="1" applyAlignment="1">
      <alignment vertical="center" wrapText="1"/>
    </xf>
    <xf numFmtId="0" fontId="32" fillId="0" borderId="31" xfId="2" applyFont="1" applyBorder="1" applyAlignment="1">
      <alignment vertical="center" wrapText="1"/>
    </xf>
    <xf numFmtId="0" fontId="32" fillId="0" borderId="59" xfId="2" applyFont="1" applyBorder="1" applyAlignment="1">
      <alignment vertical="center" wrapText="1"/>
    </xf>
    <xf numFmtId="0" fontId="32" fillId="0" borderId="27" xfId="2" applyFont="1" applyBorder="1" applyAlignment="1">
      <alignment vertical="center" wrapText="1"/>
    </xf>
    <xf numFmtId="0" fontId="29" fillId="0" borderId="59" xfId="2" applyFont="1" applyBorder="1" applyAlignment="1">
      <alignment vertical="center" wrapText="1"/>
    </xf>
    <xf numFmtId="0" fontId="29" fillId="0" borderId="27" xfId="2" applyFont="1" applyBorder="1" applyAlignment="1">
      <alignment vertical="center" wrapText="1"/>
    </xf>
    <xf numFmtId="0" fontId="32" fillId="0" borderId="169" xfId="2" applyFont="1" applyBorder="1" applyAlignment="1">
      <alignment horizontal="left" vertical="center" wrapText="1"/>
    </xf>
    <xf numFmtId="0" fontId="32" fillId="0" borderId="31" xfId="2" applyFont="1" applyBorder="1" applyAlignment="1">
      <alignment horizontal="left" vertical="center" wrapText="1"/>
    </xf>
    <xf numFmtId="0" fontId="29" fillId="5" borderId="167" xfId="2" applyFont="1" applyFill="1" applyBorder="1" applyAlignment="1">
      <alignment horizontal="center" vertical="center" wrapText="1"/>
    </xf>
    <xf numFmtId="0" fontId="27" fillId="3" borderId="189" xfId="2" applyFont="1" applyFill="1" applyBorder="1" applyAlignment="1">
      <alignment horizontal="center" vertical="center" wrapText="1"/>
    </xf>
    <xf numFmtId="0" fontId="27" fillId="3" borderId="119" xfId="2" applyFont="1" applyFill="1" applyBorder="1" applyAlignment="1">
      <alignment horizontal="center" vertical="center" wrapText="1"/>
    </xf>
    <xf numFmtId="0" fontId="27" fillId="3" borderId="190" xfId="2" applyFont="1" applyFill="1" applyBorder="1" applyAlignment="1">
      <alignment horizontal="center" vertical="center" wrapText="1"/>
    </xf>
    <xf numFmtId="0" fontId="27" fillId="3" borderId="191" xfId="2" applyFont="1" applyFill="1" applyBorder="1" applyAlignment="1">
      <alignment horizontal="center" vertical="center" wrapText="1"/>
    </xf>
    <xf numFmtId="14" fontId="29" fillId="0" borderId="97" xfId="0" applyNumberFormat="1" applyFont="1" applyBorder="1" applyAlignment="1">
      <alignment horizontal="center" vertical="center" wrapText="1"/>
    </xf>
    <xf numFmtId="14" fontId="29" fillId="0" borderId="88" xfId="0" applyNumberFormat="1" applyFont="1" applyBorder="1" applyAlignment="1">
      <alignment horizontal="center" vertical="center" wrapText="1"/>
    </xf>
    <xf numFmtId="14" fontId="29" fillId="0" borderId="20" xfId="0" applyNumberFormat="1" applyFont="1" applyBorder="1" applyAlignment="1">
      <alignment horizontal="center" vertical="center" wrapText="1"/>
    </xf>
    <xf numFmtId="14" fontId="29" fillId="0" borderId="21" xfId="0" applyNumberFormat="1" applyFont="1" applyBorder="1" applyAlignment="1">
      <alignment horizontal="center" vertical="center" wrapText="1"/>
    </xf>
    <xf numFmtId="14" fontId="29" fillId="0" borderId="20" xfId="0" applyNumberFormat="1" applyFont="1" applyBorder="1" applyAlignment="1">
      <alignment horizontal="center" vertical="center"/>
    </xf>
    <xf numFmtId="14" fontId="29" fillId="0" borderId="21" xfId="0" applyNumberFormat="1" applyFont="1" applyBorder="1" applyAlignment="1">
      <alignment horizontal="center" vertical="center"/>
    </xf>
    <xf numFmtId="0" fontId="29" fillId="0" borderId="97" xfId="0" applyFont="1" applyBorder="1" applyAlignment="1">
      <alignment horizontal="center" vertical="center"/>
    </xf>
    <xf numFmtId="0" fontId="29" fillId="0" borderId="88" xfId="0" applyFont="1" applyBorder="1" applyAlignment="1">
      <alignment horizontal="center" vertical="center"/>
    </xf>
    <xf numFmtId="0" fontId="21" fillId="0" borderId="70" xfId="2" applyFont="1" applyBorder="1" applyAlignment="1">
      <alignment horizontal="left" vertical="center" wrapText="1" shrinkToFit="1"/>
    </xf>
    <xf numFmtId="0" fontId="21" fillId="0" borderId="72" xfId="2" applyFont="1" applyBorder="1" applyAlignment="1">
      <alignment horizontal="left" vertical="center" wrapText="1" shrinkToFit="1"/>
    </xf>
    <xf numFmtId="0" fontId="21" fillId="2" borderId="103" xfId="2" applyFont="1" applyFill="1" applyBorder="1" applyAlignment="1">
      <alignment horizontal="left" vertical="center" wrapText="1"/>
    </xf>
    <xf numFmtId="0" fontId="21" fillId="2" borderId="92" xfId="2" applyFont="1" applyFill="1" applyBorder="1" applyAlignment="1">
      <alignment horizontal="left" vertical="center" wrapText="1"/>
    </xf>
    <xf numFmtId="0" fontId="21" fillId="2" borderId="93" xfId="2" applyFont="1" applyFill="1" applyBorder="1" applyAlignment="1">
      <alignment horizontal="left" vertical="center" wrapText="1"/>
    </xf>
    <xf numFmtId="0" fontId="21" fillId="2" borderId="75" xfId="2" applyFont="1" applyFill="1" applyBorder="1" applyAlignment="1">
      <alignment horizontal="left" vertical="center" wrapText="1"/>
    </xf>
    <xf numFmtId="0" fontId="21" fillId="2" borderId="0" xfId="2" applyFont="1" applyFill="1" applyAlignment="1">
      <alignment horizontal="left" vertical="center" wrapText="1"/>
    </xf>
    <xf numFmtId="0" fontId="21" fillId="2" borderId="78" xfId="2" applyFont="1" applyFill="1" applyBorder="1" applyAlignment="1">
      <alignment horizontal="left" vertical="center" wrapText="1"/>
    </xf>
    <xf numFmtId="0" fontId="21" fillId="2" borderId="45" xfId="2" applyFont="1" applyFill="1" applyBorder="1" applyAlignment="1">
      <alignment horizontal="left" vertical="center" wrapText="1"/>
    </xf>
    <xf numFmtId="0" fontId="21" fillId="2" borderId="94" xfId="2" applyFont="1" applyFill="1" applyBorder="1" applyAlignment="1">
      <alignment horizontal="left" vertical="center" wrapText="1"/>
    </xf>
    <xf numFmtId="0" fontId="21" fillId="2" borderId="95" xfId="2" applyFont="1" applyFill="1" applyBorder="1" applyAlignment="1">
      <alignment horizontal="left" vertical="center" wrapText="1"/>
    </xf>
    <xf numFmtId="0" fontId="22" fillId="0" borderId="73" xfId="2" applyFont="1" applyBorder="1" applyAlignment="1">
      <alignment horizontal="left" vertical="center" wrapText="1" shrinkToFit="1"/>
    </xf>
    <xf numFmtId="0" fontId="22" fillId="0" borderId="74" xfId="2" applyFont="1" applyBorder="1" applyAlignment="1">
      <alignment horizontal="left" vertical="center" wrapText="1" shrinkToFit="1"/>
    </xf>
    <xf numFmtId="0" fontId="22" fillId="0" borderId="85" xfId="2" applyFont="1" applyBorder="1" applyAlignment="1">
      <alignment horizontal="left" vertical="center" wrapText="1" shrinkToFit="1"/>
    </xf>
    <xf numFmtId="0" fontId="22" fillId="0" borderId="51" xfId="2" applyFont="1" applyBorder="1" applyAlignment="1">
      <alignment horizontal="left" vertical="center" wrapText="1" shrinkToFit="1"/>
    </xf>
    <xf numFmtId="0" fontId="21" fillId="3" borderId="75" xfId="2" applyFont="1" applyFill="1" applyBorder="1" applyAlignment="1">
      <alignment horizontal="left" vertical="center" wrapText="1" shrinkToFit="1"/>
    </xf>
    <xf numFmtId="0" fontId="21" fillId="3" borderId="0" xfId="2" applyFont="1" applyFill="1" applyAlignment="1">
      <alignment horizontal="left" vertical="center" wrapText="1" shrinkToFit="1"/>
    </xf>
    <xf numFmtId="0" fontId="21" fillId="3" borderId="103" xfId="2" applyFont="1" applyFill="1" applyBorder="1" applyAlignment="1">
      <alignment horizontal="left" vertical="center" wrapText="1"/>
    </xf>
    <xf numFmtId="0" fontId="21" fillId="3" borderId="92" xfId="2" applyFont="1" applyFill="1" applyBorder="1" applyAlignment="1">
      <alignment horizontal="left" vertical="center" wrapText="1"/>
    </xf>
    <xf numFmtId="0" fontId="21" fillId="3" borderId="93" xfId="2" applyFont="1" applyFill="1" applyBorder="1" applyAlignment="1">
      <alignment horizontal="left" vertical="center" wrapText="1"/>
    </xf>
    <xf numFmtId="0" fontId="21" fillId="3" borderId="75" xfId="2" applyFont="1" applyFill="1" applyBorder="1" applyAlignment="1">
      <alignment horizontal="left" vertical="center" wrapText="1"/>
    </xf>
    <xf numFmtId="0" fontId="21" fillId="3" borderId="0" xfId="2" applyFont="1" applyFill="1" applyAlignment="1">
      <alignment horizontal="left" vertical="center" wrapText="1"/>
    </xf>
    <xf numFmtId="0" fontId="21" fillId="3" borderId="78" xfId="2" applyFont="1" applyFill="1" applyBorder="1" applyAlignment="1">
      <alignment horizontal="left" vertical="center" wrapText="1"/>
    </xf>
    <xf numFmtId="0" fontId="21" fillId="3" borderId="45" xfId="2" applyFont="1" applyFill="1" applyBorder="1" applyAlignment="1">
      <alignment horizontal="left" vertical="center" wrapText="1"/>
    </xf>
    <xf numFmtId="0" fontId="21" fillId="3" borderId="94" xfId="2" applyFont="1" applyFill="1" applyBorder="1" applyAlignment="1">
      <alignment horizontal="left" vertical="center" wrapText="1"/>
    </xf>
    <xf numFmtId="0" fontId="21" fillId="3" borderId="95" xfId="2" applyFont="1" applyFill="1" applyBorder="1" applyAlignment="1">
      <alignment horizontal="left" vertical="center" wrapText="1"/>
    </xf>
    <xf numFmtId="0" fontId="22" fillId="3" borderId="77" xfId="2" applyFont="1" applyFill="1" applyBorder="1" applyAlignment="1">
      <alignment horizontal="left" vertical="center" wrapText="1" shrinkToFit="1"/>
    </xf>
    <xf numFmtId="0" fontId="22" fillId="3" borderId="19" xfId="2" applyFont="1" applyFill="1" applyBorder="1" applyAlignment="1">
      <alignment horizontal="left" vertical="center" wrapText="1" shrinkToFit="1"/>
    </xf>
    <xf numFmtId="0" fontId="22" fillId="3" borderId="87" xfId="2" applyFont="1" applyFill="1" applyBorder="1" applyAlignment="1">
      <alignment horizontal="left" vertical="center" wrapText="1" shrinkToFit="1"/>
    </xf>
    <xf numFmtId="0" fontId="22" fillId="3" borderId="104" xfId="2" applyFont="1" applyFill="1" applyBorder="1" applyAlignment="1">
      <alignment horizontal="left" vertical="center" wrapText="1" shrinkToFit="1"/>
    </xf>
    <xf numFmtId="0" fontId="12" fillId="0" borderId="27" xfId="2" applyFont="1" applyBorder="1" applyAlignment="1">
      <alignment horizontal="left" vertical="center" wrapText="1"/>
    </xf>
    <xf numFmtId="0" fontId="12" fillId="0" borderId="12" xfId="2" applyFont="1" applyBorder="1" applyAlignment="1">
      <alignment horizontal="left" vertical="center" wrapText="1"/>
    </xf>
    <xf numFmtId="0" fontId="25" fillId="0" borderId="39" xfId="2" applyFont="1" applyBorder="1" applyAlignment="1">
      <alignment horizontal="left" vertical="center" wrapText="1"/>
    </xf>
    <xf numFmtId="0" fontId="25" fillId="0" borderId="12" xfId="2" applyFont="1" applyBorder="1" applyAlignment="1">
      <alignment horizontal="left" vertical="center" wrapText="1"/>
    </xf>
    <xf numFmtId="0" fontId="25" fillId="0" borderId="27" xfId="2" applyFont="1" applyBorder="1" applyAlignment="1">
      <alignment horizontal="left" vertical="center" wrapText="1"/>
    </xf>
    <xf numFmtId="0" fontId="21" fillId="3" borderId="89" xfId="2" applyFont="1" applyFill="1" applyBorder="1" applyAlignment="1">
      <alignment horizontal="left" vertical="center" wrapText="1" shrinkToFit="1"/>
    </xf>
    <xf numFmtId="0" fontId="21" fillId="3" borderId="106" xfId="2" applyFont="1" applyFill="1" applyBorder="1" applyAlignment="1">
      <alignment horizontal="left" vertical="center" wrapText="1" shrinkToFit="1"/>
    </xf>
    <xf numFmtId="0" fontId="22" fillId="3" borderId="105" xfId="2" applyFont="1" applyFill="1" applyBorder="1" applyAlignment="1">
      <alignment horizontal="left" vertical="center" wrapText="1" shrinkToFit="1"/>
    </xf>
    <xf numFmtId="0" fontId="22" fillId="3" borderId="107" xfId="2" applyFont="1" applyFill="1" applyBorder="1" applyAlignment="1">
      <alignment horizontal="left" vertical="center" wrapText="1" shrinkToFit="1"/>
    </xf>
    <xf numFmtId="0" fontId="21" fillId="2" borderId="103" xfId="2" applyFont="1" applyFill="1" applyBorder="1" applyAlignment="1">
      <alignment vertical="center" wrapText="1"/>
    </xf>
    <xf numFmtId="0" fontId="21" fillId="2" borderId="92" xfId="2" applyFont="1" applyFill="1" applyBorder="1" applyAlignment="1">
      <alignment vertical="center" wrapText="1"/>
    </xf>
    <xf numFmtId="0" fontId="21" fillId="2" borderId="93" xfId="2" applyFont="1" applyFill="1" applyBorder="1" applyAlignment="1">
      <alignment vertical="center" wrapText="1"/>
    </xf>
    <xf numFmtId="0" fontId="21" fillId="2" borderId="75" xfId="2" applyFont="1" applyFill="1" applyBorder="1" applyAlignment="1">
      <alignment vertical="center" wrapText="1"/>
    </xf>
    <xf numFmtId="0" fontId="21" fillId="2" borderId="0" xfId="2" applyFont="1" applyFill="1" applyAlignment="1">
      <alignment vertical="center" wrapText="1"/>
    </xf>
    <xf numFmtId="0" fontId="21" fillId="2" borderId="78" xfId="2" applyFont="1" applyFill="1" applyBorder="1" applyAlignment="1">
      <alignment vertical="center" wrapText="1"/>
    </xf>
    <xf numFmtId="0" fontId="21" fillId="2" borderId="45" xfId="2" applyFont="1" applyFill="1" applyBorder="1" applyAlignment="1">
      <alignment vertical="center" wrapText="1"/>
    </xf>
    <xf numFmtId="0" fontId="21" fillId="2" borderId="94" xfId="2" applyFont="1" applyFill="1" applyBorder="1" applyAlignment="1">
      <alignment vertical="center" wrapText="1"/>
    </xf>
    <xf numFmtId="0" fontId="21" fillId="2" borderId="95" xfId="2" applyFont="1" applyFill="1" applyBorder="1" applyAlignment="1">
      <alignment vertical="center" wrapText="1"/>
    </xf>
    <xf numFmtId="0" fontId="21" fillId="0" borderId="70" xfId="2" quotePrefix="1" applyFont="1" applyBorder="1" applyAlignment="1">
      <alignment horizontal="left" vertical="center" wrapText="1" shrinkToFit="1"/>
    </xf>
    <xf numFmtId="0" fontId="21" fillId="0" borderId="89" xfId="2" applyFont="1" applyBorder="1" applyAlignment="1">
      <alignment horizontal="left" vertical="center" wrapText="1" shrinkToFit="1"/>
    </xf>
    <xf numFmtId="0" fontId="21" fillId="0" borderId="106" xfId="2" applyFont="1" applyBorder="1" applyAlignment="1">
      <alignment horizontal="left" vertical="center" wrapText="1" shrinkToFit="1"/>
    </xf>
    <xf numFmtId="0" fontId="22" fillId="0" borderId="77" xfId="2" applyFont="1" applyBorder="1" applyAlignment="1">
      <alignment horizontal="left" vertical="center" wrapText="1" shrinkToFit="1"/>
    </xf>
    <xf numFmtId="0" fontId="22" fillId="0" borderId="105" xfId="2" applyFont="1" applyBorder="1" applyAlignment="1">
      <alignment horizontal="left" vertical="center" wrapText="1" shrinkToFit="1"/>
    </xf>
    <xf numFmtId="0" fontId="22" fillId="0" borderId="87" xfId="2" applyFont="1" applyBorder="1" applyAlignment="1">
      <alignment horizontal="left" vertical="center" wrapText="1" shrinkToFit="1"/>
    </xf>
    <xf numFmtId="0" fontId="22" fillId="0" borderId="107" xfId="2" applyFont="1" applyBorder="1" applyAlignment="1">
      <alignment horizontal="left" vertical="center" wrapText="1" shrinkToFit="1"/>
    </xf>
    <xf numFmtId="0" fontId="16" fillId="3" borderId="99" xfId="2" applyFont="1" applyFill="1" applyBorder="1" applyAlignment="1">
      <alignment horizontal="center" vertical="center" wrapText="1"/>
    </xf>
    <xf numFmtId="0" fontId="16" fillId="3" borderId="101" xfId="2" applyFont="1" applyFill="1" applyBorder="1" applyAlignment="1">
      <alignment horizontal="center" vertical="center" wrapText="1"/>
    </xf>
    <xf numFmtId="0" fontId="16" fillId="3" borderId="99" xfId="2" applyFont="1" applyFill="1" applyBorder="1" applyAlignment="1">
      <alignment horizontal="left" vertical="center" wrapText="1"/>
    </xf>
    <xf numFmtId="0" fontId="16" fillId="3" borderId="100" xfId="2" applyFont="1" applyFill="1" applyBorder="1" applyAlignment="1">
      <alignment horizontal="left" vertical="center" wrapText="1"/>
    </xf>
    <xf numFmtId="0" fontId="16" fillId="3" borderId="101" xfId="2" applyFont="1" applyFill="1" applyBorder="1" applyAlignment="1">
      <alignment horizontal="left" vertical="center" wrapText="1"/>
    </xf>
    <xf numFmtId="0" fontId="12" fillId="0" borderId="59" xfId="2" applyFont="1" applyBorder="1" applyAlignment="1">
      <alignment horizontal="left" vertical="center" wrapText="1"/>
    </xf>
    <xf numFmtId="0" fontId="39" fillId="0" borderId="43" xfId="2" applyFont="1" applyBorder="1" applyAlignment="1">
      <alignment horizontal="left" vertical="center" wrapText="1"/>
    </xf>
    <xf numFmtId="0" fontId="39" fillId="0" borderId="26" xfId="2" applyFont="1" applyBorder="1" applyAlignment="1">
      <alignment horizontal="left" vertical="center" wrapText="1"/>
    </xf>
    <xf numFmtId="0" fontId="12" fillId="0" borderId="168" xfId="2" applyFont="1" applyBorder="1" applyAlignment="1">
      <alignment horizontal="left" vertical="center" wrapText="1"/>
    </xf>
    <xf numFmtId="0" fontId="12" fillId="0" borderId="30" xfId="2" applyFont="1" applyBorder="1" applyAlignment="1">
      <alignment horizontal="left" vertical="center" wrapText="1"/>
    </xf>
    <xf numFmtId="0" fontId="12" fillId="0" borderId="31" xfId="2" applyFont="1" applyBorder="1" applyAlignment="1">
      <alignment horizontal="left" vertical="center" wrapText="1"/>
    </xf>
    <xf numFmtId="0" fontId="11" fillId="4" borderId="45" xfId="2" applyFont="1" applyFill="1" applyBorder="1" applyAlignment="1">
      <alignment horizontal="right" vertical="center" wrapText="1"/>
    </xf>
    <xf numFmtId="0" fontId="11" fillId="4" borderId="46" xfId="2" applyFont="1" applyFill="1" applyBorder="1" applyAlignment="1">
      <alignment horizontal="right" vertical="center" wrapText="1"/>
    </xf>
    <xf numFmtId="0" fontId="11" fillId="4" borderId="49" xfId="2" applyFont="1" applyFill="1" applyBorder="1" applyAlignment="1">
      <alignment horizontal="right" vertical="center" wrapText="1"/>
    </xf>
    <xf numFmtId="0" fontId="11" fillId="4" borderId="50" xfId="2" applyFont="1" applyFill="1" applyBorder="1" applyAlignment="1">
      <alignment horizontal="right" vertical="center" wrapText="1"/>
    </xf>
    <xf numFmtId="0" fontId="39" fillId="0" borderId="39" xfId="2" applyFont="1" applyBorder="1" applyAlignment="1">
      <alignment horizontal="left" vertical="center" wrapText="1"/>
    </xf>
    <xf numFmtId="0" fontId="39" fillId="0" borderId="12" xfId="2" applyFont="1" applyBorder="1" applyAlignment="1">
      <alignment horizontal="left" vertical="center" wrapText="1"/>
    </xf>
    <xf numFmtId="0" fontId="25" fillId="0" borderId="59" xfId="2" applyFont="1" applyBorder="1" applyAlignment="1">
      <alignment horizontal="left" vertical="center" wrapText="1"/>
    </xf>
    <xf numFmtId="0" fontId="12" fillId="0" borderId="39" xfId="2" applyFont="1" applyBorder="1" applyAlignment="1">
      <alignment horizontal="left" vertical="center" wrapText="1"/>
    </xf>
    <xf numFmtId="0" fontId="9" fillId="0" borderId="59" xfId="2" applyFont="1" applyBorder="1" applyAlignment="1">
      <alignment horizontal="left" vertical="center" wrapText="1"/>
    </xf>
    <xf numFmtId="0" fontId="9" fillId="0" borderId="27" xfId="2" applyFont="1" applyBorder="1" applyAlignment="1">
      <alignment horizontal="left" vertical="center" wrapText="1"/>
    </xf>
    <xf numFmtId="0" fontId="9" fillId="0" borderId="12" xfId="2" applyFont="1" applyBorder="1" applyAlignment="1">
      <alignment horizontal="left" vertical="center" wrapText="1"/>
    </xf>
    <xf numFmtId="0" fontId="12" fillId="0" borderId="59" xfId="2" applyFont="1" applyBorder="1" applyAlignment="1">
      <alignment vertical="center" wrapText="1"/>
    </xf>
    <xf numFmtId="0" fontId="12" fillId="0" borderId="27" xfId="2" applyFont="1" applyBorder="1" applyAlignment="1">
      <alignment vertical="center" wrapText="1"/>
    </xf>
    <xf numFmtId="0" fontId="12" fillId="0" borderId="12" xfId="2" applyFont="1" applyBorder="1" applyAlignment="1">
      <alignment vertical="center" wrapText="1"/>
    </xf>
    <xf numFmtId="0" fontId="25" fillId="0" borderId="59" xfId="2" applyFont="1" applyBorder="1" applyAlignment="1">
      <alignment vertical="center" wrapText="1"/>
    </xf>
    <xf numFmtId="0" fontId="25" fillId="0" borderId="27" xfId="2" applyFont="1" applyBorder="1" applyAlignment="1">
      <alignment vertical="center" wrapText="1"/>
    </xf>
    <xf numFmtId="0" fontId="25" fillId="0" borderId="12" xfId="2" applyFont="1" applyBorder="1" applyAlignment="1">
      <alignment vertical="center" wrapText="1"/>
    </xf>
    <xf numFmtId="0" fontId="11" fillId="3" borderId="32" xfId="2" applyFont="1" applyFill="1" applyBorder="1" applyAlignment="1">
      <alignment horizontal="center" vertical="center" wrapText="1"/>
    </xf>
    <xf numFmtId="0" fontId="11" fillId="3" borderId="33" xfId="2" applyFont="1" applyFill="1" applyBorder="1" applyAlignment="1">
      <alignment horizontal="center" vertical="center" wrapText="1"/>
    </xf>
    <xf numFmtId="0" fontId="11" fillId="3" borderId="35" xfId="2" applyFont="1" applyFill="1" applyBorder="1" applyAlignment="1">
      <alignment horizontal="center" vertical="center" wrapText="1"/>
    </xf>
    <xf numFmtId="0" fontId="25" fillId="0" borderId="28" xfId="2" applyFont="1" applyBorder="1" applyAlignment="1">
      <alignment vertical="center" wrapText="1"/>
    </xf>
    <xf numFmtId="0" fontId="25" fillId="0" borderId="29" xfId="2" applyFont="1" applyBorder="1" applyAlignment="1">
      <alignment vertical="center" wrapText="1"/>
    </xf>
    <xf numFmtId="0" fontId="12" fillId="5" borderId="164" xfId="2" applyFont="1" applyFill="1" applyBorder="1" applyAlignment="1">
      <alignment horizontal="center" vertical="center" wrapText="1"/>
    </xf>
    <xf numFmtId="0" fontId="12" fillId="5" borderId="165" xfId="2" applyFont="1" applyFill="1" applyBorder="1" applyAlignment="1">
      <alignment horizontal="center" vertical="center" wrapText="1"/>
    </xf>
    <xf numFmtId="0" fontId="12" fillId="5" borderId="167" xfId="2" applyFont="1" applyFill="1" applyBorder="1" applyAlignment="1">
      <alignment horizontal="center" vertical="center" wrapText="1"/>
    </xf>
    <xf numFmtId="0" fontId="12" fillId="5" borderId="174" xfId="2" applyFont="1" applyFill="1" applyBorder="1" applyAlignment="1">
      <alignment horizontal="center" vertical="center" wrapText="1"/>
    </xf>
    <xf numFmtId="0" fontId="12" fillId="5" borderId="0" xfId="2" applyFont="1" applyFill="1" applyAlignment="1">
      <alignment horizontal="center" vertical="center" wrapText="1"/>
    </xf>
    <xf numFmtId="0" fontId="12" fillId="5" borderId="173" xfId="2" applyFont="1" applyFill="1" applyBorder="1" applyAlignment="1">
      <alignment horizontal="center" vertical="center" wrapText="1"/>
    </xf>
    <xf numFmtId="0" fontId="12" fillId="0" borderId="175" xfId="2" applyFont="1" applyBorder="1" applyAlignment="1">
      <alignment horizontal="center" vertical="center" wrapText="1"/>
    </xf>
    <xf numFmtId="0" fontId="12" fillId="0" borderId="177" xfId="2" applyFont="1" applyBorder="1" applyAlignment="1">
      <alignment horizontal="center" vertical="center" wrapText="1"/>
    </xf>
    <xf numFmtId="0" fontId="12" fillId="0" borderId="75" xfId="2" applyFont="1" applyBorder="1" applyAlignment="1">
      <alignment horizontal="center" vertical="center" wrapText="1"/>
    </xf>
    <xf numFmtId="0" fontId="12" fillId="0" borderId="178" xfId="2" applyFont="1" applyBorder="1" applyAlignment="1">
      <alignment horizontal="center" vertical="center" wrapText="1"/>
    </xf>
    <xf numFmtId="0" fontId="12" fillId="0" borderId="176" xfId="2" applyFont="1" applyBorder="1" applyAlignment="1">
      <alignment horizontal="center" vertical="center" wrapText="1"/>
    </xf>
    <xf numFmtId="0" fontId="12" fillId="0" borderId="179" xfId="2" applyFont="1" applyBorder="1" applyAlignment="1">
      <alignment horizontal="center" vertical="center" wrapText="1"/>
    </xf>
    <xf numFmtId="0" fontId="25" fillId="0" borderId="30" xfId="2" applyFont="1" applyBorder="1" applyAlignment="1">
      <alignment horizontal="left" vertical="center" wrapText="1"/>
    </xf>
    <xf numFmtId="0" fontId="25" fillId="0" borderId="31" xfId="2" applyFont="1" applyBorder="1" applyAlignment="1">
      <alignment horizontal="left" vertical="center" wrapText="1"/>
    </xf>
    <xf numFmtId="10" fontId="11" fillId="0" borderId="183" xfId="1" applyNumberFormat="1" applyFont="1" applyFill="1" applyBorder="1" applyAlignment="1">
      <alignment horizontal="center" vertical="center" wrapText="1"/>
    </xf>
    <xf numFmtId="10" fontId="11" fillId="0" borderId="184" xfId="1" applyNumberFormat="1" applyFont="1" applyFill="1" applyBorder="1" applyAlignment="1">
      <alignment horizontal="center" vertical="center" wrapText="1"/>
    </xf>
    <xf numFmtId="10" fontId="11" fillId="0" borderId="185" xfId="1" applyNumberFormat="1" applyFont="1" applyFill="1" applyBorder="1" applyAlignment="1">
      <alignment horizontal="center" vertical="center" wrapText="1"/>
    </xf>
    <xf numFmtId="0" fontId="11" fillId="4" borderId="181" xfId="2" applyFont="1" applyFill="1" applyBorder="1" applyAlignment="1">
      <alignment horizontal="center" vertical="center" wrapText="1"/>
    </xf>
    <xf numFmtId="0" fontId="11" fillId="4" borderId="182" xfId="2" applyFont="1" applyFill="1" applyBorder="1" applyAlignment="1">
      <alignment horizontal="center" vertical="center" wrapText="1"/>
    </xf>
    <xf numFmtId="0" fontId="12" fillId="2" borderId="180" xfId="2" applyFont="1" applyFill="1" applyBorder="1" applyAlignment="1">
      <alignment horizontal="center" vertical="center" wrapText="1"/>
    </xf>
    <xf numFmtId="0" fontId="12" fillId="2" borderId="181" xfId="2" applyFont="1" applyFill="1" applyBorder="1" applyAlignment="1">
      <alignment horizontal="center" vertical="center" wrapText="1"/>
    </xf>
    <xf numFmtId="0" fontId="12" fillId="2" borderId="182" xfId="2" applyFont="1" applyFill="1" applyBorder="1" applyAlignment="1">
      <alignment horizontal="center" vertical="center" wrapText="1"/>
    </xf>
    <xf numFmtId="0" fontId="12" fillId="0" borderId="174" xfId="2" applyFont="1" applyBorder="1" applyAlignment="1">
      <alignment horizontal="center" vertical="center" wrapText="1"/>
    </xf>
    <xf numFmtId="0" fontId="12" fillId="0" borderId="0" xfId="2" applyFont="1" applyAlignment="1">
      <alignment horizontal="center" vertical="center" wrapText="1"/>
    </xf>
    <xf numFmtId="0" fontId="12" fillId="0" borderId="173" xfId="2" applyFont="1" applyBorder="1" applyAlignment="1">
      <alignment horizontal="center" vertical="center" wrapText="1"/>
    </xf>
    <xf numFmtId="0" fontId="12" fillId="2" borderId="164" xfId="2" applyFont="1" applyFill="1" applyBorder="1" applyAlignment="1">
      <alignment horizontal="center" vertical="center" wrapText="1"/>
    </xf>
    <xf numFmtId="0" fontId="12" fillId="2" borderId="165" xfId="2" applyFont="1" applyFill="1" applyBorder="1" applyAlignment="1">
      <alignment horizontal="center" vertical="center" wrapText="1"/>
    </xf>
    <xf numFmtId="0" fontId="12" fillId="2" borderId="167" xfId="2" applyFont="1" applyFill="1" applyBorder="1" applyAlignment="1">
      <alignment horizontal="center" vertical="center" wrapText="1"/>
    </xf>
    <xf numFmtId="0" fontId="12" fillId="2" borderId="174" xfId="2" applyFont="1" applyFill="1" applyBorder="1" applyAlignment="1">
      <alignment horizontal="center" vertical="center" wrapText="1"/>
    </xf>
    <xf numFmtId="0" fontId="12" fillId="2" borderId="0" xfId="2" applyFont="1" applyFill="1" applyAlignment="1">
      <alignment horizontal="center" vertical="center" wrapText="1"/>
    </xf>
    <xf numFmtId="0" fontId="12" fillId="2" borderId="173" xfId="2" applyFont="1" applyFill="1" applyBorder="1" applyAlignment="1">
      <alignment horizontal="center" vertical="center" wrapText="1"/>
    </xf>
    <xf numFmtId="0" fontId="25" fillId="0" borderId="28" xfId="2" applyFont="1" applyBorder="1" applyAlignment="1">
      <alignment horizontal="left" vertical="center" wrapText="1"/>
    </xf>
    <xf numFmtId="0" fontId="25" fillId="0" borderId="29" xfId="2" applyFont="1" applyBorder="1" applyAlignment="1">
      <alignment horizontal="left" vertical="center" wrapText="1"/>
    </xf>
    <xf numFmtId="0" fontId="12" fillId="0" borderId="14" xfId="2" applyFont="1" applyBorder="1" applyAlignment="1">
      <alignment horizontal="center" vertical="center" wrapText="1"/>
    </xf>
    <xf numFmtId="0" fontId="12" fillId="2" borderId="14" xfId="2" applyFont="1" applyFill="1" applyBorder="1" applyAlignment="1">
      <alignment horizontal="center" vertical="center" wrapText="1"/>
    </xf>
    <xf numFmtId="0" fontId="11" fillId="4" borderId="186" xfId="2" applyFont="1" applyFill="1" applyBorder="1" applyAlignment="1">
      <alignment horizontal="center" vertical="center" wrapText="1"/>
    </xf>
    <xf numFmtId="0" fontId="11" fillId="4" borderId="125" xfId="2" applyFont="1" applyFill="1" applyBorder="1" applyAlignment="1">
      <alignment horizontal="center" vertical="center" wrapText="1"/>
    </xf>
    <xf numFmtId="0" fontId="11" fillId="4" borderId="187" xfId="2" applyFont="1" applyFill="1" applyBorder="1" applyAlignment="1">
      <alignment horizontal="center" vertical="center" wrapText="1"/>
    </xf>
    <xf numFmtId="10" fontId="11" fillId="0" borderId="122" xfId="1" applyNumberFormat="1" applyFont="1" applyFill="1" applyBorder="1" applyAlignment="1">
      <alignment horizontal="center" vertical="center" wrapText="1"/>
    </xf>
    <xf numFmtId="10" fontId="11" fillId="0" borderId="123" xfId="1" applyNumberFormat="1" applyFont="1" applyFill="1" applyBorder="1" applyAlignment="1">
      <alignment horizontal="center" vertical="center" wrapText="1"/>
    </xf>
    <xf numFmtId="10" fontId="11" fillId="0" borderId="124" xfId="1" applyNumberFormat="1" applyFont="1" applyFill="1" applyBorder="1" applyAlignment="1">
      <alignment horizontal="center" vertical="center" wrapText="1"/>
    </xf>
    <xf numFmtId="0" fontId="11" fillId="4" borderId="115" xfId="2" applyFont="1" applyFill="1" applyBorder="1" applyAlignment="1">
      <alignment horizontal="right" vertical="center" wrapText="1"/>
    </xf>
    <xf numFmtId="0" fontId="11" fillId="4" borderId="65" xfId="2" applyFont="1" applyFill="1" applyBorder="1" applyAlignment="1">
      <alignment horizontal="right" vertical="center" wrapText="1"/>
    </xf>
    <xf numFmtId="0" fontId="11" fillId="4" borderId="67" xfId="2" applyFont="1" applyFill="1" applyBorder="1" applyAlignment="1">
      <alignment horizontal="right" vertical="center" wrapText="1"/>
    </xf>
    <xf numFmtId="0" fontId="25" fillId="0" borderId="39" xfId="2" applyFont="1" applyBorder="1" applyAlignment="1">
      <alignment vertical="center" wrapText="1"/>
    </xf>
    <xf numFmtId="0" fontId="12" fillId="0" borderId="39" xfId="2" applyFont="1" applyBorder="1" applyAlignment="1">
      <alignment vertical="center" wrapText="1"/>
    </xf>
    <xf numFmtId="0" fontId="11" fillId="3" borderId="103" xfId="2" applyFont="1" applyFill="1" applyBorder="1" applyAlignment="1">
      <alignment horizontal="center" vertical="center" wrapText="1"/>
    </xf>
    <xf numFmtId="0" fontId="11" fillId="3" borderId="119" xfId="2" applyFont="1" applyFill="1" applyBorder="1" applyAlignment="1">
      <alignment horizontal="center" vertical="center" wrapText="1"/>
    </xf>
    <xf numFmtId="0" fontId="25" fillId="0" borderId="37" xfId="2" applyFont="1" applyBorder="1" applyAlignment="1">
      <alignment horizontal="left" vertical="center" wrapText="1"/>
    </xf>
    <xf numFmtId="0" fontId="25" fillId="0" borderId="7" xfId="2" applyFont="1" applyBorder="1" applyAlignment="1">
      <alignment horizontal="left" vertical="center" wrapText="1"/>
    </xf>
    <xf numFmtId="0" fontId="16" fillId="0" borderId="77" xfId="0" applyFont="1" applyBorder="1" applyAlignment="1">
      <alignment horizontal="left" vertical="center"/>
    </xf>
    <xf numFmtId="0" fontId="16" fillId="0" borderId="21" xfId="0" applyFont="1" applyBorder="1" applyAlignment="1">
      <alignment horizontal="left" vertical="center"/>
    </xf>
    <xf numFmtId="0" fontId="17" fillId="0" borderId="20" xfId="0" applyFont="1" applyBorder="1" applyAlignment="1">
      <alignment horizontal="center" vertical="center"/>
    </xf>
    <xf numFmtId="0" fontId="17" fillId="0" borderId="21" xfId="0" applyFont="1" applyBorder="1" applyAlignment="1">
      <alignment horizontal="center" vertical="center"/>
    </xf>
    <xf numFmtId="18" fontId="17" fillId="0" borderId="20" xfId="0" applyNumberFormat="1" applyFont="1" applyBorder="1" applyAlignment="1">
      <alignment horizontal="center" vertical="center"/>
    </xf>
    <xf numFmtId="18" fontId="17" fillId="0" borderId="21" xfId="0" applyNumberFormat="1" applyFont="1" applyBorder="1" applyAlignment="1">
      <alignment horizontal="center" vertical="center"/>
    </xf>
    <xf numFmtId="165" fontId="17" fillId="0" borderId="20" xfId="0" applyNumberFormat="1" applyFont="1" applyBorder="1" applyAlignment="1">
      <alignment horizontal="center" vertical="center"/>
    </xf>
    <xf numFmtId="165" fontId="17" fillId="0" borderId="21" xfId="0" applyNumberFormat="1" applyFont="1" applyBorder="1" applyAlignment="1">
      <alignment horizontal="center" vertical="center"/>
    </xf>
    <xf numFmtId="0" fontId="16" fillId="0" borderId="77" xfId="2" applyFont="1" applyBorder="1" applyAlignment="1">
      <alignment horizontal="left" vertical="center" wrapText="1"/>
    </xf>
    <xf numFmtId="0" fontId="16" fillId="0" borderId="21" xfId="2" applyFont="1" applyBorder="1" applyAlignment="1">
      <alignment horizontal="left" vertical="center" wrapText="1"/>
    </xf>
    <xf numFmtId="0" fontId="17" fillId="0" borderId="20" xfId="0" applyFont="1" applyBorder="1" applyAlignment="1">
      <alignment horizontal="center" vertical="center" wrapText="1"/>
    </xf>
    <xf numFmtId="0" fontId="17" fillId="0" borderId="21" xfId="0" applyFont="1" applyBorder="1" applyAlignment="1">
      <alignment horizontal="center" vertical="center" wrapText="1"/>
    </xf>
    <xf numFmtId="0" fontId="17" fillId="2" borderId="24" xfId="0" applyFont="1" applyFill="1" applyBorder="1" applyAlignment="1">
      <alignment horizontal="center" vertical="center"/>
    </xf>
    <xf numFmtId="0" fontId="17" fillId="2" borderId="25" xfId="0" applyFont="1" applyFill="1" applyBorder="1" applyAlignment="1">
      <alignment horizontal="center" vertical="center"/>
    </xf>
    <xf numFmtId="0" fontId="15" fillId="3" borderId="75" xfId="2" applyFont="1" applyFill="1" applyBorder="1" applyAlignment="1">
      <alignment horizontal="center" vertical="center" wrapText="1"/>
    </xf>
    <xf numFmtId="0" fontId="15" fillId="3" borderId="23" xfId="2" applyFont="1" applyFill="1" applyBorder="1" applyAlignment="1">
      <alignment horizontal="center" vertical="center" wrapText="1"/>
    </xf>
    <xf numFmtId="0" fontId="15" fillId="3" borderId="22" xfId="2" applyFont="1" applyFill="1" applyBorder="1" applyAlignment="1">
      <alignment horizontal="center" vertical="center" wrapText="1"/>
    </xf>
    <xf numFmtId="0" fontId="15" fillId="3" borderId="6" xfId="2" applyFont="1" applyFill="1" applyBorder="1" applyAlignment="1">
      <alignment horizontal="center" vertical="center" wrapText="1"/>
    </xf>
    <xf numFmtId="0" fontId="15" fillId="3" borderId="76" xfId="2" applyFont="1" applyFill="1" applyBorder="1" applyAlignment="1">
      <alignment horizontal="center" vertical="center" wrapText="1"/>
    </xf>
    <xf numFmtId="0" fontId="39" fillId="0" borderId="39" xfId="2" applyFont="1" applyBorder="1" applyAlignment="1">
      <alignment vertical="center" wrapText="1"/>
    </xf>
    <xf numFmtId="0" fontId="39" fillId="0" borderId="12" xfId="2" applyFont="1" applyBorder="1" applyAlignment="1">
      <alignment vertical="center" wrapText="1"/>
    </xf>
    <xf numFmtId="0" fontId="25" fillId="0" borderId="168" xfId="2" applyFont="1" applyBorder="1" applyAlignment="1">
      <alignment horizontal="left" vertical="center" wrapText="1"/>
    </xf>
    <xf numFmtId="0" fontId="11" fillId="3" borderId="112" xfId="2" applyFont="1" applyFill="1" applyBorder="1" applyAlignment="1">
      <alignment horizontal="center" vertical="center" wrapText="1"/>
    </xf>
    <xf numFmtId="0" fontId="11" fillId="3" borderId="52" xfId="2" applyFont="1" applyFill="1" applyBorder="1" applyAlignment="1">
      <alignment horizontal="center" vertical="center" wrapText="1"/>
    </xf>
    <xf numFmtId="0" fontId="11" fillId="3" borderId="54" xfId="2" applyFont="1" applyFill="1" applyBorder="1" applyAlignment="1">
      <alignment horizontal="center" vertical="center" wrapText="1"/>
    </xf>
    <xf numFmtId="0" fontId="11" fillId="3" borderId="55" xfId="2" applyFont="1" applyFill="1" applyBorder="1" applyAlignment="1">
      <alignment horizontal="center" vertical="center" wrapText="1"/>
    </xf>
    <xf numFmtId="0" fontId="12" fillId="0" borderId="117" xfId="2" applyFont="1" applyBorder="1" applyAlignment="1">
      <alignment horizontal="center" vertical="center" wrapText="1"/>
    </xf>
    <xf numFmtId="0" fontId="12" fillId="0" borderId="15" xfId="2" applyFont="1" applyBorder="1" applyAlignment="1">
      <alignment horizontal="center" vertical="center" wrapText="1"/>
    </xf>
    <xf numFmtId="0" fontId="12" fillId="0" borderId="42" xfId="2" applyFont="1" applyBorder="1" applyAlignment="1">
      <alignment horizontal="center" vertical="center" wrapText="1"/>
    </xf>
    <xf numFmtId="0" fontId="12" fillId="5" borderId="15" xfId="2" applyFont="1" applyFill="1" applyBorder="1" applyAlignment="1">
      <alignment horizontal="center" vertical="center" wrapText="1"/>
    </xf>
    <xf numFmtId="0" fontId="12" fillId="5" borderId="14" xfId="2" applyFont="1" applyFill="1" applyBorder="1" applyAlignment="1">
      <alignment horizontal="center" vertical="center" wrapText="1"/>
    </xf>
    <xf numFmtId="0" fontId="12" fillId="5" borderId="166" xfId="2" applyFont="1" applyFill="1" applyBorder="1" applyAlignment="1">
      <alignment horizontal="center" vertical="center" wrapText="1"/>
    </xf>
    <xf numFmtId="0" fontId="16" fillId="0" borderId="77" xfId="2" applyFont="1" applyBorder="1" applyAlignment="1">
      <alignment horizontal="center" vertical="center" wrapText="1"/>
    </xf>
    <xf numFmtId="0" fontId="16" fillId="0" borderId="21" xfId="2" applyFont="1" applyBorder="1" applyAlignment="1">
      <alignment horizontal="center" vertical="center" wrapText="1"/>
    </xf>
    <xf numFmtId="0" fontId="11" fillId="4" borderId="108" xfId="2" applyFont="1" applyFill="1" applyBorder="1" applyAlignment="1">
      <alignment horizontal="center" vertical="center" wrapText="1"/>
    </xf>
    <xf numFmtId="0" fontId="11" fillId="4" borderId="109" xfId="2" applyFont="1" applyFill="1" applyBorder="1" applyAlignment="1">
      <alignment horizontal="center" vertical="center" wrapText="1"/>
    </xf>
    <xf numFmtId="10" fontId="11" fillId="0" borderId="80" xfId="1" applyNumberFormat="1" applyFont="1" applyFill="1" applyBorder="1" applyAlignment="1">
      <alignment horizontal="center" vertical="center" wrapText="1"/>
    </xf>
    <xf numFmtId="10" fontId="11" fillId="0" borderId="81" xfId="1" applyNumberFormat="1" applyFont="1" applyFill="1" applyBorder="1" applyAlignment="1">
      <alignment horizontal="center" vertical="center" wrapText="1"/>
    </xf>
    <xf numFmtId="0" fontId="11" fillId="4" borderId="98" xfId="2" applyFont="1" applyFill="1" applyBorder="1" applyAlignment="1">
      <alignment horizontal="right" vertical="center" wrapText="1"/>
    </xf>
    <xf numFmtId="0" fontId="15" fillId="3" borderId="189" xfId="2" applyFont="1" applyFill="1" applyBorder="1" applyAlignment="1">
      <alignment horizontal="center" vertical="center" wrapText="1"/>
    </xf>
    <xf numFmtId="0" fontId="15" fillId="3" borderId="119" xfId="2" applyFont="1" applyFill="1" applyBorder="1" applyAlignment="1">
      <alignment horizontal="center" vertical="center" wrapText="1"/>
    </xf>
    <xf numFmtId="0" fontId="15" fillId="3" borderId="190" xfId="2" applyFont="1" applyFill="1" applyBorder="1" applyAlignment="1">
      <alignment horizontal="center" vertical="center" wrapText="1"/>
    </xf>
    <xf numFmtId="0" fontId="15" fillId="3" borderId="191" xfId="2" applyFont="1" applyFill="1" applyBorder="1" applyAlignment="1">
      <alignment horizontal="center" vertical="center" wrapText="1"/>
    </xf>
    <xf numFmtId="14" fontId="17" fillId="0" borderId="20" xfId="0" applyNumberFormat="1" applyFont="1" applyBorder="1" applyAlignment="1">
      <alignment horizontal="center" vertical="center"/>
    </xf>
    <xf numFmtId="14" fontId="17" fillId="0" borderId="21" xfId="0" applyNumberFormat="1" applyFont="1" applyBorder="1" applyAlignment="1">
      <alignment horizontal="center" vertical="center"/>
    </xf>
    <xf numFmtId="0" fontId="47" fillId="0" borderId="70" xfId="2" applyFont="1" applyBorder="1" applyAlignment="1">
      <alignment horizontal="left" vertical="center" wrapText="1" shrinkToFit="1"/>
    </xf>
    <xf numFmtId="0" fontId="47" fillId="0" borderId="72" xfId="2" applyFont="1" applyBorder="1" applyAlignment="1">
      <alignment horizontal="left" vertical="center" wrapText="1" shrinkToFit="1"/>
    </xf>
    <xf numFmtId="0" fontId="47" fillId="2" borderId="103" xfId="2" applyFont="1" applyFill="1" applyBorder="1" applyAlignment="1">
      <alignment horizontal="left" vertical="center" wrapText="1"/>
    </xf>
    <xf numFmtId="0" fontId="47" fillId="2" borderId="92" xfId="2" applyFont="1" applyFill="1" applyBorder="1" applyAlignment="1">
      <alignment horizontal="left" vertical="center" wrapText="1"/>
    </xf>
    <xf numFmtId="0" fontId="47" fillId="2" borderId="93" xfId="2" applyFont="1" applyFill="1" applyBorder="1" applyAlignment="1">
      <alignment horizontal="left" vertical="center" wrapText="1"/>
    </xf>
    <xf numFmtId="0" fontId="47" fillId="2" borderId="75" xfId="2" applyFont="1" applyFill="1" applyBorder="1" applyAlignment="1">
      <alignment horizontal="left" vertical="center" wrapText="1"/>
    </xf>
    <xf numFmtId="0" fontId="47" fillId="2" borderId="0" xfId="2" applyFont="1" applyFill="1" applyAlignment="1">
      <alignment horizontal="left" vertical="center" wrapText="1"/>
    </xf>
    <xf numFmtId="0" fontId="47" fillId="2" borderId="78" xfId="2" applyFont="1" applyFill="1" applyBorder="1" applyAlignment="1">
      <alignment horizontal="left" vertical="center" wrapText="1"/>
    </xf>
    <xf numFmtId="0" fontId="47" fillId="2" borderId="45" xfId="2" applyFont="1" applyFill="1" applyBorder="1" applyAlignment="1">
      <alignment horizontal="left" vertical="center" wrapText="1"/>
    </xf>
    <xf numFmtId="0" fontId="47" fillId="2" borderId="94" xfId="2" applyFont="1" applyFill="1" applyBorder="1" applyAlignment="1">
      <alignment horizontal="left" vertical="center" wrapText="1"/>
    </xf>
    <xf numFmtId="0" fontId="47" fillId="2" borderId="95" xfId="2" applyFont="1" applyFill="1" applyBorder="1" applyAlignment="1">
      <alignment horizontal="left" vertical="center" wrapText="1"/>
    </xf>
    <xf numFmtId="0" fontId="48" fillId="0" borderId="73" xfId="2" applyFont="1" applyBorder="1" applyAlignment="1">
      <alignment horizontal="left" vertical="center" wrapText="1" shrinkToFit="1"/>
    </xf>
    <xf numFmtId="0" fontId="48" fillId="0" borderId="74" xfId="2" applyFont="1" applyBorder="1" applyAlignment="1">
      <alignment horizontal="left" vertical="center" wrapText="1" shrinkToFit="1"/>
    </xf>
    <xf numFmtId="0" fontId="48" fillId="0" borderId="85" xfId="2" applyFont="1" applyBorder="1" applyAlignment="1">
      <alignment horizontal="left" vertical="center" wrapText="1" shrinkToFit="1"/>
    </xf>
    <xf numFmtId="0" fontId="48" fillId="0" borderId="51" xfId="2" applyFont="1" applyBorder="1" applyAlignment="1">
      <alignment horizontal="left" vertical="center" wrapText="1" shrinkToFit="1"/>
    </xf>
    <xf numFmtId="0" fontId="47" fillId="3" borderId="75" xfId="2" applyFont="1" applyFill="1" applyBorder="1" applyAlignment="1">
      <alignment horizontal="left" vertical="center" wrapText="1" shrinkToFit="1"/>
    </xf>
    <xf numFmtId="0" fontId="47" fillId="3" borderId="0" xfId="2" applyFont="1" applyFill="1" applyAlignment="1">
      <alignment horizontal="left" vertical="center" wrapText="1" shrinkToFit="1"/>
    </xf>
    <xf numFmtId="0" fontId="47" fillId="3" borderId="103" xfId="2" applyFont="1" applyFill="1" applyBorder="1" applyAlignment="1">
      <alignment horizontal="left" vertical="center" wrapText="1"/>
    </xf>
    <xf numFmtId="0" fontId="47" fillId="3" borderId="92" xfId="2" applyFont="1" applyFill="1" applyBorder="1" applyAlignment="1">
      <alignment horizontal="left" vertical="center" wrapText="1"/>
    </xf>
    <xf numFmtId="0" fontId="47" fillId="3" borderId="93" xfId="2" applyFont="1" applyFill="1" applyBorder="1" applyAlignment="1">
      <alignment horizontal="left" vertical="center" wrapText="1"/>
    </xf>
    <xf numFmtId="0" fontId="47" fillId="3" borderId="75" xfId="2" applyFont="1" applyFill="1" applyBorder="1" applyAlignment="1">
      <alignment horizontal="left" vertical="center" wrapText="1"/>
    </xf>
    <xf numFmtId="0" fontId="47" fillId="3" borderId="0" xfId="2" applyFont="1" applyFill="1" applyAlignment="1">
      <alignment horizontal="left" vertical="center" wrapText="1"/>
    </xf>
    <xf numFmtId="0" fontId="47" fillId="3" borderId="78" xfId="2" applyFont="1" applyFill="1" applyBorder="1" applyAlignment="1">
      <alignment horizontal="left" vertical="center" wrapText="1"/>
    </xf>
    <xf numFmtId="0" fontId="47" fillId="3" borderId="45" xfId="2" applyFont="1" applyFill="1" applyBorder="1" applyAlignment="1">
      <alignment horizontal="left" vertical="center" wrapText="1"/>
    </xf>
    <xf numFmtId="0" fontId="47" fillId="3" borderId="94" xfId="2" applyFont="1" applyFill="1" applyBorder="1" applyAlignment="1">
      <alignment horizontal="left" vertical="center" wrapText="1"/>
    </xf>
    <xf numFmtId="0" fontId="47" fillId="3" borderId="95" xfId="2" applyFont="1" applyFill="1" applyBorder="1" applyAlignment="1">
      <alignment horizontal="left" vertical="center" wrapText="1"/>
    </xf>
    <xf numFmtId="0" fontId="48" fillId="3" borderId="77" xfId="2" applyFont="1" applyFill="1" applyBorder="1" applyAlignment="1">
      <alignment horizontal="left" vertical="center" wrapText="1" shrinkToFit="1"/>
    </xf>
    <xf numFmtId="0" fontId="48" fillId="3" borderId="19" xfId="2" applyFont="1" applyFill="1" applyBorder="1" applyAlignment="1">
      <alignment horizontal="left" vertical="center" wrapText="1" shrinkToFit="1"/>
    </xf>
    <xf numFmtId="0" fontId="48" fillId="3" borderId="87" xfId="2" applyFont="1" applyFill="1" applyBorder="1" applyAlignment="1">
      <alignment horizontal="left" vertical="center" wrapText="1" shrinkToFit="1"/>
    </xf>
    <xf numFmtId="0" fontId="48" fillId="3" borderId="104" xfId="2" applyFont="1" applyFill="1" applyBorder="1" applyAlignment="1">
      <alignment horizontal="left" vertical="center" wrapText="1" shrinkToFit="1"/>
    </xf>
    <xf numFmtId="0" fontId="47" fillId="3" borderId="89" xfId="2" applyFont="1" applyFill="1" applyBorder="1" applyAlignment="1">
      <alignment horizontal="left" vertical="center" wrapText="1" shrinkToFit="1"/>
    </xf>
    <xf numFmtId="0" fontId="47" fillId="3" borderId="106" xfId="2" applyFont="1" applyFill="1" applyBorder="1" applyAlignment="1">
      <alignment horizontal="left" vertical="center" wrapText="1" shrinkToFit="1"/>
    </xf>
    <xf numFmtId="0" fontId="48" fillId="3" borderId="105" xfId="2" applyFont="1" applyFill="1" applyBorder="1" applyAlignment="1">
      <alignment horizontal="left" vertical="center" wrapText="1" shrinkToFit="1"/>
    </xf>
    <xf numFmtId="0" fontId="48" fillId="3" borderId="107" xfId="2" applyFont="1" applyFill="1" applyBorder="1" applyAlignment="1">
      <alignment horizontal="left" vertical="center" wrapText="1" shrinkToFit="1"/>
    </xf>
    <xf numFmtId="0" fontId="47" fillId="3" borderId="103" xfId="2" applyFont="1" applyFill="1" applyBorder="1" applyAlignment="1">
      <alignment vertical="center" wrapText="1"/>
    </xf>
    <xf numFmtId="0" fontId="47" fillId="3" borderId="92" xfId="2" applyFont="1" applyFill="1" applyBorder="1" applyAlignment="1">
      <alignment vertical="center" wrapText="1"/>
    </xf>
    <xf numFmtId="0" fontId="47" fillId="3" borderId="93" xfId="2" applyFont="1" applyFill="1" applyBorder="1" applyAlignment="1">
      <alignment vertical="center" wrapText="1"/>
    </xf>
    <xf numFmtId="0" fontId="47" fillId="3" borderId="75" xfId="2" applyFont="1" applyFill="1" applyBorder="1" applyAlignment="1">
      <alignment vertical="center" wrapText="1"/>
    </xf>
    <xf numFmtId="0" fontId="47" fillId="3" borderId="0" xfId="2" applyFont="1" applyFill="1" applyAlignment="1">
      <alignment vertical="center" wrapText="1"/>
    </xf>
    <xf numFmtId="0" fontId="47" fillId="3" borderId="78" xfId="2" applyFont="1" applyFill="1" applyBorder="1" applyAlignment="1">
      <alignment vertical="center" wrapText="1"/>
    </xf>
    <xf numFmtId="0" fontId="47" fillId="3" borderId="45" xfId="2" applyFont="1" applyFill="1" applyBorder="1" applyAlignment="1">
      <alignment vertical="center" wrapText="1"/>
    </xf>
    <xf numFmtId="0" fontId="47" fillId="3" borderId="94" xfId="2" applyFont="1" applyFill="1" applyBorder="1" applyAlignment="1">
      <alignment vertical="center" wrapText="1"/>
    </xf>
    <xf numFmtId="0" fontId="47" fillId="3" borderId="95" xfId="2" applyFont="1" applyFill="1" applyBorder="1" applyAlignment="1">
      <alignment vertical="center" wrapText="1"/>
    </xf>
    <xf numFmtId="0" fontId="47" fillId="2" borderId="103" xfId="2" applyFont="1" applyFill="1" applyBorder="1" applyAlignment="1">
      <alignment vertical="center" wrapText="1"/>
    </xf>
    <xf numFmtId="0" fontId="47" fillId="2" borderId="92" xfId="2" applyFont="1" applyFill="1" applyBorder="1" applyAlignment="1">
      <alignment vertical="center" wrapText="1"/>
    </xf>
    <xf numFmtId="0" fontId="47" fillId="2" borderId="93" xfId="2" applyFont="1" applyFill="1" applyBorder="1" applyAlignment="1">
      <alignment vertical="center" wrapText="1"/>
    </xf>
    <xf numFmtId="0" fontId="47" fillId="2" borderId="75" xfId="2" applyFont="1" applyFill="1" applyBorder="1" applyAlignment="1">
      <alignment vertical="center" wrapText="1"/>
    </xf>
    <xf numFmtId="0" fontId="47" fillId="2" borderId="0" xfId="2" applyFont="1" applyFill="1" applyAlignment="1">
      <alignment vertical="center" wrapText="1"/>
    </xf>
    <xf numFmtId="0" fontId="47" fillId="2" borderId="78" xfId="2" applyFont="1" applyFill="1" applyBorder="1" applyAlignment="1">
      <alignment vertical="center" wrapText="1"/>
    </xf>
    <xf numFmtId="0" fontId="47" fillId="2" borderId="45" xfId="2" applyFont="1" applyFill="1" applyBorder="1" applyAlignment="1">
      <alignment vertical="center" wrapText="1"/>
    </xf>
    <xf numFmtId="0" fontId="47" fillId="2" borderId="94" xfId="2" applyFont="1" applyFill="1" applyBorder="1" applyAlignment="1">
      <alignment vertical="center" wrapText="1"/>
    </xf>
    <xf numFmtId="0" fontId="47" fillId="2" borderId="95" xfId="2" applyFont="1" applyFill="1" applyBorder="1" applyAlignment="1">
      <alignment vertical="center" wrapText="1"/>
    </xf>
    <xf numFmtId="0" fontId="47" fillId="0" borderId="70" xfId="2" quotePrefix="1" applyFont="1" applyBorder="1" applyAlignment="1">
      <alignment horizontal="left" vertical="center" wrapText="1" shrinkToFit="1"/>
    </xf>
    <xf numFmtId="0" fontId="47" fillId="0" borderId="89" xfId="2" applyFont="1" applyBorder="1" applyAlignment="1">
      <alignment horizontal="left" vertical="center" wrapText="1" shrinkToFit="1"/>
    </xf>
    <xf numFmtId="0" fontId="47" fillId="0" borderId="106" xfId="2" applyFont="1" applyBorder="1" applyAlignment="1">
      <alignment horizontal="left" vertical="center" wrapText="1" shrinkToFit="1"/>
    </xf>
    <xf numFmtId="0" fontId="48" fillId="0" borderId="77" xfId="2" applyFont="1" applyBorder="1" applyAlignment="1">
      <alignment horizontal="left" vertical="center" wrapText="1" shrinkToFit="1"/>
    </xf>
    <xf numFmtId="0" fontId="48" fillId="0" borderId="105" xfId="2" applyFont="1" applyBorder="1" applyAlignment="1">
      <alignment horizontal="left" vertical="center" wrapText="1" shrinkToFit="1"/>
    </xf>
    <xf numFmtId="0" fontId="48" fillId="0" borderId="87" xfId="2" applyFont="1" applyBorder="1" applyAlignment="1">
      <alignment horizontal="left" vertical="center" wrapText="1" shrinkToFit="1"/>
    </xf>
    <xf numFmtId="0" fontId="48" fillId="0" borderId="107" xfId="2" applyFont="1" applyBorder="1" applyAlignment="1">
      <alignment horizontal="left" vertical="center" wrapText="1" shrinkToFit="1"/>
    </xf>
    <xf numFmtId="0" fontId="42" fillId="4" borderId="45" xfId="2" applyFont="1" applyFill="1" applyBorder="1" applyAlignment="1">
      <alignment horizontal="right" vertical="center" wrapText="1"/>
    </xf>
    <xf numFmtId="0" fontId="42" fillId="4" borderId="46" xfId="2" applyFont="1" applyFill="1" applyBorder="1" applyAlignment="1">
      <alignment horizontal="right" vertical="center" wrapText="1"/>
    </xf>
    <xf numFmtId="0" fontId="42" fillId="4" borderId="49" xfId="2" applyFont="1" applyFill="1" applyBorder="1" applyAlignment="1">
      <alignment horizontal="right" vertical="center" wrapText="1"/>
    </xf>
    <xf numFmtId="0" fontId="42" fillId="4" borderId="50" xfId="2" applyFont="1" applyFill="1" applyBorder="1" applyAlignment="1">
      <alignment horizontal="right" vertical="center" wrapText="1"/>
    </xf>
    <xf numFmtId="0" fontId="42" fillId="3" borderId="99" xfId="2" applyFont="1" applyFill="1" applyBorder="1" applyAlignment="1">
      <alignment horizontal="center" vertical="center" wrapText="1"/>
    </xf>
    <xf numFmtId="0" fontId="42" fillId="3" borderId="101" xfId="2" applyFont="1" applyFill="1" applyBorder="1" applyAlignment="1">
      <alignment horizontal="center" vertical="center" wrapText="1"/>
    </xf>
    <xf numFmtId="0" fontId="42" fillId="3" borderId="99" xfId="2" applyFont="1" applyFill="1" applyBorder="1" applyAlignment="1">
      <alignment horizontal="left" vertical="center" wrapText="1"/>
    </xf>
    <xf numFmtId="0" fontId="42" fillId="3" borderId="100" xfId="2" applyFont="1" applyFill="1" applyBorder="1" applyAlignment="1">
      <alignment horizontal="left" vertical="center" wrapText="1"/>
    </xf>
    <xf numFmtId="0" fontId="42" fillId="3" borderId="101" xfId="2" applyFont="1" applyFill="1" applyBorder="1" applyAlignment="1">
      <alignment horizontal="left" vertical="center" wrapText="1"/>
    </xf>
    <xf numFmtId="0" fontId="45" fillId="0" borderId="39" xfId="2" applyFont="1" applyBorder="1" applyAlignment="1">
      <alignment horizontal="left" vertical="center" wrapText="1"/>
    </xf>
    <xf numFmtId="0" fontId="45" fillId="0" borderId="12" xfId="2" applyFont="1" applyBorder="1" applyAlignment="1">
      <alignment horizontal="left" vertical="center" wrapText="1"/>
    </xf>
    <xf numFmtId="0" fontId="45" fillId="0" borderId="59" xfId="2" applyFont="1" applyBorder="1" applyAlignment="1">
      <alignment vertical="center" wrapText="1"/>
    </xf>
    <xf numFmtId="0" fontId="45" fillId="0" borderId="27" xfId="2" applyFont="1" applyBorder="1" applyAlignment="1">
      <alignment vertical="center" wrapText="1"/>
    </xf>
    <xf numFmtId="0" fontId="45" fillId="0" borderId="12" xfId="2" applyFont="1" applyBorder="1" applyAlignment="1">
      <alignment vertical="center" wrapText="1"/>
    </xf>
    <xf numFmtId="0" fontId="43" fillId="0" borderId="59" xfId="2" applyFont="1" applyBorder="1" applyAlignment="1">
      <alignment vertical="center" wrapText="1"/>
    </xf>
    <xf numFmtId="0" fontId="43" fillId="0" borderId="27" xfId="2" applyFont="1" applyBorder="1" applyAlignment="1">
      <alignment vertical="center" wrapText="1"/>
    </xf>
    <xf numFmtId="0" fontId="43" fillId="0" borderId="12" xfId="2" applyFont="1" applyBorder="1" applyAlignment="1">
      <alignment vertical="center" wrapText="1"/>
    </xf>
    <xf numFmtId="0" fontId="45" fillId="0" borderId="39" xfId="2" applyFont="1" applyBorder="1" applyAlignment="1">
      <alignment vertical="center" wrapText="1"/>
    </xf>
    <xf numFmtId="0" fontId="45" fillId="0" borderId="43" xfId="2" applyFont="1" applyBorder="1" applyAlignment="1">
      <alignment horizontal="left" vertical="center" wrapText="1"/>
    </xf>
    <xf numFmtId="0" fontId="45" fillId="0" borderId="26" xfId="2" applyFont="1" applyBorder="1" applyAlignment="1">
      <alignment horizontal="left" vertical="center" wrapText="1"/>
    </xf>
    <xf numFmtId="0" fontId="45" fillId="0" borderId="168" xfId="2" applyFont="1" applyBorder="1" applyAlignment="1">
      <alignment vertical="center" wrapText="1"/>
    </xf>
    <xf numFmtId="0" fontId="45" fillId="0" borderId="30" xfId="2" applyFont="1" applyBorder="1" applyAlignment="1">
      <alignment vertical="center" wrapText="1"/>
    </xf>
    <xf numFmtId="0" fontId="45" fillId="0" borderId="31" xfId="2" applyFont="1" applyBorder="1" applyAlignment="1">
      <alignment vertical="center" wrapText="1"/>
    </xf>
    <xf numFmtId="0" fontId="45" fillId="0" borderId="205" xfId="2" applyFont="1" applyBorder="1" applyAlignment="1">
      <alignment vertical="center" wrapText="1"/>
    </xf>
    <xf numFmtId="0" fontId="42" fillId="4" borderId="98" xfId="2" applyFont="1" applyFill="1" applyBorder="1" applyAlignment="1">
      <alignment horizontal="right" vertical="center" wrapText="1"/>
    </xf>
    <xf numFmtId="0" fontId="42" fillId="3" borderId="32" xfId="2" applyFont="1" applyFill="1" applyBorder="1" applyAlignment="1">
      <alignment horizontal="center" vertical="center" wrapText="1"/>
    </xf>
    <xf numFmtId="0" fontId="42" fillId="3" borderId="33" xfId="2" applyFont="1" applyFill="1" applyBorder="1" applyAlignment="1">
      <alignment horizontal="center" vertical="center" wrapText="1"/>
    </xf>
    <xf numFmtId="0" fontId="42" fillId="3" borderId="35" xfId="2" applyFont="1" applyFill="1" applyBorder="1" applyAlignment="1">
      <alignment horizontal="center" vertical="center" wrapText="1"/>
    </xf>
    <xf numFmtId="0" fontId="45" fillId="0" borderId="28" xfId="2" applyFont="1" applyBorder="1" applyAlignment="1">
      <alignment vertical="center" wrapText="1"/>
    </xf>
    <xf numFmtId="0" fontId="45" fillId="0" borderId="29" xfId="2" applyFont="1" applyBorder="1" applyAlignment="1">
      <alignment vertical="center" wrapText="1"/>
    </xf>
    <xf numFmtId="0" fontId="42" fillId="4" borderId="181" xfId="2" applyFont="1" applyFill="1" applyBorder="1" applyAlignment="1">
      <alignment horizontal="center" vertical="center" wrapText="1"/>
    </xf>
    <xf numFmtId="0" fontId="42" fillId="4" borderId="182" xfId="2" applyFont="1" applyFill="1" applyBorder="1" applyAlignment="1">
      <alignment horizontal="center" vertical="center" wrapText="1"/>
    </xf>
    <xf numFmtId="10" fontId="42" fillId="0" borderId="200" xfId="1" applyNumberFormat="1" applyFont="1" applyFill="1" applyBorder="1" applyAlignment="1">
      <alignment horizontal="center" vertical="center" wrapText="1"/>
    </xf>
    <xf numFmtId="10" fontId="42" fillId="0" borderId="201" xfId="1" applyNumberFormat="1" applyFont="1" applyFill="1" applyBorder="1" applyAlignment="1">
      <alignment horizontal="center" vertical="center" wrapText="1"/>
    </xf>
    <xf numFmtId="10" fontId="42" fillId="0" borderId="202" xfId="1" applyNumberFormat="1" applyFont="1" applyFill="1" applyBorder="1" applyAlignment="1">
      <alignment horizontal="center" vertical="center" wrapText="1"/>
    </xf>
    <xf numFmtId="0" fontId="45" fillId="0" borderId="27" xfId="2" applyFont="1" applyBorder="1" applyAlignment="1">
      <alignment horizontal="left" vertical="center" wrapText="1"/>
    </xf>
    <xf numFmtId="0" fontId="45" fillId="0" borderId="30" xfId="2" applyFont="1" applyBorder="1" applyAlignment="1">
      <alignment horizontal="left" vertical="center" wrapText="1"/>
    </xf>
    <xf numFmtId="0" fontId="45" fillId="0" borderId="31" xfId="2" applyFont="1" applyBorder="1" applyAlignment="1">
      <alignment horizontal="left" vertical="center" wrapText="1"/>
    </xf>
    <xf numFmtId="0" fontId="45" fillId="0" borderId="39" xfId="2" applyFont="1" applyBorder="1" applyAlignment="1">
      <alignment horizontal="center" vertical="center" wrapText="1"/>
    </xf>
    <xf numFmtId="0" fontId="45" fillId="0" borderId="27" xfId="2" applyFont="1" applyBorder="1" applyAlignment="1">
      <alignment horizontal="center" vertical="center" wrapText="1"/>
    </xf>
    <xf numFmtId="0" fontId="45" fillId="0" borderId="12" xfId="2" applyFont="1" applyBorder="1" applyAlignment="1">
      <alignment horizontal="center" vertical="center" wrapText="1"/>
    </xf>
    <xf numFmtId="0" fontId="42" fillId="4" borderId="186" xfId="2" applyFont="1" applyFill="1" applyBorder="1" applyAlignment="1">
      <alignment horizontal="center" vertical="center" wrapText="1"/>
    </xf>
    <xf numFmtId="0" fontId="42" fillId="4" borderId="125" xfId="2" applyFont="1" applyFill="1" applyBorder="1" applyAlignment="1">
      <alignment horizontal="center" vertical="center" wrapText="1"/>
    </xf>
    <xf numFmtId="0" fontId="42" fillId="4" borderId="187" xfId="2" applyFont="1" applyFill="1" applyBorder="1" applyAlignment="1">
      <alignment horizontal="center" vertical="center" wrapText="1"/>
    </xf>
    <xf numFmtId="10" fontId="42" fillId="0" borderId="132" xfId="1" applyNumberFormat="1" applyFont="1" applyFill="1" applyBorder="1" applyAlignment="1">
      <alignment horizontal="center" vertical="center" wrapText="1"/>
    </xf>
    <xf numFmtId="10" fontId="42" fillId="0" borderId="199" xfId="1" applyNumberFormat="1" applyFont="1" applyFill="1" applyBorder="1" applyAlignment="1">
      <alignment horizontal="center" vertical="center" wrapText="1"/>
    </xf>
    <xf numFmtId="10" fontId="42" fillId="0" borderId="142" xfId="1" applyNumberFormat="1" applyFont="1" applyFill="1" applyBorder="1" applyAlignment="1">
      <alignment horizontal="center" vertical="center" wrapText="1"/>
    </xf>
    <xf numFmtId="0" fontId="43" fillId="0" borderId="175" xfId="2" applyFont="1" applyBorder="1" applyAlignment="1">
      <alignment horizontal="center" vertical="center" wrapText="1"/>
    </xf>
    <xf numFmtId="0" fontId="43" fillId="0" borderId="177" xfId="2" applyFont="1" applyBorder="1" applyAlignment="1">
      <alignment horizontal="center" vertical="center" wrapText="1"/>
    </xf>
    <xf numFmtId="0" fontId="43" fillId="0" borderId="75" xfId="2" applyFont="1" applyBorder="1" applyAlignment="1">
      <alignment horizontal="center" vertical="center" wrapText="1"/>
    </xf>
    <xf numFmtId="0" fontId="43" fillId="0" borderId="178" xfId="2" applyFont="1" applyBorder="1" applyAlignment="1">
      <alignment horizontal="center" vertical="center" wrapText="1"/>
    </xf>
    <xf numFmtId="0" fontId="43" fillId="0" borderId="176" xfId="2" applyFont="1" applyBorder="1" applyAlignment="1">
      <alignment horizontal="center" vertical="center" wrapText="1"/>
    </xf>
    <xf numFmtId="0" fontId="43" fillId="0" borderId="179" xfId="2" applyFont="1" applyBorder="1" applyAlignment="1">
      <alignment horizontal="center" vertical="center" wrapText="1"/>
    </xf>
    <xf numFmtId="0" fontId="43" fillId="5" borderId="174" xfId="2" applyFont="1" applyFill="1" applyBorder="1" applyAlignment="1">
      <alignment horizontal="center" vertical="center" wrapText="1"/>
    </xf>
    <xf numFmtId="0" fontId="43" fillId="5" borderId="0" xfId="2" applyFont="1" applyFill="1" applyAlignment="1">
      <alignment horizontal="center" vertical="center" wrapText="1"/>
    </xf>
    <xf numFmtId="0" fontId="43" fillId="5" borderId="173" xfId="2" applyFont="1" applyFill="1" applyBorder="1" applyAlignment="1">
      <alignment horizontal="center" vertical="center" wrapText="1"/>
    </xf>
    <xf numFmtId="0" fontId="43" fillId="5" borderId="164" xfId="2" applyFont="1" applyFill="1" applyBorder="1" applyAlignment="1">
      <alignment horizontal="center" vertical="center" wrapText="1"/>
    </xf>
    <xf numFmtId="0" fontId="43" fillId="5" borderId="165" xfId="2" applyFont="1" applyFill="1" applyBorder="1" applyAlignment="1">
      <alignment horizontal="center" vertical="center" wrapText="1"/>
    </xf>
    <xf numFmtId="0" fontId="43" fillId="5" borderId="167" xfId="2" applyFont="1" applyFill="1" applyBorder="1" applyAlignment="1">
      <alignment horizontal="center" vertical="center" wrapText="1"/>
    </xf>
    <xf numFmtId="0" fontId="43" fillId="2" borderId="174" xfId="2" applyFont="1" applyFill="1" applyBorder="1" applyAlignment="1">
      <alignment horizontal="center" vertical="center" wrapText="1"/>
    </xf>
    <xf numFmtId="0" fontId="43" fillId="2" borderId="0" xfId="2" applyFont="1" applyFill="1" applyAlignment="1">
      <alignment horizontal="center" vertical="center" wrapText="1"/>
    </xf>
    <xf numFmtId="0" fontId="43" fillId="2" borderId="173" xfId="2" applyFont="1" applyFill="1" applyBorder="1" applyAlignment="1">
      <alignment horizontal="center" vertical="center" wrapText="1"/>
    </xf>
    <xf numFmtId="0" fontId="43" fillId="2" borderId="164" xfId="2" applyFont="1" applyFill="1" applyBorder="1" applyAlignment="1">
      <alignment horizontal="center" vertical="center" wrapText="1"/>
    </xf>
    <xf numFmtId="0" fontId="43" fillId="2" borderId="165" xfId="2" applyFont="1" applyFill="1" applyBorder="1" applyAlignment="1">
      <alignment horizontal="center" vertical="center" wrapText="1"/>
    </xf>
    <xf numFmtId="0" fontId="43" fillId="2" borderId="167" xfId="2" applyFont="1" applyFill="1" applyBorder="1" applyAlignment="1">
      <alignment horizontal="center" vertical="center" wrapText="1"/>
    </xf>
    <xf numFmtId="0" fontId="43" fillId="0" borderId="174" xfId="2" applyFont="1" applyBorder="1" applyAlignment="1">
      <alignment horizontal="center" vertical="center" wrapText="1"/>
    </xf>
    <xf numFmtId="0" fontId="43" fillId="0" borderId="0" xfId="2" applyFont="1" applyAlignment="1">
      <alignment horizontal="center" vertical="center" wrapText="1"/>
    </xf>
    <xf numFmtId="0" fontId="43" fillId="0" borderId="173" xfId="2" applyFont="1" applyBorder="1" applyAlignment="1">
      <alignment horizontal="center" vertical="center" wrapText="1"/>
    </xf>
    <xf numFmtId="0" fontId="43" fillId="2" borderId="180" xfId="2" applyFont="1" applyFill="1" applyBorder="1" applyAlignment="1">
      <alignment horizontal="center" vertical="center" wrapText="1"/>
    </xf>
    <xf numFmtId="0" fontId="43" fillId="2" borderId="181" xfId="2" applyFont="1" applyFill="1" applyBorder="1" applyAlignment="1">
      <alignment horizontal="center" vertical="center" wrapText="1"/>
    </xf>
    <xf numFmtId="0" fontId="43" fillId="2" borderId="182" xfId="2" applyFont="1" applyFill="1" applyBorder="1" applyAlignment="1">
      <alignment horizontal="center" vertical="center" wrapText="1"/>
    </xf>
    <xf numFmtId="0" fontId="42" fillId="3" borderId="54" xfId="2" applyFont="1" applyFill="1" applyBorder="1" applyAlignment="1">
      <alignment horizontal="center" vertical="center" wrapText="1"/>
    </xf>
    <xf numFmtId="0" fontId="42" fillId="3" borderId="55" xfId="2" applyFont="1" applyFill="1" applyBorder="1" applyAlignment="1">
      <alignment horizontal="center" vertical="center" wrapText="1"/>
    </xf>
    <xf numFmtId="0" fontId="43" fillId="2" borderId="166" xfId="2" applyFont="1" applyFill="1" applyBorder="1" applyAlignment="1">
      <alignment horizontal="center" vertical="center" wrapText="1"/>
    </xf>
    <xf numFmtId="0" fontId="43" fillId="0" borderId="164" xfId="2" applyFont="1" applyBorder="1" applyAlignment="1">
      <alignment horizontal="center" vertical="center" wrapText="1"/>
    </xf>
    <xf numFmtId="0" fontId="43" fillId="0" borderId="165" xfId="2" applyFont="1" applyBorder="1" applyAlignment="1">
      <alignment horizontal="center" vertical="center" wrapText="1"/>
    </xf>
    <xf numFmtId="0" fontId="43" fillId="0" borderId="166" xfId="2" applyFont="1" applyBorder="1" applyAlignment="1">
      <alignment horizontal="center" vertical="center" wrapText="1"/>
    </xf>
    <xf numFmtId="0" fontId="45" fillId="0" borderId="59" xfId="2" applyFont="1" applyBorder="1" applyAlignment="1">
      <alignment horizontal="left" vertical="center" wrapText="1"/>
    </xf>
    <xf numFmtId="0" fontId="45" fillId="0" borderId="169" xfId="2" applyFont="1" applyBorder="1" applyAlignment="1">
      <alignment horizontal="left" vertical="center" wrapText="1"/>
    </xf>
    <xf numFmtId="0" fontId="42" fillId="4" borderId="193" xfId="2" applyFont="1" applyFill="1" applyBorder="1" applyAlignment="1">
      <alignment horizontal="right" vertical="center" wrapText="1"/>
    </xf>
    <xf numFmtId="0" fontId="42" fillId="4" borderId="194" xfId="2" applyFont="1" applyFill="1" applyBorder="1" applyAlignment="1">
      <alignment horizontal="right" vertical="center" wrapText="1"/>
    </xf>
    <xf numFmtId="0" fontId="42" fillId="4" borderId="67" xfId="2" applyFont="1" applyFill="1" applyBorder="1" applyAlignment="1">
      <alignment horizontal="right" vertical="center" wrapText="1"/>
    </xf>
    <xf numFmtId="0" fontId="42" fillId="4" borderId="65" xfId="2" applyFont="1" applyFill="1" applyBorder="1" applyAlignment="1">
      <alignment horizontal="right" vertical="center" wrapText="1"/>
    </xf>
    <xf numFmtId="0" fontId="43" fillId="0" borderId="59" xfId="2" applyFont="1" applyBorder="1" applyAlignment="1">
      <alignment horizontal="left" vertical="center" wrapText="1"/>
    </xf>
    <xf numFmtId="0" fontId="43" fillId="0" borderId="27" xfId="2" applyFont="1" applyBorder="1" applyAlignment="1">
      <alignment horizontal="left" vertical="center" wrapText="1"/>
    </xf>
    <xf numFmtId="0" fontId="43" fillId="0" borderId="12" xfId="2" applyFont="1" applyBorder="1" applyAlignment="1">
      <alignment horizontal="left" vertical="center" wrapText="1"/>
    </xf>
    <xf numFmtId="0" fontId="42" fillId="7" borderId="73" xfId="2" applyFont="1" applyFill="1" applyBorder="1" applyAlignment="1">
      <alignment horizontal="center" vertical="center" wrapText="1"/>
    </xf>
    <xf numFmtId="0" fontId="42" fillId="7" borderId="18" xfId="2" applyFont="1" applyFill="1" applyBorder="1" applyAlignment="1">
      <alignment horizontal="center" vertical="center" wrapText="1"/>
    </xf>
    <xf numFmtId="0" fontId="42" fillId="7" borderId="74" xfId="2" applyFont="1" applyFill="1" applyBorder="1" applyAlignment="1">
      <alignment horizontal="center" vertical="center" wrapText="1"/>
    </xf>
    <xf numFmtId="0" fontId="41" fillId="3" borderId="23" xfId="2" applyFont="1" applyFill="1" applyBorder="1" applyAlignment="1">
      <alignment horizontal="center" vertical="center" wrapText="1"/>
    </xf>
    <xf numFmtId="0" fontId="41" fillId="3" borderId="22" xfId="2" applyFont="1" applyFill="1" applyBorder="1" applyAlignment="1">
      <alignment horizontal="center" vertical="center" wrapText="1"/>
    </xf>
    <xf numFmtId="0" fontId="42" fillId="7" borderId="77" xfId="2" applyFont="1" applyFill="1" applyBorder="1" applyAlignment="1">
      <alignment horizontal="center" vertical="center" wrapText="1"/>
    </xf>
    <xf numFmtId="0" fontId="42" fillId="7" borderId="19" xfId="2" applyFont="1" applyFill="1" applyBorder="1" applyAlignment="1">
      <alignment horizontal="center" vertical="center" wrapText="1"/>
    </xf>
    <xf numFmtId="0" fontId="42" fillId="7" borderId="105" xfId="2" applyFont="1" applyFill="1" applyBorder="1" applyAlignment="1">
      <alignment horizontal="center" vertical="center" wrapText="1"/>
    </xf>
    <xf numFmtId="0" fontId="42" fillId="0" borderId="77" xfId="2" applyFont="1" applyBorder="1" applyAlignment="1">
      <alignment horizontal="left" vertical="center" wrapText="1"/>
    </xf>
    <xf numFmtId="0" fontId="42" fillId="0" borderId="21" xfId="2" applyFont="1" applyBorder="1" applyAlignment="1">
      <alignment horizontal="left" vertical="center" wrapText="1"/>
    </xf>
    <xf numFmtId="0" fontId="43" fillId="0" borderId="20" xfId="0" applyFont="1" applyBorder="1" applyAlignment="1">
      <alignment horizontal="center" vertical="center" wrapText="1"/>
    </xf>
    <xf numFmtId="0" fontId="43" fillId="0" borderId="21" xfId="0" applyFont="1" applyBorder="1" applyAlignment="1">
      <alignment horizontal="center" vertical="center" wrapText="1"/>
    </xf>
    <xf numFmtId="165" fontId="43" fillId="0" borderId="20" xfId="0" applyNumberFormat="1" applyFont="1" applyBorder="1" applyAlignment="1">
      <alignment horizontal="center" vertical="center" wrapText="1"/>
    </xf>
    <xf numFmtId="165" fontId="43" fillId="0" borderId="21" xfId="0" applyNumberFormat="1" applyFont="1" applyBorder="1" applyAlignment="1">
      <alignment horizontal="center" vertical="center" wrapText="1"/>
    </xf>
    <xf numFmtId="18" fontId="43" fillId="0" borderId="20" xfId="0" applyNumberFormat="1" applyFont="1" applyBorder="1" applyAlignment="1">
      <alignment horizontal="center" vertical="center" wrapText="1"/>
    </xf>
    <xf numFmtId="18" fontId="43" fillId="0" borderId="21" xfId="0" applyNumberFormat="1" applyFont="1" applyBorder="1" applyAlignment="1">
      <alignment horizontal="center" vertical="center" wrapText="1"/>
    </xf>
    <xf numFmtId="0" fontId="43" fillId="2" borderId="24" xfId="0" applyFont="1" applyFill="1" applyBorder="1" applyAlignment="1">
      <alignment horizontal="center" vertical="center" wrapText="1"/>
    </xf>
    <xf numFmtId="0" fontId="43" fillId="2" borderId="25" xfId="0" applyFont="1" applyFill="1" applyBorder="1" applyAlignment="1">
      <alignment horizontal="center" vertical="center" wrapText="1"/>
    </xf>
    <xf numFmtId="0" fontId="42" fillId="0" borderId="77" xfId="0" applyFont="1" applyBorder="1" applyAlignment="1">
      <alignment horizontal="left" vertical="center" wrapText="1"/>
    </xf>
    <xf numFmtId="0" fontId="42" fillId="0" borderId="21" xfId="0" applyFont="1" applyBorder="1" applyAlignment="1">
      <alignment horizontal="left" vertical="center" wrapText="1"/>
    </xf>
    <xf numFmtId="0" fontId="41" fillId="6" borderId="103" xfId="2" applyFont="1" applyFill="1" applyBorder="1" applyAlignment="1">
      <alignment horizontal="center" vertical="center" wrapText="1"/>
    </xf>
    <xf numFmtId="0" fontId="41" fillId="6" borderId="92" xfId="2" applyFont="1" applyFill="1" applyBorder="1" applyAlignment="1">
      <alignment horizontal="center" vertical="center" wrapText="1"/>
    </xf>
    <xf numFmtId="0" fontId="41" fillId="6" borderId="93" xfId="2" applyFont="1" applyFill="1" applyBorder="1" applyAlignment="1">
      <alignment horizontal="center" vertical="center" wrapText="1"/>
    </xf>
    <xf numFmtId="167" fontId="41" fillId="4" borderId="45" xfId="2" applyNumberFormat="1" applyFont="1" applyFill="1" applyBorder="1" applyAlignment="1">
      <alignment horizontal="center" vertical="center" wrapText="1"/>
    </xf>
    <xf numFmtId="167" fontId="41" fillId="4" borderId="94" xfId="2" applyNumberFormat="1" applyFont="1" applyFill="1" applyBorder="1" applyAlignment="1">
      <alignment horizontal="center" vertical="center" wrapText="1"/>
    </xf>
    <xf numFmtId="167" fontId="41" fillId="4" borderId="95" xfId="2" applyNumberFormat="1" applyFont="1" applyFill="1" applyBorder="1" applyAlignment="1">
      <alignment horizontal="center" vertical="center" wrapText="1"/>
    </xf>
    <xf numFmtId="0" fontId="41" fillId="3" borderId="75" xfId="2" applyFont="1" applyFill="1" applyBorder="1" applyAlignment="1">
      <alignment horizontal="center" vertical="center" wrapText="1"/>
    </xf>
    <xf numFmtId="0" fontId="41" fillId="3" borderId="6" xfId="2" applyFont="1" applyFill="1" applyBorder="1" applyAlignment="1">
      <alignment horizontal="center" vertical="center" wrapText="1"/>
    </xf>
    <xf numFmtId="0" fontId="41" fillId="3" borderId="189" xfId="2" applyFont="1" applyFill="1" applyBorder="1" applyAlignment="1">
      <alignment horizontal="center" vertical="center" wrapText="1"/>
    </xf>
    <xf numFmtId="0" fontId="41" fillId="3" borderId="119" xfId="2" applyFont="1" applyFill="1" applyBorder="1" applyAlignment="1">
      <alignment horizontal="center" vertical="center" wrapText="1"/>
    </xf>
    <xf numFmtId="0" fontId="41" fillId="3" borderId="190" xfId="2" applyFont="1" applyFill="1" applyBorder="1" applyAlignment="1">
      <alignment horizontal="center" vertical="center" wrapText="1"/>
    </xf>
    <xf numFmtId="0" fontId="41" fillId="3" borderId="191" xfId="2" applyFont="1" applyFill="1" applyBorder="1" applyAlignment="1">
      <alignment horizontal="center" vertical="center" wrapText="1"/>
    </xf>
    <xf numFmtId="0" fontId="41" fillId="3" borderId="76" xfId="2" applyFont="1" applyFill="1" applyBorder="1" applyAlignment="1">
      <alignment horizontal="center" vertical="center" wrapText="1"/>
    </xf>
    <xf numFmtId="14" fontId="43" fillId="0" borderId="20" xfId="0" applyNumberFormat="1" applyFont="1" applyBorder="1" applyAlignment="1">
      <alignment horizontal="center" vertical="center" wrapText="1"/>
    </xf>
    <xf numFmtId="14" fontId="43" fillId="0" borderId="21" xfId="0" applyNumberFormat="1" applyFont="1" applyBorder="1" applyAlignment="1">
      <alignment horizontal="center" vertical="center" wrapText="1"/>
    </xf>
    <xf numFmtId="0" fontId="42" fillId="3" borderId="103" xfId="2" applyFont="1" applyFill="1" applyBorder="1" applyAlignment="1">
      <alignment horizontal="center" vertical="center" wrapText="1"/>
    </xf>
    <xf numFmtId="0" fontId="42" fillId="3" borderId="119" xfId="2" applyFont="1" applyFill="1" applyBorder="1" applyAlignment="1">
      <alignment horizontal="center" vertical="center" wrapText="1"/>
    </xf>
    <xf numFmtId="0" fontId="45" fillId="0" borderId="206" xfId="2" applyFont="1" applyBorder="1" applyAlignment="1">
      <alignment horizontal="left" vertical="center" wrapText="1"/>
    </xf>
    <xf numFmtId="0" fontId="45" fillId="0" borderId="29" xfId="2" applyFont="1" applyBorder="1" applyAlignment="1">
      <alignment horizontal="left" vertical="center" wrapText="1"/>
    </xf>
    <xf numFmtId="0" fontId="45" fillId="0" borderId="28" xfId="2" applyFont="1" applyBorder="1" applyAlignment="1">
      <alignment horizontal="left" vertical="center" wrapText="1"/>
    </xf>
    <xf numFmtId="0" fontId="42" fillId="3" borderId="89" xfId="2" applyFont="1" applyFill="1" applyBorder="1" applyAlignment="1">
      <alignment horizontal="center" vertical="center" wrapText="1"/>
    </xf>
    <xf numFmtId="0" fontId="42" fillId="3" borderId="204" xfId="2" applyFont="1" applyFill="1" applyBorder="1" applyAlignment="1">
      <alignment horizontal="center" vertical="center" wrapText="1"/>
    </xf>
    <xf numFmtId="0" fontId="43" fillId="0" borderId="198" xfId="2" applyFont="1" applyBorder="1" applyAlignment="1">
      <alignment horizontal="center" vertical="center" wrapText="1"/>
    </xf>
    <xf numFmtId="0" fontId="43" fillId="0" borderId="203" xfId="2" applyFont="1" applyBorder="1" applyAlignment="1">
      <alignment horizontal="center" vertical="center" wrapText="1"/>
    </xf>
    <xf numFmtId="0" fontId="43" fillId="0" borderId="197" xfId="2" applyFont="1" applyBorder="1" applyAlignment="1">
      <alignment horizontal="center" vertical="center" wrapText="1"/>
    </xf>
    <xf numFmtId="0" fontId="43" fillId="0" borderId="3" xfId="2" applyFont="1" applyBorder="1" applyAlignment="1">
      <alignment horizontal="center" vertical="center" wrapText="1"/>
    </xf>
    <xf numFmtId="0" fontId="43" fillId="0" borderId="140" xfId="2" applyFont="1" applyBorder="1" applyAlignment="1">
      <alignment horizontal="center" vertical="center" wrapText="1"/>
    </xf>
    <xf numFmtId="0" fontId="43" fillId="5" borderId="166" xfId="2" applyFont="1" applyFill="1" applyBorder="1" applyAlignment="1">
      <alignment horizontal="center" vertical="center" wrapText="1"/>
    </xf>
    <xf numFmtId="0" fontId="47" fillId="3" borderId="70" xfId="2" applyFont="1" applyFill="1" applyBorder="1" applyAlignment="1">
      <alignment horizontal="left" vertical="center" wrapText="1" shrinkToFit="1"/>
    </xf>
    <xf numFmtId="0" fontId="47" fillId="3" borderId="72" xfId="2" applyFont="1" applyFill="1" applyBorder="1" applyAlignment="1">
      <alignment horizontal="left" vertical="center" wrapText="1" shrinkToFit="1"/>
    </xf>
    <xf numFmtId="0" fontId="48" fillId="3" borderId="73" xfId="2" applyFont="1" applyFill="1" applyBorder="1" applyAlignment="1">
      <alignment horizontal="left" vertical="center" wrapText="1" shrinkToFit="1"/>
    </xf>
    <xf numFmtId="0" fontId="48" fillId="3" borderId="74" xfId="2" applyFont="1" applyFill="1" applyBorder="1" applyAlignment="1">
      <alignment horizontal="left" vertical="center" wrapText="1" shrinkToFit="1"/>
    </xf>
    <xf numFmtId="0" fontId="48" fillId="3" borderId="85" xfId="2" applyFont="1" applyFill="1" applyBorder="1" applyAlignment="1">
      <alignment horizontal="left" vertical="center" wrapText="1" shrinkToFit="1"/>
    </xf>
    <xf numFmtId="0" fontId="48" fillId="3" borderId="51" xfId="2" applyFont="1" applyFill="1" applyBorder="1" applyAlignment="1">
      <alignment horizontal="left" vertical="center" wrapText="1" shrinkToFit="1"/>
    </xf>
    <xf numFmtId="0" fontId="43" fillId="0" borderId="39" xfId="2" applyFont="1" applyBorder="1" applyAlignment="1">
      <alignment horizontal="left" vertical="center" wrapText="1"/>
    </xf>
    <xf numFmtId="0" fontId="43" fillId="0" borderId="39" xfId="2" applyFont="1" applyBorder="1" applyAlignment="1">
      <alignment vertical="center" wrapText="1"/>
    </xf>
    <xf numFmtId="0" fontId="43" fillId="0" borderId="205" xfId="2" applyFont="1" applyBorder="1" applyAlignment="1">
      <alignment vertical="center" wrapText="1"/>
    </xf>
    <xf numFmtId="0" fontId="43" fillId="0" borderId="28" xfId="2" applyFont="1" applyBorder="1" applyAlignment="1">
      <alignment vertical="center" wrapText="1"/>
    </xf>
    <xf numFmtId="0" fontId="43" fillId="0" borderId="29" xfId="2" applyFont="1" applyBorder="1" applyAlignment="1">
      <alignment vertical="center" wrapText="1"/>
    </xf>
    <xf numFmtId="18" fontId="43" fillId="0" borderId="18" xfId="0" applyNumberFormat="1" applyFont="1" applyBorder="1" applyAlignment="1">
      <alignment horizontal="center" vertical="center" wrapText="1"/>
    </xf>
    <xf numFmtId="0" fontId="42" fillId="0" borderId="197" xfId="2" applyFont="1" applyBorder="1" applyAlignment="1">
      <alignment horizontal="left" vertical="center" wrapText="1"/>
    </xf>
    <xf numFmtId="0" fontId="42" fillId="0" borderId="4" xfId="2" applyFont="1" applyBorder="1" applyAlignment="1">
      <alignment horizontal="left" vertical="center" wrapText="1"/>
    </xf>
    <xf numFmtId="0" fontId="43" fillId="0" borderId="207" xfId="0" applyFont="1" applyBorder="1" applyAlignment="1">
      <alignment horizontal="center" vertical="center" wrapText="1"/>
    </xf>
    <xf numFmtId="0" fontId="43" fillId="0" borderId="4" xfId="0" applyFont="1" applyBorder="1" applyAlignment="1">
      <alignment horizontal="center" vertical="center" wrapText="1"/>
    </xf>
    <xf numFmtId="14" fontId="43" fillId="0" borderId="207" xfId="0" applyNumberFormat="1" applyFont="1" applyBorder="1" applyAlignment="1">
      <alignment horizontal="center" vertical="center" wrapText="1"/>
    </xf>
    <xf numFmtId="14" fontId="43" fillId="0" borderId="4" xfId="0" applyNumberFormat="1" applyFont="1" applyBorder="1" applyAlignment="1">
      <alignment horizontal="center" vertical="center" wrapText="1"/>
    </xf>
    <xf numFmtId="18" fontId="43" fillId="0" borderId="153" xfId="0" applyNumberFormat="1" applyFont="1" applyBorder="1" applyAlignment="1">
      <alignment horizontal="center" vertical="center" wrapText="1"/>
    </xf>
    <xf numFmtId="0" fontId="43" fillId="2" borderId="208" xfId="0" applyFont="1" applyFill="1" applyBorder="1" applyAlignment="1">
      <alignment horizontal="center" vertical="center" wrapText="1"/>
    </xf>
    <xf numFmtId="0" fontId="43" fillId="2" borderId="209" xfId="0" applyFont="1" applyFill="1" applyBorder="1" applyAlignment="1">
      <alignment horizontal="center" vertical="center" wrapText="1"/>
    </xf>
    <xf numFmtId="0" fontId="41" fillId="3" borderId="18" xfId="2" applyFont="1" applyFill="1" applyBorder="1" applyAlignment="1">
      <alignment horizontal="center" vertical="center" wrapText="1"/>
    </xf>
    <xf numFmtId="167" fontId="41" fillId="4" borderId="0" xfId="2" applyNumberFormat="1" applyFont="1" applyFill="1" applyAlignment="1">
      <alignment horizontal="center" vertical="center" wrapText="1"/>
    </xf>
    <xf numFmtId="0" fontId="41" fillId="3" borderId="92" xfId="2" applyFont="1" applyFill="1" applyBorder="1" applyAlignment="1">
      <alignment horizontal="center" vertical="center" wrapText="1"/>
    </xf>
    <xf numFmtId="0" fontId="41" fillId="3" borderId="5" xfId="2" applyFont="1" applyFill="1" applyBorder="1" applyAlignment="1">
      <alignment horizontal="center" vertical="center" wrapText="1"/>
    </xf>
    <xf numFmtId="0" fontId="56" fillId="2" borderId="24" xfId="0" applyFont="1" applyFill="1" applyBorder="1" applyAlignment="1">
      <alignment horizontal="center" vertical="center" wrapText="1"/>
    </xf>
    <xf numFmtId="0" fontId="56" fillId="2" borderId="25" xfId="0" applyFont="1" applyFill="1" applyBorder="1" applyAlignment="1">
      <alignment horizontal="center" vertical="center" wrapText="1"/>
    </xf>
    <xf numFmtId="0" fontId="56" fillId="0" borderId="20" xfId="0" applyFont="1" applyBorder="1" applyAlignment="1">
      <alignment horizontal="center" vertical="center" wrapText="1"/>
    </xf>
    <xf numFmtId="0" fontId="56" fillId="0" borderId="21" xfId="0" applyFont="1" applyBorder="1" applyAlignment="1">
      <alignment horizontal="center" vertical="center" wrapText="1"/>
    </xf>
    <xf numFmtId="0" fontId="55" fillId="0" borderId="77" xfId="2" applyFont="1" applyBorder="1" applyAlignment="1">
      <alignment horizontal="left" vertical="center" wrapText="1"/>
    </xf>
    <xf numFmtId="0" fontId="55" fillId="0" borderId="21" xfId="2" applyFont="1" applyBorder="1" applyAlignment="1">
      <alignment horizontal="left" vertical="center" wrapText="1"/>
    </xf>
    <xf numFmtId="165" fontId="56" fillId="0" borderId="20" xfId="0" applyNumberFormat="1" applyFont="1" applyBorder="1" applyAlignment="1">
      <alignment horizontal="center" vertical="center" wrapText="1"/>
    </xf>
    <xf numFmtId="165" fontId="56" fillId="0" borderId="21" xfId="0" applyNumberFormat="1" applyFont="1" applyBorder="1" applyAlignment="1">
      <alignment horizontal="center" vertical="center" wrapText="1"/>
    </xf>
    <xf numFmtId="18" fontId="56" fillId="0" borderId="18" xfId="0" applyNumberFormat="1" applyFont="1" applyBorder="1" applyAlignment="1">
      <alignment horizontal="center" vertical="center" wrapText="1"/>
    </xf>
    <xf numFmtId="0" fontId="42" fillId="3" borderId="154" xfId="2" applyFont="1" applyFill="1" applyBorder="1" applyAlignment="1">
      <alignment horizontal="center" vertical="center" wrapText="1"/>
    </xf>
    <xf numFmtId="0" fontId="42" fillId="3" borderId="191" xfId="2" applyFont="1" applyFill="1" applyBorder="1" applyAlignment="1">
      <alignment horizontal="center" vertical="center" wrapText="1"/>
    </xf>
    <xf numFmtId="0" fontId="42" fillId="3" borderId="173" xfId="2" applyFont="1" applyFill="1" applyBorder="1" applyAlignment="1">
      <alignment horizontal="center" vertical="center" wrapText="1"/>
    </xf>
    <xf numFmtId="0" fontId="42" fillId="3" borderId="213" xfId="2" applyFont="1" applyFill="1" applyBorder="1" applyAlignment="1">
      <alignment horizontal="center" vertical="center" wrapText="1"/>
    </xf>
    <xf numFmtId="0" fontId="59" fillId="0" borderId="27" xfId="2" applyFont="1" applyBorder="1" applyAlignment="1">
      <alignment horizontal="left" vertical="center" wrapText="1"/>
    </xf>
    <xf numFmtId="0" fontId="59" fillId="0" borderId="12" xfId="2" applyFont="1" applyBorder="1" applyAlignment="1">
      <alignment horizontal="left" vertical="center" wrapText="1"/>
    </xf>
    <xf numFmtId="0" fontId="61" fillId="3" borderId="103" xfId="2" applyFont="1" applyFill="1" applyBorder="1" applyAlignment="1">
      <alignment vertical="center" wrapText="1"/>
    </xf>
    <xf numFmtId="0" fontId="61" fillId="3" borderId="92" xfId="2" applyFont="1" applyFill="1" applyBorder="1" applyAlignment="1">
      <alignment vertical="center" wrapText="1"/>
    </xf>
    <xf numFmtId="0" fontId="61" fillId="3" borderId="93" xfId="2" applyFont="1" applyFill="1" applyBorder="1" applyAlignment="1">
      <alignment vertical="center" wrapText="1"/>
    </xf>
    <xf numFmtId="0" fontId="61" fillId="3" borderId="75" xfId="2" applyFont="1" applyFill="1" applyBorder="1" applyAlignment="1">
      <alignment vertical="center" wrapText="1"/>
    </xf>
    <xf numFmtId="0" fontId="61" fillId="3" borderId="0" xfId="2" applyFont="1" applyFill="1" applyAlignment="1">
      <alignment vertical="center" wrapText="1"/>
    </xf>
    <xf numFmtId="0" fontId="61" fillId="3" borderId="78" xfId="2" applyFont="1" applyFill="1" applyBorder="1" applyAlignment="1">
      <alignment vertical="center" wrapText="1"/>
    </xf>
    <xf numFmtId="0" fontId="61" fillId="3" borderId="45" xfId="2" applyFont="1" applyFill="1" applyBorder="1" applyAlignment="1">
      <alignment vertical="center" wrapText="1"/>
    </xf>
    <xf numFmtId="0" fontId="61" fillId="3" borderId="94" xfId="2" applyFont="1" applyFill="1" applyBorder="1" applyAlignment="1">
      <alignment vertical="center" wrapText="1"/>
    </xf>
    <xf numFmtId="0" fontId="61" fillId="3" borderId="95" xfId="2" applyFont="1" applyFill="1" applyBorder="1" applyAlignment="1">
      <alignment vertical="center" wrapText="1"/>
    </xf>
    <xf numFmtId="0" fontId="60" fillId="2" borderId="103" xfId="2" applyFont="1" applyFill="1" applyBorder="1" applyAlignment="1">
      <alignment horizontal="left" vertical="center" wrapText="1"/>
    </xf>
    <xf numFmtId="0" fontId="60" fillId="2" borderId="92" xfId="2" applyFont="1" applyFill="1" applyBorder="1" applyAlignment="1">
      <alignment horizontal="left" vertical="center" wrapText="1"/>
    </xf>
    <xf numFmtId="0" fontId="60" fillId="2" borderId="93" xfId="2" applyFont="1" applyFill="1" applyBorder="1" applyAlignment="1">
      <alignment horizontal="left" vertical="center" wrapText="1"/>
    </xf>
    <xf numFmtId="0" fontId="60" fillId="2" borderId="75" xfId="2" applyFont="1" applyFill="1" applyBorder="1" applyAlignment="1">
      <alignment horizontal="left" vertical="center" wrapText="1"/>
    </xf>
    <xf numFmtId="0" fontId="60" fillId="2" borderId="0" xfId="2" applyFont="1" applyFill="1" applyAlignment="1">
      <alignment horizontal="left" vertical="center" wrapText="1"/>
    </xf>
    <xf numFmtId="0" fontId="60" fillId="2" borderId="78" xfId="2" applyFont="1" applyFill="1" applyBorder="1" applyAlignment="1">
      <alignment horizontal="left" vertical="center" wrapText="1"/>
    </xf>
    <xf numFmtId="0" fontId="60" fillId="2" borderId="45" xfId="2" applyFont="1" applyFill="1" applyBorder="1" applyAlignment="1">
      <alignment horizontal="left" vertical="center" wrapText="1"/>
    </xf>
    <xf numFmtId="0" fontId="60" fillId="2" borderId="94" xfId="2" applyFont="1" applyFill="1" applyBorder="1" applyAlignment="1">
      <alignment horizontal="left" vertical="center" wrapText="1"/>
    </xf>
    <xf numFmtId="0" fontId="60" fillId="2" borderId="95" xfId="2" applyFont="1" applyFill="1" applyBorder="1" applyAlignment="1">
      <alignment horizontal="left" vertical="center" wrapText="1"/>
    </xf>
    <xf numFmtId="10" fontId="42" fillId="0" borderId="216" xfId="1" applyNumberFormat="1" applyFont="1" applyFill="1" applyBorder="1" applyAlignment="1">
      <alignment horizontal="center" vertical="center" wrapText="1"/>
    </xf>
    <xf numFmtId="0" fontId="42" fillId="4" borderId="217" xfId="2" applyFont="1" applyFill="1" applyBorder="1" applyAlignment="1">
      <alignment horizontal="center" vertical="center" wrapText="1"/>
    </xf>
    <xf numFmtId="0" fontId="43" fillId="0" borderId="167" xfId="2" applyFont="1" applyBorder="1" applyAlignment="1">
      <alignment horizontal="center" vertical="center" wrapText="1"/>
    </xf>
    <xf numFmtId="0" fontId="47" fillId="3" borderId="89" xfId="2" quotePrefix="1" applyFont="1" applyFill="1" applyBorder="1" applyAlignment="1">
      <alignment horizontal="left" vertical="center" wrapText="1" shrinkToFit="1"/>
    </xf>
    <xf numFmtId="0" fontId="47" fillId="3" borderId="106" xfId="2" quotePrefix="1" applyFont="1" applyFill="1" applyBorder="1" applyAlignment="1">
      <alignment horizontal="left" vertical="center" wrapText="1" shrinkToFit="1"/>
    </xf>
    <xf numFmtId="0" fontId="62" fillId="0" borderId="103" xfId="2" applyFont="1" applyBorder="1" applyAlignment="1">
      <alignment vertical="center" wrapText="1"/>
    </xf>
    <xf numFmtId="0" fontId="62" fillId="0" borderId="92" xfId="2" applyFont="1" applyBorder="1" applyAlignment="1">
      <alignment vertical="center" wrapText="1"/>
    </xf>
    <xf numFmtId="0" fontId="62" fillId="0" borderId="93" xfId="2" applyFont="1" applyBorder="1" applyAlignment="1">
      <alignment vertical="center" wrapText="1"/>
    </xf>
    <xf numFmtId="0" fontId="62" fillId="0" borderId="75" xfId="2" applyFont="1" applyBorder="1" applyAlignment="1">
      <alignment vertical="center" wrapText="1"/>
    </xf>
    <xf numFmtId="0" fontId="62" fillId="0" borderId="0" xfId="2" applyFont="1" applyAlignment="1">
      <alignment vertical="center" wrapText="1"/>
    </xf>
    <xf numFmtId="0" fontId="62" fillId="0" borderId="78" xfId="2" applyFont="1" applyBorder="1" applyAlignment="1">
      <alignment vertical="center" wrapText="1"/>
    </xf>
    <xf numFmtId="0" fontId="62" fillId="0" borderId="45" xfId="2" applyFont="1" applyBorder="1" applyAlignment="1">
      <alignment vertical="center" wrapText="1"/>
    </xf>
    <xf numFmtId="0" fontId="62" fillId="0" borderId="94" xfId="2" applyFont="1" applyBorder="1" applyAlignment="1">
      <alignment vertical="center" wrapText="1"/>
    </xf>
    <xf numFmtId="0" fontId="62" fillId="0" borderId="95" xfId="2" applyFont="1" applyBorder="1" applyAlignment="1">
      <alignment vertical="center" wrapText="1"/>
    </xf>
    <xf numFmtId="0" fontId="47" fillId="0" borderId="103" xfId="2" applyFont="1" applyBorder="1" applyAlignment="1">
      <alignment vertical="center" wrapText="1"/>
    </xf>
    <xf numFmtId="0" fontId="47" fillId="0" borderId="92" xfId="2" applyFont="1" applyBorder="1" applyAlignment="1">
      <alignment vertical="center" wrapText="1"/>
    </xf>
    <xf numFmtId="0" fontId="47" fillId="0" borderId="93" xfId="2" applyFont="1" applyBorder="1" applyAlignment="1">
      <alignment vertical="center" wrapText="1"/>
    </xf>
    <xf numFmtId="0" fontId="47" fillId="0" borderId="75" xfId="2" applyFont="1" applyBorder="1" applyAlignment="1">
      <alignment vertical="center" wrapText="1"/>
    </xf>
    <xf numFmtId="0" fontId="47" fillId="0" borderId="0" xfId="2" applyFont="1" applyAlignment="1">
      <alignment vertical="center" wrapText="1"/>
    </xf>
    <xf numFmtId="0" fontId="47" fillId="0" borderId="78" xfId="2" applyFont="1" applyBorder="1" applyAlignment="1">
      <alignment vertical="center" wrapText="1"/>
    </xf>
    <xf numFmtId="0" fontId="47" fillId="0" borderId="45" xfId="2" applyFont="1" applyBorder="1" applyAlignment="1">
      <alignment vertical="center" wrapText="1"/>
    </xf>
    <xf numFmtId="0" fontId="47" fillId="0" borderId="94" xfId="2" applyFont="1" applyBorder="1" applyAlignment="1">
      <alignment vertical="center" wrapText="1"/>
    </xf>
    <xf numFmtId="0" fontId="47" fillId="0" borderId="95" xfId="2" applyFont="1" applyBorder="1" applyAlignment="1">
      <alignment vertical="center" wrapText="1"/>
    </xf>
    <xf numFmtId="0" fontId="43" fillId="0" borderId="241" xfId="2" applyFont="1" applyBorder="1" applyAlignment="1">
      <alignment horizontal="center" vertical="center" wrapText="1"/>
    </xf>
    <xf numFmtId="0" fontId="43" fillId="0" borderId="244" xfId="2" applyFont="1" applyBorder="1" applyAlignment="1">
      <alignment horizontal="center" vertical="center" wrapText="1"/>
    </xf>
    <xf numFmtId="0" fontId="43" fillId="0" borderId="245" xfId="2" applyFont="1" applyBorder="1" applyAlignment="1">
      <alignment horizontal="center" vertical="center" wrapText="1"/>
    </xf>
    <xf numFmtId="0" fontId="43" fillId="0" borderId="246" xfId="2" applyFont="1" applyBorder="1" applyAlignment="1">
      <alignment horizontal="center" vertical="center" wrapText="1"/>
    </xf>
    <xf numFmtId="0" fontId="43" fillId="5" borderId="242" xfId="2" applyFont="1" applyFill="1" applyBorder="1" applyAlignment="1">
      <alignment horizontal="center" vertical="center" wrapText="1"/>
    </xf>
    <xf numFmtId="0" fontId="43" fillId="5" borderId="247" xfId="2" applyFont="1" applyFill="1" applyBorder="1" applyAlignment="1">
      <alignment horizontal="center" vertical="center" wrapText="1"/>
    </xf>
    <xf numFmtId="0" fontId="43" fillId="2" borderId="242" xfId="2" applyFont="1" applyFill="1" applyBorder="1" applyAlignment="1">
      <alignment horizontal="center" vertical="center" wrapText="1"/>
    </xf>
    <xf numFmtId="0" fontId="43" fillId="2" borderId="247" xfId="2" applyFont="1" applyFill="1" applyBorder="1" applyAlignment="1">
      <alignment horizontal="center" vertical="center" wrapText="1"/>
    </xf>
    <xf numFmtId="0" fontId="43" fillId="0" borderId="242" xfId="2" applyFont="1" applyBorder="1" applyAlignment="1">
      <alignment horizontal="center" vertical="center" wrapText="1"/>
    </xf>
    <xf numFmtId="0" fontId="43" fillId="0" borderId="247" xfId="2" applyFont="1" applyBorder="1" applyAlignment="1">
      <alignment horizontal="center" vertical="center" wrapText="1"/>
    </xf>
    <xf numFmtId="0" fontId="42" fillId="4" borderId="239" xfId="2" applyFont="1" applyFill="1" applyBorder="1" applyAlignment="1">
      <alignment horizontal="center" vertical="center" wrapText="1"/>
    </xf>
    <xf numFmtId="0" fontId="42" fillId="4" borderId="248" xfId="2" applyFont="1" applyFill="1" applyBorder="1" applyAlignment="1">
      <alignment horizontal="center" vertical="center" wrapText="1"/>
    </xf>
    <xf numFmtId="10" fontId="42" fillId="0" borderId="243" xfId="1" applyNumberFormat="1" applyFont="1" applyFill="1" applyBorder="1" applyAlignment="1">
      <alignment horizontal="center" vertical="center" wrapText="1"/>
    </xf>
    <xf numFmtId="10" fontId="42" fillId="0" borderId="249" xfId="1" applyNumberFormat="1" applyFont="1" applyFill="1" applyBorder="1" applyAlignment="1">
      <alignment horizontal="center" vertical="center" wrapText="1"/>
    </xf>
    <xf numFmtId="0" fontId="43" fillId="0" borderId="236" xfId="2" applyFont="1" applyBorder="1" applyAlignment="1">
      <alignment horizontal="center" vertical="center" wrapText="1"/>
    </xf>
    <xf numFmtId="0" fontId="43" fillId="0" borderId="237" xfId="2" applyFont="1" applyBorder="1" applyAlignment="1">
      <alignment horizontal="center" vertical="center" wrapText="1"/>
    </xf>
    <xf numFmtId="0" fontId="43" fillId="0" borderId="231" xfId="2" applyFont="1" applyBorder="1" applyAlignment="1">
      <alignment horizontal="center" vertical="center" wrapText="1"/>
    </xf>
    <xf numFmtId="0" fontId="43" fillId="5" borderId="238" xfId="2" applyFont="1" applyFill="1" applyBorder="1" applyAlignment="1">
      <alignment horizontal="center" vertical="center" wrapText="1"/>
    </xf>
    <xf numFmtId="0" fontId="43" fillId="2" borderId="238" xfId="2" applyFont="1" applyFill="1" applyBorder="1" applyAlignment="1">
      <alignment horizontal="center" vertical="center" wrapText="1"/>
    </xf>
    <xf numFmtId="0" fontId="43" fillId="0" borderId="238" xfId="2" applyFont="1" applyBorder="1" applyAlignment="1">
      <alignment horizontal="center" vertical="center" wrapText="1"/>
    </xf>
    <xf numFmtId="10" fontId="42" fillId="0" borderId="240" xfId="1" applyNumberFormat="1" applyFont="1" applyFill="1" applyBorder="1" applyAlignment="1">
      <alignment horizontal="center" vertical="center" wrapText="1"/>
    </xf>
    <xf numFmtId="0" fontId="45" fillId="0" borderId="230" xfId="2" applyFont="1" applyBorder="1" applyAlignment="1">
      <alignment horizontal="left" vertical="center" wrapText="1"/>
    </xf>
    <xf numFmtId="0" fontId="45" fillId="0" borderId="231" xfId="2" applyFont="1" applyBorder="1" applyAlignment="1">
      <alignment horizontal="left" vertical="center" wrapText="1"/>
    </xf>
    <xf numFmtId="0" fontId="45" fillId="0" borderId="232" xfId="2" applyFont="1" applyBorder="1" applyAlignment="1">
      <alignment horizontal="left" vertical="center" wrapText="1"/>
    </xf>
    <xf numFmtId="0" fontId="45" fillId="0" borderId="140" xfId="2" applyFont="1" applyBorder="1" applyAlignment="1">
      <alignment horizontal="left" vertical="center" wrapText="1"/>
    </xf>
    <xf numFmtId="0" fontId="45" fillId="0" borderId="226" xfId="2" applyFont="1" applyBorder="1" applyAlignment="1">
      <alignment horizontal="left" vertical="center" wrapText="1"/>
    </xf>
    <xf numFmtId="0" fontId="43" fillId="0" borderId="230" xfId="2" applyFont="1" applyBorder="1" applyAlignment="1">
      <alignment horizontal="left" vertical="center" wrapText="1"/>
    </xf>
    <xf numFmtId="0" fontId="43" fillId="0" borderId="231" xfId="2" applyFont="1" applyBorder="1" applyAlignment="1">
      <alignment horizontal="left" vertical="center" wrapText="1"/>
    </xf>
    <xf numFmtId="0" fontId="43" fillId="0" borderId="232" xfId="2" applyFont="1" applyBorder="1" applyAlignment="1">
      <alignment horizontal="left" vertical="center" wrapText="1"/>
    </xf>
    <xf numFmtId="0" fontId="63" fillId="0" borderId="39" xfId="2" applyFont="1" applyBorder="1" applyAlignment="1">
      <alignment horizontal="left" vertical="center" wrapText="1"/>
    </xf>
    <xf numFmtId="0" fontId="63" fillId="0" borderId="12" xfId="2" applyFont="1" applyBorder="1" applyAlignment="1">
      <alignment horizontal="left" vertical="center" wrapText="1"/>
    </xf>
    <xf numFmtId="0" fontId="45" fillId="0" borderId="233" xfId="2" applyFont="1" applyBorder="1" applyAlignment="1">
      <alignment vertical="center" wrapText="1"/>
    </xf>
    <xf numFmtId="0" fontId="45" fillId="0" borderId="234" xfId="2" applyFont="1" applyBorder="1" applyAlignment="1">
      <alignment vertical="center" wrapText="1"/>
    </xf>
    <xf numFmtId="0" fontId="45" fillId="0" borderId="235" xfId="2" applyFont="1" applyBorder="1" applyAlignment="1">
      <alignment vertical="center" wrapText="1"/>
    </xf>
    <xf numFmtId="0" fontId="63" fillId="0" borderId="206" xfId="2" applyFont="1" applyBorder="1" applyAlignment="1">
      <alignment horizontal="left" vertical="center" wrapText="1"/>
    </xf>
    <xf numFmtId="0" fontId="63" fillId="0" borderId="29" xfId="2" applyFont="1" applyBorder="1" applyAlignment="1">
      <alignment horizontal="left" vertical="center" wrapText="1"/>
    </xf>
    <xf numFmtId="0" fontId="43" fillId="0" borderId="28" xfId="2" applyFont="1" applyBorder="1" applyAlignment="1">
      <alignment horizontal="left" vertical="center" wrapText="1"/>
    </xf>
    <xf numFmtId="0" fontId="43" fillId="0" borderId="29" xfId="2" applyFont="1" applyBorder="1" applyAlignment="1">
      <alignment horizontal="left" vertical="center" wrapText="1"/>
    </xf>
    <xf numFmtId="0" fontId="45" fillId="0" borderId="227" xfId="2" applyFont="1" applyBorder="1" applyAlignment="1">
      <alignment horizontal="left" vertical="center" wrapText="1"/>
    </xf>
    <xf numFmtId="0" fontId="45" fillId="0" borderId="228" xfId="2" applyFont="1" applyBorder="1" applyAlignment="1">
      <alignment horizontal="left" vertical="center" wrapText="1"/>
    </xf>
    <xf numFmtId="0" fontId="45" fillId="0" borderId="229" xfId="2" applyFont="1" applyBorder="1" applyAlignment="1">
      <alignment horizontal="left" vertical="center" wrapText="1"/>
    </xf>
    <xf numFmtId="0" fontId="41" fillId="3" borderId="120" xfId="2" applyFont="1" applyFill="1" applyBorder="1" applyAlignment="1">
      <alignment horizontal="center" vertical="center" wrapText="1"/>
    </xf>
    <xf numFmtId="0" fontId="41" fillId="3" borderId="255" xfId="2" applyFont="1" applyFill="1" applyBorder="1" applyAlignment="1">
      <alignment horizontal="center" vertical="center" wrapText="1"/>
    </xf>
    <xf numFmtId="0" fontId="43" fillId="0" borderId="43" xfId="2" applyFont="1" applyBorder="1" applyAlignment="1">
      <alignment horizontal="left" vertical="center" wrapText="1"/>
    </xf>
    <xf numFmtId="0" fontId="43" fillId="0" borderId="26" xfId="2" applyFont="1" applyBorder="1" applyAlignment="1">
      <alignment horizontal="left" vertical="center" wrapText="1"/>
    </xf>
    <xf numFmtId="0" fontId="43" fillId="0" borderId="252" xfId="2" applyFont="1" applyBorder="1" applyAlignment="1">
      <alignment vertical="center" wrapText="1"/>
    </xf>
    <xf numFmtId="0" fontId="43" fillId="0" borderId="253" xfId="2" applyFont="1" applyBorder="1" applyAlignment="1">
      <alignment vertical="center" wrapText="1"/>
    </xf>
    <xf numFmtId="0" fontId="43" fillId="0" borderId="254" xfId="2" applyFont="1" applyBorder="1" applyAlignment="1">
      <alignment vertical="center" wrapText="1"/>
    </xf>
    <xf numFmtId="0" fontId="42" fillId="4" borderId="94" xfId="2" applyFont="1" applyFill="1" applyBorder="1" applyAlignment="1">
      <alignment horizontal="right" vertical="center" wrapText="1"/>
    </xf>
    <xf numFmtId="0" fontId="42" fillId="4" borderId="251" xfId="2" applyFont="1" applyFill="1" applyBorder="1" applyAlignment="1">
      <alignment horizontal="right" vertical="center" wrapText="1"/>
    </xf>
    <xf numFmtId="0" fontId="62" fillId="2" borderId="103" xfId="2" applyFont="1" applyFill="1" applyBorder="1" applyAlignment="1">
      <alignment vertical="center" wrapText="1"/>
    </xf>
    <xf numFmtId="0" fontId="62" fillId="2" borderId="92" xfId="2" applyFont="1" applyFill="1" applyBorder="1" applyAlignment="1">
      <alignment vertical="center" wrapText="1"/>
    </xf>
    <xf numFmtId="0" fontId="62" fillId="2" borderId="93" xfId="2" applyFont="1" applyFill="1" applyBorder="1" applyAlignment="1">
      <alignment vertical="center" wrapText="1"/>
    </xf>
    <xf numFmtId="0" fontId="62" fillId="2" borderId="75" xfId="2" applyFont="1" applyFill="1" applyBorder="1" applyAlignment="1">
      <alignment vertical="center" wrapText="1"/>
    </xf>
    <xf numFmtId="0" fontId="62" fillId="2" borderId="0" xfId="2" applyFont="1" applyFill="1" applyAlignment="1">
      <alignment vertical="center" wrapText="1"/>
    </xf>
    <xf numFmtId="0" fontId="62" fillId="2" borderId="78" xfId="2" applyFont="1" applyFill="1" applyBorder="1" applyAlignment="1">
      <alignment vertical="center" wrapText="1"/>
    </xf>
    <xf numFmtId="0" fontId="62" fillId="2" borderId="45" xfId="2" applyFont="1" applyFill="1" applyBorder="1" applyAlignment="1">
      <alignment vertical="center" wrapText="1"/>
    </xf>
    <xf numFmtId="0" fontId="62" fillId="2" borderId="94" xfId="2" applyFont="1" applyFill="1" applyBorder="1" applyAlignment="1">
      <alignment vertical="center" wrapText="1"/>
    </xf>
    <xf numFmtId="0" fontId="62" fillId="2" borderId="95" xfId="2" applyFont="1" applyFill="1" applyBorder="1" applyAlignment="1">
      <alignment vertical="center" wrapText="1"/>
    </xf>
    <xf numFmtId="0" fontId="71" fillId="2" borderId="103" xfId="2" applyFont="1" applyFill="1" applyBorder="1" applyAlignment="1">
      <alignment wrapText="1"/>
    </xf>
    <xf numFmtId="0" fontId="71" fillId="2" borderId="92" xfId="2" applyFont="1" applyFill="1" applyBorder="1" applyAlignment="1">
      <alignment wrapText="1"/>
    </xf>
    <xf numFmtId="0" fontId="71" fillId="2" borderId="93" xfId="2" applyFont="1" applyFill="1" applyBorder="1" applyAlignment="1">
      <alignment wrapText="1"/>
    </xf>
    <xf numFmtId="0" fontId="71" fillId="2" borderId="75" xfId="2" applyFont="1" applyFill="1" applyBorder="1" applyAlignment="1">
      <alignment wrapText="1"/>
    </xf>
    <xf numFmtId="0" fontId="71" fillId="2" borderId="0" xfId="2" applyFont="1" applyFill="1" applyAlignment="1">
      <alignment wrapText="1"/>
    </xf>
    <xf numFmtId="0" fontId="71" fillId="2" borderId="78" xfId="2" applyFont="1" applyFill="1" applyBorder="1" applyAlignment="1">
      <alignment wrapText="1"/>
    </xf>
    <xf numFmtId="0" fontId="71" fillId="2" borderId="45" xfId="2" applyFont="1" applyFill="1" applyBorder="1" applyAlignment="1">
      <alignment wrapText="1"/>
    </xf>
    <xf numFmtId="0" fontId="71" fillId="2" borderId="94" xfId="2" applyFont="1" applyFill="1" applyBorder="1" applyAlignment="1">
      <alignment wrapText="1"/>
    </xf>
    <xf numFmtId="0" fontId="71" fillId="2" borderId="95" xfId="2" applyFont="1" applyFill="1" applyBorder="1" applyAlignment="1">
      <alignment wrapText="1"/>
    </xf>
    <xf numFmtId="0" fontId="65" fillId="3" borderId="103" xfId="2" applyFont="1" applyFill="1" applyBorder="1" applyAlignment="1">
      <alignment vertical="center" wrapText="1"/>
    </xf>
    <xf numFmtId="0" fontId="65" fillId="3" borderId="92" xfId="2" applyFont="1" applyFill="1" applyBorder="1" applyAlignment="1">
      <alignment vertical="center" wrapText="1"/>
    </xf>
    <xf numFmtId="0" fontId="65" fillId="3" borderId="93" xfId="2" applyFont="1" applyFill="1" applyBorder="1" applyAlignment="1">
      <alignment vertical="center" wrapText="1"/>
    </xf>
    <xf numFmtId="0" fontId="65" fillId="3" borderId="75" xfId="2" applyFont="1" applyFill="1" applyBorder="1" applyAlignment="1">
      <alignment vertical="center" wrapText="1"/>
    </xf>
    <xf numFmtId="0" fontId="65" fillId="3" borderId="0" xfId="2" applyFont="1" applyFill="1" applyAlignment="1">
      <alignment vertical="center" wrapText="1"/>
    </xf>
    <xf numFmtId="0" fontId="65" fillId="3" borderId="78" xfId="2" applyFont="1" applyFill="1" applyBorder="1" applyAlignment="1">
      <alignment vertical="center" wrapText="1"/>
    </xf>
    <xf numFmtId="0" fontId="65" fillId="3" borderId="45" xfId="2" applyFont="1" applyFill="1" applyBorder="1" applyAlignment="1">
      <alignment vertical="center" wrapText="1"/>
    </xf>
    <xf numFmtId="0" fontId="65" fillId="3" borderId="94" xfId="2" applyFont="1" applyFill="1" applyBorder="1" applyAlignment="1">
      <alignment vertical="center" wrapText="1"/>
    </xf>
    <xf numFmtId="0" fontId="65" fillId="3" borderId="95" xfId="2" applyFont="1" applyFill="1" applyBorder="1" applyAlignment="1">
      <alignment vertical="center" wrapText="1"/>
    </xf>
    <xf numFmtId="0" fontId="70" fillId="2" borderId="103" xfId="2" applyFont="1" applyFill="1" applyBorder="1" applyAlignment="1">
      <alignment horizontal="center" vertical="center" wrapText="1"/>
    </xf>
    <xf numFmtId="0" fontId="47" fillId="2" borderId="92" xfId="2" applyFont="1" applyFill="1" applyBorder="1" applyAlignment="1">
      <alignment horizontal="center" vertical="center" wrapText="1"/>
    </xf>
    <xf numFmtId="0" fontId="47" fillId="2" borderId="93" xfId="2" applyFont="1" applyFill="1" applyBorder="1" applyAlignment="1">
      <alignment horizontal="center" vertical="center" wrapText="1"/>
    </xf>
    <xf numFmtId="0" fontId="47" fillId="2" borderId="75" xfId="2" applyFont="1" applyFill="1" applyBorder="1" applyAlignment="1">
      <alignment horizontal="center" vertical="center" wrapText="1"/>
    </xf>
    <xf numFmtId="0" fontId="47" fillId="2" borderId="0" xfId="2" applyFont="1" applyFill="1" applyAlignment="1">
      <alignment horizontal="center" vertical="center" wrapText="1"/>
    </xf>
    <xf numFmtId="0" fontId="47" fillId="2" borderId="78" xfId="2" applyFont="1" applyFill="1" applyBorder="1" applyAlignment="1">
      <alignment horizontal="center" vertical="center" wrapText="1"/>
    </xf>
    <xf numFmtId="0" fontId="47" fillId="2" borderId="45" xfId="2" applyFont="1" applyFill="1" applyBorder="1" applyAlignment="1">
      <alignment horizontal="center" vertical="center" wrapText="1"/>
    </xf>
    <xf numFmtId="0" fontId="47" fillId="2" borderId="94" xfId="2" applyFont="1" applyFill="1" applyBorder="1" applyAlignment="1">
      <alignment horizontal="center" vertical="center" wrapText="1"/>
    </xf>
    <xf numFmtId="0" fontId="47" fillId="2" borderId="95" xfId="2" applyFont="1" applyFill="1" applyBorder="1" applyAlignment="1">
      <alignment horizontal="center" vertical="center" wrapText="1"/>
    </xf>
    <xf numFmtId="0" fontId="71" fillId="3" borderId="103" xfId="2" applyFont="1" applyFill="1" applyBorder="1" applyAlignment="1">
      <alignment vertical="center" wrapText="1"/>
    </xf>
    <xf numFmtId="0" fontId="71" fillId="3" borderId="92" xfId="2" applyFont="1" applyFill="1" applyBorder="1" applyAlignment="1">
      <alignment vertical="center" wrapText="1"/>
    </xf>
    <xf numFmtId="0" fontId="71" fillId="3" borderId="93" xfId="2" applyFont="1" applyFill="1" applyBorder="1" applyAlignment="1">
      <alignment vertical="center" wrapText="1"/>
    </xf>
    <xf numFmtId="0" fontId="71" fillId="3" borderId="75" xfId="2" applyFont="1" applyFill="1" applyBorder="1" applyAlignment="1">
      <alignment vertical="center" wrapText="1"/>
    </xf>
    <xf numFmtId="0" fontId="71" fillId="3" borderId="0" xfId="2" applyFont="1" applyFill="1" applyAlignment="1">
      <alignment vertical="center" wrapText="1"/>
    </xf>
    <xf numFmtId="0" fontId="71" fillId="3" borderId="78" xfId="2" applyFont="1" applyFill="1" applyBorder="1" applyAlignment="1">
      <alignment vertical="center" wrapText="1"/>
    </xf>
    <xf numFmtId="0" fontId="71" fillId="3" borderId="45" xfId="2" applyFont="1" applyFill="1" applyBorder="1" applyAlignment="1">
      <alignment vertical="center" wrapText="1"/>
    </xf>
    <xf numFmtId="0" fontId="71" fillId="3" borderId="94" xfId="2" applyFont="1" applyFill="1" applyBorder="1" applyAlignment="1">
      <alignment vertical="center" wrapText="1"/>
    </xf>
    <xf numFmtId="0" fontId="71" fillId="3" borderId="95" xfId="2" applyFont="1" applyFill="1" applyBorder="1" applyAlignment="1">
      <alignment vertical="center" wrapText="1"/>
    </xf>
    <xf numFmtId="0" fontId="65" fillId="2" borderId="103" xfId="2" applyFont="1" applyFill="1" applyBorder="1" applyAlignment="1">
      <alignment vertical="center" wrapText="1"/>
    </xf>
    <xf numFmtId="0" fontId="65" fillId="2" borderId="92" xfId="2" applyFont="1" applyFill="1" applyBorder="1" applyAlignment="1">
      <alignment vertical="center" wrapText="1"/>
    </xf>
    <xf numFmtId="0" fontId="65" fillId="2" borderId="93" xfId="2" applyFont="1" applyFill="1" applyBorder="1" applyAlignment="1">
      <alignment vertical="center" wrapText="1"/>
    </xf>
    <xf numFmtId="0" fontId="65" fillId="2" borderId="75" xfId="2" applyFont="1" applyFill="1" applyBorder="1" applyAlignment="1">
      <alignment vertical="center" wrapText="1"/>
    </xf>
    <xf numFmtId="0" fontId="65" fillId="2" borderId="0" xfId="2" applyFont="1" applyFill="1" applyAlignment="1">
      <alignment vertical="center" wrapText="1"/>
    </xf>
    <xf numFmtId="0" fontId="65" fillId="2" borderId="78" xfId="2" applyFont="1" applyFill="1" applyBorder="1" applyAlignment="1">
      <alignment vertical="center" wrapText="1"/>
    </xf>
    <xf numFmtId="0" fontId="65" fillId="2" borderId="45" xfId="2" applyFont="1" applyFill="1" applyBorder="1" applyAlignment="1">
      <alignment vertical="center" wrapText="1"/>
    </xf>
    <xf numFmtId="0" fontId="65" fillId="2" borderId="94" xfId="2" applyFont="1" applyFill="1" applyBorder="1" applyAlignment="1">
      <alignment vertical="center" wrapText="1"/>
    </xf>
    <xf numFmtId="0" fontId="65" fillId="2" borderId="95" xfId="2" applyFont="1" applyFill="1" applyBorder="1" applyAlignment="1">
      <alignment vertical="center" wrapText="1"/>
    </xf>
    <xf numFmtId="0" fontId="47" fillId="0" borderId="75" xfId="2" applyFont="1" applyBorder="1" applyAlignment="1">
      <alignment horizontal="left" vertical="center" wrapText="1" shrinkToFit="1"/>
    </xf>
    <xf numFmtId="0" fontId="47" fillId="0" borderId="0" xfId="2" applyFont="1" applyAlignment="1">
      <alignment horizontal="left" vertical="center" wrapText="1" shrinkToFit="1"/>
    </xf>
    <xf numFmtId="0" fontId="47" fillId="0" borderId="103" xfId="2" applyFont="1" applyBorder="1" applyAlignment="1">
      <alignment horizontal="left" vertical="center" wrapText="1"/>
    </xf>
    <xf numFmtId="0" fontId="47" fillId="0" borderId="92" xfId="2" applyFont="1" applyBorder="1" applyAlignment="1">
      <alignment horizontal="left" vertical="center" wrapText="1"/>
    </xf>
    <xf numFmtId="0" fontId="47" fillId="0" borderId="93" xfId="2" applyFont="1" applyBorder="1" applyAlignment="1">
      <alignment horizontal="left" vertical="center" wrapText="1"/>
    </xf>
    <xf numFmtId="0" fontId="47" fillId="0" borderId="75" xfId="2" applyFont="1" applyBorder="1" applyAlignment="1">
      <alignment horizontal="left" vertical="center" wrapText="1"/>
    </xf>
    <xf numFmtId="0" fontId="47" fillId="0" borderId="0" xfId="2" applyFont="1" applyAlignment="1">
      <alignment horizontal="left" vertical="center" wrapText="1"/>
    </xf>
    <xf numFmtId="0" fontId="47" fillId="0" borderId="78" xfId="2" applyFont="1" applyBorder="1" applyAlignment="1">
      <alignment horizontal="left" vertical="center" wrapText="1"/>
    </xf>
    <xf numFmtId="0" fontId="47" fillId="0" borderId="45" xfId="2" applyFont="1" applyBorder="1" applyAlignment="1">
      <alignment horizontal="left" vertical="center" wrapText="1"/>
    </xf>
    <xf numFmtId="0" fontId="47" fillId="0" borderId="94" xfId="2" applyFont="1" applyBorder="1" applyAlignment="1">
      <alignment horizontal="left" vertical="center" wrapText="1"/>
    </xf>
    <xf numFmtId="0" fontId="47" fillId="0" borderId="95" xfId="2" applyFont="1" applyBorder="1" applyAlignment="1">
      <alignment horizontal="left" vertical="center" wrapText="1"/>
    </xf>
    <xf numFmtId="0" fontId="76" fillId="2" borderId="103" xfId="2" applyFont="1" applyFill="1" applyBorder="1" applyAlignment="1">
      <alignment vertical="center" wrapText="1"/>
    </xf>
    <xf numFmtId="0" fontId="76" fillId="2" borderId="92" xfId="2" applyFont="1" applyFill="1" applyBorder="1" applyAlignment="1">
      <alignment vertical="center" wrapText="1"/>
    </xf>
    <xf numFmtId="0" fontId="76" fillId="2" borderId="93" xfId="2" applyFont="1" applyFill="1" applyBorder="1" applyAlignment="1">
      <alignment vertical="center" wrapText="1"/>
    </xf>
    <xf numFmtId="0" fontId="76" fillId="2" borderId="75" xfId="2" applyFont="1" applyFill="1" applyBorder="1" applyAlignment="1">
      <alignment vertical="center" wrapText="1"/>
    </xf>
    <xf numFmtId="0" fontId="76" fillId="2" borderId="0" xfId="2" applyFont="1" applyFill="1" applyAlignment="1">
      <alignment vertical="center" wrapText="1"/>
    </xf>
    <xf numFmtId="0" fontId="76" fillId="2" borderId="78" xfId="2" applyFont="1" applyFill="1" applyBorder="1" applyAlignment="1">
      <alignment vertical="center" wrapText="1"/>
    </xf>
    <xf numFmtId="0" fontId="48" fillId="0" borderId="19" xfId="2" applyFont="1" applyBorder="1" applyAlignment="1">
      <alignment horizontal="left" vertical="center" wrapText="1" shrinkToFit="1"/>
    </xf>
    <xf numFmtId="0" fontId="48" fillId="0" borderId="104" xfId="2" applyFont="1" applyBorder="1" applyAlignment="1">
      <alignment horizontal="left" vertical="center" wrapText="1" shrinkToFit="1"/>
    </xf>
    <xf numFmtId="0" fontId="62" fillId="3" borderId="103" xfId="2" applyFont="1" applyFill="1" applyBorder="1" applyAlignment="1">
      <alignment vertical="center" wrapText="1"/>
    </xf>
    <xf numFmtId="0" fontId="62" fillId="3" borderId="92" xfId="2" applyFont="1" applyFill="1" applyBorder="1" applyAlignment="1">
      <alignment vertical="center" wrapText="1"/>
    </xf>
    <xf numFmtId="0" fontId="62" fillId="3" borderId="93" xfId="2" applyFont="1" applyFill="1" applyBorder="1" applyAlignment="1">
      <alignment vertical="center" wrapText="1"/>
    </xf>
    <xf numFmtId="0" fontId="62" fillId="3" borderId="75" xfId="2" applyFont="1" applyFill="1" applyBorder="1" applyAlignment="1">
      <alignment vertical="center" wrapText="1"/>
    </xf>
    <xf numFmtId="0" fontId="62" fillId="3" borderId="0" xfId="2" applyFont="1" applyFill="1" applyAlignment="1">
      <alignment vertical="center" wrapText="1"/>
    </xf>
    <xf numFmtId="0" fontId="62" fillId="3" borderId="78" xfId="2" applyFont="1" applyFill="1" applyBorder="1" applyAlignment="1">
      <alignment vertical="center" wrapText="1"/>
    </xf>
    <xf numFmtId="0" fontId="62" fillId="3" borderId="45" xfId="2" applyFont="1" applyFill="1" applyBorder="1" applyAlignment="1">
      <alignment vertical="center" wrapText="1"/>
    </xf>
    <xf numFmtId="0" fontId="62" fillId="3" borderId="94" xfId="2" applyFont="1" applyFill="1" applyBorder="1" applyAlignment="1">
      <alignment vertical="center" wrapText="1"/>
    </xf>
    <xf numFmtId="0" fontId="62" fillId="3" borderId="95" xfId="2" applyFont="1" applyFill="1" applyBorder="1" applyAlignment="1">
      <alignment vertical="center" wrapText="1"/>
    </xf>
    <xf numFmtId="0" fontId="75" fillId="3" borderId="85" xfId="2" applyFont="1" applyFill="1" applyBorder="1" applyAlignment="1">
      <alignment horizontal="left" vertical="center" wrapText="1" shrinkToFit="1"/>
    </xf>
    <xf numFmtId="0" fontId="75" fillId="3" borderId="51" xfId="2" applyFont="1" applyFill="1" applyBorder="1" applyAlignment="1">
      <alignment horizontal="left" vertical="center" wrapText="1" shrinkToFit="1"/>
    </xf>
    <xf numFmtId="0" fontId="80" fillId="2" borderId="103" xfId="2" applyFont="1" applyFill="1" applyBorder="1" applyAlignment="1">
      <alignment vertical="center" wrapText="1"/>
    </xf>
    <xf numFmtId="0" fontId="80" fillId="2" borderId="92" xfId="2" applyFont="1" applyFill="1" applyBorder="1" applyAlignment="1">
      <alignment vertical="center" wrapText="1"/>
    </xf>
    <xf numFmtId="0" fontId="80" fillId="2" borderId="93" xfId="2" applyFont="1" applyFill="1" applyBorder="1" applyAlignment="1">
      <alignment vertical="center" wrapText="1"/>
    </xf>
    <xf numFmtId="0" fontId="80" fillId="2" borderId="75" xfId="2" applyFont="1" applyFill="1" applyBorder="1" applyAlignment="1">
      <alignment vertical="center" wrapText="1"/>
    </xf>
    <xf numFmtId="0" fontId="80" fillId="2" borderId="0" xfId="2" applyFont="1" applyFill="1" applyAlignment="1">
      <alignment vertical="center" wrapText="1"/>
    </xf>
    <xf numFmtId="0" fontId="80" fillId="2" borderId="78" xfId="2" applyFont="1" applyFill="1" applyBorder="1" applyAlignment="1">
      <alignment vertical="center" wrapText="1"/>
    </xf>
    <xf numFmtId="0" fontId="34" fillId="3" borderId="103" xfId="2" applyFont="1" applyFill="1" applyBorder="1" applyAlignment="1">
      <alignment vertical="center" wrapText="1"/>
    </xf>
    <xf numFmtId="0" fontId="34" fillId="3" borderId="92" xfId="2" applyFont="1" applyFill="1" applyBorder="1" applyAlignment="1">
      <alignment vertical="center" wrapText="1"/>
    </xf>
    <xf numFmtId="0" fontId="34" fillId="3" borderId="93" xfId="2" applyFont="1" applyFill="1" applyBorder="1" applyAlignment="1">
      <alignment vertical="center" wrapText="1"/>
    </xf>
    <xf numFmtId="0" fontId="34" fillId="3" borderId="75" xfId="2" applyFont="1" applyFill="1" applyBorder="1" applyAlignment="1">
      <alignment vertical="center" wrapText="1"/>
    </xf>
    <xf numFmtId="0" fontId="34" fillId="3" borderId="0" xfId="2" applyFont="1" applyFill="1" applyAlignment="1">
      <alignment vertical="center" wrapText="1"/>
    </xf>
    <xf numFmtId="0" fontId="34" fillId="3" borderId="78" xfId="2" applyFont="1" applyFill="1" applyBorder="1" applyAlignment="1">
      <alignment vertical="center" wrapText="1"/>
    </xf>
    <xf numFmtId="0" fontId="34" fillId="3" borderId="45" xfId="2" applyFont="1" applyFill="1" applyBorder="1" applyAlignment="1">
      <alignment vertical="center" wrapText="1"/>
    </xf>
    <xf numFmtId="0" fontId="34" fillId="3" borderId="94" xfId="2" applyFont="1" applyFill="1" applyBorder="1" applyAlignment="1">
      <alignment vertical="center" wrapText="1"/>
    </xf>
    <xf numFmtId="0" fontId="34" fillId="3" borderId="95" xfId="2" applyFont="1" applyFill="1" applyBorder="1" applyAlignment="1">
      <alignment vertical="center" wrapText="1"/>
    </xf>
    <xf numFmtId="0" fontId="42" fillId="4" borderId="250" xfId="2" applyFont="1" applyFill="1" applyBorder="1" applyAlignment="1">
      <alignment horizontal="center" vertical="center" wrapText="1"/>
    </xf>
    <xf numFmtId="0" fontId="62" fillId="3" borderId="103" xfId="2" applyFont="1" applyFill="1" applyBorder="1" applyAlignment="1">
      <alignment horizontal="left" vertical="center" wrapText="1"/>
    </xf>
    <xf numFmtId="0" fontId="62" fillId="3" borderId="92" xfId="2" applyFont="1" applyFill="1" applyBorder="1" applyAlignment="1">
      <alignment horizontal="left" vertical="center" wrapText="1"/>
    </xf>
    <xf numFmtId="0" fontId="62" fillId="3" borderId="93" xfId="2" applyFont="1" applyFill="1" applyBorder="1" applyAlignment="1">
      <alignment horizontal="left" vertical="center" wrapText="1"/>
    </xf>
    <xf numFmtId="0" fontId="62" fillId="3" borderId="75" xfId="2" applyFont="1" applyFill="1" applyBorder="1" applyAlignment="1">
      <alignment horizontal="left" vertical="center" wrapText="1"/>
    </xf>
    <xf numFmtId="0" fontId="62" fillId="3" borderId="0" xfId="2" applyFont="1" applyFill="1" applyAlignment="1">
      <alignment horizontal="left" vertical="center" wrapText="1"/>
    </xf>
    <xf numFmtId="0" fontId="62" fillId="3" borderId="78" xfId="2" applyFont="1" applyFill="1" applyBorder="1" applyAlignment="1">
      <alignment horizontal="left" vertical="center" wrapText="1"/>
    </xf>
    <xf numFmtId="0" fontId="62" fillId="3" borderId="45" xfId="2" applyFont="1" applyFill="1" applyBorder="1" applyAlignment="1">
      <alignment horizontal="left" vertical="center" wrapText="1"/>
    </xf>
    <xf numFmtId="0" fontId="62" fillId="3" borderId="94" xfId="2" applyFont="1" applyFill="1" applyBorder="1" applyAlignment="1">
      <alignment horizontal="left" vertical="center" wrapText="1"/>
    </xf>
    <xf numFmtId="0" fontId="62" fillId="3" borderId="95" xfId="2" applyFont="1" applyFill="1" applyBorder="1" applyAlignment="1">
      <alignment horizontal="left" vertical="center" wrapText="1"/>
    </xf>
    <xf numFmtId="0" fontId="61" fillId="2" borderId="103" xfId="2" applyFont="1" applyFill="1" applyBorder="1" applyAlignment="1">
      <alignment vertical="center" wrapText="1"/>
    </xf>
    <xf numFmtId="0" fontId="61" fillId="2" borderId="92" xfId="2" applyFont="1" applyFill="1" applyBorder="1" applyAlignment="1">
      <alignment vertical="center" wrapText="1"/>
    </xf>
    <xf numFmtId="0" fontId="61" fillId="2" borderId="93" xfId="2" applyFont="1" applyFill="1" applyBorder="1" applyAlignment="1">
      <alignment vertical="center" wrapText="1"/>
    </xf>
    <xf numFmtId="0" fontId="61" fillId="2" borderId="75" xfId="2" applyFont="1" applyFill="1" applyBorder="1" applyAlignment="1">
      <alignment vertical="center" wrapText="1"/>
    </xf>
    <xf numFmtId="0" fontId="61" fillId="2" borderId="0" xfId="2" applyFont="1" applyFill="1" applyAlignment="1">
      <alignment vertical="center" wrapText="1"/>
    </xf>
    <xf numFmtId="0" fontId="61" fillId="2" borderId="78" xfId="2" applyFont="1" applyFill="1" applyBorder="1" applyAlignment="1">
      <alignment vertical="center" wrapText="1"/>
    </xf>
    <xf numFmtId="0" fontId="61" fillId="2" borderId="45" xfId="2" applyFont="1" applyFill="1" applyBorder="1" applyAlignment="1">
      <alignment vertical="center" wrapText="1"/>
    </xf>
    <xf numFmtId="0" fontId="61" fillId="2" borderId="94" xfId="2" applyFont="1" applyFill="1" applyBorder="1" applyAlignment="1">
      <alignment vertical="center" wrapText="1"/>
    </xf>
    <xf numFmtId="0" fontId="61" fillId="2" borderId="95" xfId="2" applyFont="1" applyFill="1" applyBorder="1" applyAlignment="1">
      <alignment vertical="center" wrapText="1"/>
    </xf>
    <xf numFmtId="0" fontId="71" fillId="2" borderId="103" xfId="2" applyFont="1" applyFill="1" applyBorder="1" applyAlignment="1">
      <alignment vertical="center" wrapText="1"/>
    </xf>
    <xf numFmtId="0" fontId="71" fillId="2" borderId="92" xfId="2" applyFont="1" applyFill="1" applyBorder="1" applyAlignment="1">
      <alignment vertical="center" wrapText="1"/>
    </xf>
    <xf numFmtId="0" fontId="71" fillId="2" borderId="93" xfId="2" applyFont="1" applyFill="1" applyBorder="1" applyAlignment="1">
      <alignment vertical="center" wrapText="1"/>
    </xf>
    <xf numFmtId="0" fontId="71" fillId="2" borderId="75" xfId="2" applyFont="1" applyFill="1" applyBorder="1" applyAlignment="1">
      <alignment vertical="center" wrapText="1"/>
    </xf>
    <xf numFmtId="0" fontId="71" fillId="2" borderId="0" xfId="2" applyFont="1" applyFill="1" applyAlignment="1">
      <alignment vertical="center" wrapText="1"/>
    </xf>
    <xf numFmtId="0" fontId="71" fillId="2" borderId="78" xfId="2" applyFont="1" applyFill="1" applyBorder="1" applyAlignment="1">
      <alignment vertical="center" wrapText="1"/>
    </xf>
    <xf numFmtId="0" fontId="71" fillId="2" borderId="45" xfId="2" applyFont="1" applyFill="1" applyBorder="1" applyAlignment="1">
      <alignment vertical="center" wrapText="1"/>
    </xf>
    <xf numFmtId="0" fontId="71" fillId="2" borderId="94" xfId="2" applyFont="1" applyFill="1" applyBorder="1" applyAlignment="1">
      <alignment vertical="center" wrapText="1"/>
    </xf>
    <xf numFmtId="0" fontId="71" fillId="2" borderId="95" xfId="2" applyFont="1" applyFill="1" applyBorder="1" applyAlignment="1">
      <alignment vertical="center" wrapText="1"/>
    </xf>
  </cellXfs>
  <cellStyles count="27">
    <cellStyle name="Comma 2" xfId="4" xr:uid="{423CBD30-FFA9-4984-B223-6D0CBD61C387}"/>
    <cellStyle name="Comma 2 2" xfId="9" xr:uid="{EAC4BD87-4872-4D56-9348-2F6E03DC0C74}"/>
    <cellStyle name="Comma 3" xfId="20" xr:uid="{480185A5-AE94-4C66-9DEF-BC8A998E51EC}"/>
    <cellStyle name="Comma 4" xfId="21" xr:uid="{66D1F041-3C25-4B95-B547-8DB3233E0AE5}"/>
    <cellStyle name="Comma 5" xfId="6" xr:uid="{01F4B9A6-1E77-40C6-B294-0918A65C9ACD}"/>
    <cellStyle name="Comma 6" xfId="13" xr:uid="{32CEF6D8-1D19-43AD-A1C7-BF8D1D9D2C2C}"/>
    <cellStyle name="Hyperlink 2" xfId="10" xr:uid="{DBA77621-24B2-43B4-A5D5-2A96A572A037}"/>
    <cellStyle name="Normal" xfId="0" builtinId="0"/>
    <cellStyle name="Normal 10" xfId="24" xr:uid="{4EE48056-107F-4F3B-9924-2CDA6368096E}"/>
    <cellStyle name="Normal 11" xfId="25" xr:uid="{92C661ED-243B-4DC8-8D56-6590A91158AF}"/>
    <cellStyle name="Normal 2" xfId="2" xr:uid="{C96DA630-E4A5-498D-B8E0-81C33C79A9C7}"/>
    <cellStyle name="Normal 2 2" xfId="18" xr:uid="{4FE4335C-8916-4323-A3B0-0A2505271B1C}"/>
    <cellStyle name="Normal 3" xfId="3" xr:uid="{C9DBB09F-6FD6-4BE8-93C6-FD0640042E40}"/>
    <cellStyle name="Normal 3 2" xfId="8" xr:uid="{BC1B709D-203B-4DA7-819D-6BA136C27A99}"/>
    <cellStyle name="Normal 3 2 2" xfId="5" xr:uid="{C41C0A86-BC03-4BC7-9AF1-4C1F34026627}"/>
    <cellStyle name="Normal 3 3" xfId="15" xr:uid="{004CAAF2-F2B6-4D40-BABE-C46CAC60948A}"/>
    <cellStyle name="Normal 3 4" xfId="7" xr:uid="{92933767-8EBE-4894-AD60-A8C5A1C74D94}"/>
    <cellStyle name="Normal 3 5" xfId="26" xr:uid="{37D119CB-E3BF-44C8-BBF0-1BCE61738902}"/>
    <cellStyle name="Normal 4" xfId="11" xr:uid="{A17FF13E-C1D8-4A9F-A6B6-67D2CE50048D}"/>
    <cellStyle name="Normal 4 2" xfId="16" xr:uid="{E3C9F91D-08F9-401C-AF57-BE18E3084B85}"/>
    <cellStyle name="Normal 5" xfId="14" xr:uid="{CF85B76E-2185-4D44-A12B-B1CFBBBB0E47}"/>
    <cellStyle name="Normal 6" xfId="17" xr:uid="{C0F25DF3-5144-4CE1-8CCE-478E3AA5AAF7}"/>
    <cellStyle name="Normal 60" xfId="12" xr:uid="{7CDE9224-6AD9-40A3-964F-E530D48EC43B}"/>
    <cellStyle name="Normal 7" xfId="19" xr:uid="{3573E9D7-4263-4438-8FF9-94214107129D}"/>
    <cellStyle name="Normal 8" xfId="22" xr:uid="{43263B93-B54C-4DEF-950D-CF417F4FAF91}"/>
    <cellStyle name="Normal 9" xfId="23" xr:uid="{8F353C51-CB27-42BC-90E6-9113F7C86D63}"/>
    <cellStyle name="Percent" xfId="1" builtinId="5"/>
  </cellStyles>
  <dxfs count="607">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fill>
        <patternFill>
          <bgColor rgb="FFA50021"/>
        </patternFill>
      </fill>
    </dxf>
    <dxf>
      <font>
        <color theme="0"/>
      </font>
      <fill>
        <patternFill>
          <fgColor theme="0"/>
          <bgColor theme="5"/>
        </patternFill>
      </fill>
    </dxf>
    <dxf>
      <font>
        <color theme="0"/>
      </font>
      <fill>
        <patternFill patternType="solid">
          <bgColor rgb="FFCC6600"/>
        </patternFill>
      </fill>
    </dxf>
    <dxf>
      <font>
        <color theme="0"/>
      </font>
      <fill>
        <patternFill>
          <bgColor rgb="FFA50021"/>
        </patternFill>
      </fill>
    </dxf>
    <dxf>
      <font>
        <color theme="0"/>
      </font>
      <fill>
        <patternFill>
          <fgColor theme="0"/>
          <bgColor theme="5"/>
        </patternFill>
      </fill>
    </dxf>
    <dxf>
      <font>
        <color theme="0"/>
      </font>
      <fill>
        <patternFill patternType="solid">
          <bgColor rgb="FFCC6600"/>
        </patternFill>
      </fill>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dxf>
    <dxf>
      <numFmt numFmtId="30" formatCode="@"/>
      <alignment horizontal="left"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numFmt numFmtId="30" formatCode="@"/>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9" defaultPivotStyle="PivotStyleLight16"/>
  <colors>
    <mruColors>
      <color rgb="FFFFFF99"/>
      <color rgb="FFFF9933"/>
      <color rgb="FFCC6600"/>
      <color rgb="FFFF6600"/>
      <color rgb="FFA50021"/>
      <color rgb="FFFFFFCC"/>
      <color rgb="FF99CCFF"/>
      <color rgb="FFFFFF69"/>
      <color rgb="FF99FF66"/>
      <color rgb="FFFF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7D927E-30A6-48C2-8ADD-1E4C5D7A3D93}" name="Table1" displayName="Table1" ref="A3:C11" totalsRowShown="0">
  <autoFilter ref="A3:C11" xr:uid="{407D927E-30A6-48C2-8ADD-1E4C5D7A3D93}"/>
  <tableColumns count="3">
    <tableColumn id="1" xr3:uid="{1231E4CD-609B-433C-BD91-EEAFEE41DF0F}" name="#" dataDxfId="591"/>
    <tableColumn id="2" xr3:uid="{E996C003-9C8F-4D99-AB0E-E0BB0193F895}" name="Types of Contact" dataDxfId="590"/>
    <tableColumn id="3" xr3:uid="{2C5BC75C-12F9-457D-BF66-952D6A362A8D}" name="I/D Causes" dataDxfId="58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8933E3B-4F51-40E5-A772-B40661926AB6}" name="Table2" displayName="Table2" ref="E3:G33" totalsRowShown="0">
  <autoFilter ref="E3:G33" xr:uid="{68933E3B-4F51-40E5-A772-B40661926AB6}"/>
  <tableColumns count="3">
    <tableColumn id="1" xr3:uid="{0DF1D119-C3FA-4EF6-9EE9-BC4C8819DBE6}" name="#" dataDxfId="588"/>
    <tableColumn id="2" xr3:uid="{15E621C0-0314-4C72-80C9-A256A3ACC282}" name="Immediate / Direct Causes" dataDxfId="587"/>
    <tableColumn id="3" xr3:uid="{657EAA9A-D577-48E8-93A5-20E7177CB4A8}" name="B/U Causes" dataDxfId="58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6544E69-AF41-4785-8723-7A173C65DB30}" name="Table3" displayName="Table3" ref="I3:M167" totalsRowShown="0">
  <autoFilter ref="I3:M167" xr:uid="{86544E69-AF41-4785-8723-7A173C65DB30}"/>
  <tableColumns count="5">
    <tableColumn id="1" xr3:uid="{BD90F1EF-A5A3-484F-85A2-895DB1490D6A}" name="#" dataDxfId="585"/>
    <tableColumn id="2" xr3:uid="{42C0D931-3CF5-4341-A495-CAC79F314094}" name="-" dataDxfId="584"/>
    <tableColumn id="3" xr3:uid="{EEC4F414-FC13-4289-B887-A7B954F83995}" name="Basic / Underlying Causes" dataDxfId="583"/>
    <tableColumn id="4" xr3:uid="{A8C216E2-A929-4576-AA93-513707602BC6}" name="-2" dataDxfId="582"/>
    <tableColumn id="5" xr3:uid="{1898AB57-4510-421D-A21A-9CC2C0A9D158}" name="CAN" dataDxfId="581"/>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01C4537-461E-4E3D-9C25-74FEAC44ACA5}" name="Table4" displayName="Table4" ref="O3:T150" totalsRowShown="0" headerRowDxfId="580" dataDxfId="579">
  <autoFilter ref="O3:T150" xr:uid="{301C4537-461E-4E3D-9C25-74FEAC44ACA5}"/>
  <tableColumns count="6">
    <tableColumn id="1" xr3:uid="{72AD7798-1EE6-4E12-BBD3-960805E364AE}" name="#" dataDxfId="578"/>
    <tableColumn id="2" xr3:uid="{555DD6CE-2F34-4391-AF17-15FBEA109F18}" name="-" dataDxfId="577"/>
    <tableColumn id="3" xr3:uid="{DC98506E-AF54-460F-90C1-361192244594}" name="Control Action Needs" dataDxfId="576"/>
    <tableColumn id="4" xr3:uid="{14ABA258-C707-469C-9E09-BD4227DE026E}" name="Program Activity" dataDxfId="575"/>
    <tableColumn id="5" xr3:uid="{AA1A8187-71B3-4035-8D6D-3724DB9417CC}" name="Program Standards are Established" dataDxfId="574"/>
    <tableColumn id="6" xr3:uid="{180B4B01-6307-416C-9C0A-CA7B4137669D}" name="Full Compliance to Standards Achieved" dataDxfId="573"/>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 Id="rId5" Type="http://schemas.openxmlformats.org/officeDocument/2006/relationships/table" Target="../tables/table4.xml"/><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C66E1-AD54-40E3-8565-D4555AB8CF42}">
  <dimension ref="A2:R166"/>
  <sheetViews>
    <sheetView workbookViewId="0"/>
  </sheetViews>
  <sheetFormatPr defaultRowHeight="13" x14ac:dyDescent="0.3"/>
  <cols>
    <col min="1" max="1" width="4.08984375" customWidth="1"/>
    <col min="2" max="4" width="9.81640625" customWidth="1"/>
    <col min="5" max="16" width="10.90625" customWidth="1"/>
    <col min="17" max="17" width="8.7265625" style="7"/>
    <col min="18" max="18" width="12.54296875" style="137" customWidth="1"/>
    <col min="19" max="19" width="3.08984375" customWidth="1"/>
  </cols>
  <sheetData>
    <row r="2" spans="2:18" ht="13.5" thickBot="1" x14ac:dyDescent="0.35"/>
    <row r="3" spans="2:18" ht="26.5" thickBot="1" x14ac:dyDescent="0.3">
      <c r="B3" s="465" t="s">
        <v>11</v>
      </c>
      <c r="C3" s="466"/>
      <c r="D3" s="467"/>
      <c r="E3" s="140" t="s">
        <v>190</v>
      </c>
      <c r="F3" s="141" t="s">
        <v>191</v>
      </c>
      <c r="G3" s="141" t="s">
        <v>192</v>
      </c>
      <c r="H3" s="141" t="s">
        <v>193</v>
      </c>
      <c r="I3" s="141" t="s">
        <v>194</v>
      </c>
      <c r="J3" s="141" t="s">
        <v>195</v>
      </c>
      <c r="K3" s="141" t="s">
        <v>196</v>
      </c>
      <c r="L3" s="141" t="s">
        <v>197</v>
      </c>
      <c r="M3" s="141" t="s">
        <v>198</v>
      </c>
      <c r="N3" s="141" t="s">
        <v>199</v>
      </c>
      <c r="O3" s="141" t="s">
        <v>200</v>
      </c>
      <c r="P3" s="142" t="s">
        <v>201</v>
      </c>
      <c r="Q3" s="143" t="s">
        <v>5</v>
      </c>
      <c r="R3" s="144" t="s">
        <v>220</v>
      </c>
    </row>
    <row r="4" spans="2:18" ht="13.5" thickBot="1" x14ac:dyDescent="0.3">
      <c r="B4" s="483" t="s">
        <v>212</v>
      </c>
      <c r="C4" s="484"/>
      <c r="D4" s="485"/>
      <c r="E4" s="163"/>
      <c r="F4" s="164"/>
      <c r="G4" s="164"/>
      <c r="H4" s="164"/>
      <c r="I4" s="164"/>
      <c r="J4" s="164"/>
      <c r="K4" s="164"/>
      <c r="L4" s="164"/>
      <c r="M4" s="164"/>
      <c r="N4" s="164"/>
      <c r="O4" s="164"/>
      <c r="P4" s="165"/>
      <c r="Q4" s="112">
        <f t="shared" ref="Q4:Q24" si="0">SUM(E4:P4)</f>
        <v>0</v>
      </c>
      <c r="R4" s="159">
        <f>SUM(Q4)</f>
        <v>0</v>
      </c>
    </row>
    <row r="5" spans="2:18" ht="12.5" x14ac:dyDescent="0.25">
      <c r="B5" s="480" t="s">
        <v>209</v>
      </c>
      <c r="C5" s="481"/>
      <c r="D5" s="482"/>
      <c r="E5" s="104"/>
      <c r="F5" s="105"/>
      <c r="G5" s="105"/>
      <c r="H5" s="105"/>
      <c r="I5" s="105"/>
      <c r="J5" s="105"/>
      <c r="K5" s="105"/>
      <c r="L5" s="105"/>
      <c r="M5" s="105"/>
      <c r="N5" s="105"/>
      <c r="O5" s="105"/>
      <c r="P5" s="106"/>
      <c r="Q5" s="110">
        <f t="shared" si="0"/>
        <v>0</v>
      </c>
      <c r="R5" s="486">
        <f>SUM(Q5:Q8)</f>
        <v>0</v>
      </c>
    </row>
    <row r="6" spans="2:18" ht="12.5" x14ac:dyDescent="0.25">
      <c r="B6" s="494" t="s">
        <v>204</v>
      </c>
      <c r="C6" s="495"/>
      <c r="D6" s="496"/>
      <c r="E6" s="102"/>
      <c r="F6" s="100"/>
      <c r="G6" s="100"/>
      <c r="H6" s="100"/>
      <c r="I6" s="100"/>
      <c r="J6" s="100"/>
      <c r="K6" s="100"/>
      <c r="L6" s="100"/>
      <c r="M6" s="100"/>
      <c r="N6" s="100"/>
      <c r="O6" s="100"/>
      <c r="P6" s="107"/>
      <c r="Q6" s="111">
        <f t="shared" si="0"/>
        <v>0</v>
      </c>
      <c r="R6" s="486"/>
    </row>
    <row r="7" spans="2:18" ht="12.5" x14ac:dyDescent="0.25">
      <c r="B7" s="494" t="s">
        <v>213</v>
      </c>
      <c r="C7" s="495"/>
      <c r="D7" s="496"/>
      <c r="E7" s="102"/>
      <c r="F7" s="100"/>
      <c r="G7" s="100"/>
      <c r="H7" s="100"/>
      <c r="I7" s="100"/>
      <c r="J7" s="100"/>
      <c r="K7" s="100"/>
      <c r="L7" s="100"/>
      <c r="M7" s="100"/>
      <c r="N7" s="100"/>
      <c r="O7" s="100"/>
      <c r="P7" s="107"/>
      <c r="Q7" s="111">
        <f>SUM(E7:P7)</f>
        <v>0</v>
      </c>
      <c r="R7" s="486"/>
    </row>
    <row r="8" spans="2:18" thickBot="1" x14ac:dyDescent="0.3">
      <c r="B8" s="491" t="s">
        <v>235</v>
      </c>
      <c r="C8" s="492"/>
      <c r="D8" s="493"/>
      <c r="E8" s="147"/>
      <c r="F8" s="148"/>
      <c r="G8" s="148"/>
      <c r="H8" s="148"/>
      <c r="I8" s="148"/>
      <c r="J8" s="148"/>
      <c r="K8" s="148"/>
      <c r="L8" s="148"/>
      <c r="M8" s="148"/>
      <c r="N8" s="148"/>
      <c r="O8" s="148"/>
      <c r="P8" s="149"/>
      <c r="Q8" s="145">
        <f>SUM(E8:P8)</f>
        <v>0</v>
      </c>
      <c r="R8" s="487"/>
    </row>
    <row r="9" spans="2:18" ht="12.5" x14ac:dyDescent="0.25">
      <c r="B9" s="471" t="s">
        <v>202</v>
      </c>
      <c r="C9" s="472"/>
      <c r="D9" s="473"/>
      <c r="E9" s="151"/>
      <c r="F9" s="152"/>
      <c r="G9" s="152"/>
      <c r="H9" s="152"/>
      <c r="I9" s="152"/>
      <c r="J9" s="152"/>
      <c r="K9" s="152"/>
      <c r="L9" s="152"/>
      <c r="M9" s="152"/>
      <c r="N9" s="152"/>
      <c r="O9" s="152"/>
      <c r="P9" s="153"/>
      <c r="Q9" s="146">
        <f t="shared" si="0"/>
        <v>0</v>
      </c>
      <c r="R9" s="497">
        <f>SUM(Q9:Q18)</f>
        <v>0</v>
      </c>
    </row>
    <row r="10" spans="2:18" ht="12.5" x14ac:dyDescent="0.25">
      <c r="B10" s="468" t="s">
        <v>214</v>
      </c>
      <c r="C10" s="469"/>
      <c r="D10" s="470"/>
      <c r="E10" s="103"/>
      <c r="F10" s="101"/>
      <c r="G10" s="101"/>
      <c r="H10" s="101"/>
      <c r="I10" s="101"/>
      <c r="J10" s="101"/>
      <c r="K10" s="101"/>
      <c r="L10" s="101"/>
      <c r="M10" s="101"/>
      <c r="N10" s="101"/>
      <c r="O10" s="101"/>
      <c r="P10" s="108"/>
      <c r="Q10" s="111">
        <f t="shared" si="0"/>
        <v>0</v>
      </c>
      <c r="R10" s="498"/>
    </row>
    <row r="11" spans="2:18" ht="12.5" x14ac:dyDescent="0.25">
      <c r="B11" s="468" t="s">
        <v>183</v>
      </c>
      <c r="C11" s="469"/>
      <c r="D11" s="470"/>
      <c r="E11" s="103"/>
      <c r="F11" s="101"/>
      <c r="G11" s="101"/>
      <c r="H11" s="101"/>
      <c r="I11" s="101"/>
      <c r="J11" s="101"/>
      <c r="K11" s="101"/>
      <c r="L11" s="101"/>
      <c r="M11" s="101"/>
      <c r="N11" s="101"/>
      <c r="O11" s="101"/>
      <c r="P11" s="108"/>
      <c r="Q11" s="111">
        <f t="shared" si="0"/>
        <v>0</v>
      </c>
      <c r="R11" s="498"/>
    </row>
    <row r="12" spans="2:18" ht="12.5" x14ac:dyDescent="0.25">
      <c r="B12" s="468" t="s">
        <v>184</v>
      </c>
      <c r="C12" s="469"/>
      <c r="D12" s="470"/>
      <c r="E12" s="103"/>
      <c r="F12" s="101"/>
      <c r="G12" s="101"/>
      <c r="H12" s="101"/>
      <c r="I12" s="101"/>
      <c r="J12" s="101"/>
      <c r="K12" s="101"/>
      <c r="L12" s="101"/>
      <c r="M12" s="101"/>
      <c r="N12" s="101"/>
      <c r="O12" s="101"/>
      <c r="P12" s="108"/>
      <c r="Q12" s="111">
        <f t="shared" si="0"/>
        <v>0</v>
      </c>
      <c r="R12" s="498"/>
    </row>
    <row r="13" spans="2:18" ht="12.5" x14ac:dyDescent="0.25">
      <c r="B13" s="468" t="s">
        <v>205</v>
      </c>
      <c r="C13" s="469"/>
      <c r="D13" s="470"/>
      <c r="E13" s="103"/>
      <c r="F13" s="101"/>
      <c r="G13" s="101"/>
      <c r="H13" s="101"/>
      <c r="I13" s="101"/>
      <c r="J13" s="101"/>
      <c r="K13" s="101"/>
      <c r="L13" s="101"/>
      <c r="M13" s="101"/>
      <c r="N13" s="101"/>
      <c r="O13" s="101"/>
      <c r="P13" s="108"/>
      <c r="Q13" s="111">
        <f t="shared" si="0"/>
        <v>0</v>
      </c>
      <c r="R13" s="498"/>
    </row>
    <row r="14" spans="2:18" ht="12.5" x14ac:dyDescent="0.25">
      <c r="B14" s="468" t="s">
        <v>207</v>
      </c>
      <c r="C14" s="469"/>
      <c r="D14" s="470"/>
      <c r="E14" s="103"/>
      <c r="F14" s="101"/>
      <c r="G14" s="101"/>
      <c r="H14" s="101"/>
      <c r="I14" s="101"/>
      <c r="J14" s="101"/>
      <c r="K14" s="101"/>
      <c r="L14" s="101"/>
      <c r="M14" s="101"/>
      <c r="N14" s="101"/>
      <c r="O14" s="101"/>
      <c r="P14" s="108"/>
      <c r="Q14" s="111">
        <f t="shared" si="0"/>
        <v>0</v>
      </c>
      <c r="R14" s="498"/>
    </row>
    <row r="15" spans="2:18" ht="12.5" x14ac:dyDescent="0.25">
      <c r="B15" s="468" t="s">
        <v>208</v>
      </c>
      <c r="C15" s="469"/>
      <c r="D15" s="470"/>
      <c r="E15" s="103"/>
      <c r="F15" s="101"/>
      <c r="G15" s="101"/>
      <c r="H15" s="101"/>
      <c r="I15" s="101"/>
      <c r="J15" s="101"/>
      <c r="K15" s="101"/>
      <c r="L15" s="101"/>
      <c r="M15" s="101"/>
      <c r="N15" s="101"/>
      <c r="O15" s="101"/>
      <c r="P15" s="108"/>
      <c r="Q15" s="111">
        <f t="shared" si="0"/>
        <v>0</v>
      </c>
      <c r="R15" s="498"/>
    </row>
    <row r="16" spans="2:18" ht="12.5" x14ac:dyDescent="0.25">
      <c r="B16" s="468" t="s">
        <v>211</v>
      </c>
      <c r="C16" s="469"/>
      <c r="D16" s="470"/>
      <c r="E16" s="103"/>
      <c r="F16" s="101"/>
      <c r="G16" s="101"/>
      <c r="H16" s="101"/>
      <c r="I16" s="101"/>
      <c r="J16" s="101"/>
      <c r="K16" s="101"/>
      <c r="L16" s="101"/>
      <c r="M16" s="101"/>
      <c r="N16" s="101"/>
      <c r="O16" s="101"/>
      <c r="P16" s="108"/>
      <c r="Q16" s="111">
        <f t="shared" si="0"/>
        <v>0</v>
      </c>
      <c r="R16" s="498"/>
    </row>
    <row r="17" spans="1:18" ht="12.5" x14ac:dyDescent="0.25">
      <c r="B17" s="468" t="s">
        <v>215</v>
      </c>
      <c r="C17" s="469"/>
      <c r="D17" s="470"/>
      <c r="E17" s="103"/>
      <c r="F17" s="101"/>
      <c r="G17" s="101"/>
      <c r="H17" s="101"/>
      <c r="I17" s="101"/>
      <c r="J17" s="101"/>
      <c r="K17" s="101"/>
      <c r="L17" s="101"/>
      <c r="M17" s="101"/>
      <c r="N17" s="101"/>
      <c r="O17" s="101"/>
      <c r="P17" s="108"/>
      <c r="Q17" s="111">
        <f t="shared" si="0"/>
        <v>0</v>
      </c>
      <c r="R17" s="498"/>
    </row>
    <row r="18" spans="1:18" thickBot="1" x14ac:dyDescent="0.3">
      <c r="B18" s="477" t="s">
        <v>210</v>
      </c>
      <c r="C18" s="478"/>
      <c r="D18" s="479"/>
      <c r="E18" s="154"/>
      <c r="F18" s="155"/>
      <c r="G18" s="155"/>
      <c r="H18" s="155"/>
      <c r="I18" s="155"/>
      <c r="J18" s="155"/>
      <c r="K18" s="155"/>
      <c r="L18" s="155"/>
      <c r="M18" s="155"/>
      <c r="N18" s="155"/>
      <c r="O18" s="155"/>
      <c r="P18" s="136"/>
      <c r="Q18" s="145">
        <f t="shared" si="0"/>
        <v>0</v>
      </c>
      <c r="R18" s="499"/>
    </row>
    <row r="19" spans="1:18" ht="12.5" x14ac:dyDescent="0.25">
      <c r="B19" s="471" t="s">
        <v>217</v>
      </c>
      <c r="C19" s="472"/>
      <c r="D19" s="473"/>
      <c r="E19" s="151"/>
      <c r="F19" s="152"/>
      <c r="G19" s="152"/>
      <c r="H19" s="152"/>
      <c r="I19" s="152"/>
      <c r="J19" s="152"/>
      <c r="K19" s="152"/>
      <c r="L19" s="152"/>
      <c r="M19" s="152"/>
      <c r="N19" s="152"/>
      <c r="O19" s="152"/>
      <c r="P19" s="153"/>
      <c r="Q19" s="146">
        <f t="shared" si="0"/>
        <v>0</v>
      </c>
      <c r="R19" s="497">
        <f>SUM(Q19:Q20)</f>
        <v>0</v>
      </c>
    </row>
    <row r="20" spans="1:18" thickBot="1" x14ac:dyDescent="0.3">
      <c r="B20" s="477" t="s">
        <v>206</v>
      </c>
      <c r="C20" s="478"/>
      <c r="D20" s="479"/>
      <c r="E20" s="154"/>
      <c r="F20" s="155"/>
      <c r="G20" s="155"/>
      <c r="H20" s="155"/>
      <c r="I20" s="155"/>
      <c r="J20" s="155"/>
      <c r="K20" s="155"/>
      <c r="L20" s="155"/>
      <c r="M20" s="155"/>
      <c r="N20" s="155"/>
      <c r="O20" s="155"/>
      <c r="P20" s="136"/>
      <c r="Q20" s="145">
        <f t="shared" si="0"/>
        <v>0</v>
      </c>
      <c r="R20" s="499"/>
    </row>
    <row r="21" spans="1:18" ht="13.5" thickBot="1" x14ac:dyDescent="0.3">
      <c r="B21" s="474" t="s">
        <v>203</v>
      </c>
      <c r="C21" s="475"/>
      <c r="D21" s="476"/>
      <c r="E21" s="156"/>
      <c r="F21" s="157"/>
      <c r="G21" s="157"/>
      <c r="H21" s="157"/>
      <c r="I21" s="157"/>
      <c r="J21" s="157"/>
      <c r="K21" s="157"/>
      <c r="L21" s="157"/>
      <c r="M21" s="157"/>
      <c r="N21" s="157"/>
      <c r="O21" s="157"/>
      <c r="P21" s="158"/>
      <c r="Q21" s="112">
        <f t="shared" si="0"/>
        <v>0</v>
      </c>
      <c r="R21" s="159">
        <f>SUM(Q21)</f>
        <v>0</v>
      </c>
    </row>
    <row r="22" spans="1:18" ht="12.5" x14ac:dyDescent="0.25">
      <c r="B22" s="471" t="s">
        <v>216</v>
      </c>
      <c r="C22" s="472"/>
      <c r="D22" s="473"/>
      <c r="E22" s="151"/>
      <c r="F22" s="152"/>
      <c r="G22" s="152"/>
      <c r="H22" s="152"/>
      <c r="I22" s="152"/>
      <c r="J22" s="152"/>
      <c r="K22" s="152"/>
      <c r="L22" s="152"/>
      <c r="M22" s="152"/>
      <c r="N22" s="152"/>
      <c r="O22" s="152"/>
      <c r="P22" s="153"/>
      <c r="Q22" s="146">
        <f t="shared" si="0"/>
        <v>0</v>
      </c>
      <c r="R22" s="497">
        <f>SUM(Q22:Q25)</f>
        <v>0</v>
      </c>
    </row>
    <row r="23" spans="1:18" ht="12.5" x14ac:dyDescent="0.25">
      <c r="B23" s="468" t="s">
        <v>218</v>
      </c>
      <c r="C23" s="469"/>
      <c r="D23" s="470"/>
      <c r="E23" s="103"/>
      <c r="F23" s="101"/>
      <c r="G23" s="101"/>
      <c r="H23" s="101"/>
      <c r="I23" s="101"/>
      <c r="J23" s="101"/>
      <c r="K23" s="101"/>
      <c r="L23" s="101"/>
      <c r="M23" s="101"/>
      <c r="N23" s="101"/>
      <c r="O23" s="101"/>
      <c r="P23" s="108"/>
      <c r="Q23" s="111">
        <f t="shared" si="0"/>
        <v>0</v>
      </c>
      <c r="R23" s="498"/>
    </row>
    <row r="24" spans="1:18" ht="12.5" x14ac:dyDescent="0.25">
      <c r="B24" s="468" t="s">
        <v>219</v>
      </c>
      <c r="C24" s="469"/>
      <c r="D24" s="470"/>
      <c r="E24" s="103"/>
      <c r="F24" s="101"/>
      <c r="G24" s="101"/>
      <c r="H24" s="101"/>
      <c r="I24" s="101"/>
      <c r="J24" s="101"/>
      <c r="K24" s="101"/>
      <c r="L24" s="101"/>
      <c r="M24" s="101"/>
      <c r="N24" s="101"/>
      <c r="O24" s="101"/>
      <c r="P24" s="108"/>
      <c r="Q24" s="111">
        <f t="shared" si="0"/>
        <v>0</v>
      </c>
      <c r="R24" s="498"/>
    </row>
    <row r="25" spans="1:18" thickBot="1" x14ac:dyDescent="0.3">
      <c r="B25" s="477" t="s">
        <v>42</v>
      </c>
      <c r="C25" s="478"/>
      <c r="D25" s="479"/>
      <c r="E25" s="154"/>
      <c r="F25" s="155"/>
      <c r="G25" s="155"/>
      <c r="H25" s="155"/>
      <c r="I25" s="155"/>
      <c r="J25" s="155"/>
      <c r="K25" s="155"/>
      <c r="L25" s="155"/>
      <c r="M25" s="155"/>
      <c r="N25" s="155"/>
      <c r="O25" s="155"/>
      <c r="P25" s="136"/>
      <c r="Q25" s="145">
        <f>SUM(E25:P25)</f>
        <v>0</v>
      </c>
      <c r="R25" s="499"/>
    </row>
    <row r="26" spans="1:18" s="7" customFormat="1" ht="13.5" thickBot="1" x14ac:dyDescent="0.3">
      <c r="B26" s="488" t="s">
        <v>4</v>
      </c>
      <c r="C26" s="489"/>
      <c r="D26" s="490"/>
      <c r="E26" s="161">
        <f t="shared" ref="E26:J26" si="1">SUM(E4:E25)</f>
        <v>0</v>
      </c>
      <c r="F26" s="161">
        <f t="shared" si="1"/>
        <v>0</v>
      </c>
      <c r="G26" s="161">
        <f t="shared" si="1"/>
        <v>0</v>
      </c>
      <c r="H26" s="161">
        <f t="shared" si="1"/>
        <v>0</v>
      </c>
      <c r="I26" s="161">
        <f t="shared" si="1"/>
        <v>0</v>
      </c>
      <c r="J26" s="161">
        <f t="shared" si="1"/>
        <v>0</v>
      </c>
      <c r="K26" s="161">
        <f t="shared" ref="K26:R26" si="2">SUM(K4:K25)</f>
        <v>0</v>
      </c>
      <c r="L26" s="161">
        <f t="shared" si="2"/>
        <v>0</v>
      </c>
      <c r="M26" s="161">
        <f t="shared" si="2"/>
        <v>0</v>
      </c>
      <c r="N26" s="161">
        <f t="shared" si="2"/>
        <v>0</v>
      </c>
      <c r="O26" s="161">
        <f t="shared" si="2"/>
        <v>0</v>
      </c>
      <c r="P26" s="161">
        <f t="shared" si="2"/>
        <v>0</v>
      </c>
      <c r="Q26" s="160">
        <f t="shared" si="2"/>
        <v>0</v>
      </c>
      <c r="R26" s="150">
        <f t="shared" si="2"/>
        <v>0</v>
      </c>
    </row>
    <row r="27" spans="1:18" x14ac:dyDescent="0.3">
      <c r="A27" s="138"/>
    </row>
    <row r="29" spans="1:18" ht="13.5" thickBot="1" x14ac:dyDescent="0.35"/>
    <row r="30" spans="1:18" ht="26.5" thickBot="1" x14ac:dyDescent="0.3">
      <c r="B30" s="465" t="s">
        <v>245</v>
      </c>
      <c r="C30" s="466"/>
      <c r="D30" s="467"/>
      <c r="E30" s="140" t="s">
        <v>190</v>
      </c>
      <c r="F30" s="141" t="s">
        <v>191</v>
      </c>
      <c r="G30" s="141" t="s">
        <v>192</v>
      </c>
      <c r="H30" s="141" t="s">
        <v>193</v>
      </c>
      <c r="I30" s="141" t="s">
        <v>194</v>
      </c>
      <c r="J30" s="141" t="s">
        <v>195</v>
      </c>
      <c r="K30" s="141" t="s">
        <v>196</v>
      </c>
      <c r="L30" s="141" t="s">
        <v>197</v>
      </c>
      <c r="M30" s="141" t="s">
        <v>198</v>
      </c>
      <c r="N30" s="141" t="s">
        <v>199</v>
      </c>
      <c r="O30" s="141" t="s">
        <v>200</v>
      </c>
      <c r="P30" s="142" t="s">
        <v>201</v>
      </c>
      <c r="Q30" s="143" t="s">
        <v>5</v>
      </c>
      <c r="R30" s="144" t="s">
        <v>220</v>
      </c>
    </row>
    <row r="31" spans="1:18" ht="13" customHeight="1" x14ac:dyDescent="0.25">
      <c r="B31" s="503" t="s">
        <v>33</v>
      </c>
      <c r="C31" s="504"/>
      <c r="D31" s="505"/>
      <c r="E31" s="173"/>
      <c r="F31" s="170"/>
      <c r="G31" s="170"/>
      <c r="H31" s="170"/>
      <c r="I31" s="170"/>
      <c r="J31" s="170"/>
      <c r="K31" s="170"/>
      <c r="L31" s="170"/>
      <c r="M31" s="170"/>
      <c r="N31" s="170"/>
      <c r="O31" s="170"/>
      <c r="P31" s="170"/>
      <c r="Q31" s="166">
        <f>SUM(E31:P31)</f>
        <v>0</v>
      </c>
      <c r="R31" s="497">
        <f>SUM(Q31:Q52)</f>
        <v>0</v>
      </c>
    </row>
    <row r="32" spans="1:18" ht="13" customHeight="1" x14ac:dyDescent="0.25">
      <c r="B32" s="500" t="s">
        <v>18</v>
      </c>
      <c r="C32" s="501"/>
      <c r="D32" s="502"/>
      <c r="E32" s="174"/>
      <c r="F32" s="169"/>
      <c r="G32" s="169"/>
      <c r="H32" s="169"/>
      <c r="I32" s="169"/>
      <c r="J32" s="169"/>
      <c r="K32" s="169"/>
      <c r="L32" s="169"/>
      <c r="M32" s="169"/>
      <c r="N32" s="169"/>
      <c r="O32" s="169"/>
      <c r="P32" s="169"/>
      <c r="Q32" s="167">
        <f t="shared" ref="Q32:Q79" si="3">SUM(E32:P32)</f>
        <v>0</v>
      </c>
      <c r="R32" s="498"/>
    </row>
    <row r="33" spans="2:18" ht="13" customHeight="1" x14ac:dyDescent="0.25">
      <c r="B33" s="500" t="s">
        <v>236</v>
      </c>
      <c r="C33" s="501"/>
      <c r="D33" s="502"/>
      <c r="E33" s="174"/>
      <c r="F33" s="169"/>
      <c r="G33" s="169"/>
      <c r="H33" s="169"/>
      <c r="I33" s="169"/>
      <c r="J33" s="169"/>
      <c r="K33" s="169"/>
      <c r="L33" s="169"/>
      <c r="M33" s="169"/>
      <c r="N33" s="169"/>
      <c r="O33" s="169"/>
      <c r="P33" s="169"/>
      <c r="Q33" s="167">
        <f t="shared" si="3"/>
        <v>0</v>
      </c>
      <c r="R33" s="498"/>
    </row>
    <row r="34" spans="2:18" ht="13" customHeight="1" x14ac:dyDescent="0.25">
      <c r="B34" s="500" t="s">
        <v>242</v>
      </c>
      <c r="C34" s="501"/>
      <c r="D34" s="502"/>
      <c r="E34" s="174"/>
      <c r="F34" s="169"/>
      <c r="G34" s="169"/>
      <c r="H34" s="169"/>
      <c r="I34" s="169"/>
      <c r="J34" s="169"/>
      <c r="K34" s="169"/>
      <c r="L34" s="169"/>
      <c r="M34" s="169"/>
      <c r="N34" s="169"/>
      <c r="O34" s="169"/>
      <c r="P34" s="169"/>
      <c r="Q34" s="167">
        <f t="shared" si="3"/>
        <v>0</v>
      </c>
      <c r="R34" s="498"/>
    </row>
    <row r="35" spans="2:18" ht="13" customHeight="1" x14ac:dyDescent="0.25">
      <c r="B35" s="500" t="s">
        <v>97</v>
      </c>
      <c r="C35" s="501"/>
      <c r="D35" s="502"/>
      <c r="E35" s="174"/>
      <c r="F35" s="169"/>
      <c r="G35" s="169"/>
      <c r="H35" s="169"/>
      <c r="I35" s="169"/>
      <c r="J35" s="169"/>
      <c r="K35" s="169"/>
      <c r="L35" s="169"/>
      <c r="M35" s="169"/>
      <c r="N35" s="169"/>
      <c r="O35" s="169"/>
      <c r="P35" s="169"/>
      <c r="Q35" s="167">
        <f t="shared" si="3"/>
        <v>0</v>
      </c>
      <c r="R35" s="498"/>
    </row>
    <row r="36" spans="2:18" ht="13" customHeight="1" x14ac:dyDescent="0.25">
      <c r="B36" s="500" t="s">
        <v>81</v>
      </c>
      <c r="C36" s="501"/>
      <c r="D36" s="502"/>
      <c r="E36" s="174"/>
      <c r="F36" s="169"/>
      <c r="G36" s="169"/>
      <c r="H36" s="169"/>
      <c r="I36" s="169"/>
      <c r="J36" s="169"/>
      <c r="K36" s="169"/>
      <c r="L36" s="169"/>
      <c r="M36" s="169"/>
      <c r="N36" s="169"/>
      <c r="O36" s="169"/>
      <c r="P36" s="169"/>
      <c r="Q36" s="167">
        <f t="shared" si="3"/>
        <v>0</v>
      </c>
      <c r="R36" s="498"/>
    </row>
    <row r="37" spans="2:18" ht="13" customHeight="1" x14ac:dyDescent="0.25">
      <c r="B37" s="500" t="s">
        <v>231</v>
      </c>
      <c r="C37" s="501"/>
      <c r="D37" s="502"/>
      <c r="E37" s="174"/>
      <c r="F37" s="169"/>
      <c r="G37" s="169"/>
      <c r="H37" s="169"/>
      <c r="I37" s="169"/>
      <c r="J37" s="169"/>
      <c r="K37" s="169"/>
      <c r="L37" s="169"/>
      <c r="M37" s="169"/>
      <c r="N37" s="169"/>
      <c r="O37" s="169"/>
      <c r="P37" s="169"/>
      <c r="Q37" s="167">
        <f t="shared" si="3"/>
        <v>0</v>
      </c>
      <c r="R37" s="498"/>
    </row>
    <row r="38" spans="2:18" ht="13" customHeight="1" x14ac:dyDescent="0.25">
      <c r="B38" s="500" t="s">
        <v>150</v>
      </c>
      <c r="C38" s="501"/>
      <c r="D38" s="502"/>
      <c r="E38" s="174"/>
      <c r="F38" s="169"/>
      <c r="G38" s="169"/>
      <c r="H38" s="169"/>
      <c r="I38" s="169"/>
      <c r="J38" s="169"/>
      <c r="K38" s="169"/>
      <c r="L38" s="169"/>
      <c r="M38" s="169"/>
      <c r="N38" s="169"/>
      <c r="O38" s="169"/>
      <c r="P38" s="169"/>
      <c r="Q38" s="167">
        <f t="shared" si="3"/>
        <v>0</v>
      </c>
      <c r="R38" s="498"/>
    </row>
    <row r="39" spans="2:18" ht="13" customHeight="1" x14ac:dyDescent="0.25">
      <c r="B39" s="500" t="s">
        <v>117</v>
      </c>
      <c r="C39" s="501"/>
      <c r="D39" s="502"/>
      <c r="E39" s="174"/>
      <c r="F39" s="169"/>
      <c r="G39" s="169"/>
      <c r="H39" s="169"/>
      <c r="I39" s="169"/>
      <c r="J39" s="169"/>
      <c r="K39" s="169"/>
      <c r="L39" s="169"/>
      <c r="M39" s="169"/>
      <c r="N39" s="169"/>
      <c r="O39" s="169"/>
      <c r="P39" s="169"/>
      <c r="Q39" s="167">
        <f t="shared" si="3"/>
        <v>0</v>
      </c>
      <c r="R39" s="498"/>
    </row>
    <row r="40" spans="2:18" ht="13" customHeight="1" x14ac:dyDescent="0.25">
      <c r="B40" s="500" t="s">
        <v>176</v>
      </c>
      <c r="C40" s="501"/>
      <c r="D40" s="502"/>
      <c r="E40" s="174"/>
      <c r="F40" s="169"/>
      <c r="G40" s="169"/>
      <c r="H40" s="169"/>
      <c r="I40" s="169"/>
      <c r="J40" s="169"/>
      <c r="K40" s="169"/>
      <c r="L40" s="169"/>
      <c r="M40" s="169"/>
      <c r="N40" s="169"/>
      <c r="O40" s="169"/>
      <c r="P40" s="169"/>
      <c r="Q40" s="167">
        <f t="shared" si="3"/>
        <v>0</v>
      </c>
      <c r="R40" s="498"/>
    </row>
    <row r="41" spans="2:18" ht="13" customHeight="1" x14ac:dyDescent="0.25">
      <c r="B41" s="500" t="s">
        <v>233</v>
      </c>
      <c r="C41" s="501"/>
      <c r="D41" s="502"/>
      <c r="E41" s="174"/>
      <c r="F41" s="169"/>
      <c r="G41" s="169"/>
      <c r="H41" s="169"/>
      <c r="I41" s="169"/>
      <c r="J41" s="169"/>
      <c r="K41" s="169"/>
      <c r="L41" s="169"/>
      <c r="M41" s="169"/>
      <c r="N41" s="169"/>
      <c r="O41" s="169"/>
      <c r="P41" s="169"/>
      <c r="Q41" s="167">
        <f t="shared" si="3"/>
        <v>0</v>
      </c>
      <c r="R41" s="498"/>
    </row>
    <row r="42" spans="2:18" ht="13" customHeight="1" x14ac:dyDescent="0.25">
      <c r="B42" s="500" t="s">
        <v>120</v>
      </c>
      <c r="C42" s="501"/>
      <c r="D42" s="502"/>
      <c r="E42" s="174"/>
      <c r="F42" s="169"/>
      <c r="G42" s="169"/>
      <c r="H42" s="169"/>
      <c r="I42" s="169"/>
      <c r="J42" s="169"/>
      <c r="K42" s="169"/>
      <c r="L42" s="169"/>
      <c r="M42" s="169"/>
      <c r="N42" s="169"/>
      <c r="O42" s="169"/>
      <c r="P42" s="169"/>
      <c r="Q42" s="167">
        <f t="shared" si="3"/>
        <v>0</v>
      </c>
      <c r="R42" s="498"/>
    </row>
    <row r="43" spans="2:18" ht="13" customHeight="1" x14ac:dyDescent="0.25">
      <c r="B43" s="500" t="s">
        <v>37</v>
      </c>
      <c r="C43" s="501"/>
      <c r="D43" s="502"/>
      <c r="E43" s="174"/>
      <c r="F43" s="169"/>
      <c r="G43" s="169"/>
      <c r="H43" s="169"/>
      <c r="I43" s="169"/>
      <c r="J43" s="169"/>
      <c r="K43" s="169"/>
      <c r="L43" s="169"/>
      <c r="M43" s="169"/>
      <c r="N43" s="169"/>
      <c r="O43" s="169"/>
      <c r="P43" s="169"/>
      <c r="Q43" s="167">
        <f t="shared" si="3"/>
        <v>0</v>
      </c>
      <c r="R43" s="498"/>
    </row>
    <row r="44" spans="2:18" ht="13" customHeight="1" x14ac:dyDescent="0.25">
      <c r="B44" s="500" t="s">
        <v>128</v>
      </c>
      <c r="C44" s="501"/>
      <c r="D44" s="502"/>
      <c r="E44" s="174"/>
      <c r="F44" s="169"/>
      <c r="G44" s="169"/>
      <c r="H44" s="169"/>
      <c r="I44" s="169"/>
      <c r="J44" s="169"/>
      <c r="K44" s="169"/>
      <c r="L44" s="169"/>
      <c r="M44" s="169"/>
      <c r="N44" s="169"/>
      <c r="O44" s="169"/>
      <c r="P44" s="169"/>
      <c r="Q44" s="167">
        <f t="shared" si="3"/>
        <v>0</v>
      </c>
      <c r="R44" s="498"/>
    </row>
    <row r="45" spans="2:18" ht="13" customHeight="1" x14ac:dyDescent="0.25">
      <c r="B45" s="500" t="s">
        <v>189</v>
      </c>
      <c r="C45" s="501"/>
      <c r="D45" s="502"/>
      <c r="E45" s="174"/>
      <c r="F45" s="169"/>
      <c r="G45" s="169"/>
      <c r="H45" s="169"/>
      <c r="I45" s="169"/>
      <c r="J45" s="169"/>
      <c r="K45" s="169"/>
      <c r="L45" s="169"/>
      <c r="M45" s="169"/>
      <c r="N45" s="169"/>
      <c r="O45" s="169"/>
      <c r="P45" s="169"/>
      <c r="Q45" s="167">
        <f t="shared" si="3"/>
        <v>0</v>
      </c>
      <c r="R45" s="498"/>
    </row>
    <row r="46" spans="2:18" ht="13" customHeight="1" x14ac:dyDescent="0.25">
      <c r="B46" s="500" t="s">
        <v>131</v>
      </c>
      <c r="C46" s="501"/>
      <c r="D46" s="502"/>
      <c r="E46" s="174"/>
      <c r="F46" s="169"/>
      <c r="G46" s="169"/>
      <c r="H46" s="169"/>
      <c r="I46" s="169"/>
      <c r="J46" s="169"/>
      <c r="K46" s="169"/>
      <c r="L46" s="169"/>
      <c r="M46" s="169"/>
      <c r="N46" s="169"/>
      <c r="O46" s="169"/>
      <c r="P46" s="169"/>
      <c r="Q46" s="167">
        <f t="shared" si="3"/>
        <v>0</v>
      </c>
      <c r="R46" s="498"/>
    </row>
    <row r="47" spans="2:18" ht="13" customHeight="1" x14ac:dyDescent="0.25">
      <c r="B47" s="500" t="s">
        <v>247</v>
      </c>
      <c r="C47" s="501"/>
      <c r="D47" s="502"/>
      <c r="E47" s="174"/>
      <c r="F47" s="169"/>
      <c r="G47" s="169"/>
      <c r="H47" s="169"/>
      <c r="I47" s="169"/>
      <c r="J47" s="169"/>
      <c r="K47" s="169"/>
      <c r="L47" s="169"/>
      <c r="M47" s="169"/>
      <c r="N47" s="169"/>
      <c r="O47" s="169"/>
      <c r="P47" s="169"/>
      <c r="Q47" s="167">
        <f t="shared" si="3"/>
        <v>0</v>
      </c>
      <c r="R47" s="498"/>
    </row>
    <row r="48" spans="2:18" ht="13" customHeight="1" x14ac:dyDescent="0.25">
      <c r="B48" s="500" t="s">
        <v>237</v>
      </c>
      <c r="C48" s="501"/>
      <c r="D48" s="502"/>
      <c r="E48" s="174"/>
      <c r="F48" s="169"/>
      <c r="G48" s="169"/>
      <c r="H48" s="169"/>
      <c r="I48" s="169"/>
      <c r="J48" s="169"/>
      <c r="K48" s="169"/>
      <c r="L48" s="169"/>
      <c r="M48" s="169"/>
      <c r="N48" s="169"/>
      <c r="O48" s="169"/>
      <c r="P48" s="169"/>
      <c r="Q48" s="167">
        <f t="shared" si="3"/>
        <v>0</v>
      </c>
      <c r="R48" s="498"/>
    </row>
    <row r="49" spans="2:18" ht="13" customHeight="1" x14ac:dyDescent="0.25">
      <c r="B49" s="500" t="s">
        <v>124</v>
      </c>
      <c r="C49" s="501"/>
      <c r="D49" s="502"/>
      <c r="E49" s="174"/>
      <c r="F49" s="169"/>
      <c r="G49" s="169"/>
      <c r="H49" s="169"/>
      <c r="I49" s="169"/>
      <c r="J49" s="169"/>
      <c r="K49" s="169"/>
      <c r="L49" s="169"/>
      <c r="M49" s="169"/>
      <c r="N49" s="169"/>
      <c r="O49" s="169"/>
      <c r="P49" s="169"/>
      <c r="Q49" s="167">
        <f t="shared" si="3"/>
        <v>0</v>
      </c>
      <c r="R49" s="498"/>
    </row>
    <row r="50" spans="2:18" ht="13" customHeight="1" x14ac:dyDescent="0.25">
      <c r="B50" s="500" t="s">
        <v>157</v>
      </c>
      <c r="C50" s="501"/>
      <c r="D50" s="502"/>
      <c r="E50" s="174"/>
      <c r="F50" s="169"/>
      <c r="G50" s="169"/>
      <c r="H50" s="169"/>
      <c r="I50" s="169"/>
      <c r="J50" s="169"/>
      <c r="K50" s="169"/>
      <c r="L50" s="169"/>
      <c r="M50" s="169"/>
      <c r="N50" s="169"/>
      <c r="O50" s="169"/>
      <c r="P50" s="169"/>
      <c r="Q50" s="167">
        <f t="shared" si="3"/>
        <v>0</v>
      </c>
      <c r="R50" s="498"/>
    </row>
    <row r="51" spans="2:18" ht="13" customHeight="1" x14ac:dyDescent="0.25">
      <c r="B51" s="500" t="s">
        <v>149</v>
      </c>
      <c r="C51" s="501"/>
      <c r="D51" s="502"/>
      <c r="E51" s="174"/>
      <c r="F51" s="169"/>
      <c r="G51" s="169"/>
      <c r="H51" s="169"/>
      <c r="I51" s="169"/>
      <c r="J51" s="169"/>
      <c r="K51" s="169"/>
      <c r="L51" s="169"/>
      <c r="M51" s="169"/>
      <c r="N51" s="169"/>
      <c r="O51" s="169"/>
      <c r="P51" s="169"/>
      <c r="Q51" s="167">
        <f t="shared" si="3"/>
        <v>0</v>
      </c>
      <c r="R51" s="498"/>
    </row>
    <row r="52" spans="2:18" ht="13" customHeight="1" thickBot="1" x14ac:dyDescent="0.3">
      <c r="B52" s="506" t="s">
        <v>155</v>
      </c>
      <c r="C52" s="507"/>
      <c r="D52" s="508"/>
      <c r="E52" s="175"/>
      <c r="F52" s="171"/>
      <c r="G52" s="171"/>
      <c r="H52" s="171"/>
      <c r="I52" s="171"/>
      <c r="J52" s="171"/>
      <c r="K52" s="171"/>
      <c r="L52" s="171"/>
      <c r="M52" s="171"/>
      <c r="N52" s="171"/>
      <c r="O52" s="171"/>
      <c r="P52" s="171"/>
      <c r="Q52" s="168">
        <f t="shared" si="3"/>
        <v>0</v>
      </c>
      <c r="R52" s="499"/>
    </row>
    <row r="53" spans="2:18" ht="13" customHeight="1" x14ac:dyDescent="0.25">
      <c r="B53" s="503" t="s">
        <v>114</v>
      </c>
      <c r="C53" s="504"/>
      <c r="D53" s="505"/>
      <c r="E53" s="173"/>
      <c r="F53" s="170"/>
      <c r="G53" s="170"/>
      <c r="H53" s="170"/>
      <c r="I53" s="170"/>
      <c r="J53" s="170"/>
      <c r="K53" s="170"/>
      <c r="L53" s="170"/>
      <c r="M53" s="170"/>
      <c r="N53" s="170"/>
      <c r="O53" s="170"/>
      <c r="P53" s="170"/>
      <c r="Q53" s="166">
        <f t="shared" si="3"/>
        <v>0</v>
      </c>
      <c r="R53" s="497">
        <f>SUM(Q53:Q68)</f>
        <v>0</v>
      </c>
    </row>
    <row r="54" spans="2:18" ht="13" customHeight="1" x14ac:dyDescent="0.25">
      <c r="B54" s="500" t="s">
        <v>240</v>
      </c>
      <c r="C54" s="501"/>
      <c r="D54" s="502"/>
      <c r="E54" s="174"/>
      <c r="F54" s="169"/>
      <c r="G54" s="169"/>
      <c r="H54" s="169"/>
      <c r="I54" s="169"/>
      <c r="J54" s="169"/>
      <c r="K54" s="169"/>
      <c r="L54" s="169"/>
      <c r="M54" s="169"/>
      <c r="N54" s="169"/>
      <c r="O54" s="169"/>
      <c r="P54" s="169"/>
      <c r="Q54" s="167">
        <f t="shared" si="3"/>
        <v>0</v>
      </c>
      <c r="R54" s="498"/>
    </row>
    <row r="55" spans="2:18" ht="13" customHeight="1" x14ac:dyDescent="0.25">
      <c r="B55" s="500" t="s">
        <v>148</v>
      </c>
      <c r="C55" s="501"/>
      <c r="D55" s="502"/>
      <c r="E55" s="174"/>
      <c r="F55" s="169"/>
      <c r="G55" s="169"/>
      <c r="H55" s="169"/>
      <c r="I55" s="169"/>
      <c r="J55" s="169"/>
      <c r="K55" s="169"/>
      <c r="L55" s="169"/>
      <c r="M55" s="169"/>
      <c r="N55" s="169"/>
      <c r="O55" s="169"/>
      <c r="P55" s="169"/>
      <c r="Q55" s="167">
        <f t="shared" si="3"/>
        <v>0</v>
      </c>
      <c r="R55" s="498"/>
    </row>
    <row r="56" spans="2:18" ht="13" customHeight="1" x14ac:dyDescent="0.25">
      <c r="B56" s="500" t="s">
        <v>105</v>
      </c>
      <c r="C56" s="501"/>
      <c r="D56" s="502"/>
      <c r="E56" s="174"/>
      <c r="F56" s="169"/>
      <c r="G56" s="169"/>
      <c r="H56" s="169"/>
      <c r="I56" s="169"/>
      <c r="J56" s="169"/>
      <c r="K56" s="169"/>
      <c r="L56" s="169"/>
      <c r="M56" s="169"/>
      <c r="N56" s="169"/>
      <c r="O56" s="169"/>
      <c r="P56" s="169"/>
      <c r="Q56" s="167">
        <f t="shared" si="3"/>
        <v>0</v>
      </c>
      <c r="R56" s="498"/>
    </row>
    <row r="57" spans="2:18" ht="13" customHeight="1" x14ac:dyDescent="0.25">
      <c r="B57" s="500" t="s">
        <v>159</v>
      </c>
      <c r="C57" s="501"/>
      <c r="D57" s="502"/>
      <c r="E57" s="174"/>
      <c r="F57" s="169"/>
      <c r="G57" s="169"/>
      <c r="H57" s="169"/>
      <c r="I57" s="169"/>
      <c r="J57" s="169"/>
      <c r="K57" s="169"/>
      <c r="L57" s="169"/>
      <c r="M57" s="169"/>
      <c r="N57" s="169"/>
      <c r="O57" s="169"/>
      <c r="P57" s="169"/>
      <c r="Q57" s="167">
        <f t="shared" si="3"/>
        <v>0</v>
      </c>
      <c r="R57" s="498"/>
    </row>
    <row r="58" spans="2:18" ht="13" customHeight="1" x14ac:dyDescent="0.25">
      <c r="B58" s="500" t="s">
        <v>145</v>
      </c>
      <c r="C58" s="501"/>
      <c r="D58" s="502"/>
      <c r="E58" s="174"/>
      <c r="F58" s="169"/>
      <c r="G58" s="169"/>
      <c r="H58" s="169"/>
      <c r="I58" s="169"/>
      <c r="J58" s="169"/>
      <c r="K58" s="169"/>
      <c r="L58" s="169"/>
      <c r="M58" s="169"/>
      <c r="N58" s="169"/>
      <c r="O58" s="169"/>
      <c r="P58" s="169"/>
      <c r="Q58" s="167">
        <f t="shared" si="3"/>
        <v>0</v>
      </c>
      <c r="R58" s="498"/>
    </row>
    <row r="59" spans="2:18" ht="13" customHeight="1" x14ac:dyDescent="0.25">
      <c r="B59" s="500" t="s">
        <v>110</v>
      </c>
      <c r="C59" s="501"/>
      <c r="D59" s="502"/>
      <c r="E59" s="174"/>
      <c r="F59" s="169"/>
      <c r="G59" s="169"/>
      <c r="H59" s="169"/>
      <c r="I59" s="169"/>
      <c r="J59" s="169"/>
      <c r="K59" s="169"/>
      <c r="L59" s="169"/>
      <c r="M59" s="169"/>
      <c r="N59" s="169"/>
      <c r="O59" s="169"/>
      <c r="P59" s="169"/>
      <c r="Q59" s="167">
        <f t="shared" si="3"/>
        <v>0</v>
      </c>
      <c r="R59" s="498"/>
    </row>
    <row r="60" spans="2:18" ht="13" customHeight="1" x14ac:dyDescent="0.25">
      <c r="B60" s="500" t="s">
        <v>185</v>
      </c>
      <c r="C60" s="501"/>
      <c r="D60" s="502"/>
      <c r="E60" s="174"/>
      <c r="F60" s="169"/>
      <c r="G60" s="169"/>
      <c r="H60" s="169"/>
      <c r="I60" s="169"/>
      <c r="J60" s="169"/>
      <c r="K60" s="169"/>
      <c r="L60" s="169"/>
      <c r="M60" s="169"/>
      <c r="N60" s="169"/>
      <c r="O60" s="169"/>
      <c r="P60" s="169"/>
      <c r="Q60" s="167">
        <f t="shared" si="3"/>
        <v>0</v>
      </c>
      <c r="R60" s="498"/>
    </row>
    <row r="61" spans="2:18" ht="13" customHeight="1" x14ac:dyDescent="0.25">
      <c r="B61" s="500" t="s">
        <v>130</v>
      </c>
      <c r="C61" s="501"/>
      <c r="D61" s="502"/>
      <c r="E61" s="174"/>
      <c r="F61" s="169"/>
      <c r="G61" s="169"/>
      <c r="H61" s="169"/>
      <c r="I61" s="169"/>
      <c r="J61" s="169"/>
      <c r="K61" s="169"/>
      <c r="L61" s="169"/>
      <c r="M61" s="169"/>
      <c r="N61" s="169"/>
      <c r="O61" s="169"/>
      <c r="P61" s="169"/>
      <c r="Q61" s="167">
        <f t="shared" si="3"/>
        <v>0</v>
      </c>
      <c r="R61" s="498"/>
    </row>
    <row r="62" spans="2:18" ht="13" customHeight="1" x14ac:dyDescent="0.25">
      <c r="B62" s="500" t="s">
        <v>175</v>
      </c>
      <c r="C62" s="501"/>
      <c r="D62" s="502"/>
      <c r="E62" s="174"/>
      <c r="F62" s="169"/>
      <c r="G62" s="169"/>
      <c r="H62" s="169"/>
      <c r="I62" s="169"/>
      <c r="J62" s="169"/>
      <c r="K62" s="169"/>
      <c r="L62" s="169"/>
      <c r="M62" s="169"/>
      <c r="N62" s="169"/>
      <c r="O62" s="169"/>
      <c r="P62" s="169"/>
      <c r="Q62" s="167">
        <f t="shared" si="3"/>
        <v>0</v>
      </c>
      <c r="R62" s="498"/>
    </row>
    <row r="63" spans="2:18" ht="13" customHeight="1" x14ac:dyDescent="0.25">
      <c r="B63" s="500" t="s">
        <v>140</v>
      </c>
      <c r="C63" s="501"/>
      <c r="D63" s="502"/>
      <c r="E63" s="174"/>
      <c r="F63" s="169"/>
      <c r="G63" s="169"/>
      <c r="H63" s="169"/>
      <c r="I63" s="169"/>
      <c r="J63" s="169"/>
      <c r="K63" s="169"/>
      <c r="L63" s="169"/>
      <c r="M63" s="169"/>
      <c r="N63" s="169"/>
      <c r="O63" s="169"/>
      <c r="P63" s="169"/>
      <c r="Q63" s="167">
        <f t="shared" si="3"/>
        <v>0</v>
      </c>
      <c r="R63" s="498"/>
    </row>
    <row r="64" spans="2:18" ht="13" customHeight="1" x14ac:dyDescent="0.25">
      <c r="B64" s="500" t="s">
        <v>244</v>
      </c>
      <c r="C64" s="501"/>
      <c r="D64" s="502"/>
      <c r="E64" s="174"/>
      <c r="F64" s="169"/>
      <c r="G64" s="169"/>
      <c r="H64" s="169"/>
      <c r="I64" s="169"/>
      <c r="J64" s="169"/>
      <c r="K64" s="169"/>
      <c r="L64" s="169"/>
      <c r="M64" s="169"/>
      <c r="N64" s="169"/>
      <c r="O64" s="169"/>
      <c r="P64" s="169"/>
      <c r="Q64" s="167">
        <f t="shared" si="3"/>
        <v>0</v>
      </c>
      <c r="R64" s="498"/>
    </row>
    <row r="65" spans="2:18" ht="13" customHeight="1" x14ac:dyDescent="0.25">
      <c r="B65" s="500" t="s">
        <v>134</v>
      </c>
      <c r="C65" s="501"/>
      <c r="D65" s="502"/>
      <c r="E65" s="174"/>
      <c r="F65" s="169"/>
      <c r="G65" s="169"/>
      <c r="H65" s="169"/>
      <c r="I65" s="169"/>
      <c r="J65" s="169"/>
      <c r="K65" s="169"/>
      <c r="L65" s="169"/>
      <c r="M65" s="169"/>
      <c r="N65" s="169"/>
      <c r="O65" s="169"/>
      <c r="P65" s="169"/>
      <c r="Q65" s="167">
        <f t="shared" si="3"/>
        <v>0</v>
      </c>
      <c r="R65" s="498"/>
    </row>
    <row r="66" spans="2:18" ht="13" customHeight="1" x14ac:dyDescent="0.25">
      <c r="B66" s="500" t="s">
        <v>137</v>
      </c>
      <c r="C66" s="501"/>
      <c r="D66" s="502"/>
      <c r="E66" s="174"/>
      <c r="F66" s="169"/>
      <c r="G66" s="169"/>
      <c r="H66" s="169"/>
      <c r="I66" s="169"/>
      <c r="J66" s="169"/>
      <c r="K66" s="169"/>
      <c r="L66" s="169"/>
      <c r="M66" s="169"/>
      <c r="N66" s="169"/>
      <c r="O66" s="169"/>
      <c r="P66" s="169"/>
      <c r="Q66" s="167">
        <f t="shared" si="3"/>
        <v>0</v>
      </c>
      <c r="R66" s="498"/>
    </row>
    <row r="67" spans="2:18" ht="13" customHeight="1" x14ac:dyDescent="0.25">
      <c r="B67" s="500" t="s">
        <v>151</v>
      </c>
      <c r="C67" s="501"/>
      <c r="D67" s="502"/>
      <c r="E67" s="174"/>
      <c r="F67" s="169"/>
      <c r="G67" s="169"/>
      <c r="H67" s="169"/>
      <c r="I67" s="169"/>
      <c r="J67" s="169"/>
      <c r="K67" s="169"/>
      <c r="L67" s="169"/>
      <c r="M67" s="169"/>
      <c r="N67" s="169"/>
      <c r="O67" s="169"/>
      <c r="P67" s="169"/>
      <c r="Q67" s="167">
        <f t="shared" si="3"/>
        <v>0</v>
      </c>
      <c r="R67" s="498"/>
    </row>
    <row r="68" spans="2:18" ht="13" customHeight="1" thickBot="1" x14ac:dyDescent="0.3">
      <c r="B68" s="506" t="s">
        <v>172</v>
      </c>
      <c r="C68" s="507"/>
      <c r="D68" s="508"/>
      <c r="E68" s="175"/>
      <c r="F68" s="171"/>
      <c r="G68" s="171"/>
      <c r="H68" s="171"/>
      <c r="I68" s="171"/>
      <c r="J68" s="171"/>
      <c r="K68" s="171"/>
      <c r="L68" s="171"/>
      <c r="M68" s="171"/>
      <c r="N68" s="171"/>
      <c r="O68" s="171"/>
      <c r="P68" s="171"/>
      <c r="Q68" s="168">
        <f t="shared" si="3"/>
        <v>0</v>
      </c>
      <c r="R68" s="499"/>
    </row>
    <row r="69" spans="2:18" ht="13" customHeight="1" x14ac:dyDescent="0.25">
      <c r="B69" s="503" t="s">
        <v>238</v>
      </c>
      <c r="C69" s="504"/>
      <c r="D69" s="505"/>
      <c r="E69" s="173"/>
      <c r="F69" s="170"/>
      <c r="G69" s="170"/>
      <c r="H69" s="170"/>
      <c r="I69" s="170"/>
      <c r="J69" s="170"/>
      <c r="K69" s="170"/>
      <c r="L69" s="170"/>
      <c r="M69" s="170"/>
      <c r="N69" s="170"/>
      <c r="O69" s="170"/>
      <c r="P69" s="170"/>
      <c r="Q69" s="166">
        <f t="shared" si="3"/>
        <v>0</v>
      </c>
      <c r="R69" s="497">
        <f>SUM(Q69:Q79)</f>
        <v>0</v>
      </c>
    </row>
    <row r="70" spans="2:18" ht="13" customHeight="1" x14ac:dyDescent="0.25">
      <c r="B70" s="500" t="s">
        <v>239</v>
      </c>
      <c r="C70" s="501"/>
      <c r="D70" s="502"/>
      <c r="E70" s="174"/>
      <c r="F70" s="169"/>
      <c r="G70" s="169"/>
      <c r="H70" s="169"/>
      <c r="I70" s="169"/>
      <c r="J70" s="169"/>
      <c r="K70" s="169"/>
      <c r="L70" s="169"/>
      <c r="M70" s="169"/>
      <c r="N70" s="169"/>
      <c r="O70" s="169"/>
      <c r="P70" s="169"/>
      <c r="Q70" s="167">
        <f t="shared" si="3"/>
        <v>0</v>
      </c>
      <c r="R70" s="498"/>
    </row>
    <row r="71" spans="2:18" ht="13" customHeight="1" x14ac:dyDescent="0.25">
      <c r="B71" s="500" t="s">
        <v>241</v>
      </c>
      <c r="C71" s="501"/>
      <c r="D71" s="502"/>
      <c r="E71" s="174"/>
      <c r="F71" s="169"/>
      <c r="G71" s="169"/>
      <c r="H71" s="169"/>
      <c r="I71" s="169"/>
      <c r="J71" s="169"/>
      <c r="K71" s="169"/>
      <c r="L71" s="169"/>
      <c r="M71" s="169"/>
      <c r="N71" s="169"/>
      <c r="O71" s="169"/>
      <c r="P71" s="169"/>
      <c r="Q71" s="167">
        <f t="shared" si="3"/>
        <v>0</v>
      </c>
      <c r="R71" s="498"/>
    </row>
    <row r="72" spans="2:18" ht="13" customHeight="1" x14ac:dyDescent="0.25">
      <c r="B72" s="500" t="s">
        <v>129</v>
      </c>
      <c r="C72" s="501"/>
      <c r="D72" s="502"/>
      <c r="E72" s="174"/>
      <c r="F72" s="169"/>
      <c r="G72" s="169"/>
      <c r="H72" s="169"/>
      <c r="I72" s="169"/>
      <c r="J72" s="169"/>
      <c r="K72" s="169"/>
      <c r="L72" s="169"/>
      <c r="M72" s="169"/>
      <c r="N72" s="169"/>
      <c r="O72" s="169"/>
      <c r="P72" s="169"/>
      <c r="Q72" s="167">
        <f t="shared" si="3"/>
        <v>0</v>
      </c>
      <c r="R72" s="498"/>
    </row>
    <row r="73" spans="2:18" ht="13" customHeight="1" x14ac:dyDescent="0.25">
      <c r="B73" s="500" t="s">
        <v>169</v>
      </c>
      <c r="C73" s="501"/>
      <c r="D73" s="502"/>
      <c r="E73" s="174"/>
      <c r="F73" s="169"/>
      <c r="G73" s="169"/>
      <c r="H73" s="169"/>
      <c r="I73" s="169"/>
      <c r="J73" s="169"/>
      <c r="K73" s="169"/>
      <c r="L73" s="169"/>
      <c r="M73" s="169"/>
      <c r="N73" s="169"/>
      <c r="O73" s="169"/>
      <c r="P73" s="169"/>
      <c r="Q73" s="167">
        <f t="shared" si="3"/>
        <v>0</v>
      </c>
      <c r="R73" s="498"/>
    </row>
    <row r="74" spans="2:18" ht="13" customHeight="1" x14ac:dyDescent="0.25">
      <c r="B74" s="500" t="s">
        <v>243</v>
      </c>
      <c r="C74" s="501"/>
      <c r="D74" s="502"/>
      <c r="E74" s="174"/>
      <c r="F74" s="169"/>
      <c r="G74" s="169"/>
      <c r="H74" s="169"/>
      <c r="I74" s="169"/>
      <c r="J74" s="169"/>
      <c r="K74" s="169"/>
      <c r="L74" s="169"/>
      <c r="M74" s="169"/>
      <c r="N74" s="169"/>
      <c r="O74" s="169"/>
      <c r="P74" s="169"/>
      <c r="Q74" s="167">
        <f t="shared" si="3"/>
        <v>0</v>
      </c>
      <c r="R74" s="498"/>
    </row>
    <row r="75" spans="2:18" ht="13" customHeight="1" x14ac:dyDescent="0.25">
      <c r="B75" s="500" t="s">
        <v>171</v>
      </c>
      <c r="C75" s="501"/>
      <c r="D75" s="502"/>
      <c r="E75" s="174"/>
      <c r="F75" s="169"/>
      <c r="G75" s="169"/>
      <c r="H75" s="169"/>
      <c r="I75" s="169"/>
      <c r="J75" s="169"/>
      <c r="K75" s="169"/>
      <c r="L75" s="169"/>
      <c r="M75" s="169"/>
      <c r="N75" s="169"/>
      <c r="O75" s="169"/>
      <c r="P75" s="169"/>
      <c r="Q75" s="167">
        <f t="shared" si="3"/>
        <v>0</v>
      </c>
      <c r="R75" s="498"/>
    </row>
    <row r="76" spans="2:18" ht="13" customHeight="1" x14ac:dyDescent="0.25">
      <c r="B76" s="500" t="s">
        <v>170</v>
      </c>
      <c r="C76" s="501"/>
      <c r="D76" s="502"/>
      <c r="E76" s="174"/>
      <c r="F76" s="169"/>
      <c r="G76" s="169"/>
      <c r="H76" s="169"/>
      <c r="I76" s="169"/>
      <c r="J76" s="169"/>
      <c r="K76" s="169"/>
      <c r="L76" s="169"/>
      <c r="M76" s="169"/>
      <c r="N76" s="169"/>
      <c r="O76" s="169"/>
      <c r="P76" s="169"/>
      <c r="Q76" s="167">
        <f t="shared" si="3"/>
        <v>0</v>
      </c>
      <c r="R76" s="498"/>
    </row>
    <row r="77" spans="2:18" ht="13" customHeight="1" x14ac:dyDescent="0.25">
      <c r="B77" s="500" t="s">
        <v>246</v>
      </c>
      <c r="C77" s="501"/>
      <c r="D77" s="502"/>
      <c r="E77" s="174"/>
      <c r="F77" s="169"/>
      <c r="G77" s="169"/>
      <c r="H77" s="169"/>
      <c r="I77" s="169"/>
      <c r="J77" s="169"/>
      <c r="K77" s="169"/>
      <c r="L77" s="169"/>
      <c r="M77" s="169"/>
      <c r="N77" s="169"/>
      <c r="O77" s="169"/>
      <c r="P77" s="169"/>
      <c r="Q77" s="167">
        <f t="shared" si="3"/>
        <v>0</v>
      </c>
      <c r="R77" s="498"/>
    </row>
    <row r="78" spans="2:18" ht="13" customHeight="1" x14ac:dyDescent="0.25">
      <c r="B78" s="500" t="s">
        <v>173</v>
      </c>
      <c r="C78" s="501"/>
      <c r="D78" s="502"/>
      <c r="E78" s="174"/>
      <c r="F78" s="169"/>
      <c r="G78" s="169"/>
      <c r="H78" s="169"/>
      <c r="I78" s="169"/>
      <c r="J78" s="169"/>
      <c r="K78" s="169"/>
      <c r="L78" s="169"/>
      <c r="M78" s="169"/>
      <c r="N78" s="169"/>
      <c r="O78" s="169"/>
      <c r="P78" s="169"/>
      <c r="Q78" s="167">
        <f t="shared" si="3"/>
        <v>0</v>
      </c>
      <c r="R78" s="498"/>
    </row>
    <row r="79" spans="2:18" ht="13.5" customHeight="1" thickBot="1" x14ac:dyDescent="0.3">
      <c r="B79" s="506" t="s">
        <v>180</v>
      </c>
      <c r="C79" s="507"/>
      <c r="D79" s="508"/>
      <c r="E79" s="175"/>
      <c r="F79" s="171"/>
      <c r="G79" s="171"/>
      <c r="H79" s="171"/>
      <c r="I79" s="171"/>
      <c r="J79" s="171"/>
      <c r="K79" s="171"/>
      <c r="L79" s="171"/>
      <c r="M79" s="171"/>
      <c r="N79" s="171"/>
      <c r="O79" s="171"/>
      <c r="P79" s="171"/>
      <c r="Q79" s="168">
        <f t="shared" si="3"/>
        <v>0</v>
      </c>
      <c r="R79" s="499"/>
    </row>
    <row r="80" spans="2:18" s="7" customFormat="1" thickBot="1" x14ac:dyDescent="0.3">
      <c r="B80" s="488" t="s">
        <v>4</v>
      </c>
      <c r="C80" s="489"/>
      <c r="D80" s="490"/>
      <c r="E80" s="162">
        <f t="shared" ref="E80:N80" si="4">SUM(E31:E79)</f>
        <v>0</v>
      </c>
      <c r="F80" s="162">
        <f t="shared" si="4"/>
        <v>0</v>
      </c>
      <c r="G80" s="162">
        <f t="shared" si="4"/>
        <v>0</v>
      </c>
      <c r="H80" s="162">
        <f t="shared" si="4"/>
        <v>0</v>
      </c>
      <c r="I80" s="162">
        <f t="shared" si="4"/>
        <v>0</v>
      </c>
      <c r="J80" s="162">
        <f t="shared" si="4"/>
        <v>0</v>
      </c>
      <c r="K80" s="162">
        <f t="shared" si="4"/>
        <v>0</v>
      </c>
      <c r="L80" s="162">
        <f t="shared" si="4"/>
        <v>0</v>
      </c>
      <c r="M80" s="162">
        <f t="shared" si="4"/>
        <v>0</v>
      </c>
      <c r="N80" s="162">
        <f t="shared" si="4"/>
        <v>0</v>
      </c>
      <c r="O80" s="162">
        <f>SUM(O31:O79)</f>
        <v>0</v>
      </c>
      <c r="P80" s="162">
        <f>SUM(P31:P79)</f>
        <v>0</v>
      </c>
      <c r="Q80" s="160">
        <f>SUM(Q31:Q79)</f>
        <v>0</v>
      </c>
      <c r="R80" s="172">
        <f>SUM(R31:R79)</f>
        <v>0</v>
      </c>
    </row>
    <row r="81" spans="2:18" ht="13.5" thickBot="1" x14ac:dyDescent="0.35"/>
    <row r="82" spans="2:18" ht="13.5" thickBot="1" x14ac:dyDescent="0.35">
      <c r="B82" s="465" t="s">
        <v>7</v>
      </c>
      <c r="C82" s="466"/>
      <c r="D82" s="467"/>
      <c r="E82" s="140" t="s">
        <v>190</v>
      </c>
      <c r="F82" s="141" t="s">
        <v>191</v>
      </c>
      <c r="G82" s="141" t="s">
        <v>192</v>
      </c>
      <c r="H82" s="141" t="s">
        <v>193</v>
      </c>
      <c r="I82" s="141" t="s">
        <v>194</v>
      </c>
      <c r="J82" s="141" t="s">
        <v>195</v>
      </c>
      <c r="K82" s="141" t="s">
        <v>196</v>
      </c>
      <c r="L82" s="141" t="s">
        <v>197</v>
      </c>
      <c r="M82" s="141" t="s">
        <v>198</v>
      </c>
      <c r="N82" s="141" t="s">
        <v>199</v>
      </c>
      <c r="O82" s="141" t="s">
        <v>200</v>
      </c>
      <c r="P82" s="142" t="s">
        <v>201</v>
      </c>
      <c r="Q82" s="134" t="s">
        <v>5</v>
      </c>
    </row>
    <row r="83" spans="2:18" ht="13" customHeight="1" x14ac:dyDescent="0.25">
      <c r="B83" s="509" t="s">
        <v>13</v>
      </c>
      <c r="C83" s="180" t="s">
        <v>2</v>
      </c>
      <c r="D83" s="170"/>
      <c r="E83" s="170"/>
      <c r="F83" s="170"/>
      <c r="G83" s="170"/>
      <c r="H83" s="170"/>
      <c r="I83" s="170"/>
      <c r="J83" s="170"/>
      <c r="K83" s="170"/>
      <c r="L83" s="170"/>
      <c r="M83" s="170"/>
      <c r="N83" s="170"/>
      <c r="O83" s="170"/>
      <c r="P83" s="170"/>
      <c r="Q83" s="176">
        <f t="shared" ref="Q83:Q98" si="5">SUM(E83:P83)</f>
        <v>0</v>
      </c>
      <c r="R83" s="518">
        <f>SUM(Q83:Q87)</f>
        <v>0</v>
      </c>
    </row>
    <row r="84" spans="2:18" ht="12.5" x14ac:dyDescent="0.25">
      <c r="B84" s="510"/>
      <c r="C84" s="179" t="s">
        <v>1</v>
      </c>
      <c r="D84" s="169"/>
      <c r="E84" s="169"/>
      <c r="F84" s="169"/>
      <c r="G84" s="169"/>
      <c r="H84" s="169"/>
      <c r="I84" s="169"/>
      <c r="J84" s="169"/>
      <c r="K84" s="169"/>
      <c r="L84" s="169"/>
      <c r="M84" s="169"/>
      <c r="N84" s="169"/>
      <c r="O84" s="169"/>
      <c r="P84" s="169"/>
      <c r="Q84" s="177">
        <f t="shared" si="5"/>
        <v>0</v>
      </c>
      <c r="R84" s="486"/>
    </row>
    <row r="85" spans="2:18" ht="12.5" x14ac:dyDescent="0.25">
      <c r="B85" s="510"/>
      <c r="C85" s="179" t="s">
        <v>0</v>
      </c>
      <c r="D85" s="169"/>
      <c r="E85" s="169"/>
      <c r="F85" s="169"/>
      <c r="G85" s="169"/>
      <c r="H85" s="169"/>
      <c r="I85" s="169"/>
      <c r="J85" s="169"/>
      <c r="K85" s="169"/>
      <c r="L85" s="169"/>
      <c r="M85" s="169"/>
      <c r="N85" s="169"/>
      <c r="O85" s="169"/>
      <c r="P85" s="169"/>
      <c r="Q85" s="177">
        <f t="shared" si="5"/>
        <v>0</v>
      </c>
      <c r="R85" s="486"/>
    </row>
    <row r="86" spans="2:18" ht="12.5" x14ac:dyDescent="0.25">
      <c r="B86" s="510"/>
      <c r="C86" s="179" t="s">
        <v>42</v>
      </c>
      <c r="D86" s="169"/>
      <c r="E86" s="169"/>
      <c r="F86" s="169"/>
      <c r="G86" s="169"/>
      <c r="H86" s="169"/>
      <c r="I86" s="169"/>
      <c r="J86" s="169"/>
      <c r="K86" s="169"/>
      <c r="L86" s="169"/>
      <c r="M86" s="169"/>
      <c r="N86" s="169"/>
      <c r="O86" s="169"/>
      <c r="P86" s="169"/>
      <c r="Q86" s="177">
        <f t="shared" si="5"/>
        <v>0</v>
      </c>
      <c r="R86" s="486"/>
    </row>
    <row r="87" spans="2:18" thickBot="1" x14ac:dyDescent="0.3">
      <c r="B87" s="511"/>
      <c r="C87" s="181" t="s">
        <v>146</v>
      </c>
      <c r="D87" s="171"/>
      <c r="E87" s="171"/>
      <c r="F87" s="171"/>
      <c r="G87" s="171"/>
      <c r="H87" s="171"/>
      <c r="I87" s="171"/>
      <c r="J87" s="171"/>
      <c r="K87" s="171"/>
      <c r="L87" s="171"/>
      <c r="M87" s="171"/>
      <c r="N87" s="171"/>
      <c r="O87" s="171"/>
      <c r="P87" s="171"/>
      <c r="Q87" s="178">
        <f t="shared" si="5"/>
        <v>0</v>
      </c>
      <c r="R87" s="487"/>
    </row>
    <row r="88" spans="2:18" ht="13" customHeight="1" x14ac:dyDescent="0.25">
      <c r="B88" s="509" t="s">
        <v>14</v>
      </c>
      <c r="C88" s="180" t="s">
        <v>2</v>
      </c>
      <c r="D88" s="170"/>
      <c r="E88" s="170"/>
      <c r="F88" s="170"/>
      <c r="G88" s="170"/>
      <c r="H88" s="170"/>
      <c r="I88" s="170"/>
      <c r="J88" s="170"/>
      <c r="K88" s="170"/>
      <c r="L88" s="170"/>
      <c r="M88" s="170"/>
      <c r="N88" s="170"/>
      <c r="O88" s="170"/>
      <c r="P88" s="170"/>
      <c r="Q88" s="176">
        <f t="shared" si="5"/>
        <v>0</v>
      </c>
      <c r="R88" s="518">
        <f>SUM(Q88:Q92)</f>
        <v>0</v>
      </c>
    </row>
    <row r="89" spans="2:18" ht="12.5" x14ac:dyDescent="0.25">
      <c r="B89" s="510"/>
      <c r="C89" s="179" t="s">
        <v>1</v>
      </c>
      <c r="D89" s="169"/>
      <c r="E89" s="169"/>
      <c r="F89" s="169"/>
      <c r="G89" s="169"/>
      <c r="H89" s="169"/>
      <c r="I89" s="169"/>
      <c r="J89" s="169"/>
      <c r="K89" s="169"/>
      <c r="L89" s="169"/>
      <c r="M89" s="169"/>
      <c r="N89" s="169"/>
      <c r="O89" s="169"/>
      <c r="P89" s="169"/>
      <c r="Q89" s="177">
        <f t="shared" si="5"/>
        <v>0</v>
      </c>
      <c r="R89" s="486"/>
    </row>
    <row r="90" spans="2:18" ht="12.5" x14ac:dyDescent="0.25">
      <c r="B90" s="510"/>
      <c r="C90" s="179" t="s">
        <v>146</v>
      </c>
      <c r="D90" s="169"/>
      <c r="E90" s="169"/>
      <c r="F90" s="169"/>
      <c r="G90" s="169"/>
      <c r="H90" s="169"/>
      <c r="I90" s="169"/>
      <c r="J90" s="169"/>
      <c r="K90" s="169"/>
      <c r="L90" s="169"/>
      <c r="M90" s="169"/>
      <c r="N90" s="169"/>
      <c r="O90" s="169"/>
      <c r="P90" s="169"/>
      <c r="Q90" s="177">
        <f t="shared" si="5"/>
        <v>0</v>
      </c>
      <c r="R90" s="486"/>
    </row>
    <row r="91" spans="2:18" ht="12.5" x14ac:dyDescent="0.25">
      <c r="B91" s="510"/>
      <c r="C91" s="179" t="s">
        <v>42</v>
      </c>
      <c r="D91" s="169"/>
      <c r="E91" s="169"/>
      <c r="F91" s="169"/>
      <c r="G91" s="169"/>
      <c r="H91" s="169"/>
      <c r="I91" s="169"/>
      <c r="J91" s="169"/>
      <c r="K91" s="169"/>
      <c r="L91" s="169"/>
      <c r="M91" s="169"/>
      <c r="N91" s="169"/>
      <c r="O91" s="169"/>
      <c r="P91" s="169"/>
      <c r="Q91" s="177">
        <f t="shared" si="5"/>
        <v>0</v>
      </c>
      <c r="R91" s="486"/>
    </row>
    <row r="92" spans="2:18" thickBot="1" x14ac:dyDescent="0.3">
      <c r="B92" s="511"/>
      <c r="C92" s="181" t="s">
        <v>0</v>
      </c>
      <c r="D92" s="171"/>
      <c r="E92" s="171"/>
      <c r="F92" s="171"/>
      <c r="G92" s="171"/>
      <c r="H92" s="171"/>
      <c r="I92" s="171"/>
      <c r="J92" s="171"/>
      <c r="K92" s="171"/>
      <c r="L92" s="171"/>
      <c r="M92" s="171"/>
      <c r="N92" s="171"/>
      <c r="O92" s="171"/>
      <c r="P92" s="171"/>
      <c r="Q92" s="178">
        <f t="shared" si="5"/>
        <v>0</v>
      </c>
      <c r="R92" s="487"/>
    </row>
    <row r="93" spans="2:18" ht="13" customHeight="1" x14ac:dyDescent="0.25">
      <c r="B93" s="509" t="s">
        <v>15</v>
      </c>
      <c r="C93" s="180" t="s">
        <v>6</v>
      </c>
      <c r="D93" s="170"/>
      <c r="E93" s="170"/>
      <c r="F93" s="170"/>
      <c r="G93" s="170"/>
      <c r="H93" s="170"/>
      <c r="I93" s="170"/>
      <c r="J93" s="170"/>
      <c r="K93" s="170"/>
      <c r="L93" s="170"/>
      <c r="M93" s="170"/>
      <c r="N93" s="170"/>
      <c r="O93" s="170"/>
      <c r="P93" s="170"/>
      <c r="Q93" s="176">
        <f t="shared" si="5"/>
        <v>0</v>
      </c>
      <c r="R93" s="518">
        <f>SUM(Q93:Q98)</f>
        <v>0</v>
      </c>
    </row>
    <row r="94" spans="2:18" ht="12.5" x14ac:dyDescent="0.25">
      <c r="B94" s="510"/>
      <c r="C94" s="179" t="s">
        <v>2</v>
      </c>
      <c r="D94" s="169"/>
      <c r="E94" s="169"/>
      <c r="F94" s="169"/>
      <c r="G94" s="169"/>
      <c r="H94" s="169"/>
      <c r="I94" s="169"/>
      <c r="J94" s="169"/>
      <c r="K94" s="169"/>
      <c r="L94" s="169"/>
      <c r="M94" s="169"/>
      <c r="N94" s="169"/>
      <c r="O94" s="169"/>
      <c r="P94" s="169"/>
      <c r="Q94" s="177">
        <f t="shared" si="5"/>
        <v>0</v>
      </c>
      <c r="R94" s="486"/>
    </row>
    <row r="95" spans="2:18" ht="12.5" x14ac:dyDescent="0.25">
      <c r="B95" s="510"/>
      <c r="C95" s="179" t="s">
        <v>1</v>
      </c>
      <c r="D95" s="169"/>
      <c r="E95" s="169"/>
      <c r="F95" s="169"/>
      <c r="G95" s="169"/>
      <c r="H95" s="169"/>
      <c r="I95" s="169"/>
      <c r="J95" s="169"/>
      <c r="K95" s="169"/>
      <c r="L95" s="169"/>
      <c r="M95" s="169"/>
      <c r="N95" s="169"/>
      <c r="O95" s="169"/>
      <c r="P95" s="169"/>
      <c r="Q95" s="177">
        <f t="shared" si="5"/>
        <v>0</v>
      </c>
      <c r="R95" s="486"/>
    </row>
    <row r="96" spans="2:18" ht="12.5" x14ac:dyDescent="0.25">
      <c r="B96" s="510"/>
      <c r="C96" s="179" t="s">
        <v>146</v>
      </c>
      <c r="D96" s="169"/>
      <c r="E96" s="169"/>
      <c r="F96" s="169"/>
      <c r="G96" s="169"/>
      <c r="H96" s="169"/>
      <c r="I96" s="169"/>
      <c r="J96" s="169"/>
      <c r="K96" s="169"/>
      <c r="L96" s="169"/>
      <c r="M96" s="169"/>
      <c r="N96" s="169"/>
      <c r="O96" s="169"/>
      <c r="P96" s="169"/>
      <c r="Q96" s="177">
        <f t="shared" si="5"/>
        <v>0</v>
      </c>
      <c r="R96" s="486"/>
    </row>
    <row r="97" spans="2:18" ht="12.5" x14ac:dyDescent="0.25">
      <c r="B97" s="510"/>
      <c r="C97" s="179" t="s">
        <v>42</v>
      </c>
      <c r="D97" s="169"/>
      <c r="E97" s="169"/>
      <c r="F97" s="169"/>
      <c r="G97" s="169"/>
      <c r="H97" s="169"/>
      <c r="I97" s="169"/>
      <c r="J97" s="169"/>
      <c r="K97" s="169"/>
      <c r="L97" s="169"/>
      <c r="M97" s="169"/>
      <c r="N97" s="169"/>
      <c r="O97" s="169"/>
      <c r="P97" s="169"/>
      <c r="Q97" s="177">
        <f t="shared" si="5"/>
        <v>0</v>
      </c>
      <c r="R97" s="486"/>
    </row>
    <row r="98" spans="2:18" thickBot="1" x14ac:dyDescent="0.3">
      <c r="B98" s="511"/>
      <c r="C98" s="181" t="s">
        <v>0</v>
      </c>
      <c r="D98" s="171"/>
      <c r="E98" s="171"/>
      <c r="F98" s="171"/>
      <c r="G98" s="171"/>
      <c r="H98" s="171"/>
      <c r="I98" s="171"/>
      <c r="J98" s="171"/>
      <c r="K98" s="171"/>
      <c r="L98" s="171"/>
      <c r="M98" s="171"/>
      <c r="N98" s="171"/>
      <c r="O98" s="171"/>
      <c r="P98" s="171"/>
      <c r="Q98" s="178">
        <f t="shared" si="5"/>
        <v>0</v>
      </c>
      <c r="R98" s="487"/>
    </row>
    <row r="99" spans="2:18" ht="13.5" thickBot="1" x14ac:dyDescent="0.35">
      <c r="B99" s="488" t="s">
        <v>4</v>
      </c>
      <c r="C99" s="489"/>
      <c r="D99" s="490"/>
      <c r="E99" s="162">
        <f>SUM(E83:E98)</f>
        <v>0</v>
      </c>
      <c r="F99" s="162">
        <f t="shared" ref="F99:P99" si="6">SUM(F83:F98)</f>
        <v>0</v>
      </c>
      <c r="G99" s="162">
        <f t="shared" si="6"/>
        <v>0</v>
      </c>
      <c r="H99" s="162">
        <f t="shared" si="6"/>
        <v>0</v>
      </c>
      <c r="I99" s="162">
        <f t="shared" si="6"/>
        <v>0</v>
      </c>
      <c r="J99" s="162">
        <f t="shared" si="6"/>
        <v>0</v>
      </c>
      <c r="K99" s="162">
        <f t="shared" si="6"/>
        <v>0</v>
      </c>
      <c r="L99" s="162">
        <f t="shared" si="6"/>
        <v>0</v>
      </c>
      <c r="M99" s="162">
        <f t="shared" si="6"/>
        <v>0</v>
      </c>
      <c r="N99" s="162">
        <f t="shared" si="6"/>
        <v>0</v>
      </c>
      <c r="O99" s="162">
        <f t="shared" si="6"/>
        <v>0</v>
      </c>
      <c r="P99" s="162">
        <f t="shared" si="6"/>
        <v>0</v>
      </c>
      <c r="Q99" s="135">
        <f>SUM(Q83:Q98)</f>
        <v>0</v>
      </c>
    </row>
    <row r="100" spans="2:18" ht="13.5" thickBot="1" x14ac:dyDescent="0.35"/>
    <row r="101" spans="2:18" ht="13.5" thickBot="1" x14ac:dyDescent="0.35">
      <c r="B101" s="465" t="s">
        <v>165</v>
      </c>
      <c r="C101" s="466"/>
      <c r="D101" s="467"/>
      <c r="E101" s="140" t="s">
        <v>190</v>
      </c>
      <c r="F101" s="141" t="s">
        <v>191</v>
      </c>
      <c r="G101" s="141" t="s">
        <v>192</v>
      </c>
      <c r="H101" s="141" t="s">
        <v>193</v>
      </c>
      <c r="I101" s="141" t="s">
        <v>194</v>
      </c>
      <c r="J101" s="141" t="s">
        <v>195</v>
      </c>
      <c r="K101" s="141" t="s">
        <v>196</v>
      </c>
      <c r="L101" s="141" t="s">
        <v>197</v>
      </c>
      <c r="M101" s="141" t="s">
        <v>198</v>
      </c>
      <c r="N101" s="141" t="s">
        <v>199</v>
      </c>
      <c r="O101" s="141" t="s">
        <v>200</v>
      </c>
      <c r="P101" s="142" t="s">
        <v>201</v>
      </c>
      <c r="Q101" s="139" t="s">
        <v>5</v>
      </c>
    </row>
    <row r="102" spans="2:18" x14ac:dyDescent="0.3">
      <c r="B102" s="515" t="s">
        <v>23</v>
      </c>
      <c r="C102" s="516"/>
      <c r="D102" s="517"/>
      <c r="E102" s="174"/>
      <c r="F102" s="169"/>
      <c r="G102" s="169"/>
      <c r="H102" s="169"/>
      <c r="I102" s="169"/>
      <c r="J102" s="169"/>
      <c r="K102" s="169"/>
      <c r="L102" s="169"/>
      <c r="M102" s="169"/>
      <c r="N102" s="169"/>
      <c r="O102" s="169"/>
      <c r="P102" s="169"/>
      <c r="Q102" s="177">
        <f t="shared" ref="Q102:Q135" si="7">SUM(E102:P102)</f>
        <v>0</v>
      </c>
    </row>
    <row r="103" spans="2:18" x14ac:dyDescent="0.3">
      <c r="B103" s="515" t="s">
        <v>83</v>
      </c>
      <c r="C103" s="516"/>
      <c r="D103" s="517"/>
      <c r="E103" s="174"/>
      <c r="F103" s="169"/>
      <c r="G103" s="169"/>
      <c r="H103" s="169"/>
      <c r="I103" s="169"/>
      <c r="J103" s="169"/>
      <c r="K103" s="169"/>
      <c r="L103" s="169"/>
      <c r="M103" s="169"/>
      <c r="N103" s="169"/>
      <c r="O103" s="169"/>
      <c r="P103" s="169"/>
      <c r="Q103" s="177">
        <f t="shared" si="7"/>
        <v>0</v>
      </c>
    </row>
    <row r="104" spans="2:18" x14ac:dyDescent="0.3">
      <c r="B104" s="515" t="s">
        <v>103</v>
      </c>
      <c r="C104" s="516"/>
      <c r="D104" s="517"/>
      <c r="E104" s="174"/>
      <c r="F104" s="169"/>
      <c r="G104" s="169"/>
      <c r="H104" s="169"/>
      <c r="I104" s="169"/>
      <c r="J104" s="169"/>
      <c r="K104" s="169"/>
      <c r="L104" s="169"/>
      <c r="M104" s="169"/>
      <c r="N104" s="169"/>
      <c r="O104" s="169"/>
      <c r="P104" s="169"/>
      <c r="Q104" s="177">
        <f t="shared" si="7"/>
        <v>0</v>
      </c>
    </row>
    <row r="105" spans="2:18" x14ac:dyDescent="0.3">
      <c r="B105" s="515" t="s">
        <v>55</v>
      </c>
      <c r="C105" s="516"/>
      <c r="D105" s="517"/>
      <c r="E105" s="174"/>
      <c r="F105" s="169"/>
      <c r="G105" s="169"/>
      <c r="H105" s="169"/>
      <c r="I105" s="169"/>
      <c r="J105" s="169"/>
      <c r="K105" s="169"/>
      <c r="L105" s="169"/>
      <c r="M105" s="169"/>
      <c r="N105" s="169"/>
      <c r="O105" s="169"/>
      <c r="P105" s="169"/>
      <c r="Q105" s="177">
        <f t="shared" si="7"/>
        <v>0</v>
      </c>
    </row>
    <row r="106" spans="2:18" x14ac:dyDescent="0.3">
      <c r="B106" s="515" t="s">
        <v>248</v>
      </c>
      <c r="C106" s="516"/>
      <c r="D106" s="517"/>
      <c r="E106" s="174"/>
      <c r="F106" s="169"/>
      <c r="G106" s="169"/>
      <c r="H106" s="169"/>
      <c r="I106" s="169"/>
      <c r="J106" s="169"/>
      <c r="K106" s="169"/>
      <c r="L106" s="169"/>
      <c r="M106" s="169"/>
      <c r="N106" s="169"/>
      <c r="O106" s="169"/>
      <c r="P106" s="169"/>
      <c r="Q106" s="177">
        <f t="shared" si="7"/>
        <v>0</v>
      </c>
    </row>
    <row r="107" spans="2:18" x14ac:dyDescent="0.3">
      <c r="B107" s="515" t="s">
        <v>52</v>
      </c>
      <c r="C107" s="516"/>
      <c r="D107" s="517"/>
      <c r="E107" s="174"/>
      <c r="F107" s="169"/>
      <c r="G107" s="169"/>
      <c r="H107" s="169"/>
      <c r="I107" s="169"/>
      <c r="J107" s="169"/>
      <c r="K107" s="169"/>
      <c r="L107" s="169"/>
      <c r="M107" s="169"/>
      <c r="N107" s="169"/>
      <c r="O107" s="169"/>
      <c r="P107" s="169"/>
      <c r="Q107" s="177">
        <f t="shared" si="7"/>
        <v>0</v>
      </c>
    </row>
    <row r="108" spans="2:18" x14ac:dyDescent="0.3">
      <c r="B108" s="515" t="s">
        <v>90</v>
      </c>
      <c r="C108" s="516"/>
      <c r="D108" s="517"/>
      <c r="E108" s="174"/>
      <c r="F108" s="169"/>
      <c r="G108" s="169"/>
      <c r="H108" s="169"/>
      <c r="I108" s="169"/>
      <c r="J108" s="169"/>
      <c r="K108" s="169"/>
      <c r="L108" s="169"/>
      <c r="M108" s="169"/>
      <c r="N108" s="169"/>
      <c r="O108" s="169"/>
      <c r="P108" s="169"/>
      <c r="Q108" s="177">
        <f t="shared" si="7"/>
        <v>0</v>
      </c>
    </row>
    <row r="109" spans="2:18" x14ac:dyDescent="0.3">
      <c r="B109" s="515" t="s">
        <v>249</v>
      </c>
      <c r="C109" s="516"/>
      <c r="D109" s="517"/>
      <c r="E109" s="174"/>
      <c r="F109" s="169"/>
      <c r="G109" s="169"/>
      <c r="H109" s="169"/>
      <c r="I109" s="169"/>
      <c r="J109" s="169"/>
      <c r="K109" s="169"/>
      <c r="L109" s="169"/>
      <c r="M109" s="169"/>
      <c r="N109" s="169"/>
      <c r="O109" s="169"/>
      <c r="P109" s="169"/>
      <c r="Q109" s="177">
        <f t="shared" si="7"/>
        <v>0</v>
      </c>
    </row>
    <row r="110" spans="2:18" x14ac:dyDescent="0.3">
      <c r="B110" s="515" t="s">
        <v>250</v>
      </c>
      <c r="C110" s="516"/>
      <c r="D110" s="517"/>
      <c r="E110" s="174"/>
      <c r="F110" s="169"/>
      <c r="G110" s="169"/>
      <c r="H110" s="169"/>
      <c r="I110" s="169"/>
      <c r="J110" s="169"/>
      <c r="K110" s="169"/>
      <c r="L110" s="169"/>
      <c r="M110" s="169"/>
      <c r="N110" s="169"/>
      <c r="O110" s="169"/>
      <c r="P110" s="169"/>
      <c r="Q110" s="177">
        <f t="shared" si="7"/>
        <v>0</v>
      </c>
    </row>
    <row r="111" spans="2:18" x14ac:dyDescent="0.3">
      <c r="B111" s="515" t="s">
        <v>104</v>
      </c>
      <c r="C111" s="516"/>
      <c r="D111" s="517"/>
      <c r="E111" s="174"/>
      <c r="F111" s="169"/>
      <c r="G111" s="169"/>
      <c r="H111" s="169"/>
      <c r="I111" s="169"/>
      <c r="J111" s="169"/>
      <c r="K111" s="169"/>
      <c r="L111" s="169"/>
      <c r="M111" s="169"/>
      <c r="N111" s="169"/>
      <c r="O111" s="169"/>
      <c r="P111" s="169"/>
      <c r="Q111" s="177">
        <f t="shared" si="7"/>
        <v>0</v>
      </c>
    </row>
    <row r="112" spans="2:18" x14ac:dyDescent="0.3">
      <c r="B112" s="515" t="s">
        <v>126</v>
      </c>
      <c r="C112" s="516"/>
      <c r="D112" s="517"/>
      <c r="E112" s="174"/>
      <c r="F112" s="169"/>
      <c r="G112" s="169"/>
      <c r="H112" s="169"/>
      <c r="I112" s="169"/>
      <c r="J112" s="169"/>
      <c r="K112" s="169"/>
      <c r="L112" s="169"/>
      <c r="M112" s="169"/>
      <c r="N112" s="169"/>
      <c r="O112" s="169"/>
      <c r="P112" s="169"/>
      <c r="Q112" s="177">
        <f t="shared" si="7"/>
        <v>0</v>
      </c>
    </row>
    <row r="113" spans="2:17" x14ac:dyDescent="0.3">
      <c r="B113" s="515" t="s">
        <v>106</v>
      </c>
      <c r="C113" s="516"/>
      <c r="D113" s="517"/>
      <c r="E113" s="174"/>
      <c r="F113" s="169"/>
      <c r="G113" s="169"/>
      <c r="H113" s="169"/>
      <c r="I113" s="169"/>
      <c r="J113" s="169"/>
      <c r="K113" s="169"/>
      <c r="L113" s="169"/>
      <c r="M113" s="169"/>
      <c r="N113" s="169"/>
      <c r="O113" s="169"/>
      <c r="P113" s="169"/>
      <c r="Q113" s="177">
        <f t="shared" si="7"/>
        <v>0</v>
      </c>
    </row>
    <row r="114" spans="2:17" x14ac:dyDescent="0.3">
      <c r="B114" s="515" t="s">
        <v>89</v>
      </c>
      <c r="C114" s="516"/>
      <c r="D114" s="517"/>
      <c r="E114" s="174"/>
      <c r="F114" s="169"/>
      <c r="G114" s="169"/>
      <c r="H114" s="169"/>
      <c r="I114" s="169"/>
      <c r="J114" s="169"/>
      <c r="K114" s="169"/>
      <c r="L114" s="169"/>
      <c r="M114" s="169"/>
      <c r="N114" s="169"/>
      <c r="O114" s="169"/>
      <c r="P114" s="169"/>
      <c r="Q114" s="177">
        <f t="shared" si="7"/>
        <v>0</v>
      </c>
    </row>
    <row r="115" spans="2:17" x14ac:dyDescent="0.3">
      <c r="B115" s="515" t="s">
        <v>251</v>
      </c>
      <c r="C115" s="516"/>
      <c r="D115" s="517"/>
      <c r="E115" s="174"/>
      <c r="F115" s="169"/>
      <c r="G115" s="169"/>
      <c r="H115" s="169"/>
      <c r="I115" s="169"/>
      <c r="J115" s="169"/>
      <c r="K115" s="169"/>
      <c r="L115" s="169"/>
      <c r="M115" s="169"/>
      <c r="N115" s="169"/>
      <c r="O115" s="169"/>
      <c r="P115" s="169"/>
      <c r="Q115" s="177">
        <f t="shared" si="7"/>
        <v>0</v>
      </c>
    </row>
    <row r="116" spans="2:17" x14ac:dyDescent="0.3">
      <c r="B116" s="515" t="s">
        <v>108</v>
      </c>
      <c r="C116" s="516"/>
      <c r="D116" s="517"/>
      <c r="E116" s="174"/>
      <c r="F116" s="169"/>
      <c r="G116" s="169"/>
      <c r="H116" s="169"/>
      <c r="I116" s="169"/>
      <c r="J116" s="169"/>
      <c r="K116" s="169"/>
      <c r="L116" s="169"/>
      <c r="M116" s="169"/>
      <c r="N116" s="169"/>
      <c r="O116" s="169"/>
      <c r="P116" s="169"/>
      <c r="Q116" s="177">
        <f t="shared" si="7"/>
        <v>0</v>
      </c>
    </row>
    <row r="117" spans="2:17" x14ac:dyDescent="0.3">
      <c r="B117" s="515" t="s">
        <v>252</v>
      </c>
      <c r="C117" s="516"/>
      <c r="D117" s="517"/>
      <c r="E117" s="174"/>
      <c r="F117" s="169"/>
      <c r="G117" s="169"/>
      <c r="H117" s="169"/>
      <c r="I117" s="169"/>
      <c r="J117" s="169"/>
      <c r="K117" s="169"/>
      <c r="L117" s="169"/>
      <c r="M117" s="169"/>
      <c r="N117" s="169"/>
      <c r="O117" s="169"/>
      <c r="P117" s="169"/>
      <c r="Q117" s="177">
        <f t="shared" si="7"/>
        <v>0</v>
      </c>
    </row>
    <row r="118" spans="2:17" x14ac:dyDescent="0.3">
      <c r="B118" s="515" t="s">
        <v>116</v>
      </c>
      <c r="C118" s="516"/>
      <c r="D118" s="517"/>
      <c r="E118" s="174"/>
      <c r="F118" s="169"/>
      <c r="G118" s="169"/>
      <c r="H118" s="169"/>
      <c r="I118" s="169"/>
      <c r="J118" s="169"/>
      <c r="K118" s="169"/>
      <c r="L118" s="169"/>
      <c r="M118" s="169"/>
      <c r="N118" s="169"/>
      <c r="O118" s="169"/>
      <c r="P118" s="169"/>
      <c r="Q118" s="177">
        <f t="shared" si="7"/>
        <v>0</v>
      </c>
    </row>
    <row r="119" spans="2:17" x14ac:dyDescent="0.3">
      <c r="B119" s="515" t="s">
        <v>127</v>
      </c>
      <c r="C119" s="516"/>
      <c r="D119" s="517"/>
      <c r="E119" s="174"/>
      <c r="F119" s="169"/>
      <c r="G119" s="169"/>
      <c r="H119" s="169"/>
      <c r="I119" s="169"/>
      <c r="J119" s="169"/>
      <c r="K119" s="169"/>
      <c r="L119" s="169"/>
      <c r="M119" s="169"/>
      <c r="N119" s="169"/>
      <c r="O119" s="169"/>
      <c r="P119" s="169"/>
      <c r="Q119" s="177">
        <f t="shared" si="7"/>
        <v>0</v>
      </c>
    </row>
    <row r="120" spans="2:17" x14ac:dyDescent="0.3">
      <c r="B120" s="515" t="s">
        <v>123</v>
      </c>
      <c r="C120" s="516"/>
      <c r="D120" s="517"/>
      <c r="E120" s="174"/>
      <c r="F120" s="169"/>
      <c r="G120" s="169"/>
      <c r="H120" s="169"/>
      <c r="I120" s="169"/>
      <c r="J120" s="169"/>
      <c r="K120" s="169"/>
      <c r="L120" s="169"/>
      <c r="M120" s="169"/>
      <c r="N120" s="169"/>
      <c r="O120" s="169"/>
      <c r="P120" s="169"/>
      <c r="Q120" s="177">
        <f t="shared" si="7"/>
        <v>0</v>
      </c>
    </row>
    <row r="121" spans="2:17" x14ac:dyDescent="0.3">
      <c r="B121" s="515" t="s">
        <v>144</v>
      </c>
      <c r="C121" s="516"/>
      <c r="D121" s="517"/>
      <c r="E121" s="174"/>
      <c r="F121" s="169"/>
      <c r="G121" s="169"/>
      <c r="H121" s="169"/>
      <c r="I121" s="169"/>
      <c r="J121" s="169"/>
      <c r="K121" s="169"/>
      <c r="L121" s="169"/>
      <c r="M121" s="169"/>
      <c r="N121" s="169"/>
      <c r="O121" s="169"/>
      <c r="P121" s="169"/>
      <c r="Q121" s="177">
        <f t="shared" si="7"/>
        <v>0</v>
      </c>
    </row>
    <row r="122" spans="2:17" x14ac:dyDescent="0.3">
      <c r="B122" s="515" t="s">
        <v>253</v>
      </c>
      <c r="C122" s="516"/>
      <c r="D122" s="517"/>
      <c r="E122" s="174"/>
      <c r="F122" s="169"/>
      <c r="G122" s="169"/>
      <c r="H122" s="169"/>
      <c r="I122" s="169"/>
      <c r="J122" s="169"/>
      <c r="K122" s="169"/>
      <c r="L122" s="169"/>
      <c r="M122" s="169"/>
      <c r="N122" s="169"/>
      <c r="O122" s="169"/>
      <c r="P122" s="169"/>
      <c r="Q122" s="177">
        <f t="shared" si="7"/>
        <v>0</v>
      </c>
    </row>
    <row r="123" spans="2:17" x14ac:dyDescent="0.3">
      <c r="B123" s="515" t="s">
        <v>143</v>
      </c>
      <c r="C123" s="516"/>
      <c r="D123" s="517"/>
      <c r="E123" s="174"/>
      <c r="F123" s="169"/>
      <c r="G123" s="169"/>
      <c r="H123" s="169"/>
      <c r="I123" s="169"/>
      <c r="J123" s="169"/>
      <c r="K123" s="169"/>
      <c r="L123" s="169"/>
      <c r="M123" s="169"/>
      <c r="N123" s="169"/>
      <c r="O123" s="169"/>
      <c r="P123" s="169"/>
      <c r="Q123" s="177">
        <f t="shared" si="7"/>
        <v>0</v>
      </c>
    </row>
    <row r="124" spans="2:17" x14ac:dyDescent="0.3">
      <c r="B124" s="515" t="s">
        <v>142</v>
      </c>
      <c r="C124" s="516"/>
      <c r="D124" s="517"/>
      <c r="E124" s="174"/>
      <c r="F124" s="169"/>
      <c r="G124" s="169"/>
      <c r="H124" s="169"/>
      <c r="I124" s="169"/>
      <c r="J124" s="169"/>
      <c r="K124" s="169"/>
      <c r="L124" s="169"/>
      <c r="M124" s="169"/>
      <c r="N124" s="169"/>
      <c r="O124" s="169"/>
      <c r="P124" s="169"/>
      <c r="Q124" s="177">
        <f t="shared" si="7"/>
        <v>0</v>
      </c>
    </row>
    <row r="125" spans="2:17" x14ac:dyDescent="0.3">
      <c r="B125" s="515" t="s">
        <v>154</v>
      </c>
      <c r="C125" s="516"/>
      <c r="D125" s="517"/>
      <c r="E125" s="174"/>
      <c r="F125" s="169"/>
      <c r="G125" s="169"/>
      <c r="H125" s="169"/>
      <c r="I125" s="169"/>
      <c r="J125" s="169"/>
      <c r="K125" s="169"/>
      <c r="L125" s="169"/>
      <c r="M125" s="169"/>
      <c r="N125" s="169"/>
      <c r="O125" s="169"/>
      <c r="P125" s="169"/>
      <c r="Q125" s="177">
        <f t="shared" si="7"/>
        <v>0</v>
      </c>
    </row>
    <row r="126" spans="2:17" x14ac:dyDescent="0.3">
      <c r="B126" s="515" t="s">
        <v>254</v>
      </c>
      <c r="C126" s="516"/>
      <c r="D126" s="517"/>
      <c r="E126" s="174"/>
      <c r="F126" s="169"/>
      <c r="G126" s="169"/>
      <c r="H126" s="169"/>
      <c r="I126" s="169"/>
      <c r="J126" s="169"/>
      <c r="K126" s="169"/>
      <c r="L126" s="169"/>
      <c r="M126" s="169"/>
      <c r="N126" s="169"/>
      <c r="O126" s="169"/>
      <c r="P126" s="169"/>
      <c r="Q126" s="177">
        <f t="shared" si="7"/>
        <v>0</v>
      </c>
    </row>
    <row r="127" spans="2:17" x14ac:dyDescent="0.3">
      <c r="B127" s="515" t="s">
        <v>158</v>
      </c>
      <c r="C127" s="516"/>
      <c r="D127" s="517"/>
      <c r="E127" s="174"/>
      <c r="F127" s="169"/>
      <c r="G127" s="169"/>
      <c r="H127" s="169"/>
      <c r="I127" s="169"/>
      <c r="J127" s="169"/>
      <c r="K127" s="169"/>
      <c r="L127" s="169"/>
      <c r="M127" s="169"/>
      <c r="N127" s="169"/>
      <c r="O127" s="169"/>
      <c r="P127" s="169"/>
      <c r="Q127" s="177">
        <f t="shared" si="7"/>
        <v>0</v>
      </c>
    </row>
    <row r="128" spans="2:17" x14ac:dyDescent="0.3">
      <c r="B128" s="515" t="s">
        <v>255</v>
      </c>
      <c r="C128" s="516"/>
      <c r="D128" s="517"/>
      <c r="E128" s="174"/>
      <c r="F128" s="169"/>
      <c r="G128" s="169"/>
      <c r="H128" s="169"/>
      <c r="I128" s="169"/>
      <c r="J128" s="169"/>
      <c r="K128" s="169"/>
      <c r="L128" s="169"/>
      <c r="M128" s="169"/>
      <c r="N128" s="169"/>
      <c r="O128" s="169"/>
      <c r="P128" s="169"/>
      <c r="Q128" s="177">
        <f t="shared" si="7"/>
        <v>0</v>
      </c>
    </row>
    <row r="129" spans="2:18" x14ac:dyDescent="0.3">
      <c r="B129" s="515" t="s">
        <v>174</v>
      </c>
      <c r="C129" s="516"/>
      <c r="D129" s="517"/>
      <c r="E129" s="174"/>
      <c r="F129" s="169"/>
      <c r="G129" s="169"/>
      <c r="H129" s="169"/>
      <c r="I129" s="169"/>
      <c r="J129" s="169"/>
      <c r="K129" s="169"/>
      <c r="L129" s="169"/>
      <c r="M129" s="169"/>
      <c r="N129" s="169"/>
      <c r="O129" s="169"/>
      <c r="P129" s="169"/>
      <c r="Q129" s="177">
        <f t="shared" si="7"/>
        <v>0</v>
      </c>
    </row>
    <row r="130" spans="2:18" x14ac:dyDescent="0.3">
      <c r="B130" s="515" t="s">
        <v>168</v>
      </c>
      <c r="C130" s="516"/>
      <c r="D130" s="517"/>
      <c r="E130" s="174"/>
      <c r="F130" s="169"/>
      <c r="G130" s="169"/>
      <c r="H130" s="169"/>
      <c r="I130" s="169"/>
      <c r="J130" s="169"/>
      <c r="K130" s="169"/>
      <c r="L130" s="169"/>
      <c r="M130" s="169"/>
      <c r="N130" s="169"/>
      <c r="O130" s="169"/>
      <c r="P130" s="169"/>
      <c r="Q130" s="177">
        <f t="shared" si="7"/>
        <v>0</v>
      </c>
    </row>
    <row r="131" spans="2:18" x14ac:dyDescent="0.3">
      <c r="B131" s="515" t="s">
        <v>181</v>
      </c>
      <c r="C131" s="516"/>
      <c r="D131" s="517"/>
      <c r="E131" s="174"/>
      <c r="F131" s="169"/>
      <c r="G131" s="169"/>
      <c r="H131" s="169"/>
      <c r="I131" s="169"/>
      <c r="J131" s="169"/>
      <c r="K131" s="169"/>
      <c r="L131" s="169"/>
      <c r="M131" s="169"/>
      <c r="N131" s="169"/>
      <c r="O131" s="169"/>
      <c r="P131" s="169"/>
      <c r="Q131" s="177">
        <f t="shared" si="7"/>
        <v>0</v>
      </c>
    </row>
    <row r="132" spans="2:18" x14ac:dyDescent="0.3">
      <c r="B132" s="515" t="s">
        <v>187</v>
      </c>
      <c r="C132" s="516"/>
      <c r="D132" s="517"/>
      <c r="E132" s="174"/>
      <c r="F132" s="169"/>
      <c r="G132" s="169"/>
      <c r="H132" s="169"/>
      <c r="I132" s="169"/>
      <c r="J132" s="169"/>
      <c r="K132" s="169"/>
      <c r="L132" s="169"/>
      <c r="M132" s="169"/>
      <c r="N132" s="169"/>
      <c r="O132" s="169"/>
      <c r="P132" s="169"/>
      <c r="Q132" s="177">
        <f t="shared" si="7"/>
        <v>0</v>
      </c>
    </row>
    <row r="133" spans="2:18" x14ac:dyDescent="0.3">
      <c r="B133" s="515" t="s">
        <v>186</v>
      </c>
      <c r="C133" s="516"/>
      <c r="D133" s="517"/>
      <c r="E133" s="174"/>
      <c r="F133" s="169"/>
      <c r="G133" s="169"/>
      <c r="H133" s="169"/>
      <c r="I133" s="169"/>
      <c r="J133" s="169"/>
      <c r="K133" s="169"/>
      <c r="L133" s="169"/>
      <c r="M133" s="169"/>
      <c r="N133" s="169"/>
      <c r="O133" s="169"/>
      <c r="P133" s="169"/>
      <c r="Q133" s="177">
        <f t="shared" si="7"/>
        <v>0</v>
      </c>
    </row>
    <row r="134" spans="2:18" x14ac:dyDescent="0.3">
      <c r="B134" s="515" t="s">
        <v>178</v>
      </c>
      <c r="C134" s="516"/>
      <c r="D134" s="517"/>
      <c r="E134" s="174"/>
      <c r="F134" s="169"/>
      <c r="G134" s="169"/>
      <c r="H134" s="169"/>
      <c r="I134" s="169"/>
      <c r="J134" s="169"/>
      <c r="K134" s="169"/>
      <c r="L134" s="169"/>
      <c r="M134" s="169"/>
      <c r="N134" s="169"/>
      <c r="O134" s="169"/>
      <c r="P134" s="169"/>
      <c r="Q134" s="177">
        <f t="shared" si="7"/>
        <v>0</v>
      </c>
    </row>
    <row r="135" spans="2:18" ht="13.5" thickBot="1" x14ac:dyDescent="0.35">
      <c r="B135" s="524" t="s">
        <v>234</v>
      </c>
      <c r="C135" s="525"/>
      <c r="D135" s="523"/>
      <c r="E135" s="183"/>
      <c r="F135" s="182"/>
      <c r="G135" s="182"/>
      <c r="H135" s="182"/>
      <c r="I135" s="182"/>
      <c r="J135" s="182"/>
      <c r="K135" s="182"/>
      <c r="L135" s="182"/>
      <c r="M135" s="182"/>
      <c r="N135" s="182"/>
      <c r="O135" s="182"/>
      <c r="P135" s="182"/>
      <c r="Q135" s="177">
        <f t="shared" si="7"/>
        <v>0</v>
      </c>
    </row>
    <row r="136" spans="2:18" ht="13.5" thickBot="1" x14ac:dyDescent="0.35">
      <c r="B136" s="512" t="s">
        <v>4</v>
      </c>
      <c r="C136" s="513"/>
      <c r="D136" s="514"/>
      <c r="E136" s="109">
        <f>SUM(E102:E135)</f>
        <v>0</v>
      </c>
      <c r="F136" s="109">
        <f t="shared" ref="F136:P136" si="8">SUM(F102:F135)</f>
        <v>0</v>
      </c>
      <c r="G136" s="109">
        <f t="shared" si="8"/>
        <v>0</v>
      </c>
      <c r="H136" s="109">
        <f t="shared" si="8"/>
        <v>0</v>
      </c>
      <c r="I136" s="109">
        <f t="shared" si="8"/>
        <v>0</v>
      </c>
      <c r="J136" s="109">
        <f t="shared" si="8"/>
        <v>0</v>
      </c>
      <c r="K136" s="109">
        <f t="shared" si="8"/>
        <v>0</v>
      </c>
      <c r="L136" s="109">
        <f t="shared" si="8"/>
        <v>0</v>
      </c>
      <c r="M136" s="109">
        <f t="shared" si="8"/>
        <v>0</v>
      </c>
      <c r="N136" s="109">
        <f t="shared" si="8"/>
        <v>0</v>
      </c>
      <c r="O136" s="109">
        <f t="shared" si="8"/>
        <v>0</v>
      </c>
      <c r="P136" s="109">
        <f t="shared" si="8"/>
        <v>0</v>
      </c>
      <c r="Q136" s="139">
        <f>SUM(Q102:Q135)</f>
        <v>0</v>
      </c>
    </row>
    <row r="137" spans="2:18" ht="13.5" thickBot="1" x14ac:dyDescent="0.35"/>
    <row r="138" spans="2:18" ht="26.5" thickBot="1" x14ac:dyDescent="0.3">
      <c r="B138" s="465" t="s">
        <v>256</v>
      </c>
      <c r="C138" s="466"/>
      <c r="D138" s="467"/>
      <c r="E138" s="140" t="s">
        <v>190</v>
      </c>
      <c r="F138" s="141" t="s">
        <v>191</v>
      </c>
      <c r="G138" s="141" t="s">
        <v>192</v>
      </c>
      <c r="H138" s="141" t="s">
        <v>193</v>
      </c>
      <c r="I138" s="141" t="s">
        <v>194</v>
      </c>
      <c r="J138" s="141" t="s">
        <v>195</v>
      </c>
      <c r="K138" s="141" t="s">
        <v>196</v>
      </c>
      <c r="L138" s="141" t="s">
        <v>197</v>
      </c>
      <c r="M138" s="141" t="s">
        <v>198</v>
      </c>
      <c r="N138" s="141" t="s">
        <v>199</v>
      </c>
      <c r="O138" s="141" t="s">
        <v>200</v>
      </c>
      <c r="P138" s="142" t="s">
        <v>201</v>
      </c>
      <c r="Q138" s="134" t="s">
        <v>5</v>
      </c>
      <c r="R138" s="144" t="s">
        <v>220</v>
      </c>
    </row>
    <row r="139" spans="2:18" ht="13" customHeight="1" x14ac:dyDescent="0.25">
      <c r="B139" s="509" t="s">
        <v>54</v>
      </c>
      <c r="C139" s="520" t="s">
        <v>257</v>
      </c>
      <c r="D139" s="521"/>
      <c r="E139" s="173"/>
      <c r="F139" s="170"/>
      <c r="G139" s="170"/>
      <c r="H139" s="170"/>
      <c r="I139" s="170"/>
      <c r="J139" s="170"/>
      <c r="K139" s="170"/>
      <c r="L139" s="170"/>
      <c r="M139" s="170"/>
      <c r="N139" s="170"/>
      <c r="O139" s="170"/>
      <c r="P139" s="170"/>
      <c r="Q139" s="176">
        <f t="shared" ref="Q139:Q165" si="9">SUM(E139:P139)</f>
        <v>0</v>
      </c>
      <c r="R139" s="518">
        <f>SUM(Q139:Q143)</f>
        <v>0</v>
      </c>
    </row>
    <row r="140" spans="2:18" ht="12.5" customHeight="1" x14ac:dyDescent="0.25">
      <c r="B140" s="510"/>
      <c r="C140" s="519" t="s">
        <v>258</v>
      </c>
      <c r="D140" s="517"/>
      <c r="E140" s="174"/>
      <c r="F140" s="169"/>
      <c r="G140" s="169"/>
      <c r="H140" s="169"/>
      <c r="I140" s="169"/>
      <c r="J140" s="169"/>
      <c r="K140" s="169"/>
      <c r="L140" s="169"/>
      <c r="M140" s="169"/>
      <c r="N140" s="169"/>
      <c r="O140" s="169"/>
      <c r="P140" s="169"/>
      <c r="Q140" s="177">
        <f t="shared" si="9"/>
        <v>0</v>
      </c>
      <c r="R140" s="486"/>
    </row>
    <row r="141" spans="2:18" ht="12.5" customHeight="1" x14ac:dyDescent="0.25">
      <c r="B141" s="510"/>
      <c r="C141" s="519" t="s">
        <v>79</v>
      </c>
      <c r="D141" s="517"/>
      <c r="E141" s="174"/>
      <c r="F141" s="169"/>
      <c r="G141" s="169"/>
      <c r="H141" s="169"/>
      <c r="I141" s="169"/>
      <c r="J141" s="169"/>
      <c r="K141" s="169"/>
      <c r="L141" s="169"/>
      <c r="M141" s="169"/>
      <c r="N141" s="169"/>
      <c r="O141" s="169"/>
      <c r="P141" s="169"/>
      <c r="Q141" s="177">
        <f t="shared" si="9"/>
        <v>0</v>
      </c>
      <c r="R141" s="486"/>
    </row>
    <row r="142" spans="2:18" ht="12.5" customHeight="1" x14ac:dyDescent="0.25">
      <c r="B142" s="510"/>
      <c r="C142" s="519" t="s">
        <v>259</v>
      </c>
      <c r="D142" s="517"/>
      <c r="E142" s="174"/>
      <c r="F142" s="169"/>
      <c r="G142" s="169"/>
      <c r="H142" s="169"/>
      <c r="I142" s="169"/>
      <c r="J142" s="169"/>
      <c r="K142" s="169"/>
      <c r="L142" s="169"/>
      <c r="M142" s="169"/>
      <c r="N142" s="169"/>
      <c r="O142" s="169"/>
      <c r="P142" s="169"/>
      <c r="Q142" s="177">
        <f t="shared" si="9"/>
        <v>0</v>
      </c>
      <c r="R142" s="486"/>
    </row>
    <row r="143" spans="2:18" ht="13" customHeight="1" thickBot="1" x14ac:dyDescent="0.3">
      <c r="B143" s="511"/>
      <c r="C143" s="522" t="s">
        <v>133</v>
      </c>
      <c r="D143" s="523"/>
      <c r="E143" s="175"/>
      <c r="F143" s="171"/>
      <c r="G143" s="171"/>
      <c r="H143" s="171"/>
      <c r="I143" s="171"/>
      <c r="J143" s="171"/>
      <c r="K143" s="171"/>
      <c r="L143" s="171"/>
      <c r="M143" s="171"/>
      <c r="N143" s="171"/>
      <c r="O143" s="171"/>
      <c r="P143" s="171"/>
      <c r="Q143" s="178">
        <f t="shared" si="9"/>
        <v>0</v>
      </c>
      <c r="R143" s="487"/>
    </row>
    <row r="144" spans="2:18" ht="13" customHeight="1" x14ac:dyDescent="0.25">
      <c r="B144" s="509" t="s">
        <v>118</v>
      </c>
      <c r="C144" s="520" t="s">
        <v>121</v>
      </c>
      <c r="D144" s="521"/>
      <c r="E144" s="173"/>
      <c r="F144" s="170"/>
      <c r="G144" s="170"/>
      <c r="H144" s="170"/>
      <c r="I144" s="170"/>
      <c r="J144" s="170"/>
      <c r="K144" s="170"/>
      <c r="L144" s="170"/>
      <c r="M144" s="170"/>
      <c r="N144" s="170"/>
      <c r="O144" s="170"/>
      <c r="P144" s="170"/>
      <c r="Q144" s="176">
        <f t="shared" si="9"/>
        <v>0</v>
      </c>
      <c r="R144" s="518">
        <f>SUM(Q144:Q147)</f>
        <v>0</v>
      </c>
    </row>
    <row r="145" spans="2:18" ht="12.5" x14ac:dyDescent="0.25">
      <c r="B145" s="510"/>
      <c r="C145" s="519" t="s">
        <v>119</v>
      </c>
      <c r="D145" s="517"/>
      <c r="E145" s="174"/>
      <c r="F145" s="169"/>
      <c r="G145" s="169"/>
      <c r="H145" s="169"/>
      <c r="I145" s="169"/>
      <c r="J145" s="169"/>
      <c r="K145" s="169"/>
      <c r="L145" s="169"/>
      <c r="M145" s="169"/>
      <c r="N145" s="169"/>
      <c r="O145" s="169"/>
      <c r="P145" s="169"/>
      <c r="Q145" s="177">
        <f t="shared" si="9"/>
        <v>0</v>
      </c>
      <c r="R145" s="486"/>
    </row>
    <row r="146" spans="2:18" ht="12.5" x14ac:dyDescent="0.25">
      <c r="B146" s="510"/>
      <c r="C146" s="519" t="s">
        <v>132</v>
      </c>
      <c r="D146" s="517"/>
      <c r="E146" s="174"/>
      <c r="F146" s="169"/>
      <c r="G146" s="169"/>
      <c r="H146" s="169"/>
      <c r="I146" s="169"/>
      <c r="J146" s="169"/>
      <c r="K146" s="169"/>
      <c r="L146" s="169"/>
      <c r="M146" s="169"/>
      <c r="N146" s="169"/>
      <c r="O146" s="169"/>
      <c r="P146" s="169"/>
      <c r="Q146" s="177">
        <f t="shared" si="9"/>
        <v>0</v>
      </c>
      <c r="R146" s="486"/>
    </row>
    <row r="147" spans="2:18" thickBot="1" x14ac:dyDescent="0.3">
      <c r="B147" s="511"/>
      <c r="C147" s="522" t="s">
        <v>156</v>
      </c>
      <c r="D147" s="523"/>
      <c r="E147" s="175"/>
      <c r="F147" s="171"/>
      <c r="G147" s="171"/>
      <c r="H147" s="171"/>
      <c r="I147" s="171"/>
      <c r="J147" s="171"/>
      <c r="K147" s="171"/>
      <c r="L147" s="171"/>
      <c r="M147" s="171"/>
      <c r="N147" s="171"/>
      <c r="O147" s="171"/>
      <c r="P147" s="171"/>
      <c r="Q147" s="178">
        <f t="shared" si="9"/>
        <v>0</v>
      </c>
      <c r="R147" s="487"/>
    </row>
    <row r="148" spans="2:18" ht="13" customHeight="1" x14ac:dyDescent="0.25">
      <c r="B148" s="509" t="s">
        <v>49</v>
      </c>
      <c r="C148" s="520" t="s">
        <v>100</v>
      </c>
      <c r="D148" s="521"/>
      <c r="E148" s="173"/>
      <c r="F148" s="170"/>
      <c r="G148" s="170"/>
      <c r="H148" s="170"/>
      <c r="I148" s="170"/>
      <c r="J148" s="170"/>
      <c r="K148" s="170"/>
      <c r="L148" s="170"/>
      <c r="M148" s="170"/>
      <c r="N148" s="170"/>
      <c r="O148" s="170"/>
      <c r="P148" s="170"/>
      <c r="Q148" s="176">
        <f t="shared" si="9"/>
        <v>0</v>
      </c>
      <c r="R148" s="518">
        <f>SUM(Q148:Q154)</f>
        <v>0</v>
      </c>
    </row>
    <row r="149" spans="2:18" ht="12.5" x14ac:dyDescent="0.25">
      <c r="B149" s="510"/>
      <c r="C149" s="519" t="s">
        <v>125</v>
      </c>
      <c r="D149" s="517"/>
      <c r="E149" s="174"/>
      <c r="F149" s="169"/>
      <c r="G149" s="169"/>
      <c r="H149" s="169"/>
      <c r="I149" s="169"/>
      <c r="J149" s="169"/>
      <c r="K149" s="169"/>
      <c r="L149" s="169"/>
      <c r="M149" s="169"/>
      <c r="N149" s="169"/>
      <c r="O149" s="169"/>
      <c r="P149" s="169"/>
      <c r="Q149" s="177">
        <f t="shared" si="9"/>
        <v>0</v>
      </c>
      <c r="R149" s="486"/>
    </row>
    <row r="150" spans="2:18" ht="12.5" x14ac:dyDescent="0.25">
      <c r="B150" s="510"/>
      <c r="C150" s="519" t="s">
        <v>260</v>
      </c>
      <c r="D150" s="517"/>
      <c r="E150" s="174"/>
      <c r="F150" s="169"/>
      <c r="G150" s="169"/>
      <c r="H150" s="169"/>
      <c r="I150" s="169"/>
      <c r="J150" s="169"/>
      <c r="K150" s="169"/>
      <c r="L150" s="169"/>
      <c r="M150" s="169"/>
      <c r="N150" s="169"/>
      <c r="O150" s="169"/>
      <c r="P150" s="169"/>
      <c r="Q150" s="177">
        <f t="shared" si="9"/>
        <v>0</v>
      </c>
      <c r="R150" s="486"/>
    </row>
    <row r="151" spans="2:18" ht="12.5" x14ac:dyDescent="0.25">
      <c r="B151" s="510"/>
      <c r="C151" s="519" t="s">
        <v>160</v>
      </c>
      <c r="D151" s="517"/>
      <c r="E151" s="174"/>
      <c r="F151" s="169"/>
      <c r="G151" s="169"/>
      <c r="H151" s="169"/>
      <c r="I151" s="169"/>
      <c r="J151" s="169"/>
      <c r="K151" s="169"/>
      <c r="L151" s="169"/>
      <c r="M151" s="169"/>
      <c r="N151" s="169"/>
      <c r="O151" s="169"/>
      <c r="P151" s="169"/>
      <c r="Q151" s="177">
        <f t="shared" si="9"/>
        <v>0</v>
      </c>
      <c r="R151" s="486"/>
    </row>
    <row r="152" spans="2:18" ht="12.5" x14ac:dyDescent="0.25">
      <c r="B152" s="510"/>
      <c r="C152" s="519" t="s">
        <v>261</v>
      </c>
      <c r="D152" s="517"/>
      <c r="E152" s="174"/>
      <c r="F152" s="169"/>
      <c r="G152" s="169"/>
      <c r="H152" s="169"/>
      <c r="I152" s="169"/>
      <c r="J152" s="169"/>
      <c r="K152" s="169"/>
      <c r="L152" s="169"/>
      <c r="M152" s="169"/>
      <c r="N152" s="169"/>
      <c r="O152" s="169"/>
      <c r="P152" s="169"/>
      <c r="Q152" s="177">
        <f t="shared" si="9"/>
        <v>0</v>
      </c>
      <c r="R152" s="486"/>
    </row>
    <row r="153" spans="2:18" ht="12.5" x14ac:dyDescent="0.25">
      <c r="B153" s="510"/>
      <c r="C153" s="519" t="s">
        <v>179</v>
      </c>
      <c r="D153" s="517"/>
      <c r="E153" s="174"/>
      <c r="F153" s="169"/>
      <c r="G153" s="169"/>
      <c r="H153" s="169"/>
      <c r="I153" s="169"/>
      <c r="J153" s="169"/>
      <c r="K153" s="169"/>
      <c r="L153" s="169"/>
      <c r="M153" s="169"/>
      <c r="N153" s="169"/>
      <c r="O153" s="169"/>
      <c r="P153" s="169"/>
      <c r="Q153" s="177">
        <f t="shared" si="9"/>
        <v>0</v>
      </c>
      <c r="R153" s="486"/>
    </row>
    <row r="154" spans="2:18" thickBot="1" x14ac:dyDescent="0.3">
      <c r="B154" s="511"/>
      <c r="C154" s="522" t="s">
        <v>162</v>
      </c>
      <c r="D154" s="523"/>
      <c r="E154" s="175"/>
      <c r="F154" s="171"/>
      <c r="G154" s="171"/>
      <c r="H154" s="171"/>
      <c r="I154" s="171"/>
      <c r="J154" s="171"/>
      <c r="K154" s="171"/>
      <c r="L154" s="171"/>
      <c r="M154" s="171"/>
      <c r="N154" s="171"/>
      <c r="O154" s="171"/>
      <c r="P154" s="171"/>
      <c r="Q154" s="178">
        <f t="shared" si="9"/>
        <v>0</v>
      </c>
      <c r="R154" s="487"/>
    </row>
    <row r="155" spans="2:18" ht="13" customHeight="1" x14ac:dyDescent="0.25">
      <c r="B155" s="509" t="s">
        <v>91</v>
      </c>
      <c r="C155" s="520" t="s">
        <v>98</v>
      </c>
      <c r="D155" s="521"/>
      <c r="E155" s="173"/>
      <c r="F155" s="170"/>
      <c r="G155" s="170"/>
      <c r="H155" s="170"/>
      <c r="I155" s="170"/>
      <c r="J155" s="170"/>
      <c r="K155" s="170"/>
      <c r="L155" s="170"/>
      <c r="M155" s="170"/>
      <c r="N155" s="170"/>
      <c r="O155" s="170"/>
      <c r="P155" s="170"/>
      <c r="Q155" s="176">
        <f t="shared" si="9"/>
        <v>0</v>
      </c>
      <c r="R155" s="518">
        <f>SUM(Q155:Q156)</f>
        <v>0</v>
      </c>
    </row>
    <row r="156" spans="2:18" thickBot="1" x14ac:dyDescent="0.3">
      <c r="B156" s="511"/>
      <c r="C156" s="522" t="s">
        <v>263</v>
      </c>
      <c r="D156" s="523"/>
      <c r="E156" s="175"/>
      <c r="F156" s="171"/>
      <c r="G156" s="171"/>
      <c r="H156" s="171"/>
      <c r="I156" s="171"/>
      <c r="J156" s="171"/>
      <c r="K156" s="171"/>
      <c r="L156" s="171"/>
      <c r="M156" s="171"/>
      <c r="N156" s="171"/>
      <c r="O156" s="171"/>
      <c r="P156" s="171"/>
      <c r="Q156" s="178">
        <f t="shared" si="9"/>
        <v>0</v>
      </c>
      <c r="R156" s="487"/>
    </row>
    <row r="157" spans="2:18" ht="13" customHeight="1" x14ac:dyDescent="0.25">
      <c r="B157" s="509" t="s">
        <v>166</v>
      </c>
      <c r="C157" s="520" t="s">
        <v>262</v>
      </c>
      <c r="D157" s="521"/>
      <c r="E157" s="173"/>
      <c r="F157" s="170"/>
      <c r="G157" s="170"/>
      <c r="H157" s="170"/>
      <c r="I157" s="170"/>
      <c r="J157" s="170"/>
      <c r="K157" s="170"/>
      <c r="L157" s="170"/>
      <c r="M157" s="170"/>
      <c r="N157" s="170"/>
      <c r="O157" s="170"/>
      <c r="P157" s="170"/>
      <c r="Q157" s="176">
        <f t="shared" si="9"/>
        <v>0</v>
      </c>
      <c r="R157" s="518">
        <f>SUM(Q157:Q160)</f>
        <v>0</v>
      </c>
    </row>
    <row r="158" spans="2:18" ht="12.5" x14ac:dyDescent="0.25">
      <c r="B158" s="510"/>
      <c r="C158" s="519" t="s">
        <v>30</v>
      </c>
      <c r="D158" s="517"/>
      <c r="E158" s="174"/>
      <c r="F158" s="169"/>
      <c r="G158" s="169"/>
      <c r="H158" s="169"/>
      <c r="I158" s="169"/>
      <c r="J158" s="169"/>
      <c r="K158" s="169"/>
      <c r="L158" s="169"/>
      <c r="M158" s="169"/>
      <c r="N158" s="169"/>
      <c r="O158" s="169"/>
      <c r="P158" s="169"/>
      <c r="Q158" s="177">
        <f t="shared" si="9"/>
        <v>0</v>
      </c>
      <c r="R158" s="486"/>
    </row>
    <row r="159" spans="2:18" ht="12.5" x14ac:dyDescent="0.25">
      <c r="B159" s="510"/>
      <c r="C159" s="519" t="s">
        <v>47</v>
      </c>
      <c r="D159" s="517"/>
      <c r="E159" s="174"/>
      <c r="F159" s="169"/>
      <c r="G159" s="169"/>
      <c r="H159" s="169"/>
      <c r="I159" s="169"/>
      <c r="J159" s="169"/>
      <c r="K159" s="169"/>
      <c r="L159" s="169"/>
      <c r="M159" s="169"/>
      <c r="N159" s="169"/>
      <c r="O159" s="169"/>
      <c r="P159" s="169"/>
      <c r="Q159" s="177">
        <f t="shared" si="9"/>
        <v>0</v>
      </c>
      <c r="R159" s="486"/>
    </row>
    <row r="160" spans="2:18" thickBot="1" x14ac:dyDescent="0.3">
      <c r="B160" s="511"/>
      <c r="C160" s="522" t="s">
        <v>107</v>
      </c>
      <c r="D160" s="523"/>
      <c r="E160" s="175"/>
      <c r="F160" s="171"/>
      <c r="G160" s="171"/>
      <c r="H160" s="171"/>
      <c r="I160" s="171"/>
      <c r="J160" s="171"/>
      <c r="K160" s="171"/>
      <c r="L160" s="171"/>
      <c r="M160" s="171"/>
      <c r="N160" s="171"/>
      <c r="O160" s="171"/>
      <c r="P160" s="171"/>
      <c r="Q160" s="178">
        <f t="shared" si="9"/>
        <v>0</v>
      </c>
      <c r="R160" s="487"/>
    </row>
    <row r="161" spans="2:18" ht="13" customHeight="1" x14ac:dyDescent="0.25">
      <c r="B161" s="509" t="s">
        <v>112</v>
      </c>
      <c r="C161" s="520" t="s">
        <v>113</v>
      </c>
      <c r="D161" s="521"/>
      <c r="E161" s="173"/>
      <c r="F161" s="170"/>
      <c r="G161" s="170"/>
      <c r="H161" s="170"/>
      <c r="I161" s="170"/>
      <c r="J161" s="170"/>
      <c r="K161" s="170"/>
      <c r="L161" s="170"/>
      <c r="M161" s="170"/>
      <c r="N161" s="170"/>
      <c r="O161" s="170"/>
      <c r="P161" s="170"/>
      <c r="Q161" s="176">
        <f t="shared" si="9"/>
        <v>0</v>
      </c>
      <c r="R161" s="518">
        <f>SUM(Q161:Q162)</f>
        <v>0</v>
      </c>
    </row>
    <row r="162" spans="2:18" thickBot="1" x14ac:dyDescent="0.3">
      <c r="B162" s="511"/>
      <c r="C162" s="522" t="s">
        <v>139</v>
      </c>
      <c r="D162" s="523"/>
      <c r="E162" s="175"/>
      <c r="F162" s="171"/>
      <c r="G162" s="171"/>
      <c r="H162" s="171"/>
      <c r="I162" s="171"/>
      <c r="J162" s="171"/>
      <c r="K162" s="171"/>
      <c r="L162" s="171"/>
      <c r="M162" s="171"/>
      <c r="N162" s="171"/>
      <c r="O162" s="171"/>
      <c r="P162" s="171"/>
      <c r="Q162" s="178">
        <f t="shared" si="9"/>
        <v>0</v>
      </c>
      <c r="R162" s="487"/>
    </row>
    <row r="163" spans="2:18" ht="13" customHeight="1" x14ac:dyDescent="0.25">
      <c r="B163" s="509" t="s">
        <v>163</v>
      </c>
      <c r="C163" s="520" t="s">
        <v>136</v>
      </c>
      <c r="D163" s="521"/>
      <c r="E163" s="173"/>
      <c r="F163" s="170"/>
      <c r="G163" s="170"/>
      <c r="H163" s="170"/>
      <c r="I163" s="170"/>
      <c r="J163" s="170"/>
      <c r="K163" s="170"/>
      <c r="L163" s="170"/>
      <c r="M163" s="170"/>
      <c r="N163" s="170"/>
      <c r="O163" s="170"/>
      <c r="P163" s="170"/>
      <c r="Q163" s="176">
        <f t="shared" si="9"/>
        <v>0</v>
      </c>
      <c r="R163" s="518">
        <f>SUM(Q163:Q165)</f>
        <v>0</v>
      </c>
    </row>
    <row r="164" spans="2:18" ht="12.5" x14ac:dyDescent="0.25">
      <c r="B164" s="510"/>
      <c r="C164" s="519" t="s">
        <v>164</v>
      </c>
      <c r="D164" s="517"/>
      <c r="E164" s="174"/>
      <c r="F164" s="169"/>
      <c r="G164" s="169"/>
      <c r="H164" s="169"/>
      <c r="I164" s="169"/>
      <c r="J164" s="169"/>
      <c r="K164" s="169"/>
      <c r="L164" s="169"/>
      <c r="M164" s="169"/>
      <c r="N164" s="169"/>
      <c r="O164" s="169"/>
      <c r="P164" s="169"/>
      <c r="Q164" s="177">
        <f t="shared" si="9"/>
        <v>0</v>
      </c>
      <c r="R164" s="486"/>
    </row>
    <row r="165" spans="2:18" thickBot="1" x14ac:dyDescent="0.3">
      <c r="B165" s="511"/>
      <c r="C165" s="522" t="s">
        <v>153</v>
      </c>
      <c r="D165" s="523"/>
      <c r="E165" s="175"/>
      <c r="F165" s="171"/>
      <c r="G165" s="171"/>
      <c r="H165" s="171"/>
      <c r="I165" s="171"/>
      <c r="J165" s="171"/>
      <c r="K165" s="171"/>
      <c r="L165" s="171"/>
      <c r="M165" s="171"/>
      <c r="N165" s="171"/>
      <c r="O165" s="171"/>
      <c r="P165" s="171"/>
      <c r="Q165" s="178">
        <f t="shared" si="9"/>
        <v>0</v>
      </c>
      <c r="R165" s="487"/>
    </row>
    <row r="166" spans="2:18" ht="13.5" thickBot="1" x14ac:dyDescent="0.35">
      <c r="B166" s="488" t="s">
        <v>4</v>
      </c>
      <c r="C166" s="489"/>
      <c r="D166" s="490"/>
      <c r="E166" s="162">
        <f t="shared" ref="E166:P166" si="10">SUM(E132:E165)</f>
        <v>0</v>
      </c>
      <c r="F166" s="162">
        <f t="shared" si="10"/>
        <v>0</v>
      </c>
      <c r="G166" s="162">
        <f t="shared" si="10"/>
        <v>0</v>
      </c>
      <c r="H166" s="162">
        <f t="shared" si="10"/>
        <v>0</v>
      </c>
      <c r="I166" s="162">
        <f t="shared" si="10"/>
        <v>0</v>
      </c>
      <c r="J166" s="162">
        <f t="shared" si="10"/>
        <v>0</v>
      </c>
      <c r="K166" s="162">
        <f t="shared" si="10"/>
        <v>0</v>
      </c>
      <c r="L166" s="162">
        <f t="shared" si="10"/>
        <v>0</v>
      </c>
      <c r="M166" s="162">
        <f t="shared" si="10"/>
        <v>0</v>
      </c>
      <c r="N166" s="162">
        <f t="shared" si="10"/>
        <v>0</v>
      </c>
      <c r="O166" s="162">
        <f t="shared" si="10"/>
        <v>0</v>
      </c>
      <c r="P166" s="162">
        <f t="shared" si="10"/>
        <v>0</v>
      </c>
      <c r="Q166" s="135">
        <f>SUM(Q139:Q165)</f>
        <v>0</v>
      </c>
    </row>
  </sheetData>
  <mergeCells count="169">
    <mergeCell ref="B102:D102"/>
    <mergeCell ref="C165:D165"/>
    <mergeCell ref="C164:D164"/>
    <mergeCell ref="C163:D163"/>
    <mergeCell ref="C162:D162"/>
    <mergeCell ref="C161:D161"/>
    <mergeCell ref="C160:D160"/>
    <mergeCell ref="C159:D159"/>
    <mergeCell ref="C158:D158"/>
    <mergeCell ref="C157:D157"/>
    <mergeCell ref="C156:D156"/>
    <mergeCell ref="C155:D155"/>
    <mergeCell ref="C154:D154"/>
    <mergeCell ref="C153:D153"/>
    <mergeCell ref="C152:D152"/>
    <mergeCell ref="C151:D151"/>
    <mergeCell ref="B107:D107"/>
    <mergeCell ref="B104:D104"/>
    <mergeCell ref="B126:D126"/>
    <mergeCell ref="B125:D125"/>
    <mergeCell ref="B124:D124"/>
    <mergeCell ref="C139:D139"/>
    <mergeCell ref="C144:D144"/>
    <mergeCell ref="C143:D143"/>
    <mergeCell ref="B129:D129"/>
    <mergeCell ref="B128:D128"/>
    <mergeCell ref="B127:D127"/>
    <mergeCell ref="R93:R98"/>
    <mergeCell ref="R88:R92"/>
    <mergeCell ref="R83:R87"/>
    <mergeCell ref="B148:B154"/>
    <mergeCell ref="B144:B147"/>
    <mergeCell ref="B139:B143"/>
    <mergeCell ref="R139:R143"/>
    <mergeCell ref="B88:B92"/>
    <mergeCell ref="B106:D106"/>
    <mergeCell ref="B105:D105"/>
    <mergeCell ref="B103:D103"/>
    <mergeCell ref="B112:D112"/>
    <mergeCell ref="C142:D142"/>
    <mergeCell ref="C141:D141"/>
    <mergeCell ref="C140:D140"/>
    <mergeCell ref="B135:D135"/>
    <mergeCell ref="B134:D134"/>
    <mergeCell ref="B133:D133"/>
    <mergeCell ref="B132:D132"/>
    <mergeCell ref="B131:D131"/>
    <mergeCell ref="B130:D130"/>
    <mergeCell ref="R163:R165"/>
    <mergeCell ref="R161:R162"/>
    <mergeCell ref="R157:R160"/>
    <mergeCell ref="R155:R156"/>
    <mergeCell ref="R148:R154"/>
    <mergeCell ref="R144:R147"/>
    <mergeCell ref="C150:D150"/>
    <mergeCell ref="C149:D149"/>
    <mergeCell ref="C148:D148"/>
    <mergeCell ref="C147:D147"/>
    <mergeCell ref="C146:D146"/>
    <mergeCell ref="C145:D145"/>
    <mergeCell ref="B166:D166"/>
    <mergeCell ref="B163:B165"/>
    <mergeCell ref="B161:B162"/>
    <mergeCell ref="B157:B160"/>
    <mergeCell ref="B155:B156"/>
    <mergeCell ref="B101:D101"/>
    <mergeCell ref="B136:D136"/>
    <mergeCell ref="B138:D138"/>
    <mergeCell ref="B93:B98"/>
    <mergeCell ref="B123:D123"/>
    <mergeCell ref="B122:D122"/>
    <mergeCell ref="B121:D121"/>
    <mergeCell ref="B120:D120"/>
    <mergeCell ref="B119:D119"/>
    <mergeCell ref="B118:D118"/>
    <mergeCell ref="B117:D117"/>
    <mergeCell ref="B116:D116"/>
    <mergeCell ref="B115:D115"/>
    <mergeCell ref="B114:D114"/>
    <mergeCell ref="B113:D113"/>
    <mergeCell ref="B111:D111"/>
    <mergeCell ref="B110:D110"/>
    <mergeCell ref="B109:D109"/>
    <mergeCell ref="B108:D108"/>
    <mergeCell ref="B66:D66"/>
    <mergeCell ref="B65:D65"/>
    <mergeCell ref="B64:D64"/>
    <mergeCell ref="B82:D82"/>
    <mergeCell ref="B99:D99"/>
    <mergeCell ref="B83:B87"/>
    <mergeCell ref="B34:D34"/>
    <mergeCell ref="B33:D33"/>
    <mergeCell ref="B32:D32"/>
    <mergeCell ref="B67:D67"/>
    <mergeCell ref="B79:D79"/>
    <mergeCell ref="B78:D78"/>
    <mergeCell ref="B77:D77"/>
    <mergeCell ref="B76:D76"/>
    <mergeCell ref="B75:D75"/>
    <mergeCell ref="B74:D74"/>
    <mergeCell ref="B73:D73"/>
    <mergeCell ref="B72:D72"/>
    <mergeCell ref="B71:D71"/>
    <mergeCell ref="B70:D70"/>
    <mergeCell ref="B69:D69"/>
    <mergeCell ref="B68:D68"/>
    <mergeCell ref="B39:D39"/>
    <mergeCell ref="B38:D38"/>
    <mergeCell ref="B43:D43"/>
    <mergeCell ref="B42:D42"/>
    <mergeCell ref="B41:D41"/>
    <mergeCell ref="B40:D40"/>
    <mergeCell ref="B49:D49"/>
    <mergeCell ref="B48:D48"/>
    <mergeCell ref="B47:D47"/>
    <mergeCell ref="B46:D46"/>
    <mergeCell ref="B45:D45"/>
    <mergeCell ref="B54:D54"/>
    <mergeCell ref="B53:D53"/>
    <mergeCell ref="B52:D52"/>
    <mergeCell ref="B51:D51"/>
    <mergeCell ref="B50:D50"/>
    <mergeCell ref="B30:D30"/>
    <mergeCell ref="B31:D31"/>
    <mergeCell ref="B80:D80"/>
    <mergeCell ref="R69:R79"/>
    <mergeCell ref="R53:R68"/>
    <mergeCell ref="R31:R52"/>
    <mergeCell ref="B63:D63"/>
    <mergeCell ref="B62:D62"/>
    <mergeCell ref="B61:D61"/>
    <mergeCell ref="B60:D60"/>
    <mergeCell ref="B59:D59"/>
    <mergeCell ref="B58:D58"/>
    <mergeCell ref="B57:D57"/>
    <mergeCell ref="B56:D56"/>
    <mergeCell ref="B55:D55"/>
    <mergeCell ref="B37:D37"/>
    <mergeCell ref="B36:D36"/>
    <mergeCell ref="B35:D35"/>
    <mergeCell ref="B44:D44"/>
    <mergeCell ref="B25:D25"/>
    <mergeCell ref="R5:R8"/>
    <mergeCell ref="B26:D26"/>
    <mergeCell ref="B10:D10"/>
    <mergeCell ref="B9:D9"/>
    <mergeCell ref="B8:D8"/>
    <mergeCell ref="B7:D7"/>
    <mergeCell ref="B6:D6"/>
    <mergeCell ref="B15:D15"/>
    <mergeCell ref="B14:D14"/>
    <mergeCell ref="B13:D13"/>
    <mergeCell ref="B12:D12"/>
    <mergeCell ref="B11:D11"/>
    <mergeCell ref="R9:R18"/>
    <mergeCell ref="R19:R20"/>
    <mergeCell ref="R22:R25"/>
    <mergeCell ref="B3:D3"/>
    <mergeCell ref="B24:D24"/>
    <mergeCell ref="B23:D23"/>
    <mergeCell ref="B22:D22"/>
    <mergeCell ref="B21:D21"/>
    <mergeCell ref="B20:D20"/>
    <mergeCell ref="B19:D19"/>
    <mergeCell ref="B18:D18"/>
    <mergeCell ref="B17:D17"/>
    <mergeCell ref="B16:D16"/>
    <mergeCell ref="B5:D5"/>
    <mergeCell ref="B4:D4"/>
  </mergeCells>
  <conditionalFormatting sqref="B4:B25">
    <cfRule type="duplicateValues" dxfId="606" priority="2"/>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5BE45-4E42-4E36-89ED-4F87C66164F0}">
  <dimension ref="A1:CJ67"/>
  <sheetViews>
    <sheetView workbookViewId="0">
      <selection sqref="A1:B2"/>
    </sheetView>
  </sheetViews>
  <sheetFormatPr defaultRowHeight="12.5" x14ac:dyDescent="0.25"/>
  <cols>
    <col min="1" max="2" width="11.81640625" customWidth="1"/>
    <col min="3" max="88" width="8.6328125" customWidth="1"/>
  </cols>
  <sheetData>
    <row r="1" spans="1:88" ht="13" customHeight="1" thickBot="1" x14ac:dyDescent="0.3">
      <c r="A1" s="537" t="s">
        <v>11</v>
      </c>
      <c r="B1" s="538"/>
      <c r="C1" s="529" t="s">
        <v>190</v>
      </c>
      <c r="D1" s="530"/>
      <c r="E1" s="530"/>
      <c r="F1" s="530"/>
      <c r="G1" s="530"/>
      <c r="H1" s="530"/>
      <c r="I1" s="531"/>
      <c r="J1" s="529" t="s">
        <v>191</v>
      </c>
      <c r="K1" s="530"/>
      <c r="L1" s="530"/>
      <c r="M1" s="530"/>
      <c r="N1" s="530"/>
      <c r="O1" s="530"/>
      <c r="P1" s="531"/>
      <c r="Q1" s="529" t="s">
        <v>192</v>
      </c>
      <c r="R1" s="530"/>
      <c r="S1" s="530"/>
      <c r="T1" s="530"/>
      <c r="U1" s="530"/>
      <c r="V1" s="530"/>
      <c r="W1" s="531"/>
      <c r="X1" s="529" t="s">
        <v>193</v>
      </c>
      <c r="Y1" s="530"/>
      <c r="Z1" s="530"/>
      <c r="AA1" s="530"/>
      <c r="AB1" s="530"/>
      <c r="AC1" s="530"/>
      <c r="AD1" s="531"/>
      <c r="AE1" s="529" t="s">
        <v>194</v>
      </c>
      <c r="AF1" s="530"/>
      <c r="AG1" s="530"/>
      <c r="AH1" s="530"/>
      <c r="AI1" s="530"/>
      <c r="AJ1" s="530"/>
      <c r="AK1" s="531"/>
      <c r="AL1" s="529" t="s">
        <v>195</v>
      </c>
      <c r="AM1" s="530"/>
      <c r="AN1" s="530"/>
      <c r="AO1" s="530"/>
      <c r="AP1" s="530"/>
      <c r="AQ1" s="530"/>
      <c r="AR1" s="531"/>
      <c r="AS1" s="529" t="s">
        <v>196</v>
      </c>
      <c r="AT1" s="530"/>
      <c r="AU1" s="530"/>
      <c r="AV1" s="530"/>
      <c r="AW1" s="530"/>
      <c r="AX1" s="530"/>
      <c r="AY1" s="531"/>
      <c r="AZ1" s="529" t="s">
        <v>197</v>
      </c>
      <c r="BA1" s="530"/>
      <c r="BB1" s="530"/>
      <c r="BC1" s="530"/>
      <c r="BD1" s="530"/>
      <c r="BE1" s="530"/>
      <c r="BF1" s="531"/>
      <c r="BG1" s="529" t="s">
        <v>198</v>
      </c>
      <c r="BH1" s="530"/>
      <c r="BI1" s="530"/>
      <c r="BJ1" s="530"/>
      <c r="BK1" s="530"/>
      <c r="BL1" s="530"/>
      <c r="BM1" s="531"/>
      <c r="BN1" s="529" t="s">
        <v>199</v>
      </c>
      <c r="BO1" s="530"/>
      <c r="BP1" s="530"/>
      <c r="BQ1" s="530"/>
      <c r="BR1" s="530"/>
      <c r="BS1" s="530"/>
      <c r="BT1" s="531"/>
      <c r="BU1" s="529" t="s">
        <v>200</v>
      </c>
      <c r="BV1" s="530"/>
      <c r="BW1" s="530"/>
      <c r="BX1" s="530"/>
      <c r="BY1" s="530"/>
      <c r="BZ1" s="530"/>
      <c r="CA1" s="531"/>
      <c r="CB1" s="529" t="s">
        <v>201</v>
      </c>
      <c r="CC1" s="530"/>
      <c r="CD1" s="530"/>
      <c r="CE1" s="530"/>
      <c r="CF1" s="530"/>
      <c r="CG1" s="530"/>
      <c r="CH1" s="531"/>
      <c r="CI1" s="541" t="s">
        <v>5</v>
      </c>
      <c r="CJ1" s="535" t="s">
        <v>40</v>
      </c>
    </row>
    <row r="2" spans="1:88" ht="13" thickBot="1" x14ac:dyDescent="0.3">
      <c r="A2" s="539"/>
      <c r="B2" s="540"/>
      <c r="C2" s="96" t="s">
        <v>6</v>
      </c>
      <c r="D2" s="97" t="s">
        <v>2</v>
      </c>
      <c r="E2" s="97" t="s">
        <v>3</v>
      </c>
      <c r="F2" s="97" t="s">
        <v>1</v>
      </c>
      <c r="G2" s="97" t="s">
        <v>0</v>
      </c>
      <c r="H2" s="97" t="s">
        <v>53</v>
      </c>
      <c r="I2" s="98" t="s">
        <v>12</v>
      </c>
      <c r="J2" s="96" t="s">
        <v>6</v>
      </c>
      <c r="K2" s="97" t="s">
        <v>2</v>
      </c>
      <c r="L2" s="97" t="s">
        <v>3</v>
      </c>
      <c r="M2" s="97" t="s">
        <v>1</v>
      </c>
      <c r="N2" s="97" t="s">
        <v>0</v>
      </c>
      <c r="O2" s="97" t="s">
        <v>53</v>
      </c>
      <c r="P2" s="98" t="s">
        <v>12</v>
      </c>
      <c r="Q2" s="96" t="s">
        <v>6</v>
      </c>
      <c r="R2" s="97" t="s">
        <v>2</v>
      </c>
      <c r="S2" s="97" t="s">
        <v>3</v>
      </c>
      <c r="T2" s="97" t="s">
        <v>1</v>
      </c>
      <c r="U2" s="97" t="s">
        <v>0</v>
      </c>
      <c r="V2" s="97" t="s">
        <v>53</v>
      </c>
      <c r="W2" s="98" t="s">
        <v>12</v>
      </c>
      <c r="X2" s="96" t="s">
        <v>6</v>
      </c>
      <c r="Y2" s="97" t="s">
        <v>2</v>
      </c>
      <c r="Z2" s="97" t="s">
        <v>3</v>
      </c>
      <c r="AA2" s="97" t="s">
        <v>1</v>
      </c>
      <c r="AB2" s="97" t="s">
        <v>0</v>
      </c>
      <c r="AC2" s="97" t="s">
        <v>53</v>
      </c>
      <c r="AD2" s="98" t="s">
        <v>12</v>
      </c>
      <c r="AE2" s="96" t="s">
        <v>6</v>
      </c>
      <c r="AF2" s="97" t="s">
        <v>2</v>
      </c>
      <c r="AG2" s="97" t="s">
        <v>3</v>
      </c>
      <c r="AH2" s="97" t="s">
        <v>1</v>
      </c>
      <c r="AI2" s="97" t="s">
        <v>0</v>
      </c>
      <c r="AJ2" s="97" t="s">
        <v>53</v>
      </c>
      <c r="AK2" s="98" t="s">
        <v>12</v>
      </c>
      <c r="AL2" s="96" t="s">
        <v>6</v>
      </c>
      <c r="AM2" s="97" t="s">
        <v>2</v>
      </c>
      <c r="AN2" s="97" t="s">
        <v>3</v>
      </c>
      <c r="AO2" s="97" t="s">
        <v>1</v>
      </c>
      <c r="AP2" s="97" t="s">
        <v>0</v>
      </c>
      <c r="AQ2" s="97" t="s">
        <v>53</v>
      </c>
      <c r="AR2" s="98" t="s">
        <v>12</v>
      </c>
      <c r="AS2" s="96" t="s">
        <v>6</v>
      </c>
      <c r="AT2" s="97" t="s">
        <v>2</v>
      </c>
      <c r="AU2" s="97" t="s">
        <v>3</v>
      </c>
      <c r="AV2" s="97" t="s">
        <v>1</v>
      </c>
      <c r="AW2" s="97" t="s">
        <v>0</v>
      </c>
      <c r="AX2" s="97" t="s">
        <v>53</v>
      </c>
      <c r="AY2" s="98" t="s">
        <v>12</v>
      </c>
      <c r="AZ2" s="96" t="s">
        <v>6</v>
      </c>
      <c r="BA2" s="97" t="s">
        <v>2</v>
      </c>
      <c r="BB2" s="97" t="s">
        <v>3</v>
      </c>
      <c r="BC2" s="97" t="s">
        <v>1</v>
      </c>
      <c r="BD2" s="97" t="s">
        <v>0</v>
      </c>
      <c r="BE2" s="97" t="s">
        <v>53</v>
      </c>
      <c r="BF2" s="98" t="s">
        <v>12</v>
      </c>
      <c r="BG2" s="96" t="s">
        <v>6</v>
      </c>
      <c r="BH2" s="97" t="s">
        <v>2</v>
      </c>
      <c r="BI2" s="97" t="s">
        <v>3</v>
      </c>
      <c r="BJ2" s="97" t="s">
        <v>1</v>
      </c>
      <c r="BK2" s="97" t="s">
        <v>0</v>
      </c>
      <c r="BL2" s="97" t="s">
        <v>53</v>
      </c>
      <c r="BM2" s="98" t="s">
        <v>12</v>
      </c>
      <c r="BN2" s="96" t="s">
        <v>6</v>
      </c>
      <c r="BO2" s="97" t="s">
        <v>2</v>
      </c>
      <c r="BP2" s="97" t="s">
        <v>3</v>
      </c>
      <c r="BQ2" s="97" t="s">
        <v>1</v>
      </c>
      <c r="BR2" s="97" t="s">
        <v>0</v>
      </c>
      <c r="BS2" s="97" t="s">
        <v>53</v>
      </c>
      <c r="BT2" s="98" t="s">
        <v>12</v>
      </c>
      <c r="BU2" s="96" t="s">
        <v>6</v>
      </c>
      <c r="BV2" s="97" t="s">
        <v>2</v>
      </c>
      <c r="BW2" s="97" t="s">
        <v>3</v>
      </c>
      <c r="BX2" s="97" t="s">
        <v>1</v>
      </c>
      <c r="BY2" s="97" t="s">
        <v>0</v>
      </c>
      <c r="BZ2" s="97" t="s">
        <v>53</v>
      </c>
      <c r="CA2" s="98" t="s">
        <v>12</v>
      </c>
      <c r="CB2" s="96" t="s">
        <v>6</v>
      </c>
      <c r="CC2" s="97" t="s">
        <v>2</v>
      </c>
      <c r="CD2" s="97" t="s">
        <v>3</v>
      </c>
      <c r="CE2" s="97" t="s">
        <v>1</v>
      </c>
      <c r="CF2" s="97" t="s">
        <v>0</v>
      </c>
      <c r="CG2" s="97" t="s">
        <v>53</v>
      </c>
      <c r="CH2" s="99" t="s">
        <v>12</v>
      </c>
      <c r="CI2" s="542"/>
      <c r="CJ2" s="536"/>
    </row>
    <row r="3" spans="1:88" x14ac:dyDescent="0.25">
      <c r="A3" s="532" t="s">
        <v>86</v>
      </c>
      <c r="B3" s="532"/>
      <c r="C3" s="92"/>
      <c r="D3" s="93"/>
      <c r="E3" s="93"/>
      <c r="F3" s="94">
        <v>1</v>
      </c>
      <c r="G3" s="94"/>
      <c r="H3" s="94"/>
      <c r="I3" s="95"/>
      <c r="J3" s="92"/>
      <c r="K3" s="93"/>
      <c r="L3" s="93"/>
      <c r="M3" s="94">
        <v>1</v>
      </c>
      <c r="N3" s="94"/>
      <c r="O3" s="94"/>
      <c r="P3" s="95"/>
      <c r="Q3" s="92"/>
      <c r="R3" s="93"/>
      <c r="S3" s="93"/>
      <c r="T3" s="94">
        <v>1</v>
      </c>
      <c r="U3" s="94"/>
      <c r="V3" s="94"/>
      <c r="W3" s="95"/>
      <c r="X3" s="92"/>
      <c r="Y3" s="93"/>
      <c r="Z3" s="93"/>
      <c r="AA3" s="94">
        <v>2</v>
      </c>
      <c r="AB3" s="94"/>
      <c r="AC3" s="94"/>
      <c r="AD3" s="95"/>
      <c r="AE3" s="92"/>
      <c r="AF3" s="93">
        <v>1</v>
      </c>
      <c r="AG3" s="93"/>
      <c r="AH3" s="94"/>
      <c r="AI3" s="94"/>
      <c r="AJ3" s="94"/>
      <c r="AK3" s="95"/>
      <c r="AL3" s="92"/>
      <c r="AM3" s="93"/>
      <c r="AN3" s="93"/>
      <c r="AO3" s="94"/>
      <c r="AP3" s="94"/>
      <c r="AQ3" s="94"/>
      <c r="AR3" s="95"/>
      <c r="AS3" s="92">
        <v>1</v>
      </c>
      <c r="AT3" s="93">
        <v>2</v>
      </c>
      <c r="AU3" s="93"/>
      <c r="AV3" s="94"/>
      <c r="AW3" s="94">
        <v>1</v>
      </c>
      <c r="AX3" s="94"/>
      <c r="AY3" s="95"/>
      <c r="AZ3" s="92"/>
      <c r="BA3" s="93">
        <v>1</v>
      </c>
      <c r="BB3" s="93"/>
      <c r="BC3" s="94"/>
      <c r="BD3" s="94"/>
      <c r="BE3" s="94"/>
      <c r="BF3" s="95">
        <v>1</v>
      </c>
      <c r="BG3" s="92"/>
      <c r="BH3" s="93">
        <v>1</v>
      </c>
      <c r="BI3" s="93"/>
      <c r="BJ3" s="94">
        <v>1</v>
      </c>
      <c r="BK3" s="94">
        <v>1</v>
      </c>
      <c r="BL3" s="94"/>
      <c r="BM3" s="95"/>
      <c r="BN3" s="92"/>
      <c r="BO3" s="93"/>
      <c r="BP3" s="93"/>
      <c r="BQ3" s="94">
        <v>2</v>
      </c>
      <c r="BR3" s="94"/>
      <c r="BS3" s="94"/>
      <c r="BT3" s="95"/>
      <c r="BU3" s="92"/>
      <c r="BV3" s="93">
        <v>1</v>
      </c>
      <c r="BW3" s="93"/>
      <c r="BX3" s="94">
        <v>2</v>
      </c>
      <c r="BY3" s="94"/>
      <c r="BZ3" s="94"/>
      <c r="CA3" s="95"/>
      <c r="CB3" s="92"/>
      <c r="CC3" s="93"/>
      <c r="CD3" s="93"/>
      <c r="CE3" s="94"/>
      <c r="CF3" s="94"/>
      <c r="CG3" s="94"/>
      <c r="CH3" s="95"/>
      <c r="CI3" s="86">
        <f>SUM(C3:CH3)</f>
        <v>20</v>
      </c>
      <c r="CJ3" s="88" cm="1">
        <f t="array" ref="CJ3">_xlfn.IFS(CI3=0,0,CI3&gt;=1,CI3/CI25)</f>
        <v>0.21739130434782608</v>
      </c>
    </row>
    <row r="4" spans="1:88" x14ac:dyDescent="0.25">
      <c r="A4" s="526" t="s">
        <v>138</v>
      </c>
      <c r="B4" s="526"/>
      <c r="C4" s="78"/>
      <c r="D4" s="15"/>
      <c r="E4" s="15"/>
      <c r="F4" s="3"/>
      <c r="G4" s="2"/>
      <c r="H4" s="2"/>
      <c r="I4" s="79"/>
      <c r="J4" s="78"/>
      <c r="K4" s="15"/>
      <c r="L4" s="15"/>
      <c r="M4" s="3"/>
      <c r="N4" s="2"/>
      <c r="O4" s="2"/>
      <c r="P4" s="79"/>
      <c r="Q4" s="78"/>
      <c r="R4" s="15"/>
      <c r="S4" s="15"/>
      <c r="T4" s="3"/>
      <c r="U4" s="2"/>
      <c r="V4" s="2"/>
      <c r="W4" s="79"/>
      <c r="X4" s="78"/>
      <c r="Y4" s="15"/>
      <c r="Z4" s="15"/>
      <c r="AA4" s="3"/>
      <c r="AB4" s="2"/>
      <c r="AC4" s="2"/>
      <c r="AD4" s="79"/>
      <c r="AE4" s="78"/>
      <c r="AF4" s="15"/>
      <c r="AG4" s="15"/>
      <c r="AH4" s="3"/>
      <c r="AI4" s="2"/>
      <c r="AJ4" s="2"/>
      <c r="AK4" s="79"/>
      <c r="AL4" s="78"/>
      <c r="AM4" s="15"/>
      <c r="AN4" s="15"/>
      <c r="AO4" s="3">
        <v>1</v>
      </c>
      <c r="AP4" s="2"/>
      <c r="AQ4" s="2"/>
      <c r="AR4" s="79"/>
      <c r="AS4" s="78"/>
      <c r="AT4" s="15"/>
      <c r="AU4" s="15"/>
      <c r="AV4" s="3">
        <v>1</v>
      </c>
      <c r="AW4" s="2"/>
      <c r="AX4" s="2"/>
      <c r="AY4" s="79"/>
      <c r="AZ4" s="78"/>
      <c r="BA4" s="15"/>
      <c r="BB4" s="15"/>
      <c r="BC4" s="3"/>
      <c r="BD4" s="2"/>
      <c r="BE4" s="2"/>
      <c r="BF4" s="79"/>
      <c r="BG4" s="78"/>
      <c r="BH4" s="15"/>
      <c r="BI4" s="15"/>
      <c r="BJ4" s="3">
        <v>1</v>
      </c>
      <c r="BK4" s="2"/>
      <c r="BL4" s="2"/>
      <c r="BM4" s="79"/>
      <c r="BN4" s="78"/>
      <c r="BO4" s="15"/>
      <c r="BP4" s="15"/>
      <c r="BQ4" s="3">
        <v>1</v>
      </c>
      <c r="BR4" s="2"/>
      <c r="BS4" s="2"/>
      <c r="BT4" s="79"/>
      <c r="BU4" s="78"/>
      <c r="BV4" s="15"/>
      <c r="BW4" s="15"/>
      <c r="BX4" s="3">
        <v>3</v>
      </c>
      <c r="BY4" s="2"/>
      <c r="BZ4" s="2"/>
      <c r="CA4" s="79"/>
      <c r="CB4" s="78"/>
      <c r="CC4" s="15"/>
      <c r="CD4" s="15"/>
      <c r="CE4" s="3"/>
      <c r="CF4" s="2"/>
      <c r="CG4" s="2"/>
      <c r="CH4" s="79"/>
      <c r="CI4" s="86">
        <f t="shared" ref="CI4:CI24" si="0">SUM(C4:CH4)</f>
        <v>7</v>
      </c>
      <c r="CJ4" s="89" cm="1">
        <f t="array" ref="CJ4">_xlfn.IFS(CI4=0,0,CI4&gt;=1,CI4/CI25)</f>
        <v>7.6086956521739135E-2</v>
      </c>
    </row>
    <row r="5" spans="1:88" x14ac:dyDescent="0.25">
      <c r="A5" s="526" t="s">
        <v>17</v>
      </c>
      <c r="B5" s="526"/>
      <c r="C5" s="78"/>
      <c r="D5" s="15"/>
      <c r="E5" s="15"/>
      <c r="F5" s="2"/>
      <c r="G5" s="2"/>
      <c r="H5" s="2"/>
      <c r="I5" s="79"/>
      <c r="J5" s="78"/>
      <c r="K5" s="15"/>
      <c r="L5" s="15"/>
      <c r="M5" s="2">
        <v>1</v>
      </c>
      <c r="N5" s="2"/>
      <c r="O5" s="2"/>
      <c r="P5" s="79"/>
      <c r="Q5" s="78"/>
      <c r="R5" s="15"/>
      <c r="S5" s="15"/>
      <c r="T5" s="2">
        <v>1</v>
      </c>
      <c r="U5" s="2"/>
      <c r="V5" s="2"/>
      <c r="W5" s="79"/>
      <c r="X5" s="78"/>
      <c r="Y5" s="15"/>
      <c r="Z5" s="15"/>
      <c r="AA5" s="2">
        <v>1</v>
      </c>
      <c r="AB5" s="2"/>
      <c r="AC5" s="2"/>
      <c r="AD5" s="79"/>
      <c r="AE5" s="78"/>
      <c r="AF5" s="15"/>
      <c r="AG5" s="15"/>
      <c r="AH5" s="2"/>
      <c r="AI5" s="2"/>
      <c r="AJ5" s="2"/>
      <c r="AK5" s="79"/>
      <c r="AL5" s="78"/>
      <c r="AM5" s="15">
        <v>1</v>
      </c>
      <c r="AN5" s="15"/>
      <c r="AO5" s="2"/>
      <c r="AP5" s="2"/>
      <c r="AQ5" s="2"/>
      <c r="AR5" s="79"/>
      <c r="AS5" s="78"/>
      <c r="AT5" s="15"/>
      <c r="AU5" s="15"/>
      <c r="AV5" s="2">
        <v>2</v>
      </c>
      <c r="AW5" s="2"/>
      <c r="AX5" s="2"/>
      <c r="AY5" s="79"/>
      <c r="AZ5" s="78"/>
      <c r="BA5" s="15">
        <v>1</v>
      </c>
      <c r="BB5" s="15"/>
      <c r="BC5" s="2">
        <v>2</v>
      </c>
      <c r="BD5" s="2"/>
      <c r="BE5" s="2"/>
      <c r="BF5" s="79"/>
      <c r="BG5" s="78"/>
      <c r="BH5" s="15">
        <v>1</v>
      </c>
      <c r="BI5" s="15"/>
      <c r="BJ5" s="2"/>
      <c r="BK5" s="2"/>
      <c r="BL5" s="2"/>
      <c r="BM5" s="79"/>
      <c r="BN5" s="78"/>
      <c r="BO5" s="15"/>
      <c r="BP5" s="15"/>
      <c r="BQ5" s="2">
        <v>2</v>
      </c>
      <c r="BR5" s="2"/>
      <c r="BS5" s="2"/>
      <c r="BT5" s="79">
        <v>1</v>
      </c>
      <c r="BU5" s="78"/>
      <c r="BV5" s="15"/>
      <c r="BW5" s="15"/>
      <c r="BX5" s="2">
        <v>1</v>
      </c>
      <c r="BY5" s="2"/>
      <c r="BZ5" s="2"/>
      <c r="CA5" s="79"/>
      <c r="CB5" s="78"/>
      <c r="CC5" s="15"/>
      <c r="CD5" s="15"/>
      <c r="CE5" s="2"/>
      <c r="CF5" s="2"/>
      <c r="CG5" s="2"/>
      <c r="CH5" s="79"/>
      <c r="CI5" s="86">
        <f t="shared" si="0"/>
        <v>14</v>
      </c>
      <c r="CJ5" s="89" cm="1">
        <f t="array" ref="CJ5">_xlfn.IFS(CI5=0,0,CI5&gt;=1,CI5/CI25)</f>
        <v>0.15217391304347827</v>
      </c>
    </row>
    <row r="6" spans="1:88" x14ac:dyDescent="0.25">
      <c r="A6" s="526" t="s">
        <v>20</v>
      </c>
      <c r="B6" s="526"/>
      <c r="C6" s="78"/>
      <c r="D6" s="15"/>
      <c r="E6" s="15"/>
      <c r="F6" s="2">
        <v>4</v>
      </c>
      <c r="G6" s="2"/>
      <c r="H6" s="2"/>
      <c r="I6" s="79"/>
      <c r="J6" s="78"/>
      <c r="K6" s="15">
        <v>1</v>
      </c>
      <c r="L6" s="15"/>
      <c r="M6" s="2"/>
      <c r="N6" s="2"/>
      <c r="O6" s="2"/>
      <c r="P6" s="79"/>
      <c r="Q6" s="78"/>
      <c r="R6" s="15"/>
      <c r="S6" s="15"/>
      <c r="T6" s="2">
        <v>1</v>
      </c>
      <c r="U6" s="2"/>
      <c r="V6" s="2"/>
      <c r="W6" s="79"/>
      <c r="X6" s="78"/>
      <c r="Y6" s="15"/>
      <c r="Z6" s="15"/>
      <c r="AA6" s="2"/>
      <c r="AB6" s="2"/>
      <c r="AC6" s="2"/>
      <c r="AD6" s="79"/>
      <c r="AE6" s="78"/>
      <c r="AF6" s="15"/>
      <c r="AG6" s="15"/>
      <c r="AH6" s="2"/>
      <c r="AI6" s="2"/>
      <c r="AJ6" s="2"/>
      <c r="AK6" s="79"/>
      <c r="AL6" s="78"/>
      <c r="AM6" s="15"/>
      <c r="AN6" s="15"/>
      <c r="AO6" s="2">
        <v>2</v>
      </c>
      <c r="AP6" s="2"/>
      <c r="AQ6" s="2"/>
      <c r="AR6" s="79"/>
      <c r="AS6" s="78"/>
      <c r="AT6" s="15"/>
      <c r="AU6" s="15"/>
      <c r="AV6" s="2">
        <v>3</v>
      </c>
      <c r="AW6" s="2"/>
      <c r="AX6" s="2"/>
      <c r="AY6" s="79"/>
      <c r="AZ6" s="78"/>
      <c r="BA6" s="15"/>
      <c r="BB6" s="15"/>
      <c r="BC6" s="2">
        <v>2</v>
      </c>
      <c r="BD6" s="2"/>
      <c r="BE6" s="2"/>
      <c r="BF6" s="79"/>
      <c r="BG6" s="78"/>
      <c r="BH6" s="15"/>
      <c r="BI6" s="15"/>
      <c r="BJ6" s="2"/>
      <c r="BK6" s="2"/>
      <c r="BL6" s="2"/>
      <c r="BM6" s="79"/>
      <c r="BN6" s="78"/>
      <c r="BO6" s="15"/>
      <c r="BP6" s="15"/>
      <c r="BQ6" s="2"/>
      <c r="BR6" s="2"/>
      <c r="BS6" s="2"/>
      <c r="BT6" s="79"/>
      <c r="BU6" s="78"/>
      <c r="BV6" s="15"/>
      <c r="BW6" s="15"/>
      <c r="BX6" s="2">
        <v>1</v>
      </c>
      <c r="BY6" s="2"/>
      <c r="BZ6" s="2"/>
      <c r="CA6" s="79"/>
      <c r="CB6" s="78"/>
      <c r="CC6" s="15"/>
      <c r="CD6" s="15"/>
      <c r="CE6" s="2"/>
      <c r="CF6" s="2"/>
      <c r="CG6" s="2"/>
      <c r="CH6" s="79"/>
      <c r="CI6" s="86">
        <f t="shared" si="0"/>
        <v>14</v>
      </c>
      <c r="CJ6" s="89" cm="1">
        <f t="array" ref="CJ6">_xlfn.IFS(CI6=0,0,CI6&gt;=1,CI6/CI25)</f>
        <v>0.15217391304347827</v>
      </c>
    </row>
    <row r="7" spans="1:88" hidden="1" x14ac:dyDescent="0.25">
      <c r="A7" s="526" t="s">
        <v>25</v>
      </c>
      <c r="B7" s="526"/>
      <c r="C7" s="78"/>
      <c r="D7" s="15"/>
      <c r="E7" s="15"/>
      <c r="F7" s="2"/>
      <c r="G7" s="2"/>
      <c r="H7" s="2"/>
      <c r="I7" s="79"/>
      <c r="J7" s="78"/>
      <c r="K7" s="15"/>
      <c r="L7" s="15"/>
      <c r="M7" s="2"/>
      <c r="N7" s="2"/>
      <c r="O7" s="2"/>
      <c r="P7" s="79"/>
      <c r="Q7" s="78"/>
      <c r="R7" s="15"/>
      <c r="S7" s="15"/>
      <c r="T7" s="2"/>
      <c r="U7" s="2"/>
      <c r="V7" s="2"/>
      <c r="W7" s="79"/>
      <c r="X7" s="78"/>
      <c r="Y7" s="15"/>
      <c r="Z7" s="15"/>
      <c r="AA7" s="2"/>
      <c r="AB7" s="2"/>
      <c r="AC7" s="2"/>
      <c r="AD7" s="79"/>
      <c r="AE7" s="78"/>
      <c r="AF7" s="15"/>
      <c r="AG7" s="15"/>
      <c r="AH7" s="2"/>
      <c r="AI7" s="2"/>
      <c r="AJ7" s="2"/>
      <c r="AK7" s="79"/>
      <c r="AL7" s="78"/>
      <c r="AM7" s="15"/>
      <c r="AN7" s="15"/>
      <c r="AO7" s="2"/>
      <c r="AP7" s="2"/>
      <c r="AQ7" s="2"/>
      <c r="AR7" s="79"/>
      <c r="AS7" s="78"/>
      <c r="AT7" s="15"/>
      <c r="AU7" s="15"/>
      <c r="AV7" s="2"/>
      <c r="AW7" s="2"/>
      <c r="AX7" s="2"/>
      <c r="AY7" s="79"/>
      <c r="AZ7" s="78"/>
      <c r="BA7" s="15"/>
      <c r="BB7" s="15"/>
      <c r="BC7" s="2"/>
      <c r="BD7" s="2"/>
      <c r="BE7" s="2"/>
      <c r="BF7" s="79"/>
      <c r="BG7" s="78"/>
      <c r="BH7" s="15"/>
      <c r="BI7" s="15"/>
      <c r="BJ7" s="2"/>
      <c r="BK7" s="2"/>
      <c r="BL7" s="2"/>
      <c r="BM7" s="79"/>
      <c r="BN7" s="78"/>
      <c r="BO7" s="15"/>
      <c r="BP7" s="15"/>
      <c r="BQ7" s="2"/>
      <c r="BR7" s="2"/>
      <c r="BS7" s="2"/>
      <c r="BT7" s="79"/>
      <c r="BU7" s="78"/>
      <c r="BV7" s="15"/>
      <c r="BW7" s="15"/>
      <c r="BX7" s="2"/>
      <c r="BY7" s="2"/>
      <c r="BZ7" s="2"/>
      <c r="CA7" s="79"/>
      <c r="CB7" s="78"/>
      <c r="CC7" s="15"/>
      <c r="CD7" s="15"/>
      <c r="CE7" s="2"/>
      <c r="CF7" s="2"/>
      <c r="CG7" s="2"/>
      <c r="CH7" s="79"/>
      <c r="CI7" s="86">
        <f t="shared" si="0"/>
        <v>0</v>
      </c>
      <c r="CJ7" s="89" cm="1">
        <f t="array" ref="CJ7">_xlfn.IFS(CI7=0,0,CI7&gt;=1,CI7/CI25)</f>
        <v>0</v>
      </c>
    </row>
    <row r="8" spans="1:88" x14ac:dyDescent="0.25">
      <c r="A8" s="526" t="s">
        <v>19</v>
      </c>
      <c r="B8" s="526"/>
      <c r="C8" s="78"/>
      <c r="D8" s="15"/>
      <c r="E8" s="15"/>
      <c r="F8" s="2"/>
      <c r="G8" s="2"/>
      <c r="H8" s="2"/>
      <c r="I8" s="79"/>
      <c r="J8" s="78"/>
      <c r="K8" s="15"/>
      <c r="L8" s="15"/>
      <c r="M8" s="2"/>
      <c r="N8" s="2"/>
      <c r="O8" s="2"/>
      <c r="P8" s="79"/>
      <c r="Q8" s="78"/>
      <c r="R8" s="15"/>
      <c r="S8" s="15"/>
      <c r="T8" s="2"/>
      <c r="U8" s="2"/>
      <c r="V8" s="2"/>
      <c r="W8" s="79"/>
      <c r="X8" s="78"/>
      <c r="Y8" s="15"/>
      <c r="Z8" s="15"/>
      <c r="AA8" s="2"/>
      <c r="AB8" s="2"/>
      <c r="AC8" s="2"/>
      <c r="AD8" s="79"/>
      <c r="AE8" s="78"/>
      <c r="AF8" s="15"/>
      <c r="AG8" s="15"/>
      <c r="AH8" s="2">
        <v>1</v>
      </c>
      <c r="AI8" s="2"/>
      <c r="AJ8" s="2"/>
      <c r="AK8" s="79"/>
      <c r="AL8" s="78"/>
      <c r="AM8" s="15"/>
      <c r="AN8" s="15"/>
      <c r="AO8" s="2"/>
      <c r="AP8" s="2"/>
      <c r="AQ8" s="2"/>
      <c r="AR8" s="79"/>
      <c r="AS8" s="78"/>
      <c r="AT8" s="15"/>
      <c r="AU8" s="15"/>
      <c r="AV8" s="2"/>
      <c r="AW8" s="2"/>
      <c r="AX8" s="2"/>
      <c r="AY8" s="79"/>
      <c r="AZ8" s="78"/>
      <c r="BA8" s="15"/>
      <c r="BB8" s="15"/>
      <c r="BC8" s="2">
        <v>1</v>
      </c>
      <c r="BD8" s="2"/>
      <c r="BE8" s="2"/>
      <c r="BF8" s="79"/>
      <c r="BG8" s="78"/>
      <c r="BH8" s="15"/>
      <c r="BI8" s="15"/>
      <c r="BJ8" s="2"/>
      <c r="BK8" s="2"/>
      <c r="BL8" s="2"/>
      <c r="BM8" s="79"/>
      <c r="BN8" s="78"/>
      <c r="BO8" s="15"/>
      <c r="BP8" s="15"/>
      <c r="BQ8" s="2">
        <v>1</v>
      </c>
      <c r="BR8" s="2"/>
      <c r="BS8" s="2"/>
      <c r="BT8" s="79"/>
      <c r="BU8" s="78"/>
      <c r="BV8" s="15"/>
      <c r="BW8" s="15"/>
      <c r="BX8" s="2">
        <v>1</v>
      </c>
      <c r="BY8" s="2"/>
      <c r="BZ8" s="2"/>
      <c r="CA8" s="79"/>
      <c r="CB8" s="78"/>
      <c r="CC8" s="15"/>
      <c r="CD8" s="15"/>
      <c r="CE8" s="2"/>
      <c r="CF8" s="2"/>
      <c r="CG8" s="2"/>
      <c r="CH8" s="79"/>
      <c r="CI8" s="86">
        <f t="shared" si="0"/>
        <v>4</v>
      </c>
      <c r="CJ8" s="89" cm="1">
        <f t="array" ref="CJ8">_xlfn.IFS(CI8=0,0,CI8&gt;=1,CI8/CI25)</f>
        <v>4.3478260869565216E-2</v>
      </c>
    </row>
    <row r="9" spans="1:88" x14ac:dyDescent="0.25">
      <c r="A9" s="526" t="s">
        <v>27</v>
      </c>
      <c r="B9" s="526"/>
      <c r="C9" s="78"/>
      <c r="D9" s="15"/>
      <c r="E9" s="15"/>
      <c r="F9" s="2"/>
      <c r="G9" s="2"/>
      <c r="H9" s="2"/>
      <c r="I9" s="79"/>
      <c r="J9" s="78"/>
      <c r="K9" s="15"/>
      <c r="L9" s="15"/>
      <c r="M9" s="2"/>
      <c r="N9" s="2"/>
      <c r="O9" s="2"/>
      <c r="P9" s="79"/>
      <c r="Q9" s="78"/>
      <c r="R9" s="15"/>
      <c r="S9" s="15"/>
      <c r="T9" s="2"/>
      <c r="U9" s="2">
        <v>1</v>
      </c>
      <c r="V9" s="2"/>
      <c r="W9" s="79"/>
      <c r="X9" s="78"/>
      <c r="Y9" s="15"/>
      <c r="Z9" s="15"/>
      <c r="AA9" s="2"/>
      <c r="AB9" s="2"/>
      <c r="AC9" s="2"/>
      <c r="AD9" s="79"/>
      <c r="AE9" s="78"/>
      <c r="AF9" s="15"/>
      <c r="AG9" s="15"/>
      <c r="AH9" s="2"/>
      <c r="AI9" s="2"/>
      <c r="AJ9" s="2"/>
      <c r="AK9" s="79"/>
      <c r="AL9" s="78"/>
      <c r="AM9" s="15"/>
      <c r="AN9" s="15"/>
      <c r="AO9" s="2"/>
      <c r="AP9" s="2"/>
      <c r="AQ9" s="2"/>
      <c r="AR9" s="79"/>
      <c r="AS9" s="78"/>
      <c r="AT9" s="15"/>
      <c r="AU9" s="15"/>
      <c r="AV9" s="2"/>
      <c r="AW9" s="2"/>
      <c r="AX9" s="2"/>
      <c r="AY9" s="79"/>
      <c r="AZ9" s="78"/>
      <c r="BA9" s="15"/>
      <c r="BB9" s="15"/>
      <c r="BC9" s="2"/>
      <c r="BD9" s="2"/>
      <c r="BE9" s="2"/>
      <c r="BF9" s="79"/>
      <c r="BG9" s="78"/>
      <c r="BH9" s="15"/>
      <c r="BI9" s="15"/>
      <c r="BJ9" s="2"/>
      <c r="BK9" s="2"/>
      <c r="BL9" s="2"/>
      <c r="BM9" s="79"/>
      <c r="BN9" s="78"/>
      <c r="BO9" s="15"/>
      <c r="BP9" s="15"/>
      <c r="BQ9" s="2"/>
      <c r="BR9" s="2"/>
      <c r="BS9" s="2"/>
      <c r="BT9" s="79"/>
      <c r="BU9" s="78"/>
      <c r="BV9" s="15"/>
      <c r="BW9" s="15"/>
      <c r="BX9" s="2"/>
      <c r="BY9" s="2"/>
      <c r="BZ9" s="2"/>
      <c r="CA9" s="79"/>
      <c r="CB9" s="78"/>
      <c r="CC9" s="15"/>
      <c r="CD9" s="15"/>
      <c r="CE9" s="2"/>
      <c r="CF9" s="2"/>
      <c r="CG9" s="2"/>
      <c r="CH9" s="79"/>
      <c r="CI9" s="86">
        <f t="shared" si="0"/>
        <v>1</v>
      </c>
      <c r="CJ9" s="89" cm="1">
        <f t="array" ref="CJ9">_xlfn.IFS(CI9=0,0,CI9&gt;=1,CI9/CI25)</f>
        <v>1.0869565217391304E-2</v>
      </c>
    </row>
    <row r="10" spans="1:88" hidden="1" x14ac:dyDescent="0.25">
      <c r="A10" s="526" t="s">
        <v>64</v>
      </c>
      <c r="B10" s="526"/>
      <c r="C10" s="78"/>
      <c r="D10" s="15"/>
      <c r="E10" s="15"/>
      <c r="F10" s="2"/>
      <c r="G10" s="2"/>
      <c r="H10" s="2"/>
      <c r="I10" s="79"/>
      <c r="J10" s="78"/>
      <c r="K10" s="15"/>
      <c r="L10" s="15"/>
      <c r="M10" s="2"/>
      <c r="N10" s="2"/>
      <c r="O10" s="2"/>
      <c r="P10" s="79"/>
      <c r="Q10" s="78"/>
      <c r="R10" s="15"/>
      <c r="S10" s="15"/>
      <c r="T10" s="2"/>
      <c r="U10" s="2"/>
      <c r="V10" s="2"/>
      <c r="W10" s="79"/>
      <c r="X10" s="78"/>
      <c r="Y10" s="15"/>
      <c r="Z10" s="15"/>
      <c r="AA10" s="2"/>
      <c r="AB10" s="2"/>
      <c r="AC10" s="2"/>
      <c r="AD10" s="79"/>
      <c r="AE10" s="78"/>
      <c r="AF10" s="15"/>
      <c r="AG10" s="15"/>
      <c r="AH10" s="2"/>
      <c r="AI10" s="2"/>
      <c r="AJ10" s="2"/>
      <c r="AK10" s="79"/>
      <c r="AL10" s="78"/>
      <c r="AM10" s="15"/>
      <c r="AN10" s="15"/>
      <c r="AO10" s="2"/>
      <c r="AP10" s="2"/>
      <c r="AQ10" s="2"/>
      <c r="AR10" s="79"/>
      <c r="AS10" s="78"/>
      <c r="AT10" s="15"/>
      <c r="AU10" s="15"/>
      <c r="AV10" s="2"/>
      <c r="AW10" s="2"/>
      <c r="AX10" s="2"/>
      <c r="AY10" s="79"/>
      <c r="AZ10" s="78"/>
      <c r="BA10" s="15"/>
      <c r="BB10" s="15"/>
      <c r="BC10" s="2"/>
      <c r="BD10" s="2"/>
      <c r="BE10" s="2"/>
      <c r="BF10" s="79"/>
      <c r="BG10" s="78"/>
      <c r="BH10" s="15"/>
      <c r="BI10" s="15"/>
      <c r="BJ10" s="2"/>
      <c r="BK10" s="2"/>
      <c r="BL10" s="2"/>
      <c r="BM10" s="79"/>
      <c r="BN10" s="78"/>
      <c r="BO10" s="15"/>
      <c r="BP10" s="15"/>
      <c r="BQ10" s="2"/>
      <c r="BR10" s="2"/>
      <c r="BS10" s="2"/>
      <c r="BT10" s="79"/>
      <c r="BU10" s="78"/>
      <c r="BV10" s="15"/>
      <c r="BW10" s="15"/>
      <c r="BX10" s="2"/>
      <c r="BY10" s="2"/>
      <c r="BZ10" s="2"/>
      <c r="CA10" s="79"/>
      <c r="CB10" s="78"/>
      <c r="CC10" s="15"/>
      <c r="CD10" s="15"/>
      <c r="CE10" s="2"/>
      <c r="CF10" s="2"/>
      <c r="CG10" s="2"/>
      <c r="CH10" s="79"/>
      <c r="CI10" s="86">
        <f t="shared" si="0"/>
        <v>0</v>
      </c>
      <c r="CJ10" s="89" cm="1">
        <f t="array" ref="CJ10">_xlfn.IFS(CI10=0,0,CI10&gt;=1,CI10/CI25)</f>
        <v>0</v>
      </c>
    </row>
    <row r="11" spans="1:88" x14ac:dyDescent="0.25">
      <c r="A11" s="526" t="s">
        <v>24</v>
      </c>
      <c r="B11" s="526"/>
      <c r="C11" s="78"/>
      <c r="D11" s="15"/>
      <c r="E11" s="15"/>
      <c r="F11" s="2"/>
      <c r="G11" s="2"/>
      <c r="H11" s="2"/>
      <c r="I11" s="79"/>
      <c r="J11" s="78"/>
      <c r="K11" s="15"/>
      <c r="L11" s="15"/>
      <c r="M11" s="2">
        <v>1</v>
      </c>
      <c r="N11" s="2"/>
      <c r="O11" s="2"/>
      <c r="P11" s="79"/>
      <c r="Q11" s="78"/>
      <c r="R11" s="15"/>
      <c r="S11" s="15"/>
      <c r="T11" s="2"/>
      <c r="U11" s="2"/>
      <c r="V11" s="2"/>
      <c r="W11" s="79"/>
      <c r="X11" s="78"/>
      <c r="Y11" s="15"/>
      <c r="Z11" s="15"/>
      <c r="AA11" s="2"/>
      <c r="AB11" s="2"/>
      <c r="AC11" s="2"/>
      <c r="AD11" s="79"/>
      <c r="AE11" s="78"/>
      <c r="AF11" s="15"/>
      <c r="AG11" s="15"/>
      <c r="AH11" s="2">
        <v>1</v>
      </c>
      <c r="AI11" s="2"/>
      <c r="AJ11" s="2"/>
      <c r="AK11" s="79"/>
      <c r="AL11" s="78"/>
      <c r="AM11" s="15"/>
      <c r="AN11" s="15"/>
      <c r="AO11" s="2"/>
      <c r="AP11" s="2"/>
      <c r="AQ11" s="2"/>
      <c r="AR11" s="79"/>
      <c r="AS11" s="78"/>
      <c r="AT11" s="15"/>
      <c r="AU11" s="15"/>
      <c r="AV11" s="2">
        <v>1</v>
      </c>
      <c r="AW11" s="2"/>
      <c r="AX11" s="2"/>
      <c r="AY11" s="79"/>
      <c r="AZ11" s="78"/>
      <c r="BA11" s="15"/>
      <c r="BB11" s="15"/>
      <c r="BC11" s="2"/>
      <c r="BD11" s="2"/>
      <c r="BE11" s="2"/>
      <c r="BF11" s="79"/>
      <c r="BG11" s="78"/>
      <c r="BH11" s="15"/>
      <c r="BI11" s="15"/>
      <c r="BJ11" s="2"/>
      <c r="BK11" s="2"/>
      <c r="BL11" s="2"/>
      <c r="BM11" s="79"/>
      <c r="BN11" s="78"/>
      <c r="BO11" s="15"/>
      <c r="BP11" s="15"/>
      <c r="BQ11" s="2"/>
      <c r="BR11" s="2"/>
      <c r="BS11" s="2"/>
      <c r="BT11" s="79"/>
      <c r="BU11" s="78"/>
      <c r="BV11" s="15"/>
      <c r="BW11" s="15"/>
      <c r="BX11" s="2"/>
      <c r="BY11" s="2"/>
      <c r="BZ11" s="2"/>
      <c r="CA11" s="79"/>
      <c r="CB11" s="78"/>
      <c r="CC11" s="15"/>
      <c r="CD11" s="15"/>
      <c r="CE11" s="2"/>
      <c r="CF11" s="2"/>
      <c r="CG11" s="2"/>
      <c r="CH11" s="79"/>
      <c r="CI11" s="86">
        <f t="shared" si="0"/>
        <v>3</v>
      </c>
      <c r="CJ11" s="89" cm="1">
        <f t="array" ref="CJ11">_xlfn.IFS(CI11=0,0,CI11&gt;=1,CI11/CI25)</f>
        <v>3.2608695652173912E-2</v>
      </c>
    </row>
    <row r="12" spans="1:88" hidden="1" x14ac:dyDescent="0.25">
      <c r="A12" s="526" t="s">
        <v>65</v>
      </c>
      <c r="B12" s="526"/>
      <c r="C12" s="78"/>
      <c r="D12" s="15"/>
      <c r="E12" s="15"/>
      <c r="F12" s="2"/>
      <c r="G12" s="2"/>
      <c r="H12" s="2"/>
      <c r="I12" s="79"/>
      <c r="J12" s="78"/>
      <c r="K12" s="15"/>
      <c r="L12" s="15"/>
      <c r="M12" s="2"/>
      <c r="N12" s="2"/>
      <c r="O12" s="2"/>
      <c r="P12" s="79"/>
      <c r="Q12" s="78"/>
      <c r="R12" s="15"/>
      <c r="S12" s="15"/>
      <c r="T12" s="2"/>
      <c r="U12" s="2"/>
      <c r="V12" s="2"/>
      <c r="W12" s="79"/>
      <c r="X12" s="78"/>
      <c r="Y12" s="15"/>
      <c r="Z12" s="15"/>
      <c r="AA12" s="2"/>
      <c r="AB12" s="2"/>
      <c r="AC12" s="2"/>
      <c r="AD12" s="79"/>
      <c r="AE12" s="78"/>
      <c r="AF12" s="15"/>
      <c r="AG12" s="15"/>
      <c r="AH12" s="2"/>
      <c r="AI12" s="2"/>
      <c r="AJ12" s="2"/>
      <c r="AK12" s="79"/>
      <c r="AL12" s="78"/>
      <c r="AM12" s="15"/>
      <c r="AN12" s="15"/>
      <c r="AO12" s="2"/>
      <c r="AP12" s="2"/>
      <c r="AQ12" s="2"/>
      <c r="AR12" s="79"/>
      <c r="AS12" s="78"/>
      <c r="AT12" s="15"/>
      <c r="AU12" s="15"/>
      <c r="AV12" s="2"/>
      <c r="AW12" s="2"/>
      <c r="AX12" s="2"/>
      <c r="AY12" s="79"/>
      <c r="AZ12" s="78"/>
      <c r="BA12" s="15"/>
      <c r="BB12" s="15"/>
      <c r="BC12" s="2"/>
      <c r="BD12" s="2"/>
      <c r="BE12" s="2"/>
      <c r="BF12" s="79"/>
      <c r="BG12" s="78"/>
      <c r="BH12" s="15"/>
      <c r="BI12" s="15"/>
      <c r="BJ12" s="2"/>
      <c r="BK12" s="2"/>
      <c r="BL12" s="2"/>
      <c r="BM12" s="79"/>
      <c r="BN12" s="78"/>
      <c r="BO12" s="15"/>
      <c r="BP12" s="15"/>
      <c r="BQ12" s="2"/>
      <c r="BR12" s="2"/>
      <c r="BS12" s="2"/>
      <c r="BT12" s="79"/>
      <c r="BU12" s="78"/>
      <c r="BV12" s="15"/>
      <c r="BW12" s="15"/>
      <c r="BX12" s="2"/>
      <c r="BY12" s="2"/>
      <c r="BZ12" s="2"/>
      <c r="CA12" s="79"/>
      <c r="CB12" s="78"/>
      <c r="CC12" s="15"/>
      <c r="CD12" s="15"/>
      <c r="CE12" s="2"/>
      <c r="CF12" s="2"/>
      <c r="CG12" s="2"/>
      <c r="CH12" s="79"/>
      <c r="CI12" s="86">
        <f t="shared" si="0"/>
        <v>0</v>
      </c>
      <c r="CJ12" s="89" cm="1">
        <f t="array" ref="CJ12">_xlfn.IFS(CI12=0,0,CI12&gt;=1,CI12/CI25)</f>
        <v>0</v>
      </c>
    </row>
    <row r="13" spans="1:88" hidden="1" x14ac:dyDescent="0.25">
      <c r="A13" s="526" t="s">
        <v>66</v>
      </c>
      <c r="B13" s="526"/>
      <c r="C13" s="78"/>
      <c r="D13" s="15"/>
      <c r="E13" s="15"/>
      <c r="F13" s="2"/>
      <c r="G13" s="2"/>
      <c r="H13" s="2"/>
      <c r="I13" s="79"/>
      <c r="J13" s="78"/>
      <c r="K13" s="15"/>
      <c r="L13" s="15"/>
      <c r="M13" s="2"/>
      <c r="N13" s="2"/>
      <c r="O13" s="2"/>
      <c r="P13" s="79"/>
      <c r="Q13" s="78"/>
      <c r="R13" s="15"/>
      <c r="S13" s="15"/>
      <c r="T13" s="2"/>
      <c r="U13" s="2"/>
      <c r="V13" s="2"/>
      <c r="W13" s="79"/>
      <c r="X13" s="78"/>
      <c r="Y13" s="15"/>
      <c r="Z13" s="15"/>
      <c r="AA13" s="2"/>
      <c r="AB13" s="2"/>
      <c r="AC13" s="2"/>
      <c r="AD13" s="79"/>
      <c r="AE13" s="78"/>
      <c r="AF13" s="15"/>
      <c r="AG13" s="15"/>
      <c r="AH13" s="2"/>
      <c r="AI13" s="2"/>
      <c r="AJ13" s="2"/>
      <c r="AK13" s="79"/>
      <c r="AL13" s="78"/>
      <c r="AM13" s="15"/>
      <c r="AN13" s="15"/>
      <c r="AO13" s="2"/>
      <c r="AP13" s="2"/>
      <c r="AQ13" s="2"/>
      <c r="AR13" s="79"/>
      <c r="AS13" s="78"/>
      <c r="AT13" s="15"/>
      <c r="AU13" s="15"/>
      <c r="AV13" s="2"/>
      <c r="AW13" s="2"/>
      <c r="AX13" s="2"/>
      <c r="AY13" s="79"/>
      <c r="AZ13" s="78"/>
      <c r="BA13" s="15"/>
      <c r="BB13" s="15"/>
      <c r="BC13" s="2"/>
      <c r="BD13" s="2"/>
      <c r="BE13" s="2"/>
      <c r="BF13" s="79"/>
      <c r="BG13" s="78"/>
      <c r="BH13" s="15"/>
      <c r="BI13" s="15"/>
      <c r="BJ13" s="2"/>
      <c r="BK13" s="2"/>
      <c r="BL13" s="2"/>
      <c r="BM13" s="79"/>
      <c r="BN13" s="78"/>
      <c r="BO13" s="15"/>
      <c r="BP13" s="15"/>
      <c r="BQ13" s="2"/>
      <c r="BR13" s="2"/>
      <c r="BS13" s="2"/>
      <c r="BT13" s="79"/>
      <c r="BU13" s="78"/>
      <c r="BV13" s="15"/>
      <c r="BW13" s="15"/>
      <c r="BX13" s="2"/>
      <c r="BY13" s="2"/>
      <c r="BZ13" s="2"/>
      <c r="CA13" s="79"/>
      <c r="CB13" s="78"/>
      <c r="CC13" s="15"/>
      <c r="CD13" s="15"/>
      <c r="CE13" s="2"/>
      <c r="CF13" s="2"/>
      <c r="CG13" s="2"/>
      <c r="CH13" s="79"/>
      <c r="CI13" s="86">
        <f t="shared" si="0"/>
        <v>0</v>
      </c>
      <c r="CJ13" s="89" cm="1">
        <f t="array" ref="CJ13">_xlfn.IFS(CI13=0,0,CI13&gt;=1,CI13/CI25)</f>
        <v>0</v>
      </c>
    </row>
    <row r="14" spans="1:88" hidden="1" x14ac:dyDescent="0.25">
      <c r="A14" s="526" t="s">
        <v>67</v>
      </c>
      <c r="B14" s="526"/>
      <c r="C14" s="78"/>
      <c r="D14" s="15"/>
      <c r="E14" s="15"/>
      <c r="F14" s="2"/>
      <c r="G14" s="2"/>
      <c r="H14" s="2"/>
      <c r="I14" s="79"/>
      <c r="J14" s="78"/>
      <c r="K14" s="15"/>
      <c r="L14" s="15"/>
      <c r="M14" s="2"/>
      <c r="N14" s="2"/>
      <c r="O14" s="2"/>
      <c r="P14" s="79"/>
      <c r="Q14" s="78"/>
      <c r="R14" s="15"/>
      <c r="S14" s="15"/>
      <c r="T14" s="2"/>
      <c r="U14" s="2"/>
      <c r="V14" s="2"/>
      <c r="W14" s="79"/>
      <c r="X14" s="78"/>
      <c r="Y14" s="15"/>
      <c r="Z14" s="15"/>
      <c r="AA14" s="2"/>
      <c r="AB14" s="2"/>
      <c r="AC14" s="2"/>
      <c r="AD14" s="79"/>
      <c r="AE14" s="78"/>
      <c r="AF14" s="15"/>
      <c r="AG14" s="15"/>
      <c r="AH14" s="2"/>
      <c r="AI14" s="2"/>
      <c r="AJ14" s="2"/>
      <c r="AK14" s="79"/>
      <c r="AL14" s="78"/>
      <c r="AM14" s="15"/>
      <c r="AN14" s="15"/>
      <c r="AO14" s="2"/>
      <c r="AP14" s="2"/>
      <c r="AQ14" s="2"/>
      <c r="AR14" s="79"/>
      <c r="AS14" s="78"/>
      <c r="AT14" s="15"/>
      <c r="AU14" s="15"/>
      <c r="AV14" s="2"/>
      <c r="AW14" s="2"/>
      <c r="AX14" s="2"/>
      <c r="AY14" s="79"/>
      <c r="AZ14" s="78"/>
      <c r="BA14" s="15"/>
      <c r="BB14" s="15"/>
      <c r="BC14" s="2"/>
      <c r="BD14" s="2"/>
      <c r="BE14" s="2"/>
      <c r="BF14" s="79"/>
      <c r="BG14" s="78"/>
      <c r="BH14" s="15"/>
      <c r="BI14" s="15"/>
      <c r="BJ14" s="2"/>
      <c r="BK14" s="2"/>
      <c r="BL14" s="2"/>
      <c r="BM14" s="79"/>
      <c r="BN14" s="78"/>
      <c r="BO14" s="15"/>
      <c r="BP14" s="15"/>
      <c r="BQ14" s="2"/>
      <c r="BR14" s="2"/>
      <c r="BS14" s="2"/>
      <c r="BT14" s="79"/>
      <c r="BU14" s="78"/>
      <c r="BV14" s="15"/>
      <c r="BW14" s="15"/>
      <c r="BX14" s="2"/>
      <c r="BY14" s="2"/>
      <c r="BZ14" s="2"/>
      <c r="CA14" s="79"/>
      <c r="CB14" s="78"/>
      <c r="CC14" s="15"/>
      <c r="CD14" s="15"/>
      <c r="CE14" s="2"/>
      <c r="CF14" s="2"/>
      <c r="CG14" s="2"/>
      <c r="CH14" s="79"/>
      <c r="CI14" s="86">
        <f t="shared" si="0"/>
        <v>0</v>
      </c>
      <c r="CJ14" s="89" cm="1">
        <f t="array" ref="CJ14">_xlfn.IFS(CI14=0,0,CI14&gt;=1,CI14/CI25)</f>
        <v>0</v>
      </c>
    </row>
    <row r="15" spans="1:88" x14ac:dyDescent="0.25">
      <c r="A15" s="526" t="s">
        <v>122</v>
      </c>
      <c r="B15" s="526"/>
      <c r="C15" s="78"/>
      <c r="D15" s="15"/>
      <c r="E15" s="15"/>
      <c r="F15" s="2"/>
      <c r="G15" s="2"/>
      <c r="H15" s="2"/>
      <c r="I15" s="79"/>
      <c r="J15" s="78"/>
      <c r="K15" s="15"/>
      <c r="L15" s="15"/>
      <c r="M15" s="2"/>
      <c r="N15" s="2"/>
      <c r="O15" s="2"/>
      <c r="P15" s="79"/>
      <c r="Q15" s="78"/>
      <c r="R15" s="15"/>
      <c r="S15" s="15"/>
      <c r="T15" s="2"/>
      <c r="U15" s="2"/>
      <c r="V15" s="2"/>
      <c r="W15" s="79"/>
      <c r="X15" s="78"/>
      <c r="Y15" s="15"/>
      <c r="Z15" s="15"/>
      <c r="AA15" s="2"/>
      <c r="AB15" s="2"/>
      <c r="AC15" s="2"/>
      <c r="AD15" s="79"/>
      <c r="AE15" s="78"/>
      <c r="AF15" s="15"/>
      <c r="AG15" s="15"/>
      <c r="AH15" s="2"/>
      <c r="AI15" s="2"/>
      <c r="AJ15" s="2"/>
      <c r="AK15" s="79"/>
      <c r="AL15" s="78"/>
      <c r="AM15" s="15"/>
      <c r="AN15" s="15"/>
      <c r="AO15" s="2"/>
      <c r="AP15" s="2"/>
      <c r="AQ15" s="2"/>
      <c r="AR15" s="79"/>
      <c r="AS15" s="78"/>
      <c r="AT15" s="15"/>
      <c r="AU15" s="15"/>
      <c r="AV15" s="2"/>
      <c r="AW15" s="2"/>
      <c r="AX15" s="2"/>
      <c r="AY15" s="79"/>
      <c r="AZ15" s="78"/>
      <c r="BA15" s="15"/>
      <c r="BB15" s="15"/>
      <c r="BC15" s="2"/>
      <c r="BD15" s="2"/>
      <c r="BE15" s="2"/>
      <c r="BF15" s="79">
        <v>1</v>
      </c>
      <c r="BG15" s="78"/>
      <c r="BH15" s="15"/>
      <c r="BI15" s="15"/>
      <c r="BJ15" s="2"/>
      <c r="BK15" s="2"/>
      <c r="BL15" s="2"/>
      <c r="BM15" s="79"/>
      <c r="BN15" s="78"/>
      <c r="BO15" s="15"/>
      <c r="BP15" s="15"/>
      <c r="BQ15" s="2"/>
      <c r="BR15" s="2"/>
      <c r="BS15" s="2"/>
      <c r="BT15" s="79"/>
      <c r="BU15" s="78"/>
      <c r="BV15" s="15"/>
      <c r="BW15" s="15"/>
      <c r="BX15" s="2"/>
      <c r="BY15" s="2"/>
      <c r="BZ15" s="2"/>
      <c r="CA15" s="79">
        <v>1</v>
      </c>
      <c r="CB15" s="78"/>
      <c r="CC15" s="15"/>
      <c r="CD15" s="15"/>
      <c r="CE15" s="2"/>
      <c r="CF15" s="2"/>
      <c r="CG15" s="2"/>
      <c r="CH15" s="79"/>
      <c r="CI15" s="86">
        <f t="shared" si="0"/>
        <v>2</v>
      </c>
      <c r="CJ15" s="89" cm="1">
        <f t="array" ref="CJ15">_xlfn.IFS(CI15=0,0,CI15&gt;=1,CI15/CI25)</f>
        <v>2.1739130434782608E-2</v>
      </c>
    </row>
    <row r="16" spans="1:88" hidden="1" x14ac:dyDescent="0.25">
      <c r="A16" s="526" t="s">
        <v>56</v>
      </c>
      <c r="B16" s="526"/>
      <c r="C16" s="78"/>
      <c r="D16" s="15"/>
      <c r="E16" s="15"/>
      <c r="F16" s="2"/>
      <c r="G16" s="2"/>
      <c r="H16" s="2"/>
      <c r="I16" s="79"/>
      <c r="J16" s="78"/>
      <c r="K16" s="15"/>
      <c r="L16" s="15"/>
      <c r="M16" s="2"/>
      <c r="N16" s="2"/>
      <c r="O16" s="2"/>
      <c r="P16" s="79"/>
      <c r="Q16" s="78"/>
      <c r="R16" s="15"/>
      <c r="S16" s="15"/>
      <c r="T16" s="2"/>
      <c r="U16" s="2"/>
      <c r="V16" s="2"/>
      <c r="W16" s="79"/>
      <c r="X16" s="78"/>
      <c r="Y16" s="15"/>
      <c r="Z16" s="15"/>
      <c r="AA16" s="2"/>
      <c r="AB16" s="2"/>
      <c r="AC16" s="2"/>
      <c r="AD16" s="79"/>
      <c r="AE16" s="78"/>
      <c r="AF16" s="15"/>
      <c r="AG16" s="15"/>
      <c r="AH16" s="2"/>
      <c r="AI16" s="2"/>
      <c r="AJ16" s="2"/>
      <c r="AK16" s="79"/>
      <c r="AL16" s="78"/>
      <c r="AM16" s="15"/>
      <c r="AN16" s="15"/>
      <c r="AO16" s="2"/>
      <c r="AP16" s="2"/>
      <c r="AQ16" s="2"/>
      <c r="AR16" s="79"/>
      <c r="AS16" s="78"/>
      <c r="AT16" s="15"/>
      <c r="AU16" s="15"/>
      <c r="AV16" s="2"/>
      <c r="AW16" s="2"/>
      <c r="AX16" s="2"/>
      <c r="AY16" s="79"/>
      <c r="AZ16" s="78"/>
      <c r="BA16" s="15"/>
      <c r="BB16" s="15"/>
      <c r="BC16" s="2"/>
      <c r="BD16" s="2"/>
      <c r="BE16" s="2"/>
      <c r="BF16" s="79"/>
      <c r="BG16" s="78"/>
      <c r="BH16" s="15"/>
      <c r="BI16" s="15"/>
      <c r="BJ16" s="2"/>
      <c r="BK16" s="2"/>
      <c r="BL16" s="2"/>
      <c r="BM16" s="79"/>
      <c r="BN16" s="78"/>
      <c r="BO16" s="15"/>
      <c r="BP16" s="15"/>
      <c r="BQ16" s="2"/>
      <c r="BR16" s="2"/>
      <c r="BS16" s="2"/>
      <c r="BT16" s="79"/>
      <c r="BU16" s="78"/>
      <c r="BV16" s="15"/>
      <c r="BW16" s="15"/>
      <c r="BX16" s="2"/>
      <c r="BY16" s="2"/>
      <c r="BZ16" s="2"/>
      <c r="CA16" s="79"/>
      <c r="CB16" s="78"/>
      <c r="CC16" s="15"/>
      <c r="CD16" s="15"/>
      <c r="CE16" s="2"/>
      <c r="CF16" s="2"/>
      <c r="CG16" s="2"/>
      <c r="CH16" s="79"/>
      <c r="CI16" s="86">
        <f t="shared" si="0"/>
        <v>0</v>
      </c>
      <c r="CJ16" s="89" cm="1">
        <f t="array" ref="CJ16">_xlfn.IFS(CI16=0,0,CI16&gt;=1,CI16/CI25)</f>
        <v>0</v>
      </c>
    </row>
    <row r="17" spans="1:88" x14ac:dyDescent="0.25">
      <c r="A17" s="526" t="s">
        <v>95</v>
      </c>
      <c r="B17" s="526"/>
      <c r="C17" s="78"/>
      <c r="D17" s="15"/>
      <c r="E17" s="15"/>
      <c r="F17" s="2"/>
      <c r="G17" s="2"/>
      <c r="H17" s="2"/>
      <c r="I17" s="79"/>
      <c r="J17" s="78"/>
      <c r="K17" s="15"/>
      <c r="L17" s="15"/>
      <c r="M17" s="2"/>
      <c r="N17" s="2"/>
      <c r="O17" s="2"/>
      <c r="P17" s="79"/>
      <c r="Q17" s="78"/>
      <c r="R17" s="15"/>
      <c r="S17" s="15"/>
      <c r="T17" s="2"/>
      <c r="U17" s="2"/>
      <c r="V17" s="2"/>
      <c r="W17" s="79"/>
      <c r="X17" s="78"/>
      <c r="Y17" s="15"/>
      <c r="Z17" s="15"/>
      <c r="AA17" s="2">
        <v>1</v>
      </c>
      <c r="AB17" s="2"/>
      <c r="AC17" s="2"/>
      <c r="AD17" s="79"/>
      <c r="AE17" s="78"/>
      <c r="AF17" s="15"/>
      <c r="AG17" s="15"/>
      <c r="AH17" s="2"/>
      <c r="AI17" s="2"/>
      <c r="AJ17" s="2"/>
      <c r="AK17" s="79"/>
      <c r="AL17" s="78"/>
      <c r="AM17" s="15"/>
      <c r="AN17" s="15"/>
      <c r="AO17" s="2">
        <v>1</v>
      </c>
      <c r="AP17" s="2"/>
      <c r="AQ17" s="2"/>
      <c r="AR17" s="79"/>
      <c r="AS17" s="78"/>
      <c r="AT17" s="15"/>
      <c r="AU17" s="15"/>
      <c r="AV17" s="2"/>
      <c r="AW17" s="2"/>
      <c r="AX17" s="2"/>
      <c r="AY17" s="79"/>
      <c r="AZ17" s="78"/>
      <c r="BA17" s="15"/>
      <c r="BB17" s="15"/>
      <c r="BC17" s="2"/>
      <c r="BD17" s="2"/>
      <c r="BE17" s="2"/>
      <c r="BF17" s="79"/>
      <c r="BG17" s="78"/>
      <c r="BH17" s="15"/>
      <c r="BI17" s="15"/>
      <c r="BJ17" s="2"/>
      <c r="BK17" s="2"/>
      <c r="BL17" s="2"/>
      <c r="BM17" s="79"/>
      <c r="BN17" s="78"/>
      <c r="BO17" s="15"/>
      <c r="BP17" s="15"/>
      <c r="BQ17" s="2"/>
      <c r="BR17" s="2"/>
      <c r="BS17" s="2"/>
      <c r="BT17" s="79"/>
      <c r="BU17" s="78"/>
      <c r="BV17" s="15"/>
      <c r="BW17" s="15"/>
      <c r="BX17" s="2"/>
      <c r="BY17" s="2"/>
      <c r="BZ17" s="2"/>
      <c r="CA17" s="79"/>
      <c r="CB17" s="78"/>
      <c r="CC17" s="15"/>
      <c r="CD17" s="15"/>
      <c r="CE17" s="2"/>
      <c r="CF17" s="2"/>
      <c r="CG17" s="2"/>
      <c r="CH17" s="79"/>
      <c r="CI17" s="86">
        <f t="shared" si="0"/>
        <v>2</v>
      </c>
      <c r="CJ17" s="89" cm="1">
        <f t="array" ref="CJ17">_xlfn.IFS(CI17=0,0,CI17&gt;=1,CI17/CI25)</f>
        <v>2.1739130434782608E-2</v>
      </c>
    </row>
    <row r="18" spans="1:88" hidden="1" x14ac:dyDescent="0.25">
      <c r="A18" s="526" t="s">
        <v>68</v>
      </c>
      <c r="B18" s="526"/>
      <c r="C18" s="78"/>
      <c r="D18" s="15"/>
      <c r="E18" s="15"/>
      <c r="F18" s="2"/>
      <c r="G18" s="2"/>
      <c r="H18" s="2"/>
      <c r="I18" s="79"/>
      <c r="J18" s="78"/>
      <c r="K18" s="15"/>
      <c r="L18" s="15"/>
      <c r="M18" s="2"/>
      <c r="N18" s="2"/>
      <c r="O18" s="2"/>
      <c r="P18" s="79"/>
      <c r="Q18" s="78"/>
      <c r="R18" s="15"/>
      <c r="S18" s="15"/>
      <c r="T18" s="2"/>
      <c r="U18" s="2"/>
      <c r="V18" s="2"/>
      <c r="W18" s="79"/>
      <c r="X18" s="78"/>
      <c r="Y18" s="15"/>
      <c r="Z18" s="15"/>
      <c r="AA18" s="2"/>
      <c r="AB18" s="2"/>
      <c r="AC18" s="2"/>
      <c r="AD18" s="79"/>
      <c r="AE18" s="78"/>
      <c r="AF18" s="15"/>
      <c r="AG18" s="15"/>
      <c r="AH18" s="2"/>
      <c r="AI18" s="2"/>
      <c r="AJ18" s="2"/>
      <c r="AK18" s="79"/>
      <c r="AL18" s="78"/>
      <c r="AM18" s="15"/>
      <c r="AN18" s="15"/>
      <c r="AO18" s="2"/>
      <c r="AP18" s="2"/>
      <c r="AQ18" s="2"/>
      <c r="AR18" s="79"/>
      <c r="AS18" s="78"/>
      <c r="AT18" s="15"/>
      <c r="AU18" s="15"/>
      <c r="AV18" s="2"/>
      <c r="AW18" s="2"/>
      <c r="AX18" s="2"/>
      <c r="AY18" s="79"/>
      <c r="AZ18" s="78"/>
      <c r="BA18" s="15"/>
      <c r="BB18" s="15"/>
      <c r="BC18" s="2"/>
      <c r="BD18" s="2"/>
      <c r="BE18" s="2"/>
      <c r="BF18" s="79"/>
      <c r="BG18" s="78"/>
      <c r="BH18" s="15"/>
      <c r="BI18" s="15"/>
      <c r="BJ18" s="2"/>
      <c r="BK18" s="2"/>
      <c r="BL18" s="2"/>
      <c r="BM18" s="79"/>
      <c r="BN18" s="78"/>
      <c r="BO18" s="15"/>
      <c r="BP18" s="15"/>
      <c r="BQ18" s="2"/>
      <c r="BR18" s="2"/>
      <c r="BS18" s="2"/>
      <c r="BT18" s="79"/>
      <c r="BU18" s="78"/>
      <c r="BV18" s="15"/>
      <c r="BW18" s="15"/>
      <c r="BX18" s="2"/>
      <c r="BY18" s="2"/>
      <c r="BZ18" s="2"/>
      <c r="CA18" s="79"/>
      <c r="CB18" s="78"/>
      <c r="CC18" s="15"/>
      <c r="CD18" s="15"/>
      <c r="CE18" s="2"/>
      <c r="CF18" s="2"/>
      <c r="CG18" s="2"/>
      <c r="CH18" s="79"/>
      <c r="CI18" s="86">
        <f t="shared" si="0"/>
        <v>0</v>
      </c>
      <c r="CJ18" s="89" cm="1">
        <f t="array" ref="CJ18">_xlfn.IFS(CI18=0,0,CI18&gt;=1,CI18/CI25)</f>
        <v>0</v>
      </c>
    </row>
    <row r="19" spans="1:88" hidden="1" x14ac:dyDescent="0.25">
      <c r="A19" s="526" t="s">
        <v>69</v>
      </c>
      <c r="B19" s="526"/>
      <c r="C19" s="78"/>
      <c r="D19" s="15"/>
      <c r="E19" s="15"/>
      <c r="F19" s="2"/>
      <c r="G19" s="2"/>
      <c r="H19" s="2"/>
      <c r="I19" s="79"/>
      <c r="J19" s="78"/>
      <c r="K19" s="15"/>
      <c r="L19" s="15"/>
      <c r="M19" s="2"/>
      <c r="N19" s="2"/>
      <c r="O19" s="2"/>
      <c r="P19" s="79"/>
      <c r="Q19" s="78"/>
      <c r="R19" s="15"/>
      <c r="S19" s="15"/>
      <c r="T19" s="2"/>
      <c r="U19" s="2"/>
      <c r="V19" s="2"/>
      <c r="W19" s="79"/>
      <c r="X19" s="78"/>
      <c r="Y19" s="15"/>
      <c r="Z19" s="15"/>
      <c r="AA19" s="2"/>
      <c r="AB19" s="2"/>
      <c r="AC19" s="2"/>
      <c r="AD19" s="79"/>
      <c r="AE19" s="78"/>
      <c r="AF19" s="15"/>
      <c r="AG19" s="15"/>
      <c r="AH19" s="2"/>
      <c r="AI19" s="2"/>
      <c r="AJ19" s="2"/>
      <c r="AK19" s="79"/>
      <c r="AL19" s="78"/>
      <c r="AM19" s="15"/>
      <c r="AN19" s="15"/>
      <c r="AO19" s="2"/>
      <c r="AP19" s="2"/>
      <c r="AQ19" s="2"/>
      <c r="AR19" s="79"/>
      <c r="AS19" s="78"/>
      <c r="AT19" s="15"/>
      <c r="AU19" s="15"/>
      <c r="AV19" s="2"/>
      <c r="AW19" s="2"/>
      <c r="AX19" s="2"/>
      <c r="AY19" s="79"/>
      <c r="AZ19" s="78"/>
      <c r="BA19" s="15"/>
      <c r="BB19" s="15"/>
      <c r="BC19" s="2"/>
      <c r="BD19" s="2"/>
      <c r="BE19" s="2"/>
      <c r="BF19" s="79"/>
      <c r="BG19" s="78"/>
      <c r="BH19" s="15"/>
      <c r="BI19" s="15"/>
      <c r="BJ19" s="2"/>
      <c r="BK19" s="2"/>
      <c r="BL19" s="2"/>
      <c r="BM19" s="79"/>
      <c r="BN19" s="78"/>
      <c r="BO19" s="15"/>
      <c r="BP19" s="15"/>
      <c r="BQ19" s="2"/>
      <c r="BR19" s="2"/>
      <c r="BS19" s="2"/>
      <c r="BT19" s="79"/>
      <c r="BU19" s="78"/>
      <c r="BV19" s="15"/>
      <c r="BW19" s="15"/>
      <c r="BX19" s="2"/>
      <c r="BY19" s="2"/>
      <c r="BZ19" s="2"/>
      <c r="CA19" s="79"/>
      <c r="CB19" s="78"/>
      <c r="CC19" s="15"/>
      <c r="CD19" s="15"/>
      <c r="CE19" s="2"/>
      <c r="CF19" s="2"/>
      <c r="CG19" s="2"/>
      <c r="CH19" s="79"/>
      <c r="CI19" s="86">
        <f t="shared" si="0"/>
        <v>0</v>
      </c>
      <c r="CJ19" s="89" cm="1">
        <f t="array" ref="CJ19">_xlfn.IFS(CI19=0,0,CI19&gt;=1,CI19/CI25)</f>
        <v>0</v>
      </c>
    </row>
    <row r="20" spans="1:88" x14ac:dyDescent="0.25">
      <c r="A20" s="526" t="s">
        <v>141</v>
      </c>
      <c r="B20" s="526"/>
      <c r="C20" s="78"/>
      <c r="D20" s="15"/>
      <c r="E20" s="15"/>
      <c r="F20" s="2"/>
      <c r="G20" s="2"/>
      <c r="H20" s="2"/>
      <c r="I20" s="79"/>
      <c r="J20" s="78"/>
      <c r="K20" s="15"/>
      <c r="L20" s="15"/>
      <c r="M20" s="2"/>
      <c r="N20" s="2"/>
      <c r="O20" s="2"/>
      <c r="P20" s="79"/>
      <c r="Q20" s="78"/>
      <c r="R20" s="15"/>
      <c r="S20" s="15"/>
      <c r="T20" s="2"/>
      <c r="U20" s="2"/>
      <c r="V20" s="2"/>
      <c r="W20" s="79"/>
      <c r="X20" s="78"/>
      <c r="Y20" s="15"/>
      <c r="Z20" s="15"/>
      <c r="AA20" s="2"/>
      <c r="AB20" s="2"/>
      <c r="AC20" s="2"/>
      <c r="AD20" s="79"/>
      <c r="AE20" s="78"/>
      <c r="AF20" s="15"/>
      <c r="AG20" s="15"/>
      <c r="AH20" s="2"/>
      <c r="AI20" s="2"/>
      <c r="AJ20" s="2"/>
      <c r="AK20" s="79"/>
      <c r="AL20" s="78"/>
      <c r="AM20" s="15"/>
      <c r="AN20" s="15"/>
      <c r="AO20" s="2"/>
      <c r="AP20" s="2"/>
      <c r="AQ20" s="2"/>
      <c r="AR20" s="79"/>
      <c r="AS20" s="78"/>
      <c r="AT20" s="15"/>
      <c r="AU20" s="15"/>
      <c r="AV20" s="2"/>
      <c r="AW20" s="2"/>
      <c r="AX20" s="2"/>
      <c r="AY20" s="79"/>
      <c r="AZ20" s="78"/>
      <c r="BA20" s="15"/>
      <c r="BB20" s="15"/>
      <c r="BC20" s="2">
        <v>1</v>
      </c>
      <c r="BD20" s="2"/>
      <c r="BE20" s="2"/>
      <c r="BF20" s="79"/>
      <c r="BG20" s="78"/>
      <c r="BH20" s="15"/>
      <c r="BI20" s="15"/>
      <c r="BJ20" s="2"/>
      <c r="BK20" s="2"/>
      <c r="BL20" s="2"/>
      <c r="BM20" s="79"/>
      <c r="BN20" s="78"/>
      <c r="BO20" s="15"/>
      <c r="BP20" s="15"/>
      <c r="BQ20" s="2"/>
      <c r="BR20" s="2"/>
      <c r="BS20" s="2"/>
      <c r="BT20" s="79"/>
      <c r="BU20" s="78"/>
      <c r="BV20" s="15"/>
      <c r="BW20" s="15"/>
      <c r="BX20" s="2"/>
      <c r="BY20" s="2"/>
      <c r="BZ20" s="2"/>
      <c r="CA20" s="79"/>
      <c r="CB20" s="78"/>
      <c r="CC20" s="15"/>
      <c r="CD20" s="15"/>
      <c r="CE20" s="2"/>
      <c r="CF20" s="2"/>
      <c r="CG20" s="2"/>
      <c r="CH20" s="79"/>
      <c r="CI20" s="86">
        <f t="shared" si="0"/>
        <v>1</v>
      </c>
      <c r="CJ20" s="89" cm="1">
        <f t="array" ref="CJ20">_xlfn.IFS(CI20=0,0,CI20&gt;=1,CI20/CI25)</f>
        <v>1.0869565217391304E-2</v>
      </c>
    </row>
    <row r="21" spans="1:88" x14ac:dyDescent="0.25">
      <c r="A21" s="526" t="s">
        <v>111</v>
      </c>
      <c r="B21" s="526"/>
      <c r="C21" s="80"/>
      <c r="D21" s="17"/>
      <c r="E21" s="17"/>
      <c r="F21" s="8"/>
      <c r="G21" s="8"/>
      <c r="H21" s="8"/>
      <c r="I21" s="81"/>
      <c r="J21" s="80"/>
      <c r="K21" s="17"/>
      <c r="L21" s="17"/>
      <c r="M21" s="8"/>
      <c r="N21" s="8"/>
      <c r="O21" s="8"/>
      <c r="P21" s="81"/>
      <c r="Q21" s="80"/>
      <c r="R21" s="17"/>
      <c r="S21" s="17"/>
      <c r="T21" s="8"/>
      <c r="U21" s="8"/>
      <c r="V21" s="8"/>
      <c r="W21" s="81"/>
      <c r="X21" s="80"/>
      <c r="Y21" s="17"/>
      <c r="Z21" s="17"/>
      <c r="AA21" s="8">
        <v>1</v>
      </c>
      <c r="AB21" s="8"/>
      <c r="AC21" s="8"/>
      <c r="AD21" s="81"/>
      <c r="AE21" s="80"/>
      <c r="AF21" s="17"/>
      <c r="AG21" s="17"/>
      <c r="AH21" s="8"/>
      <c r="AI21" s="8"/>
      <c r="AJ21" s="8"/>
      <c r="AK21" s="81"/>
      <c r="AL21" s="80"/>
      <c r="AM21" s="17"/>
      <c r="AN21" s="17"/>
      <c r="AO21" s="8"/>
      <c r="AP21" s="8"/>
      <c r="AQ21" s="8"/>
      <c r="AR21" s="81"/>
      <c r="AS21" s="80"/>
      <c r="AT21" s="17"/>
      <c r="AU21" s="17"/>
      <c r="AV21" s="8"/>
      <c r="AW21" s="8"/>
      <c r="AX21" s="8"/>
      <c r="AY21" s="81"/>
      <c r="AZ21" s="80"/>
      <c r="BA21" s="17"/>
      <c r="BB21" s="17"/>
      <c r="BC21" s="8"/>
      <c r="BD21" s="8"/>
      <c r="BE21" s="8"/>
      <c r="BF21" s="81"/>
      <c r="BG21" s="80"/>
      <c r="BH21" s="17"/>
      <c r="BI21" s="17"/>
      <c r="BJ21" s="8"/>
      <c r="BK21" s="8"/>
      <c r="BL21" s="8"/>
      <c r="BM21" s="81"/>
      <c r="BN21" s="80"/>
      <c r="BO21" s="17"/>
      <c r="BP21" s="17"/>
      <c r="BQ21" s="8"/>
      <c r="BR21" s="8"/>
      <c r="BS21" s="8"/>
      <c r="BT21" s="81"/>
      <c r="BU21" s="80"/>
      <c r="BV21" s="17"/>
      <c r="BW21" s="17"/>
      <c r="BX21" s="8"/>
      <c r="BY21" s="8"/>
      <c r="BZ21" s="8"/>
      <c r="CA21" s="81"/>
      <c r="CB21" s="80"/>
      <c r="CC21" s="17"/>
      <c r="CD21" s="17"/>
      <c r="CE21" s="8"/>
      <c r="CF21" s="8"/>
      <c r="CG21" s="8"/>
      <c r="CH21" s="81"/>
      <c r="CI21" s="86">
        <f t="shared" si="0"/>
        <v>1</v>
      </c>
      <c r="CJ21" s="89" cm="1">
        <f t="array" ref="CJ21">_xlfn.IFS(CI21=0,0,CI21&gt;=1,CI21/CI25)</f>
        <v>1.0869565217391304E-2</v>
      </c>
    </row>
    <row r="22" spans="1:88" x14ac:dyDescent="0.25">
      <c r="A22" s="526" t="s">
        <v>115</v>
      </c>
      <c r="B22" s="526"/>
      <c r="C22" s="80"/>
      <c r="D22" s="17"/>
      <c r="E22" s="17"/>
      <c r="F22" s="8"/>
      <c r="G22" s="8"/>
      <c r="H22" s="8"/>
      <c r="I22" s="81"/>
      <c r="J22" s="80"/>
      <c r="K22" s="17"/>
      <c r="L22" s="17"/>
      <c r="M22" s="8"/>
      <c r="N22" s="8"/>
      <c r="O22" s="8"/>
      <c r="P22" s="81"/>
      <c r="Q22" s="80"/>
      <c r="R22" s="17"/>
      <c r="S22" s="17"/>
      <c r="T22" s="8"/>
      <c r="U22" s="8"/>
      <c r="V22" s="8"/>
      <c r="W22" s="81"/>
      <c r="X22" s="80"/>
      <c r="Y22" s="17"/>
      <c r="Z22" s="17"/>
      <c r="AA22" s="8"/>
      <c r="AB22" s="8"/>
      <c r="AC22" s="8"/>
      <c r="AD22" s="81"/>
      <c r="AE22" s="80"/>
      <c r="AF22" s="17"/>
      <c r="AG22" s="17"/>
      <c r="AH22" s="8"/>
      <c r="AI22" s="8"/>
      <c r="AJ22" s="8"/>
      <c r="AK22" s="81"/>
      <c r="AL22" s="80"/>
      <c r="AM22" s="17"/>
      <c r="AN22" s="17"/>
      <c r="AO22" s="8">
        <v>1</v>
      </c>
      <c r="AP22" s="8"/>
      <c r="AQ22" s="8"/>
      <c r="AR22" s="81"/>
      <c r="AS22" s="80"/>
      <c r="AT22" s="17"/>
      <c r="AU22" s="17"/>
      <c r="AV22" s="8"/>
      <c r="AW22" s="8"/>
      <c r="AX22" s="8"/>
      <c r="AY22" s="81"/>
      <c r="AZ22" s="80"/>
      <c r="BA22" s="17"/>
      <c r="BB22" s="17"/>
      <c r="BC22" s="8"/>
      <c r="BD22" s="8"/>
      <c r="BE22" s="8"/>
      <c r="BF22" s="81"/>
      <c r="BG22" s="80"/>
      <c r="BH22" s="17"/>
      <c r="BI22" s="17"/>
      <c r="BJ22" s="8"/>
      <c r="BK22" s="8"/>
      <c r="BL22" s="8"/>
      <c r="BM22" s="81"/>
      <c r="BN22" s="80"/>
      <c r="BO22" s="17"/>
      <c r="BP22" s="17"/>
      <c r="BQ22" s="8"/>
      <c r="BR22" s="8"/>
      <c r="BS22" s="8"/>
      <c r="BT22" s="81"/>
      <c r="BU22" s="80"/>
      <c r="BV22" s="17"/>
      <c r="BW22" s="17"/>
      <c r="BX22" s="8"/>
      <c r="BY22" s="8"/>
      <c r="BZ22" s="8"/>
      <c r="CA22" s="81"/>
      <c r="CB22" s="80"/>
      <c r="CC22" s="17"/>
      <c r="CD22" s="17"/>
      <c r="CE22" s="8"/>
      <c r="CF22" s="8"/>
      <c r="CG22" s="8"/>
      <c r="CH22" s="81"/>
      <c r="CI22" s="86">
        <f t="shared" si="0"/>
        <v>1</v>
      </c>
      <c r="CJ22" s="89" cm="1">
        <f t="array" ref="CJ22">_xlfn.IFS(CI22=0,0,CI22&gt;=1,CI22/CI25)</f>
        <v>1.0869565217391304E-2</v>
      </c>
    </row>
    <row r="23" spans="1:88" x14ac:dyDescent="0.25">
      <c r="A23" s="526" t="s">
        <v>82</v>
      </c>
      <c r="B23" s="526"/>
      <c r="C23" s="80"/>
      <c r="D23" s="17"/>
      <c r="E23" s="17"/>
      <c r="F23" s="8"/>
      <c r="G23" s="8"/>
      <c r="H23" s="8">
        <v>2</v>
      </c>
      <c r="I23" s="81"/>
      <c r="J23" s="80"/>
      <c r="K23" s="17"/>
      <c r="L23" s="17"/>
      <c r="M23" s="8"/>
      <c r="N23" s="8"/>
      <c r="O23" s="8">
        <v>1</v>
      </c>
      <c r="P23" s="81"/>
      <c r="Q23" s="80"/>
      <c r="R23" s="17"/>
      <c r="S23" s="17"/>
      <c r="T23" s="8"/>
      <c r="U23" s="8"/>
      <c r="V23" s="8">
        <v>3</v>
      </c>
      <c r="W23" s="81"/>
      <c r="X23" s="80"/>
      <c r="Y23" s="17"/>
      <c r="Z23" s="17"/>
      <c r="AA23" s="8"/>
      <c r="AB23" s="8"/>
      <c r="AC23" s="8"/>
      <c r="AD23" s="81"/>
      <c r="AE23" s="80"/>
      <c r="AF23" s="17"/>
      <c r="AG23" s="17"/>
      <c r="AH23" s="8"/>
      <c r="AI23" s="8"/>
      <c r="AJ23" s="8">
        <v>2</v>
      </c>
      <c r="AK23" s="81"/>
      <c r="AL23" s="80"/>
      <c r="AM23" s="17"/>
      <c r="AN23" s="17"/>
      <c r="AO23" s="8"/>
      <c r="AP23" s="8"/>
      <c r="AQ23" s="8"/>
      <c r="AR23" s="81"/>
      <c r="AS23" s="80"/>
      <c r="AT23" s="17"/>
      <c r="AU23" s="17"/>
      <c r="AV23" s="8"/>
      <c r="AW23" s="8"/>
      <c r="AX23" s="8">
        <v>2</v>
      </c>
      <c r="AY23" s="81"/>
      <c r="AZ23" s="80"/>
      <c r="BA23" s="17"/>
      <c r="BB23" s="17"/>
      <c r="BC23" s="8"/>
      <c r="BD23" s="8"/>
      <c r="BE23" s="8">
        <v>2</v>
      </c>
      <c r="BF23" s="81"/>
      <c r="BG23" s="80"/>
      <c r="BH23" s="17"/>
      <c r="BI23" s="17"/>
      <c r="BJ23" s="8"/>
      <c r="BK23" s="8"/>
      <c r="BL23" s="8">
        <v>1</v>
      </c>
      <c r="BM23" s="81"/>
      <c r="BN23" s="80"/>
      <c r="BO23" s="17"/>
      <c r="BP23" s="17"/>
      <c r="BQ23" s="8"/>
      <c r="BR23" s="8"/>
      <c r="BS23" s="8">
        <v>1</v>
      </c>
      <c r="BT23" s="81"/>
      <c r="BU23" s="80"/>
      <c r="BV23" s="17"/>
      <c r="BW23" s="17"/>
      <c r="BX23" s="8"/>
      <c r="BY23" s="8"/>
      <c r="BZ23" s="8"/>
      <c r="CA23" s="81"/>
      <c r="CB23" s="80"/>
      <c r="CC23" s="17"/>
      <c r="CD23" s="17"/>
      <c r="CE23" s="8"/>
      <c r="CF23" s="8"/>
      <c r="CG23" s="8"/>
      <c r="CH23" s="81"/>
      <c r="CI23" s="86">
        <f t="shared" si="0"/>
        <v>14</v>
      </c>
      <c r="CJ23" s="89" cm="1">
        <f t="array" ref="CJ23">_xlfn.IFS(CI23=0,0,CI23&gt;=1,CI23/CI25)</f>
        <v>0.15217391304347827</v>
      </c>
    </row>
    <row r="24" spans="1:88" x14ac:dyDescent="0.25">
      <c r="A24" s="527" t="s">
        <v>42</v>
      </c>
      <c r="B24" s="527"/>
      <c r="C24" s="82"/>
      <c r="D24" s="19"/>
      <c r="E24" s="19"/>
      <c r="F24" s="5"/>
      <c r="G24" s="5"/>
      <c r="H24" s="5"/>
      <c r="I24" s="83">
        <v>2</v>
      </c>
      <c r="J24" s="82"/>
      <c r="K24" s="19"/>
      <c r="L24" s="19"/>
      <c r="M24" s="5"/>
      <c r="N24" s="5"/>
      <c r="O24" s="5"/>
      <c r="P24" s="83"/>
      <c r="Q24" s="82"/>
      <c r="R24" s="19"/>
      <c r="S24" s="19"/>
      <c r="T24" s="5"/>
      <c r="U24" s="5"/>
      <c r="V24" s="5"/>
      <c r="W24" s="83"/>
      <c r="X24" s="82"/>
      <c r="Y24" s="19"/>
      <c r="Z24" s="19"/>
      <c r="AA24" s="5"/>
      <c r="AB24" s="5"/>
      <c r="AC24" s="5"/>
      <c r="AD24" s="83"/>
      <c r="AE24" s="82"/>
      <c r="AF24" s="19"/>
      <c r="AG24" s="19"/>
      <c r="AH24" s="5"/>
      <c r="AI24" s="5"/>
      <c r="AJ24" s="5"/>
      <c r="AK24" s="83">
        <v>2</v>
      </c>
      <c r="AL24" s="82"/>
      <c r="AM24" s="19"/>
      <c r="AN24" s="19"/>
      <c r="AO24" s="5"/>
      <c r="AP24" s="5"/>
      <c r="AQ24" s="5"/>
      <c r="AR24" s="83">
        <v>2</v>
      </c>
      <c r="AS24" s="82"/>
      <c r="AT24" s="19"/>
      <c r="AU24" s="19"/>
      <c r="AV24" s="5"/>
      <c r="AW24" s="5"/>
      <c r="AX24" s="5"/>
      <c r="AY24" s="83"/>
      <c r="AZ24" s="82"/>
      <c r="BA24" s="19"/>
      <c r="BB24" s="19"/>
      <c r="BC24" s="5"/>
      <c r="BD24" s="5"/>
      <c r="BE24" s="5"/>
      <c r="BF24" s="83"/>
      <c r="BG24" s="82"/>
      <c r="BH24" s="19"/>
      <c r="BI24" s="19"/>
      <c r="BJ24" s="5"/>
      <c r="BK24" s="5">
        <v>1</v>
      </c>
      <c r="BL24" s="5"/>
      <c r="BM24" s="83"/>
      <c r="BN24" s="82"/>
      <c r="BO24" s="19"/>
      <c r="BP24" s="19"/>
      <c r="BQ24" s="5"/>
      <c r="BR24" s="5"/>
      <c r="BS24" s="5"/>
      <c r="BT24" s="83">
        <v>1</v>
      </c>
      <c r="BU24" s="82"/>
      <c r="BV24" s="19"/>
      <c r="BW24" s="19"/>
      <c r="BX24" s="5"/>
      <c r="BY24" s="5"/>
      <c r="BZ24" s="5"/>
      <c r="CA24" s="83"/>
      <c r="CB24" s="82"/>
      <c r="CC24" s="19"/>
      <c r="CD24" s="19"/>
      <c r="CE24" s="5"/>
      <c r="CF24" s="5"/>
      <c r="CG24" s="5"/>
      <c r="CH24" s="83"/>
      <c r="CI24" s="86">
        <f t="shared" si="0"/>
        <v>8</v>
      </c>
      <c r="CJ24" s="90" cm="1">
        <f t="array" ref="CJ24">_xlfn.IFS(CI24=0,0,CI24&gt;=1,CI24/CI25)</f>
        <v>8.6956521739130432E-2</v>
      </c>
    </row>
    <row r="25" spans="1:88" ht="13" thickBot="1" x14ac:dyDescent="0.3">
      <c r="A25" s="528" t="s">
        <v>4</v>
      </c>
      <c r="B25" s="528"/>
      <c r="C25" s="84">
        <f t="shared" ref="C25:AK25" si="1">SUM(C3:C24)</f>
        <v>0</v>
      </c>
      <c r="D25" s="10">
        <f t="shared" si="1"/>
        <v>0</v>
      </c>
      <c r="E25" s="10">
        <f t="shared" si="1"/>
        <v>0</v>
      </c>
      <c r="F25" s="10">
        <f t="shared" si="1"/>
        <v>5</v>
      </c>
      <c r="G25" s="10">
        <f t="shared" si="1"/>
        <v>0</v>
      </c>
      <c r="H25" s="10">
        <f t="shared" si="1"/>
        <v>2</v>
      </c>
      <c r="I25" s="85">
        <f t="shared" si="1"/>
        <v>2</v>
      </c>
      <c r="J25" s="84">
        <f t="shared" si="1"/>
        <v>0</v>
      </c>
      <c r="K25" s="10">
        <f t="shared" si="1"/>
        <v>1</v>
      </c>
      <c r="L25" s="10">
        <f t="shared" si="1"/>
        <v>0</v>
      </c>
      <c r="M25" s="10">
        <f t="shared" si="1"/>
        <v>3</v>
      </c>
      <c r="N25" s="10">
        <f t="shared" si="1"/>
        <v>0</v>
      </c>
      <c r="O25" s="10">
        <f t="shared" si="1"/>
        <v>1</v>
      </c>
      <c r="P25" s="85">
        <f t="shared" si="1"/>
        <v>0</v>
      </c>
      <c r="Q25" s="84">
        <f t="shared" si="1"/>
        <v>0</v>
      </c>
      <c r="R25" s="10">
        <f t="shared" si="1"/>
        <v>0</v>
      </c>
      <c r="S25" s="10">
        <f t="shared" si="1"/>
        <v>0</v>
      </c>
      <c r="T25" s="10">
        <f t="shared" si="1"/>
        <v>3</v>
      </c>
      <c r="U25" s="10">
        <f t="shared" si="1"/>
        <v>1</v>
      </c>
      <c r="V25" s="10">
        <f t="shared" si="1"/>
        <v>3</v>
      </c>
      <c r="W25" s="85">
        <f t="shared" si="1"/>
        <v>0</v>
      </c>
      <c r="X25" s="84">
        <f t="shared" si="1"/>
        <v>0</v>
      </c>
      <c r="Y25" s="10">
        <f t="shared" si="1"/>
        <v>0</v>
      </c>
      <c r="Z25" s="10">
        <f t="shared" si="1"/>
        <v>0</v>
      </c>
      <c r="AA25" s="10">
        <f t="shared" si="1"/>
        <v>5</v>
      </c>
      <c r="AB25" s="10">
        <f t="shared" si="1"/>
        <v>0</v>
      </c>
      <c r="AC25" s="10">
        <f t="shared" si="1"/>
        <v>0</v>
      </c>
      <c r="AD25" s="85">
        <f t="shared" si="1"/>
        <v>0</v>
      </c>
      <c r="AE25" s="84">
        <f t="shared" si="1"/>
        <v>0</v>
      </c>
      <c r="AF25" s="10">
        <f t="shared" si="1"/>
        <v>1</v>
      </c>
      <c r="AG25" s="10">
        <f t="shared" si="1"/>
        <v>0</v>
      </c>
      <c r="AH25" s="10">
        <f t="shared" si="1"/>
        <v>2</v>
      </c>
      <c r="AI25" s="10">
        <f t="shared" si="1"/>
        <v>0</v>
      </c>
      <c r="AJ25" s="10">
        <f t="shared" si="1"/>
        <v>2</v>
      </c>
      <c r="AK25" s="85">
        <f t="shared" si="1"/>
        <v>2</v>
      </c>
      <c r="AL25" s="84">
        <f t="shared" ref="AL25:AY25" si="2">SUM(AL3:AL24)</f>
        <v>0</v>
      </c>
      <c r="AM25" s="10">
        <f t="shared" si="2"/>
        <v>1</v>
      </c>
      <c r="AN25" s="10">
        <f t="shared" si="2"/>
        <v>0</v>
      </c>
      <c r="AO25" s="10">
        <f t="shared" si="2"/>
        <v>5</v>
      </c>
      <c r="AP25" s="10">
        <f t="shared" si="2"/>
        <v>0</v>
      </c>
      <c r="AQ25" s="10">
        <f t="shared" si="2"/>
        <v>0</v>
      </c>
      <c r="AR25" s="85">
        <f t="shared" si="2"/>
        <v>2</v>
      </c>
      <c r="AS25" s="84">
        <f t="shared" si="2"/>
        <v>1</v>
      </c>
      <c r="AT25" s="10">
        <f t="shared" si="2"/>
        <v>2</v>
      </c>
      <c r="AU25" s="10">
        <f t="shared" si="2"/>
        <v>0</v>
      </c>
      <c r="AV25" s="10">
        <f t="shared" si="2"/>
        <v>7</v>
      </c>
      <c r="AW25" s="10">
        <f t="shared" si="2"/>
        <v>1</v>
      </c>
      <c r="AX25" s="10">
        <f t="shared" si="2"/>
        <v>2</v>
      </c>
      <c r="AY25" s="85">
        <f t="shared" si="2"/>
        <v>0</v>
      </c>
      <c r="AZ25" s="84">
        <f t="shared" ref="AZ25:CA25" si="3">SUM(AZ3:AZ24)</f>
        <v>0</v>
      </c>
      <c r="BA25" s="10">
        <f t="shared" si="3"/>
        <v>2</v>
      </c>
      <c r="BB25" s="10">
        <f t="shared" si="3"/>
        <v>0</v>
      </c>
      <c r="BC25" s="10">
        <f t="shared" si="3"/>
        <v>6</v>
      </c>
      <c r="BD25" s="10">
        <f t="shared" si="3"/>
        <v>0</v>
      </c>
      <c r="BE25" s="10">
        <f t="shared" si="3"/>
        <v>2</v>
      </c>
      <c r="BF25" s="85">
        <f t="shared" si="3"/>
        <v>2</v>
      </c>
      <c r="BG25" s="84">
        <f t="shared" si="3"/>
        <v>0</v>
      </c>
      <c r="BH25" s="10">
        <f t="shared" si="3"/>
        <v>2</v>
      </c>
      <c r="BI25" s="10">
        <f t="shared" si="3"/>
        <v>0</v>
      </c>
      <c r="BJ25" s="10">
        <f t="shared" si="3"/>
        <v>2</v>
      </c>
      <c r="BK25" s="10">
        <f t="shared" si="3"/>
        <v>2</v>
      </c>
      <c r="BL25" s="10">
        <f t="shared" si="3"/>
        <v>1</v>
      </c>
      <c r="BM25" s="85">
        <f t="shared" si="3"/>
        <v>0</v>
      </c>
      <c r="BN25" s="84">
        <f t="shared" si="3"/>
        <v>0</v>
      </c>
      <c r="BO25" s="10">
        <f t="shared" si="3"/>
        <v>0</v>
      </c>
      <c r="BP25" s="10">
        <f t="shared" si="3"/>
        <v>0</v>
      </c>
      <c r="BQ25" s="10">
        <f t="shared" si="3"/>
        <v>6</v>
      </c>
      <c r="BR25" s="10">
        <f t="shared" si="3"/>
        <v>0</v>
      </c>
      <c r="BS25" s="10">
        <f t="shared" si="3"/>
        <v>1</v>
      </c>
      <c r="BT25" s="85">
        <f t="shared" si="3"/>
        <v>2</v>
      </c>
      <c r="BU25" s="84">
        <f t="shared" si="3"/>
        <v>0</v>
      </c>
      <c r="BV25" s="10">
        <f t="shared" si="3"/>
        <v>1</v>
      </c>
      <c r="BW25" s="10">
        <f t="shared" si="3"/>
        <v>0</v>
      </c>
      <c r="BX25" s="10">
        <f t="shared" si="3"/>
        <v>8</v>
      </c>
      <c r="BY25" s="10">
        <f t="shared" si="3"/>
        <v>0</v>
      </c>
      <c r="BZ25" s="10">
        <f t="shared" si="3"/>
        <v>0</v>
      </c>
      <c r="CA25" s="85">
        <f t="shared" si="3"/>
        <v>1</v>
      </c>
      <c r="CB25" s="84">
        <f t="shared" ref="CB25:CH25" si="4">SUM(CB3:CB24)</f>
        <v>0</v>
      </c>
      <c r="CC25" s="10">
        <f t="shared" si="4"/>
        <v>0</v>
      </c>
      <c r="CD25" s="10">
        <f t="shared" si="4"/>
        <v>0</v>
      </c>
      <c r="CE25" s="10">
        <f t="shared" si="4"/>
        <v>0</v>
      </c>
      <c r="CF25" s="10">
        <f t="shared" si="4"/>
        <v>0</v>
      </c>
      <c r="CG25" s="10">
        <f t="shared" si="4"/>
        <v>0</v>
      </c>
      <c r="CH25" s="85">
        <f t="shared" si="4"/>
        <v>0</v>
      </c>
      <c r="CI25" s="87">
        <f>SUM(CI3:CI24)</f>
        <v>92</v>
      </c>
      <c r="CJ25" s="91">
        <f>SUM(CJ3:CJ24)</f>
        <v>1.0000000000000002</v>
      </c>
    </row>
    <row r="26" spans="1:88" ht="13" thickBot="1" x14ac:dyDescent="0.3"/>
    <row r="27" spans="1:88" ht="13" customHeight="1" thickBot="1" x14ac:dyDescent="0.3">
      <c r="A27" s="537" t="s">
        <v>22</v>
      </c>
      <c r="B27" s="538"/>
      <c r="C27" s="529" t="s">
        <v>190</v>
      </c>
      <c r="D27" s="530"/>
      <c r="E27" s="530"/>
      <c r="F27" s="530"/>
      <c r="G27" s="530"/>
      <c r="H27" s="530"/>
      <c r="I27" s="531"/>
      <c r="J27" s="529" t="s">
        <v>191</v>
      </c>
      <c r="K27" s="530"/>
      <c r="L27" s="530"/>
      <c r="M27" s="530"/>
      <c r="N27" s="530"/>
      <c r="O27" s="530"/>
      <c r="P27" s="531"/>
      <c r="Q27" s="529" t="s">
        <v>192</v>
      </c>
      <c r="R27" s="530"/>
      <c r="S27" s="530"/>
      <c r="T27" s="530"/>
      <c r="U27" s="530"/>
      <c r="V27" s="530"/>
      <c r="W27" s="531"/>
      <c r="X27" s="530" t="s">
        <v>193</v>
      </c>
      <c r="Y27" s="530"/>
      <c r="Z27" s="530"/>
      <c r="AA27" s="530"/>
      <c r="AB27" s="530"/>
      <c r="AC27" s="530"/>
      <c r="AD27" s="531"/>
      <c r="AE27" s="529" t="s">
        <v>194</v>
      </c>
      <c r="AF27" s="530"/>
      <c r="AG27" s="530"/>
      <c r="AH27" s="530"/>
      <c r="AI27" s="530"/>
      <c r="AJ27" s="530"/>
      <c r="AK27" s="531"/>
      <c r="AL27" s="529" t="s">
        <v>195</v>
      </c>
      <c r="AM27" s="530"/>
      <c r="AN27" s="530"/>
      <c r="AO27" s="530"/>
      <c r="AP27" s="530"/>
      <c r="AQ27" s="530"/>
      <c r="AR27" s="531"/>
      <c r="AS27" s="529" t="s">
        <v>196</v>
      </c>
      <c r="AT27" s="530"/>
      <c r="AU27" s="530"/>
      <c r="AV27" s="530"/>
      <c r="AW27" s="530"/>
      <c r="AX27" s="530"/>
      <c r="AY27" s="531"/>
      <c r="AZ27" s="529" t="s">
        <v>197</v>
      </c>
      <c r="BA27" s="530"/>
      <c r="BB27" s="530"/>
      <c r="BC27" s="530"/>
      <c r="BD27" s="530"/>
      <c r="BE27" s="530"/>
      <c r="BF27" s="531"/>
      <c r="BG27" s="529" t="s">
        <v>198</v>
      </c>
      <c r="BH27" s="530"/>
      <c r="BI27" s="530"/>
      <c r="BJ27" s="530"/>
      <c r="BK27" s="530"/>
      <c r="BL27" s="530"/>
      <c r="BM27" s="531"/>
      <c r="BN27" s="529" t="s">
        <v>199</v>
      </c>
      <c r="BO27" s="530"/>
      <c r="BP27" s="530"/>
      <c r="BQ27" s="530"/>
      <c r="BR27" s="530"/>
      <c r="BS27" s="530"/>
      <c r="BT27" s="531"/>
      <c r="BU27" s="529" t="s">
        <v>200</v>
      </c>
      <c r="BV27" s="530"/>
      <c r="BW27" s="530"/>
      <c r="BX27" s="530"/>
      <c r="BY27" s="530"/>
      <c r="BZ27" s="530"/>
      <c r="CA27" s="531"/>
      <c r="CB27" s="529" t="s">
        <v>201</v>
      </c>
      <c r="CC27" s="530"/>
      <c r="CD27" s="530"/>
      <c r="CE27" s="530"/>
      <c r="CF27" s="530"/>
      <c r="CG27" s="530"/>
      <c r="CH27" s="530"/>
      <c r="CI27" s="550" t="s">
        <v>5</v>
      </c>
      <c r="CJ27" s="552" t="s">
        <v>221</v>
      </c>
    </row>
    <row r="28" spans="1:88" ht="13" thickBot="1" x14ac:dyDescent="0.3">
      <c r="A28" s="539"/>
      <c r="B28" s="540"/>
      <c r="C28" s="96" t="s">
        <v>6</v>
      </c>
      <c r="D28" s="97" t="s">
        <v>2</v>
      </c>
      <c r="E28" s="97" t="s">
        <v>3</v>
      </c>
      <c r="F28" s="97" t="s">
        <v>1</v>
      </c>
      <c r="G28" s="97" t="s">
        <v>0</v>
      </c>
      <c r="H28" s="97" t="s">
        <v>53</v>
      </c>
      <c r="I28" s="98" t="s">
        <v>12</v>
      </c>
      <c r="J28" s="96" t="s">
        <v>6</v>
      </c>
      <c r="K28" s="97" t="s">
        <v>2</v>
      </c>
      <c r="L28" s="97" t="s">
        <v>3</v>
      </c>
      <c r="M28" s="97" t="s">
        <v>1</v>
      </c>
      <c r="N28" s="97" t="s">
        <v>0</v>
      </c>
      <c r="O28" s="97" t="s">
        <v>53</v>
      </c>
      <c r="P28" s="98" t="s">
        <v>12</v>
      </c>
      <c r="Q28" s="96" t="s">
        <v>6</v>
      </c>
      <c r="R28" s="97" t="s">
        <v>2</v>
      </c>
      <c r="S28" s="97" t="s">
        <v>3</v>
      </c>
      <c r="T28" s="97" t="s">
        <v>1</v>
      </c>
      <c r="U28" s="97" t="s">
        <v>0</v>
      </c>
      <c r="V28" s="97" t="s">
        <v>53</v>
      </c>
      <c r="W28" s="98" t="s">
        <v>12</v>
      </c>
      <c r="X28" s="121" t="s">
        <v>6</v>
      </c>
      <c r="Y28" s="97" t="s">
        <v>2</v>
      </c>
      <c r="Z28" s="97" t="s">
        <v>3</v>
      </c>
      <c r="AA28" s="97" t="s">
        <v>1</v>
      </c>
      <c r="AB28" s="97" t="s">
        <v>0</v>
      </c>
      <c r="AC28" s="97" t="s">
        <v>53</v>
      </c>
      <c r="AD28" s="98" t="s">
        <v>12</v>
      </c>
      <c r="AE28" s="96" t="s">
        <v>6</v>
      </c>
      <c r="AF28" s="97" t="s">
        <v>2</v>
      </c>
      <c r="AG28" s="97" t="s">
        <v>3</v>
      </c>
      <c r="AH28" s="97" t="s">
        <v>1</v>
      </c>
      <c r="AI28" s="97" t="s">
        <v>0</v>
      </c>
      <c r="AJ28" s="97" t="s">
        <v>53</v>
      </c>
      <c r="AK28" s="98" t="s">
        <v>12</v>
      </c>
      <c r="AL28" s="96" t="s">
        <v>6</v>
      </c>
      <c r="AM28" s="97" t="s">
        <v>2</v>
      </c>
      <c r="AN28" s="97" t="s">
        <v>3</v>
      </c>
      <c r="AO28" s="97" t="s">
        <v>1</v>
      </c>
      <c r="AP28" s="97" t="s">
        <v>0</v>
      </c>
      <c r="AQ28" s="97" t="s">
        <v>53</v>
      </c>
      <c r="AR28" s="98" t="s">
        <v>12</v>
      </c>
      <c r="AS28" s="96" t="s">
        <v>6</v>
      </c>
      <c r="AT28" s="97" t="s">
        <v>2</v>
      </c>
      <c r="AU28" s="97" t="s">
        <v>3</v>
      </c>
      <c r="AV28" s="97" t="s">
        <v>1</v>
      </c>
      <c r="AW28" s="97" t="s">
        <v>0</v>
      </c>
      <c r="AX28" s="97" t="s">
        <v>53</v>
      </c>
      <c r="AY28" s="98" t="s">
        <v>12</v>
      </c>
      <c r="AZ28" s="96" t="s">
        <v>6</v>
      </c>
      <c r="BA28" s="97" t="s">
        <v>2</v>
      </c>
      <c r="BB28" s="97" t="s">
        <v>3</v>
      </c>
      <c r="BC28" s="97" t="s">
        <v>1</v>
      </c>
      <c r="BD28" s="97" t="s">
        <v>0</v>
      </c>
      <c r="BE28" s="97" t="s">
        <v>53</v>
      </c>
      <c r="BF28" s="98" t="s">
        <v>12</v>
      </c>
      <c r="BG28" s="96" t="s">
        <v>6</v>
      </c>
      <c r="BH28" s="97" t="s">
        <v>2</v>
      </c>
      <c r="BI28" s="97" t="s">
        <v>3</v>
      </c>
      <c r="BJ28" s="97" t="s">
        <v>1</v>
      </c>
      <c r="BK28" s="97" t="s">
        <v>0</v>
      </c>
      <c r="BL28" s="97" t="s">
        <v>53</v>
      </c>
      <c r="BM28" s="98" t="s">
        <v>12</v>
      </c>
      <c r="BN28" s="96" t="s">
        <v>6</v>
      </c>
      <c r="BO28" s="97" t="s">
        <v>2</v>
      </c>
      <c r="BP28" s="97" t="s">
        <v>3</v>
      </c>
      <c r="BQ28" s="97" t="s">
        <v>1</v>
      </c>
      <c r="BR28" s="97" t="s">
        <v>0</v>
      </c>
      <c r="BS28" s="97" t="s">
        <v>53</v>
      </c>
      <c r="BT28" s="98" t="s">
        <v>12</v>
      </c>
      <c r="BU28" s="96" t="s">
        <v>6</v>
      </c>
      <c r="BV28" s="97" t="s">
        <v>2</v>
      </c>
      <c r="BW28" s="97" t="s">
        <v>3</v>
      </c>
      <c r="BX28" s="97" t="s">
        <v>1</v>
      </c>
      <c r="BY28" s="97" t="s">
        <v>0</v>
      </c>
      <c r="BZ28" s="97" t="s">
        <v>53</v>
      </c>
      <c r="CA28" s="98" t="s">
        <v>12</v>
      </c>
      <c r="CB28" s="96" t="s">
        <v>6</v>
      </c>
      <c r="CC28" s="97" t="s">
        <v>2</v>
      </c>
      <c r="CD28" s="97" t="s">
        <v>3</v>
      </c>
      <c r="CE28" s="97" t="s">
        <v>1</v>
      </c>
      <c r="CF28" s="97" t="s">
        <v>0</v>
      </c>
      <c r="CG28" s="97" t="s">
        <v>53</v>
      </c>
      <c r="CH28" s="99" t="s">
        <v>12</v>
      </c>
      <c r="CI28" s="551"/>
      <c r="CJ28" s="553"/>
    </row>
    <row r="29" spans="1:88" x14ac:dyDescent="0.25">
      <c r="A29" s="543" t="s">
        <v>33</v>
      </c>
      <c r="B29" s="544"/>
      <c r="C29" s="77"/>
      <c r="D29" s="13"/>
      <c r="E29" s="14"/>
      <c r="F29" s="1"/>
      <c r="G29" s="1"/>
      <c r="H29" s="1"/>
      <c r="I29" s="122"/>
      <c r="J29" s="77"/>
      <c r="K29" s="13"/>
      <c r="L29" s="14"/>
      <c r="M29" s="1"/>
      <c r="N29" s="1"/>
      <c r="O29" s="1"/>
      <c r="P29" s="122"/>
      <c r="Q29" s="77"/>
      <c r="R29" s="13"/>
      <c r="S29" s="14"/>
      <c r="T29" s="1"/>
      <c r="U29" s="1"/>
      <c r="V29" s="1"/>
      <c r="W29" s="122"/>
      <c r="X29" s="72"/>
      <c r="Y29" s="13"/>
      <c r="Z29" s="14"/>
      <c r="AA29" s="1"/>
      <c r="AB29" s="1"/>
      <c r="AC29" s="1"/>
      <c r="AD29" s="1"/>
      <c r="AE29" s="12"/>
      <c r="AF29" s="13"/>
      <c r="AG29" s="14"/>
      <c r="AH29" s="1"/>
      <c r="AI29" s="1"/>
      <c r="AJ29" s="1"/>
      <c r="AK29" s="1"/>
      <c r="AL29" s="12"/>
      <c r="AM29" s="13"/>
      <c r="AN29" s="14"/>
      <c r="AO29" s="1"/>
      <c r="AP29" s="1"/>
      <c r="AQ29" s="1"/>
      <c r="AR29" s="1"/>
      <c r="AS29" s="12"/>
      <c r="AT29" s="13"/>
      <c r="AU29" s="14"/>
      <c r="AV29" s="1"/>
      <c r="AW29" s="1"/>
      <c r="AX29" s="1"/>
      <c r="AY29" s="1"/>
      <c r="AZ29" s="12"/>
      <c r="BA29" s="13"/>
      <c r="BB29" s="14"/>
      <c r="BC29" s="1"/>
      <c r="BD29" s="1"/>
      <c r="BE29" s="1"/>
      <c r="BF29" s="1"/>
      <c r="BG29" s="12"/>
      <c r="BH29" s="13"/>
      <c r="BI29" s="14"/>
      <c r="BJ29" s="1"/>
      <c r="BK29" s="1"/>
      <c r="BL29" s="1"/>
      <c r="BM29" s="1"/>
      <c r="BN29" s="12"/>
      <c r="BO29" s="13"/>
      <c r="BP29" s="14"/>
      <c r="BQ29" s="1"/>
      <c r="BR29" s="1"/>
      <c r="BS29" s="1"/>
      <c r="BT29" s="1"/>
      <c r="BU29" s="12"/>
      <c r="BV29" s="13"/>
      <c r="BW29" s="14"/>
      <c r="BX29" s="1"/>
      <c r="BY29" s="1"/>
      <c r="BZ29" s="1"/>
      <c r="CA29" s="1"/>
      <c r="CB29" s="12"/>
      <c r="CC29" s="13"/>
      <c r="CD29" s="14"/>
      <c r="CE29" s="1"/>
      <c r="CF29" s="1"/>
      <c r="CG29" s="1"/>
      <c r="CH29" s="113"/>
      <c r="CI29" s="120"/>
      <c r="CJ29" s="120"/>
    </row>
    <row r="30" spans="1:88" x14ac:dyDescent="0.25">
      <c r="A30" s="533" t="s">
        <v>18</v>
      </c>
      <c r="B30" s="534"/>
      <c r="C30" s="78"/>
      <c r="D30" s="15"/>
      <c r="E30" s="16"/>
      <c r="F30" s="4"/>
      <c r="G30" s="4"/>
      <c r="H30" s="4"/>
      <c r="I30" s="123"/>
      <c r="J30" s="78"/>
      <c r="K30" s="15"/>
      <c r="L30" s="16"/>
      <c r="M30" s="4"/>
      <c r="N30" s="4"/>
      <c r="O30" s="4"/>
      <c r="P30" s="123"/>
      <c r="Q30" s="78"/>
      <c r="R30" s="15"/>
      <c r="S30" s="16"/>
      <c r="T30" s="4"/>
      <c r="U30" s="4"/>
      <c r="V30" s="4"/>
      <c r="W30" s="123"/>
      <c r="X30" s="73"/>
      <c r="Y30" s="15"/>
      <c r="Z30" s="16"/>
      <c r="AA30" s="4"/>
      <c r="AB30" s="4"/>
      <c r="AC30" s="4"/>
      <c r="AD30" s="4"/>
      <c r="AE30" s="15"/>
      <c r="AF30" s="15"/>
      <c r="AG30" s="16"/>
      <c r="AH30" s="4"/>
      <c r="AI30" s="4"/>
      <c r="AJ30" s="4"/>
      <c r="AK30" s="4"/>
      <c r="AL30" s="15"/>
      <c r="AM30" s="15"/>
      <c r="AN30" s="16"/>
      <c r="AO30" s="4"/>
      <c r="AP30" s="4"/>
      <c r="AQ30" s="4"/>
      <c r="AR30" s="4"/>
      <c r="AS30" s="15"/>
      <c r="AT30" s="15"/>
      <c r="AU30" s="16"/>
      <c r="AV30" s="4"/>
      <c r="AW30" s="4"/>
      <c r="AX30" s="4"/>
      <c r="AY30" s="4"/>
      <c r="AZ30" s="15"/>
      <c r="BA30" s="15"/>
      <c r="BB30" s="16"/>
      <c r="BC30" s="4"/>
      <c r="BD30" s="4"/>
      <c r="BE30" s="4"/>
      <c r="BF30" s="4"/>
      <c r="BG30" s="15"/>
      <c r="BH30" s="15"/>
      <c r="BI30" s="16"/>
      <c r="BJ30" s="4"/>
      <c r="BK30" s="4"/>
      <c r="BL30" s="4"/>
      <c r="BM30" s="4"/>
      <c r="BN30" s="15"/>
      <c r="BO30" s="15"/>
      <c r="BP30" s="16"/>
      <c r="BQ30" s="4"/>
      <c r="BR30" s="4"/>
      <c r="BS30" s="4"/>
      <c r="BT30" s="4"/>
      <c r="BU30" s="15"/>
      <c r="BV30" s="15"/>
      <c r="BW30" s="16"/>
      <c r="BX30" s="4"/>
      <c r="BY30" s="4"/>
      <c r="BZ30" s="4"/>
      <c r="CA30" s="4"/>
      <c r="CB30" s="15"/>
      <c r="CC30" s="15"/>
      <c r="CD30" s="16"/>
      <c r="CE30" s="4"/>
      <c r="CF30" s="4"/>
      <c r="CG30" s="4"/>
      <c r="CH30" s="114"/>
      <c r="CI30" s="118"/>
      <c r="CJ30" s="118"/>
    </row>
    <row r="31" spans="1:88" x14ac:dyDescent="0.25">
      <c r="A31" s="533" t="s">
        <v>88</v>
      </c>
      <c r="B31" s="534"/>
      <c r="C31" s="78"/>
      <c r="D31" s="15"/>
      <c r="E31" s="16"/>
      <c r="F31" s="4"/>
      <c r="G31" s="4"/>
      <c r="H31" s="4"/>
      <c r="I31" s="123"/>
      <c r="J31" s="78"/>
      <c r="K31" s="15"/>
      <c r="L31" s="16"/>
      <c r="M31" s="4"/>
      <c r="N31" s="4"/>
      <c r="O31" s="4"/>
      <c r="P31" s="123"/>
      <c r="Q31" s="78"/>
      <c r="R31" s="15"/>
      <c r="S31" s="16"/>
      <c r="T31" s="4"/>
      <c r="U31" s="4"/>
      <c r="V31" s="4"/>
      <c r="W31" s="123"/>
      <c r="X31" s="73"/>
      <c r="Y31" s="15"/>
      <c r="Z31" s="16"/>
      <c r="AA31" s="4"/>
      <c r="AB31" s="4"/>
      <c r="AC31" s="4"/>
      <c r="AD31" s="4"/>
      <c r="AE31" s="15"/>
      <c r="AF31" s="15"/>
      <c r="AG31" s="16"/>
      <c r="AH31" s="4"/>
      <c r="AI31" s="4"/>
      <c r="AJ31" s="4"/>
      <c r="AK31" s="4"/>
      <c r="AL31" s="15"/>
      <c r="AM31" s="15"/>
      <c r="AN31" s="16"/>
      <c r="AO31" s="4"/>
      <c r="AP31" s="4"/>
      <c r="AQ31" s="4"/>
      <c r="AR31" s="4"/>
      <c r="AS31" s="15"/>
      <c r="AT31" s="15"/>
      <c r="AU31" s="16"/>
      <c r="AV31" s="4"/>
      <c r="AW31" s="4"/>
      <c r="AX31" s="4"/>
      <c r="AY31" s="4"/>
      <c r="AZ31" s="15"/>
      <c r="BA31" s="15"/>
      <c r="BB31" s="16"/>
      <c r="BC31" s="4"/>
      <c r="BD31" s="4"/>
      <c r="BE31" s="4"/>
      <c r="BF31" s="4"/>
      <c r="BG31" s="15"/>
      <c r="BH31" s="15"/>
      <c r="BI31" s="16"/>
      <c r="BJ31" s="4"/>
      <c r="BK31" s="4"/>
      <c r="BL31" s="4"/>
      <c r="BM31" s="4"/>
      <c r="BN31" s="15"/>
      <c r="BO31" s="15"/>
      <c r="BP31" s="16"/>
      <c r="BQ31" s="4"/>
      <c r="BR31" s="4"/>
      <c r="BS31" s="4"/>
      <c r="BT31" s="4"/>
      <c r="BU31" s="15"/>
      <c r="BV31" s="15"/>
      <c r="BW31" s="16"/>
      <c r="BX31" s="4"/>
      <c r="BY31" s="4"/>
      <c r="BZ31" s="4"/>
      <c r="CA31" s="4"/>
      <c r="CB31" s="15"/>
      <c r="CC31" s="15"/>
      <c r="CD31" s="16"/>
      <c r="CE31" s="4"/>
      <c r="CF31" s="4"/>
      <c r="CG31" s="4"/>
      <c r="CH31" s="114"/>
      <c r="CI31" s="118"/>
      <c r="CJ31" s="118"/>
    </row>
    <row r="32" spans="1:88" x14ac:dyDescent="0.25">
      <c r="A32" s="533" t="s">
        <v>50</v>
      </c>
      <c r="B32" s="534"/>
      <c r="C32" s="78"/>
      <c r="D32" s="15"/>
      <c r="E32" s="16"/>
      <c r="F32" s="4"/>
      <c r="G32" s="4"/>
      <c r="H32" s="4"/>
      <c r="I32" s="123"/>
      <c r="J32" s="78"/>
      <c r="K32" s="15"/>
      <c r="L32" s="16"/>
      <c r="M32" s="4"/>
      <c r="N32" s="4"/>
      <c r="O32" s="4"/>
      <c r="P32" s="123"/>
      <c r="Q32" s="78"/>
      <c r="R32" s="15"/>
      <c r="S32" s="16"/>
      <c r="T32" s="4"/>
      <c r="U32" s="4"/>
      <c r="V32" s="4"/>
      <c r="W32" s="123"/>
      <c r="X32" s="73"/>
      <c r="Y32" s="15"/>
      <c r="Z32" s="16"/>
      <c r="AA32" s="4"/>
      <c r="AB32" s="4"/>
      <c r="AC32" s="4"/>
      <c r="AD32" s="4"/>
      <c r="AE32" s="15"/>
      <c r="AF32" s="15"/>
      <c r="AG32" s="16"/>
      <c r="AH32" s="4"/>
      <c r="AI32" s="4"/>
      <c r="AJ32" s="4"/>
      <c r="AK32" s="4"/>
      <c r="AL32" s="15"/>
      <c r="AM32" s="15"/>
      <c r="AN32" s="16"/>
      <c r="AO32" s="4"/>
      <c r="AP32" s="4"/>
      <c r="AQ32" s="4"/>
      <c r="AR32" s="4"/>
      <c r="AS32" s="15"/>
      <c r="AT32" s="15"/>
      <c r="AU32" s="16"/>
      <c r="AV32" s="4"/>
      <c r="AW32" s="4"/>
      <c r="AX32" s="4"/>
      <c r="AY32" s="4"/>
      <c r="AZ32" s="15"/>
      <c r="BA32" s="15"/>
      <c r="BB32" s="16"/>
      <c r="BC32" s="4"/>
      <c r="BD32" s="4"/>
      <c r="BE32" s="4"/>
      <c r="BF32" s="4"/>
      <c r="BG32" s="15"/>
      <c r="BH32" s="15"/>
      <c r="BI32" s="16"/>
      <c r="BJ32" s="4"/>
      <c r="BK32" s="4"/>
      <c r="BL32" s="4"/>
      <c r="BM32" s="4"/>
      <c r="BN32" s="15"/>
      <c r="BO32" s="15"/>
      <c r="BP32" s="16"/>
      <c r="BQ32" s="4"/>
      <c r="BR32" s="4"/>
      <c r="BS32" s="4"/>
      <c r="BT32" s="4"/>
      <c r="BU32" s="15"/>
      <c r="BV32" s="15"/>
      <c r="BW32" s="16"/>
      <c r="BX32" s="4"/>
      <c r="BY32" s="4"/>
      <c r="BZ32" s="4"/>
      <c r="CA32" s="4"/>
      <c r="CB32" s="15"/>
      <c r="CC32" s="15"/>
      <c r="CD32" s="16"/>
      <c r="CE32" s="4"/>
      <c r="CF32" s="4"/>
      <c r="CG32" s="4"/>
      <c r="CH32" s="114"/>
      <c r="CI32" s="118"/>
      <c r="CJ32" s="118"/>
    </row>
    <row r="33" spans="1:88" x14ac:dyDescent="0.25">
      <c r="A33" s="533" t="s">
        <v>41</v>
      </c>
      <c r="B33" s="534"/>
      <c r="C33" s="78"/>
      <c r="D33" s="15"/>
      <c r="E33" s="16"/>
      <c r="F33" s="4"/>
      <c r="G33" s="4"/>
      <c r="H33" s="4"/>
      <c r="I33" s="123"/>
      <c r="J33" s="78"/>
      <c r="K33" s="15"/>
      <c r="L33" s="16"/>
      <c r="M33" s="4"/>
      <c r="N33" s="4"/>
      <c r="O33" s="4"/>
      <c r="P33" s="123"/>
      <c r="Q33" s="78"/>
      <c r="R33" s="15"/>
      <c r="S33" s="16"/>
      <c r="T33" s="4"/>
      <c r="U33" s="4"/>
      <c r="V33" s="4"/>
      <c r="W33" s="123"/>
      <c r="X33" s="73"/>
      <c r="Y33" s="15"/>
      <c r="Z33" s="16"/>
      <c r="AA33" s="4"/>
      <c r="AB33" s="4"/>
      <c r="AC33" s="4"/>
      <c r="AD33" s="4"/>
      <c r="AE33" s="15"/>
      <c r="AF33" s="15"/>
      <c r="AG33" s="16"/>
      <c r="AH33" s="4"/>
      <c r="AI33" s="4"/>
      <c r="AJ33" s="4"/>
      <c r="AK33" s="4"/>
      <c r="AL33" s="15"/>
      <c r="AM33" s="15"/>
      <c r="AN33" s="16"/>
      <c r="AO33" s="4"/>
      <c r="AP33" s="4"/>
      <c r="AQ33" s="4"/>
      <c r="AR33" s="4"/>
      <c r="AS33" s="15"/>
      <c r="AT33" s="15"/>
      <c r="AU33" s="16"/>
      <c r="AV33" s="4"/>
      <c r="AW33" s="4"/>
      <c r="AX33" s="4"/>
      <c r="AY33" s="4"/>
      <c r="AZ33" s="15"/>
      <c r="BA33" s="15"/>
      <c r="BB33" s="16"/>
      <c r="BC33" s="4"/>
      <c r="BD33" s="4"/>
      <c r="BE33" s="4"/>
      <c r="BF33" s="4"/>
      <c r="BG33" s="15"/>
      <c r="BH33" s="15"/>
      <c r="BI33" s="16"/>
      <c r="BJ33" s="4"/>
      <c r="BK33" s="4"/>
      <c r="BL33" s="4"/>
      <c r="BM33" s="4"/>
      <c r="BN33" s="15"/>
      <c r="BO33" s="15"/>
      <c r="BP33" s="16"/>
      <c r="BQ33" s="4"/>
      <c r="BR33" s="4"/>
      <c r="BS33" s="4"/>
      <c r="BT33" s="4"/>
      <c r="BU33" s="15"/>
      <c r="BV33" s="15"/>
      <c r="BW33" s="16"/>
      <c r="BX33" s="4"/>
      <c r="BY33" s="4"/>
      <c r="BZ33" s="4"/>
      <c r="CA33" s="4"/>
      <c r="CB33" s="15"/>
      <c r="CC33" s="15"/>
      <c r="CD33" s="16"/>
      <c r="CE33" s="4"/>
      <c r="CF33" s="4"/>
      <c r="CG33" s="4"/>
      <c r="CH33" s="114"/>
      <c r="CI33" s="118"/>
      <c r="CJ33" s="118"/>
    </row>
    <row r="34" spans="1:88" x14ac:dyDescent="0.25">
      <c r="A34" s="533" t="s">
        <v>31</v>
      </c>
      <c r="B34" s="534"/>
      <c r="C34" s="78"/>
      <c r="D34" s="15"/>
      <c r="E34" s="16"/>
      <c r="F34" s="21"/>
      <c r="G34" s="4"/>
      <c r="H34" s="4"/>
      <c r="I34" s="123"/>
      <c r="J34" s="78"/>
      <c r="K34" s="15"/>
      <c r="L34" s="16"/>
      <c r="M34" s="21"/>
      <c r="N34" s="4"/>
      <c r="O34" s="4"/>
      <c r="P34" s="123"/>
      <c r="Q34" s="78"/>
      <c r="R34" s="15"/>
      <c r="S34" s="16"/>
      <c r="T34" s="21"/>
      <c r="U34" s="4"/>
      <c r="V34" s="4"/>
      <c r="W34" s="123"/>
      <c r="X34" s="73"/>
      <c r="Y34" s="15"/>
      <c r="Z34" s="16"/>
      <c r="AA34" s="21"/>
      <c r="AB34" s="4"/>
      <c r="AC34" s="4"/>
      <c r="AD34" s="4"/>
      <c r="AE34" s="15"/>
      <c r="AF34" s="15"/>
      <c r="AG34" s="16"/>
      <c r="AH34" s="21"/>
      <c r="AI34" s="4"/>
      <c r="AJ34" s="4"/>
      <c r="AK34" s="4"/>
      <c r="AL34" s="15"/>
      <c r="AM34" s="15"/>
      <c r="AN34" s="16"/>
      <c r="AO34" s="21"/>
      <c r="AP34" s="4"/>
      <c r="AQ34" s="4"/>
      <c r="AR34" s="4"/>
      <c r="AS34" s="15"/>
      <c r="AT34" s="15"/>
      <c r="AU34" s="16"/>
      <c r="AV34" s="21"/>
      <c r="AW34" s="4"/>
      <c r="AX34" s="4"/>
      <c r="AY34" s="4"/>
      <c r="AZ34" s="15"/>
      <c r="BA34" s="15"/>
      <c r="BB34" s="16"/>
      <c r="BC34" s="21"/>
      <c r="BD34" s="4"/>
      <c r="BE34" s="4"/>
      <c r="BF34" s="4"/>
      <c r="BG34" s="15"/>
      <c r="BH34" s="15"/>
      <c r="BI34" s="16"/>
      <c r="BJ34" s="21"/>
      <c r="BK34" s="4"/>
      <c r="BL34" s="4"/>
      <c r="BM34" s="4"/>
      <c r="BN34" s="15"/>
      <c r="BO34" s="15"/>
      <c r="BP34" s="16"/>
      <c r="BQ34" s="21"/>
      <c r="BR34" s="4"/>
      <c r="BS34" s="4"/>
      <c r="BT34" s="4"/>
      <c r="BU34" s="15"/>
      <c r="BV34" s="15"/>
      <c r="BW34" s="16"/>
      <c r="BX34" s="21"/>
      <c r="BY34" s="4"/>
      <c r="BZ34" s="4"/>
      <c r="CA34" s="4"/>
      <c r="CB34" s="15"/>
      <c r="CC34" s="15"/>
      <c r="CD34" s="16"/>
      <c r="CE34" s="21"/>
      <c r="CF34" s="4"/>
      <c r="CG34" s="4"/>
      <c r="CH34" s="114"/>
      <c r="CI34" s="118"/>
      <c r="CJ34" s="118"/>
    </row>
    <row r="35" spans="1:88" x14ac:dyDescent="0.25">
      <c r="A35" s="533" t="s">
        <v>28</v>
      </c>
      <c r="B35" s="534"/>
      <c r="C35" s="78"/>
      <c r="D35" s="15"/>
      <c r="E35" s="16"/>
      <c r="F35" s="4"/>
      <c r="G35" s="4"/>
      <c r="H35" s="4"/>
      <c r="I35" s="123"/>
      <c r="J35" s="78"/>
      <c r="K35" s="15"/>
      <c r="L35" s="16"/>
      <c r="M35" s="4"/>
      <c r="N35" s="4"/>
      <c r="O35" s="4"/>
      <c r="P35" s="123"/>
      <c r="Q35" s="78"/>
      <c r="R35" s="15"/>
      <c r="S35" s="16"/>
      <c r="T35" s="4"/>
      <c r="U35" s="4"/>
      <c r="V35" s="4"/>
      <c r="W35" s="123"/>
      <c r="X35" s="73"/>
      <c r="Y35" s="15"/>
      <c r="Z35" s="16"/>
      <c r="AA35" s="4"/>
      <c r="AB35" s="4"/>
      <c r="AC35" s="4"/>
      <c r="AD35" s="4"/>
      <c r="AE35" s="15"/>
      <c r="AF35" s="15"/>
      <c r="AG35" s="16"/>
      <c r="AH35" s="4"/>
      <c r="AI35" s="4"/>
      <c r="AJ35" s="4"/>
      <c r="AK35" s="4"/>
      <c r="AL35" s="15"/>
      <c r="AM35" s="15"/>
      <c r="AN35" s="16"/>
      <c r="AO35" s="4"/>
      <c r="AP35" s="4"/>
      <c r="AQ35" s="4"/>
      <c r="AR35" s="4"/>
      <c r="AS35" s="15"/>
      <c r="AT35" s="15"/>
      <c r="AU35" s="16"/>
      <c r="AV35" s="4"/>
      <c r="AW35" s="4"/>
      <c r="AX35" s="4"/>
      <c r="AY35" s="4"/>
      <c r="AZ35" s="15"/>
      <c r="BA35" s="15"/>
      <c r="BB35" s="16"/>
      <c r="BC35" s="4"/>
      <c r="BD35" s="4"/>
      <c r="BE35" s="4"/>
      <c r="BF35" s="4"/>
      <c r="BG35" s="15"/>
      <c r="BH35" s="15"/>
      <c r="BI35" s="16"/>
      <c r="BJ35" s="4"/>
      <c r="BK35" s="4"/>
      <c r="BL35" s="4"/>
      <c r="BM35" s="4"/>
      <c r="BN35" s="15"/>
      <c r="BO35" s="15"/>
      <c r="BP35" s="16"/>
      <c r="BQ35" s="4"/>
      <c r="BR35" s="4"/>
      <c r="BS35" s="4"/>
      <c r="BT35" s="4"/>
      <c r="BU35" s="15"/>
      <c r="BV35" s="15"/>
      <c r="BW35" s="16"/>
      <c r="BX35" s="4"/>
      <c r="BY35" s="4"/>
      <c r="BZ35" s="4"/>
      <c r="CA35" s="4"/>
      <c r="CB35" s="15"/>
      <c r="CC35" s="15"/>
      <c r="CD35" s="16"/>
      <c r="CE35" s="4"/>
      <c r="CF35" s="4"/>
      <c r="CG35" s="4"/>
      <c r="CH35" s="114"/>
      <c r="CI35" s="118"/>
      <c r="CJ35" s="118"/>
    </row>
    <row r="36" spans="1:88" x14ac:dyDescent="0.25">
      <c r="A36" s="533" t="s">
        <v>97</v>
      </c>
      <c r="B36" s="534"/>
      <c r="C36" s="78"/>
      <c r="D36" s="15"/>
      <c r="E36" s="16"/>
      <c r="F36" s="4"/>
      <c r="G36" s="4"/>
      <c r="H36" s="4"/>
      <c r="I36" s="123"/>
      <c r="J36" s="78"/>
      <c r="K36" s="15"/>
      <c r="L36" s="16"/>
      <c r="M36" s="4"/>
      <c r="N36" s="4"/>
      <c r="O36" s="4"/>
      <c r="P36" s="123"/>
      <c r="Q36" s="78"/>
      <c r="R36" s="15"/>
      <c r="S36" s="16"/>
      <c r="T36" s="4"/>
      <c r="U36" s="4"/>
      <c r="V36" s="4"/>
      <c r="W36" s="123"/>
      <c r="X36" s="73"/>
      <c r="Y36" s="15"/>
      <c r="Z36" s="16"/>
      <c r="AA36" s="4"/>
      <c r="AB36" s="4"/>
      <c r="AC36" s="4"/>
      <c r="AD36" s="4"/>
      <c r="AE36" s="15"/>
      <c r="AF36" s="15"/>
      <c r="AG36" s="16"/>
      <c r="AH36" s="4"/>
      <c r="AI36" s="4"/>
      <c r="AJ36" s="4"/>
      <c r="AK36" s="4"/>
      <c r="AL36" s="15"/>
      <c r="AM36" s="15"/>
      <c r="AN36" s="16"/>
      <c r="AO36" s="4"/>
      <c r="AP36" s="4"/>
      <c r="AQ36" s="4"/>
      <c r="AR36" s="4"/>
      <c r="AS36" s="15"/>
      <c r="AT36" s="15"/>
      <c r="AU36" s="16"/>
      <c r="AV36" s="4"/>
      <c r="AW36" s="4"/>
      <c r="AX36" s="4"/>
      <c r="AY36" s="4"/>
      <c r="AZ36" s="15"/>
      <c r="BA36" s="15"/>
      <c r="BB36" s="16"/>
      <c r="BC36" s="4"/>
      <c r="BD36" s="4"/>
      <c r="BE36" s="4"/>
      <c r="BF36" s="4"/>
      <c r="BG36" s="15"/>
      <c r="BH36" s="15"/>
      <c r="BI36" s="16"/>
      <c r="BJ36" s="4"/>
      <c r="BK36" s="4"/>
      <c r="BL36" s="4"/>
      <c r="BM36" s="4"/>
      <c r="BN36" s="15"/>
      <c r="BO36" s="15"/>
      <c r="BP36" s="16"/>
      <c r="BQ36" s="4"/>
      <c r="BR36" s="4"/>
      <c r="BS36" s="4"/>
      <c r="BT36" s="4"/>
      <c r="BU36" s="15"/>
      <c r="BV36" s="15"/>
      <c r="BW36" s="16"/>
      <c r="BX36" s="4"/>
      <c r="BY36" s="4"/>
      <c r="BZ36" s="4"/>
      <c r="CA36" s="4"/>
      <c r="CB36" s="15"/>
      <c r="CC36" s="15"/>
      <c r="CD36" s="16"/>
      <c r="CE36" s="4"/>
      <c r="CF36" s="4"/>
      <c r="CG36" s="4"/>
      <c r="CH36" s="114"/>
      <c r="CI36" s="118"/>
      <c r="CJ36" s="118"/>
    </row>
    <row r="37" spans="1:88" x14ac:dyDescent="0.25">
      <c r="A37" s="533" t="s">
        <v>93</v>
      </c>
      <c r="B37" s="534"/>
      <c r="C37" s="78"/>
      <c r="D37" s="15"/>
      <c r="E37" s="16"/>
      <c r="F37" s="4"/>
      <c r="G37" s="4"/>
      <c r="H37" s="4"/>
      <c r="I37" s="123"/>
      <c r="J37" s="78"/>
      <c r="K37" s="15"/>
      <c r="L37" s="16"/>
      <c r="M37" s="4"/>
      <c r="N37" s="4"/>
      <c r="O37" s="4"/>
      <c r="P37" s="123"/>
      <c r="Q37" s="78"/>
      <c r="R37" s="15"/>
      <c r="S37" s="16"/>
      <c r="T37" s="4"/>
      <c r="U37" s="4"/>
      <c r="V37" s="4"/>
      <c r="W37" s="123"/>
      <c r="X37" s="73"/>
      <c r="Y37" s="15"/>
      <c r="Z37" s="16"/>
      <c r="AA37" s="4"/>
      <c r="AB37" s="4"/>
      <c r="AC37" s="4"/>
      <c r="AD37" s="4"/>
      <c r="AE37" s="15"/>
      <c r="AF37" s="15"/>
      <c r="AG37" s="16"/>
      <c r="AH37" s="4"/>
      <c r="AI37" s="4"/>
      <c r="AJ37" s="4"/>
      <c r="AK37" s="4"/>
      <c r="AL37" s="15"/>
      <c r="AM37" s="15"/>
      <c r="AN37" s="16"/>
      <c r="AO37" s="4"/>
      <c r="AP37" s="4"/>
      <c r="AQ37" s="4"/>
      <c r="AR37" s="4"/>
      <c r="AS37" s="15"/>
      <c r="AT37" s="15"/>
      <c r="AU37" s="16"/>
      <c r="AV37" s="4"/>
      <c r="AW37" s="4"/>
      <c r="AX37" s="4"/>
      <c r="AY37" s="4"/>
      <c r="AZ37" s="15"/>
      <c r="BA37" s="15"/>
      <c r="BB37" s="16"/>
      <c r="BC37" s="4"/>
      <c r="BD37" s="4"/>
      <c r="BE37" s="4"/>
      <c r="BF37" s="4"/>
      <c r="BG37" s="15"/>
      <c r="BH37" s="15"/>
      <c r="BI37" s="16"/>
      <c r="BJ37" s="4"/>
      <c r="BK37" s="4"/>
      <c r="BL37" s="4"/>
      <c r="BM37" s="4"/>
      <c r="BN37" s="15"/>
      <c r="BO37" s="15"/>
      <c r="BP37" s="16"/>
      <c r="BQ37" s="4"/>
      <c r="BR37" s="4"/>
      <c r="BS37" s="4"/>
      <c r="BT37" s="4"/>
      <c r="BU37" s="15"/>
      <c r="BV37" s="15"/>
      <c r="BW37" s="16"/>
      <c r="BX37" s="4"/>
      <c r="BY37" s="4"/>
      <c r="BZ37" s="4"/>
      <c r="CA37" s="4"/>
      <c r="CB37" s="15"/>
      <c r="CC37" s="15"/>
      <c r="CD37" s="16"/>
      <c r="CE37" s="4"/>
      <c r="CF37" s="4"/>
      <c r="CG37" s="4"/>
      <c r="CH37" s="114"/>
      <c r="CI37" s="118"/>
      <c r="CJ37" s="118"/>
    </row>
    <row r="38" spans="1:88" x14ac:dyDescent="0.25">
      <c r="A38" s="547" t="s">
        <v>29</v>
      </c>
      <c r="B38" s="526"/>
      <c r="C38" s="78"/>
      <c r="D38" s="15"/>
      <c r="E38" s="16"/>
      <c r="F38" s="4"/>
      <c r="G38" s="4"/>
      <c r="H38" s="4"/>
      <c r="I38" s="123"/>
      <c r="J38" s="78"/>
      <c r="K38" s="15"/>
      <c r="L38" s="16"/>
      <c r="M38" s="4"/>
      <c r="N38" s="4"/>
      <c r="O38" s="4"/>
      <c r="P38" s="123"/>
      <c r="Q38" s="78"/>
      <c r="R38" s="15"/>
      <c r="S38" s="16"/>
      <c r="T38" s="4"/>
      <c r="U38" s="4"/>
      <c r="V38" s="4"/>
      <c r="W38" s="123"/>
      <c r="X38" s="73"/>
      <c r="Y38" s="15"/>
      <c r="Z38" s="16"/>
      <c r="AA38" s="4"/>
      <c r="AB38" s="4"/>
      <c r="AC38" s="4"/>
      <c r="AD38" s="4"/>
      <c r="AE38" s="15"/>
      <c r="AF38" s="15"/>
      <c r="AG38" s="16"/>
      <c r="AH38" s="4"/>
      <c r="AI38" s="4"/>
      <c r="AJ38" s="4"/>
      <c r="AK38" s="4"/>
      <c r="AL38" s="15"/>
      <c r="AM38" s="15"/>
      <c r="AN38" s="16"/>
      <c r="AO38" s="4"/>
      <c r="AP38" s="4"/>
      <c r="AQ38" s="4"/>
      <c r="AR38" s="4"/>
      <c r="AS38" s="15"/>
      <c r="AT38" s="15"/>
      <c r="AU38" s="16"/>
      <c r="AV38" s="4"/>
      <c r="AW38" s="4"/>
      <c r="AX38" s="4"/>
      <c r="AY38" s="4"/>
      <c r="AZ38" s="15"/>
      <c r="BA38" s="15"/>
      <c r="BB38" s="16"/>
      <c r="BC38" s="4"/>
      <c r="BD38" s="4"/>
      <c r="BE38" s="4"/>
      <c r="BF38" s="4"/>
      <c r="BG38" s="15"/>
      <c r="BH38" s="15"/>
      <c r="BI38" s="16"/>
      <c r="BJ38" s="4"/>
      <c r="BK38" s="4"/>
      <c r="BL38" s="4"/>
      <c r="BM38" s="4"/>
      <c r="BN38" s="15"/>
      <c r="BO38" s="15"/>
      <c r="BP38" s="16"/>
      <c r="BQ38" s="4"/>
      <c r="BR38" s="4"/>
      <c r="BS38" s="4"/>
      <c r="BT38" s="4"/>
      <c r="BU38" s="15"/>
      <c r="BV38" s="15"/>
      <c r="BW38" s="16"/>
      <c r="BX38" s="4"/>
      <c r="BY38" s="4"/>
      <c r="BZ38" s="4"/>
      <c r="CA38" s="4"/>
      <c r="CB38" s="15"/>
      <c r="CC38" s="15"/>
      <c r="CD38" s="16"/>
      <c r="CE38" s="4"/>
      <c r="CF38" s="4"/>
      <c r="CG38" s="4"/>
      <c r="CH38" s="114"/>
      <c r="CI38" s="118"/>
      <c r="CJ38" s="118"/>
    </row>
    <row r="39" spans="1:88" x14ac:dyDescent="0.25">
      <c r="A39" s="548" t="s">
        <v>94</v>
      </c>
      <c r="B39" s="549"/>
      <c r="C39" s="78"/>
      <c r="D39" s="15"/>
      <c r="E39" s="16"/>
      <c r="F39" s="4"/>
      <c r="G39" s="4"/>
      <c r="H39" s="4"/>
      <c r="I39" s="123"/>
      <c r="J39" s="78"/>
      <c r="K39" s="15"/>
      <c r="L39" s="16"/>
      <c r="M39" s="4"/>
      <c r="N39" s="4"/>
      <c r="O39" s="4"/>
      <c r="P39" s="123"/>
      <c r="Q39" s="78"/>
      <c r="R39" s="15"/>
      <c r="S39" s="16"/>
      <c r="T39" s="4"/>
      <c r="U39" s="4"/>
      <c r="V39" s="4"/>
      <c r="W39" s="123"/>
      <c r="X39" s="73"/>
      <c r="Y39" s="15"/>
      <c r="Z39" s="16"/>
      <c r="AA39" s="4"/>
      <c r="AB39" s="4"/>
      <c r="AC39" s="4"/>
      <c r="AD39" s="4"/>
      <c r="AE39" s="15"/>
      <c r="AF39" s="15"/>
      <c r="AG39" s="16"/>
      <c r="AH39" s="4"/>
      <c r="AI39" s="4"/>
      <c r="AJ39" s="4"/>
      <c r="AK39" s="4"/>
      <c r="AL39" s="15"/>
      <c r="AM39" s="15"/>
      <c r="AN39" s="16"/>
      <c r="AO39" s="4"/>
      <c r="AP39" s="4"/>
      <c r="AQ39" s="4"/>
      <c r="AR39" s="4"/>
      <c r="AS39" s="15"/>
      <c r="AT39" s="15"/>
      <c r="AU39" s="16"/>
      <c r="AV39" s="4"/>
      <c r="AW39" s="4"/>
      <c r="AX39" s="4"/>
      <c r="AY39" s="4"/>
      <c r="AZ39" s="15"/>
      <c r="BA39" s="15"/>
      <c r="BB39" s="16"/>
      <c r="BC39" s="4"/>
      <c r="BD39" s="4"/>
      <c r="BE39" s="4"/>
      <c r="BF39" s="4"/>
      <c r="BG39" s="15"/>
      <c r="BH39" s="15"/>
      <c r="BI39" s="16"/>
      <c r="BJ39" s="4"/>
      <c r="BK39" s="4"/>
      <c r="BL39" s="4"/>
      <c r="BM39" s="4"/>
      <c r="BN39" s="15"/>
      <c r="BO39" s="15"/>
      <c r="BP39" s="16"/>
      <c r="BQ39" s="4"/>
      <c r="BR39" s="4"/>
      <c r="BS39" s="4"/>
      <c r="BT39" s="4"/>
      <c r="BU39" s="15"/>
      <c r="BV39" s="15"/>
      <c r="BW39" s="16"/>
      <c r="BX39" s="4"/>
      <c r="BY39" s="4"/>
      <c r="BZ39" s="4"/>
      <c r="CA39" s="4"/>
      <c r="CB39" s="15"/>
      <c r="CC39" s="15"/>
      <c r="CD39" s="16"/>
      <c r="CE39" s="4"/>
      <c r="CF39" s="4"/>
      <c r="CG39" s="4"/>
      <c r="CH39" s="114"/>
      <c r="CI39" s="118"/>
      <c r="CJ39" s="118"/>
    </row>
    <row r="40" spans="1:88" x14ac:dyDescent="0.25">
      <c r="A40" s="548" t="s">
        <v>99</v>
      </c>
      <c r="B40" s="549"/>
      <c r="C40" s="78"/>
      <c r="D40" s="15"/>
      <c r="E40" s="16"/>
      <c r="F40" s="4"/>
      <c r="G40" s="4"/>
      <c r="H40" s="4"/>
      <c r="I40" s="123"/>
      <c r="J40" s="78"/>
      <c r="K40" s="15"/>
      <c r="L40" s="16"/>
      <c r="M40" s="4"/>
      <c r="N40" s="4"/>
      <c r="O40" s="4"/>
      <c r="P40" s="123"/>
      <c r="Q40" s="78"/>
      <c r="R40" s="15"/>
      <c r="S40" s="16"/>
      <c r="T40" s="4"/>
      <c r="U40" s="4"/>
      <c r="V40" s="4"/>
      <c r="W40" s="123"/>
      <c r="X40" s="73"/>
      <c r="Y40" s="15"/>
      <c r="Z40" s="16"/>
      <c r="AA40" s="4"/>
      <c r="AB40" s="4"/>
      <c r="AC40" s="4"/>
      <c r="AD40" s="4"/>
      <c r="AE40" s="15"/>
      <c r="AF40" s="15"/>
      <c r="AG40" s="16"/>
      <c r="AH40" s="4"/>
      <c r="AI40" s="4"/>
      <c r="AJ40" s="4"/>
      <c r="AK40" s="4"/>
      <c r="AL40" s="15"/>
      <c r="AM40" s="15"/>
      <c r="AN40" s="16"/>
      <c r="AO40" s="4"/>
      <c r="AP40" s="4"/>
      <c r="AQ40" s="4"/>
      <c r="AR40" s="4"/>
      <c r="AS40" s="15"/>
      <c r="AT40" s="15"/>
      <c r="AU40" s="16"/>
      <c r="AV40" s="4"/>
      <c r="AW40" s="4"/>
      <c r="AX40" s="4"/>
      <c r="AY40" s="4"/>
      <c r="AZ40" s="15"/>
      <c r="BA40" s="15"/>
      <c r="BB40" s="16"/>
      <c r="BC40" s="4"/>
      <c r="BD40" s="4"/>
      <c r="BE40" s="4"/>
      <c r="BF40" s="4"/>
      <c r="BG40" s="15"/>
      <c r="BH40" s="15"/>
      <c r="BI40" s="16"/>
      <c r="BJ40" s="4"/>
      <c r="BK40" s="4"/>
      <c r="BL40" s="4"/>
      <c r="BM40" s="4"/>
      <c r="BN40" s="15"/>
      <c r="BO40" s="15"/>
      <c r="BP40" s="16"/>
      <c r="BQ40" s="4"/>
      <c r="BR40" s="4"/>
      <c r="BS40" s="4"/>
      <c r="BT40" s="4"/>
      <c r="BU40" s="15"/>
      <c r="BV40" s="15"/>
      <c r="BW40" s="16"/>
      <c r="BX40" s="4"/>
      <c r="BY40" s="4"/>
      <c r="BZ40" s="4"/>
      <c r="CA40" s="4"/>
      <c r="CB40" s="15"/>
      <c r="CC40" s="15"/>
      <c r="CD40" s="16"/>
      <c r="CE40" s="4"/>
      <c r="CF40" s="4"/>
      <c r="CG40" s="4"/>
      <c r="CH40" s="114"/>
      <c r="CI40" s="118"/>
      <c r="CJ40" s="118"/>
    </row>
    <row r="41" spans="1:88" x14ac:dyDescent="0.25">
      <c r="A41" s="548" t="s">
        <v>87</v>
      </c>
      <c r="B41" s="549"/>
      <c r="C41" s="78"/>
      <c r="D41" s="15"/>
      <c r="E41" s="16"/>
      <c r="F41" s="4"/>
      <c r="G41" s="4"/>
      <c r="H41" s="4"/>
      <c r="I41" s="123"/>
      <c r="J41" s="78"/>
      <c r="K41" s="15"/>
      <c r="L41" s="16"/>
      <c r="M41" s="4"/>
      <c r="N41" s="4"/>
      <c r="O41" s="4"/>
      <c r="P41" s="123"/>
      <c r="Q41" s="78"/>
      <c r="R41" s="15"/>
      <c r="S41" s="16"/>
      <c r="T41" s="4"/>
      <c r="U41" s="4"/>
      <c r="V41" s="4"/>
      <c r="W41" s="123"/>
      <c r="X41" s="73"/>
      <c r="Y41" s="15"/>
      <c r="Z41" s="16"/>
      <c r="AA41" s="4"/>
      <c r="AB41" s="4"/>
      <c r="AC41" s="4"/>
      <c r="AD41" s="4"/>
      <c r="AE41" s="15"/>
      <c r="AF41" s="15"/>
      <c r="AG41" s="16"/>
      <c r="AH41" s="4"/>
      <c r="AI41" s="4"/>
      <c r="AJ41" s="4"/>
      <c r="AK41" s="4"/>
      <c r="AL41" s="15"/>
      <c r="AM41" s="15"/>
      <c r="AN41" s="16"/>
      <c r="AO41" s="4"/>
      <c r="AP41" s="4"/>
      <c r="AQ41" s="4"/>
      <c r="AR41" s="4"/>
      <c r="AS41" s="15"/>
      <c r="AT41" s="15"/>
      <c r="AU41" s="16"/>
      <c r="AV41" s="4"/>
      <c r="AW41" s="4"/>
      <c r="AX41" s="4"/>
      <c r="AY41" s="4"/>
      <c r="AZ41" s="15"/>
      <c r="BA41" s="15"/>
      <c r="BB41" s="16"/>
      <c r="BC41" s="4"/>
      <c r="BD41" s="4"/>
      <c r="BE41" s="4"/>
      <c r="BF41" s="4"/>
      <c r="BG41" s="15"/>
      <c r="BH41" s="15"/>
      <c r="BI41" s="16"/>
      <c r="BJ41" s="4"/>
      <c r="BK41" s="4"/>
      <c r="BL41" s="4"/>
      <c r="BM41" s="4"/>
      <c r="BN41" s="15"/>
      <c r="BO41" s="15"/>
      <c r="BP41" s="16"/>
      <c r="BQ41" s="4"/>
      <c r="BR41" s="4"/>
      <c r="BS41" s="4"/>
      <c r="BT41" s="4"/>
      <c r="BU41" s="15"/>
      <c r="BV41" s="15"/>
      <c r="BW41" s="16"/>
      <c r="BX41" s="4"/>
      <c r="BY41" s="4"/>
      <c r="BZ41" s="4"/>
      <c r="CA41" s="4"/>
      <c r="CB41" s="15"/>
      <c r="CC41" s="15"/>
      <c r="CD41" s="16"/>
      <c r="CE41" s="4"/>
      <c r="CF41" s="4"/>
      <c r="CG41" s="4"/>
      <c r="CH41" s="114"/>
      <c r="CI41" s="118"/>
      <c r="CJ41" s="118"/>
    </row>
    <row r="42" spans="1:88" x14ac:dyDescent="0.25">
      <c r="A42" s="548" t="s">
        <v>85</v>
      </c>
      <c r="B42" s="549"/>
      <c r="C42" s="78"/>
      <c r="D42" s="15"/>
      <c r="E42" s="16"/>
      <c r="F42" s="4"/>
      <c r="G42" s="4"/>
      <c r="H42" s="4"/>
      <c r="I42" s="123"/>
      <c r="J42" s="78"/>
      <c r="K42" s="15"/>
      <c r="L42" s="16"/>
      <c r="M42" s="4"/>
      <c r="N42" s="4"/>
      <c r="O42" s="4"/>
      <c r="P42" s="123"/>
      <c r="Q42" s="78"/>
      <c r="R42" s="15"/>
      <c r="S42" s="16"/>
      <c r="T42" s="4"/>
      <c r="U42" s="4"/>
      <c r="V42" s="4"/>
      <c r="W42" s="123"/>
      <c r="X42" s="73"/>
      <c r="Y42" s="15"/>
      <c r="Z42" s="16"/>
      <c r="AA42" s="4"/>
      <c r="AB42" s="4"/>
      <c r="AC42" s="4"/>
      <c r="AD42" s="4"/>
      <c r="AE42" s="15"/>
      <c r="AF42" s="15"/>
      <c r="AG42" s="16"/>
      <c r="AH42" s="4"/>
      <c r="AI42" s="4"/>
      <c r="AJ42" s="4"/>
      <c r="AK42" s="4"/>
      <c r="AL42" s="15"/>
      <c r="AM42" s="15"/>
      <c r="AN42" s="16"/>
      <c r="AO42" s="4"/>
      <c r="AP42" s="4"/>
      <c r="AQ42" s="4"/>
      <c r="AR42" s="4"/>
      <c r="AS42" s="15"/>
      <c r="AT42" s="15"/>
      <c r="AU42" s="16"/>
      <c r="AV42" s="4"/>
      <c r="AW42" s="4"/>
      <c r="AX42" s="4"/>
      <c r="AY42" s="4"/>
      <c r="AZ42" s="15"/>
      <c r="BA42" s="15"/>
      <c r="BB42" s="16"/>
      <c r="BC42" s="4"/>
      <c r="BD42" s="4"/>
      <c r="BE42" s="4"/>
      <c r="BF42" s="4"/>
      <c r="BG42" s="15"/>
      <c r="BH42" s="15"/>
      <c r="BI42" s="16"/>
      <c r="BJ42" s="4"/>
      <c r="BK42" s="4"/>
      <c r="BL42" s="4"/>
      <c r="BM42" s="4"/>
      <c r="BN42" s="15"/>
      <c r="BO42" s="15"/>
      <c r="BP42" s="16"/>
      <c r="BQ42" s="4"/>
      <c r="BR42" s="4"/>
      <c r="BS42" s="4"/>
      <c r="BT42" s="4"/>
      <c r="BU42" s="15"/>
      <c r="BV42" s="15"/>
      <c r="BW42" s="16"/>
      <c r="BX42" s="4"/>
      <c r="BY42" s="4"/>
      <c r="BZ42" s="4"/>
      <c r="CA42" s="4"/>
      <c r="CB42" s="15"/>
      <c r="CC42" s="15"/>
      <c r="CD42" s="16"/>
      <c r="CE42" s="4"/>
      <c r="CF42" s="4"/>
      <c r="CG42" s="4"/>
      <c r="CH42" s="114"/>
      <c r="CI42" s="118"/>
      <c r="CJ42" s="118"/>
    </row>
    <row r="43" spans="1:88" x14ac:dyDescent="0.25">
      <c r="A43" s="548" t="s">
        <v>58</v>
      </c>
      <c r="B43" s="549"/>
      <c r="C43" s="78"/>
      <c r="D43" s="15"/>
      <c r="E43" s="16"/>
      <c r="F43" s="4"/>
      <c r="G43" s="4"/>
      <c r="H43" s="4"/>
      <c r="I43" s="123"/>
      <c r="J43" s="78"/>
      <c r="K43" s="15"/>
      <c r="L43" s="16"/>
      <c r="M43" s="4"/>
      <c r="N43" s="4"/>
      <c r="O43" s="4"/>
      <c r="P43" s="123"/>
      <c r="Q43" s="78"/>
      <c r="R43" s="15"/>
      <c r="S43" s="16"/>
      <c r="T43" s="4"/>
      <c r="U43" s="4"/>
      <c r="V43" s="4"/>
      <c r="W43" s="123"/>
      <c r="X43" s="73"/>
      <c r="Y43" s="15"/>
      <c r="Z43" s="16"/>
      <c r="AA43" s="4"/>
      <c r="AB43" s="4"/>
      <c r="AC43" s="4"/>
      <c r="AD43" s="4"/>
      <c r="AE43" s="15"/>
      <c r="AF43" s="15"/>
      <c r="AG43" s="16"/>
      <c r="AH43" s="4"/>
      <c r="AI43" s="4"/>
      <c r="AJ43" s="4"/>
      <c r="AK43" s="4"/>
      <c r="AL43" s="15"/>
      <c r="AM43" s="15"/>
      <c r="AN43" s="16"/>
      <c r="AO43" s="4"/>
      <c r="AP43" s="4"/>
      <c r="AQ43" s="4"/>
      <c r="AR43" s="4"/>
      <c r="AS43" s="15"/>
      <c r="AT43" s="15"/>
      <c r="AU43" s="16"/>
      <c r="AV43" s="4"/>
      <c r="AW43" s="4"/>
      <c r="AX43" s="4"/>
      <c r="AY43" s="4"/>
      <c r="AZ43" s="15"/>
      <c r="BA43" s="15"/>
      <c r="BB43" s="16"/>
      <c r="BC43" s="4"/>
      <c r="BD43" s="4"/>
      <c r="BE43" s="4"/>
      <c r="BF43" s="4"/>
      <c r="BG43" s="15"/>
      <c r="BH43" s="15"/>
      <c r="BI43" s="16"/>
      <c r="BJ43" s="4"/>
      <c r="BK43" s="4"/>
      <c r="BL43" s="4"/>
      <c r="BM43" s="4"/>
      <c r="BN43" s="15"/>
      <c r="BO43" s="15"/>
      <c r="BP43" s="16"/>
      <c r="BQ43" s="4"/>
      <c r="BR43" s="4"/>
      <c r="BS43" s="4"/>
      <c r="BT43" s="4"/>
      <c r="BU43" s="15"/>
      <c r="BV43" s="15"/>
      <c r="BW43" s="16"/>
      <c r="BX43" s="4"/>
      <c r="BY43" s="4"/>
      <c r="BZ43" s="4"/>
      <c r="CA43" s="4"/>
      <c r="CB43" s="15"/>
      <c r="CC43" s="15"/>
      <c r="CD43" s="16"/>
      <c r="CE43" s="4"/>
      <c r="CF43" s="4"/>
      <c r="CG43" s="4"/>
      <c r="CH43" s="114"/>
      <c r="CI43" s="118"/>
      <c r="CJ43" s="118"/>
    </row>
    <row r="44" spans="1:88" x14ac:dyDescent="0.25">
      <c r="A44" s="548" t="s">
        <v>110</v>
      </c>
      <c r="B44" s="549"/>
      <c r="C44" s="78"/>
      <c r="D44" s="15"/>
      <c r="E44" s="16"/>
      <c r="F44" s="4"/>
      <c r="G44" s="4"/>
      <c r="H44" s="4"/>
      <c r="I44" s="123"/>
      <c r="J44" s="78"/>
      <c r="K44" s="15"/>
      <c r="L44" s="16"/>
      <c r="M44" s="4"/>
      <c r="N44" s="4"/>
      <c r="O44" s="4"/>
      <c r="P44" s="123"/>
      <c r="Q44" s="78"/>
      <c r="R44" s="15"/>
      <c r="S44" s="16"/>
      <c r="T44" s="4"/>
      <c r="U44" s="4"/>
      <c r="V44" s="4"/>
      <c r="W44" s="123"/>
      <c r="X44" s="73"/>
      <c r="Y44" s="15"/>
      <c r="Z44" s="16"/>
      <c r="AA44" s="4"/>
      <c r="AB44" s="4"/>
      <c r="AC44" s="4"/>
      <c r="AD44" s="4"/>
      <c r="AE44" s="15"/>
      <c r="AF44" s="15"/>
      <c r="AG44" s="16"/>
      <c r="AH44" s="4"/>
      <c r="AI44" s="4"/>
      <c r="AJ44" s="4"/>
      <c r="AK44" s="4"/>
      <c r="AL44" s="15"/>
      <c r="AM44" s="15"/>
      <c r="AN44" s="16"/>
      <c r="AO44" s="4"/>
      <c r="AP44" s="4"/>
      <c r="AQ44" s="4"/>
      <c r="AR44" s="4"/>
      <c r="AS44" s="15"/>
      <c r="AT44" s="15"/>
      <c r="AU44" s="16"/>
      <c r="AV44" s="4"/>
      <c r="AW44" s="4"/>
      <c r="AX44" s="4"/>
      <c r="AY44" s="4"/>
      <c r="AZ44" s="15"/>
      <c r="BA44" s="15"/>
      <c r="BB44" s="16"/>
      <c r="BC44" s="4"/>
      <c r="BD44" s="4"/>
      <c r="BE44" s="4"/>
      <c r="BF44" s="4"/>
      <c r="BG44" s="15"/>
      <c r="BH44" s="15"/>
      <c r="BI44" s="16"/>
      <c r="BJ44" s="4"/>
      <c r="BK44" s="4"/>
      <c r="BL44" s="4"/>
      <c r="BM44" s="4"/>
      <c r="BN44" s="15"/>
      <c r="BO44" s="15"/>
      <c r="BP44" s="16"/>
      <c r="BQ44" s="4"/>
      <c r="BR44" s="4"/>
      <c r="BS44" s="4"/>
      <c r="BT44" s="4"/>
      <c r="BU44" s="15"/>
      <c r="BV44" s="15"/>
      <c r="BW44" s="16"/>
      <c r="BX44" s="4"/>
      <c r="BY44" s="4"/>
      <c r="BZ44" s="4"/>
      <c r="CA44" s="4"/>
      <c r="CB44" s="15"/>
      <c r="CC44" s="15"/>
      <c r="CD44" s="16"/>
      <c r="CE44" s="4"/>
      <c r="CF44" s="4"/>
      <c r="CG44" s="4"/>
      <c r="CH44" s="114"/>
      <c r="CI44" s="118"/>
      <c r="CJ44" s="118"/>
    </row>
    <row r="45" spans="1:88" x14ac:dyDescent="0.25">
      <c r="A45" s="548" t="s">
        <v>92</v>
      </c>
      <c r="B45" s="549"/>
      <c r="C45" s="78"/>
      <c r="D45" s="15"/>
      <c r="E45" s="16"/>
      <c r="F45" s="4"/>
      <c r="G45" s="4"/>
      <c r="H45" s="4"/>
      <c r="I45" s="123"/>
      <c r="J45" s="78"/>
      <c r="K45" s="15"/>
      <c r="L45" s="16"/>
      <c r="M45" s="4"/>
      <c r="N45" s="4"/>
      <c r="O45" s="4"/>
      <c r="P45" s="123"/>
      <c r="Q45" s="78"/>
      <c r="R45" s="15"/>
      <c r="S45" s="16"/>
      <c r="T45" s="4"/>
      <c r="U45" s="4"/>
      <c r="V45" s="4"/>
      <c r="W45" s="123"/>
      <c r="X45" s="73"/>
      <c r="Y45" s="15"/>
      <c r="Z45" s="16"/>
      <c r="AA45" s="4"/>
      <c r="AB45" s="4"/>
      <c r="AC45" s="4"/>
      <c r="AD45" s="4"/>
      <c r="AE45" s="15"/>
      <c r="AF45" s="15"/>
      <c r="AG45" s="16"/>
      <c r="AH45" s="4"/>
      <c r="AI45" s="4"/>
      <c r="AJ45" s="4"/>
      <c r="AK45" s="4"/>
      <c r="AL45" s="15"/>
      <c r="AM45" s="15"/>
      <c r="AN45" s="16"/>
      <c r="AO45" s="4"/>
      <c r="AP45" s="4"/>
      <c r="AQ45" s="4"/>
      <c r="AR45" s="4"/>
      <c r="AS45" s="15"/>
      <c r="AT45" s="15"/>
      <c r="AU45" s="16"/>
      <c r="AV45" s="4"/>
      <c r="AW45" s="4"/>
      <c r="AX45" s="4"/>
      <c r="AY45" s="4"/>
      <c r="AZ45" s="15"/>
      <c r="BA45" s="15"/>
      <c r="BB45" s="16"/>
      <c r="BC45" s="4"/>
      <c r="BD45" s="4"/>
      <c r="BE45" s="4"/>
      <c r="BF45" s="4"/>
      <c r="BG45" s="15"/>
      <c r="BH45" s="15"/>
      <c r="BI45" s="16"/>
      <c r="BJ45" s="4"/>
      <c r="BK45" s="4"/>
      <c r="BL45" s="4"/>
      <c r="BM45" s="4"/>
      <c r="BN45" s="15"/>
      <c r="BO45" s="15"/>
      <c r="BP45" s="16"/>
      <c r="BQ45" s="4"/>
      <c r="BR45" s="4"/>
      <c r="BS45" s="4"/>
      <c r="BT45" s="4"/>
      <c r="BU45" s="15"/>
      <c r="BV45" s="15"/>
      <c r="BW45" s="16"/>
      <c r="BX45" s="4"/>
      <c r="BY45" s="4"/>
      <c r="BZ45" s="4"/>
      <c r="CA45" s="4"/>
      <c r="CB45" s="15"/>
      <c r="CC45" s="15"/>
      <c r="CD45" s="16"/>
      <c r="CE45" s="4"/>
      <c r="CF45" s="4"/>
      <c r="CG45" s="4"/>
      <c r="CH45" s="114"/>
      <c r="CI45" s="118"/>
      <c r="CJ45" s="118"/>
    </row>
    <row r="46" spans="1:88" x14ac:dyDescent="0.25">
      <c r="A46" s="548" t="s">
        <v>96</v>
      </c>
      <c r="B46" s="549"/>
      <c r="C46" s="78"/>
      <c r="D46" s="15"/>
      <c r="E46" s="16"/>
      <c r="F46" s="4"/>
      <c r="G46" s="4"/>
      <c r="H46" s="4"/>
      <c r="I46" s="123"/>
      <c r="J46" s="78"/>
      <c r="K46" s="15"/>
      <c r="L46" s="16"/>
      <c r="M46" s="4"/>
      <c r="N46" s="4"/>
      <c r="O46" s="4"/>
      <c r="P46" s="123"/>
      <c r="Q46" s="78"/>
      <c r="R46" s="15"/>
      <c r="S46" s="16"/>
      <c r="T46" s="4"/>
      <c r="U46" s="4"/>
      <c r="V46" s="4"/>
      <c r="W46" s="123"/>
      <c r="X46" s="73"/>
      <c r="Y46" s="15"/>
      <c r="Z46" s="16"/>
      <c r="AA46" s="4"/>
      <c r="AB46" s="4"/>
      <c r="AC46" s="4"/>
      <c r="AD46" s="4"/>
      <c r="AE46" s="15"/>
      <c r="AF46" s="15"/>
      <c r="AG46" s="16"/>
      <c r="AH46" s="4"/>
      <c r="AI46" s="4"/>
      <c r="AJ46" s="4"/>
      <c r="AK46" s="4"/>
      <c r="AL46" s="15"/>
      <c r="AM46" s="15"/>
      <c r="AN46" s="16"/>
      <c r="AO46" s="4"/>
      <c r="AP46" s="4"/>
      <c r="AQ46" s="4"/>
      <c r="AR46" s="4"/>
      <c r="AS46" s="15"/>
      <c r="AT46" s="15"/>
      <c r="AU46" s="16"/>
      <c r="AV46" s="4"/>
      <c r="AW46" s="4"/>
      <c r="AX46" s="4"/>
      <c r="AY46" s="4"/>
      <c r="AZ46" s="15"/>
      <c r="BA46" s="15"/>
      <c r="BB46" s="16"/>
      <c r="BC46" s="4"/>
      <c r="BD46" s="4"/>
      <c r="BE46" s="4"/>
      <c r="BF46" s="4"/>
      <c r="BG46" s="15"/>
      <c r="BH46" s="15"/>
      <c r="BI46" s="16"/>
      <c r="BJ46" s="4"/>
      <c r="BK46" s="4"/>
      <c r="BL46" s="4"/>
      <c r="BM46" s="4"/>
      <c r="BN46" s="15"/>
      <c r="BO46" s="15"/>
      <c r="BP46" s="16"/>
      <c r="BQ46" s="4"/>
      <c r="BR46" s="4"/>
      <c r="BS46" s="4"/>
      <c r="BT46" s="4"/>
      <c r="BU46" s="15"/>
      <c r="BV46" s="15"/>
      <c r="BW46" s="16"/>
      <c r="BX46" s="4"/>
      <c r="BY46" s="4"/>
      <c r="BZ46" s="4"/>
      <c r="CA46" s="4"/>
      <c r="CB46" s="15"/>
      <c r="CC46" s="15"/>
      <c r="CD46" s="16"/>
      <c r="CE46" s="4"/>
      <c r="CF46" s="4"/>
      <c r="CG46" s="4"/>
      <c r="CH46" s="114"/>
      <c r="CI46" s="118"/>
      <c r="CJ46" s="118"/>
    </row>
    <row r="47" spans="1:88" x14ac:dyDescent="0.25">
      <c r="A47" s="547" t="s">
        <v>105</v>
      </c>
      <c r="B47" s="526"/>
      <c r="C47" s="80"/>
      <c r="D47" s="17"/>
      <c r="E47" s="18"/>
      <c r="F47" s="9"/>
      <c r="G47" s="9"/>
      <c r="H47" s="9"/>
      <c r="I47" s="124"/>
      <c r="J47" s="80"/>
      <c r="K47" s="17"/>
      <c r="L47" s="18"/>
      <c r="M47" s="9"/>
      <c r="N47" s="9"/>
      <c r="O47" s="9"/>
      <c r="P47" s="124"/>
      <c r="Q47" s="80"/>
      <c r="R47" s="17"/>
      <c r="S47" s="18"/>
      <c r="T47" s="9"/>
      <c r="U47" s="9"/>
      <c r="V47" s="9"/>
      <c r="W47" s="124"/>
      <c r="X47" s="74"/>
      <c r="Y47" s="17"/>
      <c r="Z47" s="18"/>
      <c r="AA47" s="9"/>
      <c r="AB47" s="9"/>
      <c r="AC47" s="9"/>
      <c r="AD47" s="9"/>
      <c r="AE47" s="17"/>
      <c r="AF47" s="17"/>
      <c r="AG47" s="18"/>
      <c r="AH47" s="9"/>
      <c r="AI47" s="9"/>
      <c r="AJ47" s="9"/>
      <c r="AK47" s="9"/>
      <c r="AL47" s="17"/>
      <c r="AM47" s="17"/>
      <c r="AN47" s="18"/>
      <c r="AO47" s="9"/>
      <c r="AP47" s="9"/>
      <c r="AQ47" s="9"/>
      <c r="AR47" s="9"/>
      <c r="AS47" s="17"/>
      <c r="AT47" s="17"/>
      <c r="AU47" s="18"/>
      <c r="AV47" s="9"/>
      <c r="AW47" s="9"/>
      <c r="AX47" s="9"/>
      <c r="AY47" s="9"/>
      <c r="AZ47" s="17"/>
      <c r="BA47" s="17"/>
      <c r="BB47" s="18"/>
      <c r="BC47" s="9"/>
      <c r="BD47" s="9"/>
      <c r="BE47" s="9"/>
      <c r="BF47" s="9"/>
      <c r="BG47" s="17"/>
      <c r="BH47" s="17"/>
      <c r="BI47" s="18"/>
      <c r="BJ47" s="9"/>
      <c r="BK47" s="9"/>
      <c r="BL47" s="9"/>
      <c r="BM47" s="9"/>
      <c r="BN47" s="17"/>
      <c r="BO47" s="17"/>
      <c r="BP47" s="18"/>
      <c r="BQ47" s="9"/>
      <c r="BR47" s="9"/>
      <c r="BS47" s="9"/>
      <c r="BT47" s="9"/>
      <c r="BU47" s="17"/>
      <c r="BV47" s="17"/>
      <c r="BW47" s="18"/>
      <c r="BX47" s="9"/>
      <c r="BY47" s="9"/>
      <c r="BZ47" s="9"/>
      <c r="CA47" s="9"/>
      <c r="CB47" s="17"/>
      <c r="CC47" s="17"/>
      <c r="CD47" s="18"/>
      <c r="CE47" s="9"/>
      <c r="CF47" s="9"/>
      <c r="CG47" s="9"/>
      <c r="CH47" s="115"/>
      <c r="CI47" s="118"/>
      <c r="CJ47" s="118"/>
    </row>
    <row r="48" spans="1:88" x14ac:dyDescent="0.25">
      <c r="A48" s="547" t="s">
        <v>101</v>
      </c>
      <c r="B48" s="526"/>
      <c r="C48" s="80"/>
      <c r="D48" s="17"/>
      <c r="E48" s="18"/>
      <c r="F48" s="9"/>
      <c r="G48" s="9"/>
      <c r="H48" s="9"/>
      <c r="I48" s="124"/>
      <c r="J48" s="80"/>
      <c r="K48" s="17"/>
      <c r="L48" s="18"/>
      <c r="M48" s="9"/>
      <c r="N48" s="9"/>
      <c r="O48" s="9"/>
      <c r="P48" s="124"/>
      <c r="Q48" s="80"/>
      <c r="R48" s="17"/>
      <c r="S48" s="18"/>
      <c r="T48" s="9"/>
      <c r="U48" s="9"/>
      <c r="V48" s="9"/>
      <c r="W48" s="124"/>
      <c r="X48" s="74"/>
      <c r="Y48" s="17"/>
      <c r="Z48" s="18"/>
      <c r="AA48" s="9"/>
      <c r="AB48" s="9"/>
      <c r="AC48" s="9"/>
      <c r="AD48" s="9"/>
      <c r="AE48" s="17"/>
      <c r="AF48" s="17"/>
      <c r="AG48" s="18"/>
      <c r="AH48" s="9"/>
      <c r="AI48" s="9"/>
      <c r="AJ48" s="9"/>
      <c r="AK48" s="9"/>
      <c r="AL48" s="17"/>
      <c r="AM48" s="17"/>
      <c r="AN48" s="18"/>
      <c r="AO48" s="9"/>
      <c r="AP48" s="9"/>
      <c r="AQ48" s="9"/>
      <c r="AR48" s="9"/>
      <c r="AS48" s="17"/>
      <c r="AT48" s="17"/>
      <c r="AU48" s="18"/>
      <c r="AV48" s="9"/>
      <c r="AW48" s="9"/>
      <c r="AX48" s="9"/>
      <c r="AY48" s="9"/>
      <c r="AZ48" s="17"/>
      <c r="BA48" s="17"/>
      <c r="BB48" s="18"/>
      <c r="BC48" s="9"/>
      <c r="BD48" s="9"/>
      <c r="BE48" s="9"/>
      <c r="BF48" s="9"/>
      <c r="BG48" s="17"/>
      <c r="BH48" s="17"/>
      <c r="BI48" s="18"/>
      <c r="BJ48" s="9"/>
      <c r="BK48" s="9"/>
      <c r="BL48" s="9"/>
      <c r="BM48" s="9"/>
      <c r="BN48" s="17"/>
      <c r="BO48" s="17"/>
      <c r="BP48" s="18"/>
      <c r="BQ48" s="9"/>
      <c r="BR48" s="9"/>
      <c r="BS48" s="9"/>
      <c r="BT48" s="9"/>
      <c r="BU48" s="17"/>
      <c r="BV48" s="17"/>
      <c r="BW48" s="18"/>
      <c r="BX48" s="9"/>
      <c r="BY48" s="9"/>
      <c r="BZ48" s="9"/>
      <c r="CA48" s="9"/>
      <c r="CB48" s="17"/>
      <c r="CC48" s="17"/>
      <c r="CD48" s="18"/>
      <c r="CE48" s="9"/>
      <c r="CF48" s="9"/>
      <c r="CG48" s="9"/>
      <c r="CH48" s="115"/>
      <c r="CI48" s="118"/>
      <c r="CJ48" s="118"/>
    </row>
    <row r="49" spans="1:88" x14ac:dyDescent="0.25">
      <c r="A49" s="545" t="s">
        <v>102</v>
      </c>
      <c r="B49" s="546"/>
      <c r="C49" s="82"/>
      <c r="D49" s="19"/>
      <c r="E49" s="20"/>
      <c r="F49" s="6"/>
      <c r="G49" s="6"/>
      <c r="H49" s="6"/>
      <c r="I49" s="125"/>
      <c r="J49" s="82"/>
      <c r="K49" s="19"/>
      <c r="L49" s="20"/>
      <c r="M49" s="6"/>
      <c r="N49" s="6"/>
      <c r="O49" s="6"/>
      <c r="P49" s="125"/>
      <c r="Q49" s="82"/>
      <c r="R49" s="19"/>
      <c r="S49" s="20"/>
      <c r="T49" s="6"/>
      <c r="U49" s="6"/>
      <c r="V49" s="6"/>
      <c r="W49" s="125"/>
      <c r="X49" s="75"/>
      <c r="Y49" s="19"/>
      <c r="Z49" s="20"/>
      <c r="AA49" s="6"/>
      <c r="AB49" s="6"/>
      <c r="AC49" s="6"/>
      <c r="AD49" s="6"/>
      <c r="AE49" s="19"/>
      <c r="AF49" s="19"/>
      <c r="AG49" s="20"/>
      <c r="AH49" s="6"/>
      <c r="AI49" s="6"/>
      <c r="AJ49" s="6"/>
      <c r="AK49" s="6"/>
      <c r="AL49" s="19"/>
      <c r="AM49" s="19"/>
      <c r="AN49" s="20"/>
      <c r="AO49" s="6"/>
      <c r="AP49" s="6"/>
      <c r="AQ49" s="6"/>
      <c r="AR49" s="6"/>
      <c r="AS49" s="19"/>
      <c r="AT49" s="19"/>
      <c r="AU49" s="20"/>
      <c r="AV49" s="6"/>
      <c r="AW49" s="6"/>
      <c r="AX49" s="6"/>
      <c r="AY49" s="6"/>
      <c r="AZ49" s="19"/>
      <c r="BA49" s="19"/>
      <c r="BB49" s="20"/>
      <c r="BC49" s="6"/>
      <c r="BD49" s="6"/>
      <c r="BE49" s="6"/>
      <c r="BF49" s="6"/>
      <c r="BG49" s="19"/>
      <c r="BH49" s="19"/>
      <c r="BI49" s="20"/>
      <c r="BJ49" s="6"/>
      <c r="BK49" s="6"/>
      <c r="BL49" s="6"/>
      <c r="BM49" s="6"/>
      <c r="BN49" s="19"/>
      <c r="BO49" s="19"/>
      <c r="BP49" s="20"/>
      <c r="BQ49" s="6"/>
      <c r="BR49" s="6"/>
      <c r="BS49" s="6"/>
      <c r="BT49" s="6"/>
      <c r="BU49" s="19"/>
      <c r="BV49" s="19"/>
      <c r="BW49" s="20"/>
      <c r="BX49" s="6"/>
      <c r="BY49" s="6"/>
      <c r="BZ49" s="6"/>
      <c r="CA49" s="6"/>
      <c r="CB49" s="19"/>
      <c r="CC49" s="19"/>
      <c r="CD49" s="20"/>
      <c r="CE49" s="6"/>
      <c r="CF49" s="6"/>
      <c r="CG49" s="6"/>
      <c r="CH49" s="116"/>
      <c r="CI49" s="118"/>
      <c r="CJ49" s="118"/>
    </row>
    <row r="50" spans="1:88" ht="13" thickBot="1" x14ac:dyDescent="0.3">
      <c r="A50" s="554" t="s">
        <v>4</v>
      </c>
      <c r="B50" s="528"/>
      <c r="C50" s="84">
        <f>SUM(C29:C49)</f>
        <v>0</v>
      </c>
      <c r="D50" s="10">
        <f t="shared" ref="D50:J50" si="5">SUM(D29:D49)</f>
        <v>0</v>
      </c>
      <c r="E50" s="10">
        <f t="shared" si="5"/>
        <v>0</v>
      </c>
      <c r="F50" s="10">
        <f t="shared" si="5"/>
        <v>0</v>
      </c>
      <c r="G50" s="10">
        <f t="shared" si="5"/>
        <v>0</v>
      </c>
      <c r="H50" s="10">
        <f t="shared" si="5"/>
        <v>0</v>
      </c>
      <c r="I50" s="85">
        <f t="shared" si="5"/>
        <v>0</v>
      </c>
      <c r="J50" s="84">
        <f t="shared" si="5"/>
        <v>0</v>
      </c>
      <c r="K50" s="126">
        <f t="shared" ref="K50:AP50" si="6">SUM(K29:K49)</f>
        <v>0</v>
      </c>
      <c r="L50" s="126">
        <f t="shared" si="6"/>
        <v>0</v>
      </c>
      <c r="M50" s="126">
        <f t="shared" si="6"/>
        <v>0</v>
      </c>
      <c r="N50" s="126">
        <f t="shared" si="6"/>
        <v>0</v>
      </c>
      <c r="O50" s="126">
        <f t="shared" si="6"/>
        <v>0</v>
      </c>
      <c r="P50" s="127">
        <f t="shared" si="6"/>
        <v>0</v>
      </c>
      <c r="Q50" s="84">
        <f t="shared" si="6"/>
        <v>0</v>
      </c>
      <c r="R50" s="10">
        <f t="shared" si="6"/>
        <v>0</v>
      </c>
      <c r="S50" s="10">
        <f t="shared" si="6"/>
        <v>0</v>
      </c>
      <c r="T50" s="10">
        <f t="shared" si="6"/>
        <v>0</v>
      </c>
      <c r="U50" s="10">
        <f t="shared" si="6"/>
        <v>0</v>
      </c>
      <c r="V50" s="10">
        <f t="shared" si="6"/>
        <v>0</v>
      </c>
      <c r="W50" s="85">
        <f t="shared" si="6"/>
        <v>0</v>
      </c>
      <c r="X50" s="76">
        <f t="shared" si="6"/>
        <v>0</v>
      </c>
      <c r="Y50" s="11">
        <f t="shared" si="6"/>
        <v>0</v>
      </c>
      <c r="Z50" s="11">
        <f t="shared" si="6"/>
        <v>0</v>
      </c>
      <c r="AA50" s="11">
        <f t="shared" si="6"/>
        <v>0</v>
      </c>
      <c r="AB50" s="11">
        <f t="shared" si="6"/>
        <v>0</v>
      </c>
      <c r="AC50" s="11">
        <f t="shared" si="6"/>
        <v>0</v>
      </c>
      <c r="AD50" s="11">
        <f t="shared" si="6"/>
        <v>0</v>
      </c>
      <c r="AE50" s="11">
        <f t="shared" si="6"/>
        <v>0</v>
      </c>
      <c r="AF50" s="11">
        <f t="shared" si="6"/>
        <v>0</v>
      </c>
      <c r="AG50" s="11">
        <f t="shared" si="6"/>
        <v>0</v>
      </c>
      <c r="AH50" s="11">
        <f t="shared" si="6"/>
        <v>0</v>
      </c>
      <c r="AI50" s="11">
        <f t="shared" si="6"/>
        <v>0</v>
      </c>
      <c r="AJ50" s="11">
        <f t="shared" si="6"/>
        <v>0</v>
      </c>
      <c r="AK50" s="11">
        <f t="shared" si="6"/>
        <v>0</v>
      </c>
      <c r="AL50" s="11">
        <f t="shared" si="6"/>
        <v>0</v>
      </c>
      <c r="AM50" s="11">
        <f t="shared" si="6"/>
        <v>0</v>
      </c>
      <c r="AN50" s="11">
        <f t="shared" si="6"/>
        <v>0</v>
      </c>
      <c r="AO50" s="11">
        <f t="shared" si="6"/>
        <v>0</v>
      </c>
      <c r="AP50" s="11">
        <f t="shared" si="6"/>
        <v>0</v>
      </c>
      <c r="AQ50" s="11">
        <f t="shared" ref="AQ50:BV50" si="7">SUM(AQ29:AQ49)</f>
        <v>0</v>
      </c>
      <c r="AR50" s="11">
        <f t="shared" si="7"/>
        <v>0</v>
      </c>
      <c r="AS50" s="11">
        <f t="shared" si="7"/>
        <v>0</v>
      </c>
      <c r="AT50" s="11">
        <f t="shared" si="7"/>
        <v>0</v>
      </c>
      <c r="AU50" s="11">
        <f t="shared" si="7"/>
        <v>0</v>
      </c>
      <c r="AV50" s="11">
        <f t="shared" si="7"/>
        <v>0</v>
      </c>
      <c r="AW50" s="11">
        <f t="shared" si="7"/>
        <v>0</v>
      </c>
      <c r="AX50" s="11">
        <f t="shared" si="7"/>
        <v>0</v>
      </c>
      <c r="AY50" s="11">
        <f t="shared" si="7"/>
        <v>0</v>
      </c>
      <c r="AZ50" s="11">
        <f t="shared" si="7"/>
        <v>0</v>
      </c>
      <c r="BA50" s="11">
        <f t="shared" si="7"/>
        <v>0</v>
      </c>
      <c r="BB50" s="11">
        <f t="shared" si="7"/>
        <v>0</v>
      </c>
      <c r="BC50" s="11">
        <f t="shared" si="7"/>
        <v>0</v>
      </c>
      <c r="BD50" s="11">
        <f t="shared" si="7"/>
        <v>0</v>
      </c>
      <c r="BE50" s="11">
        <f t="shared" si="7"/>
        <v>0</v>
      </c>
      <c r="BF50" s="11">
        <f t="shared" si="7"/>
        <v>0</v>
      </c>
      <c r="BG50" s="11">
        <f t="shared" si="7"/>
        <v>0</v>
      </c>
      <c r="BH50" s="11">
        <f t="shared" si="7"/>
        <v>0</v>
      </c>
      <c r="BI50" s="11">
        <f t="shared" si="7"/>
        <v>0</v>
      </c>
      <c r="BJ50" s="11">
        <f t="shared" si="7"/>
        <v>0</v>
      </c>
      <c r="BK50" s="11">
        <f t="shared" si="7"/>
        <v>0</v>
      </c>
      <c r="BL50" s="11">
        <f t="shared" si="7"/>
        <v>0</v>
      </c>
      <c r="BM50" s="11">
        <f t="shared" si="7"/>
        <v>0</v>
      </c>
      <c r="BN50" s="11">
        <f t="shared" si="7"/>
        <v>0</v>
      </c>
      <c r="BO50" s="11">
        <f t="shared" si="7"/>
        <v>0</v>
      </c>
      <c r="BP50" s="11">
        <f t="shared" si="7"/>
        <v>0</v>
      </c>
      <c r="BQ50" s="11">
        <f t="shared" si="7"/>
        <v>0</v>
      </c>
      <c r="BR50" s="11">
        <f t="shared" si="7"/>
        <v>0</v>
      </c>
      <c r="BS50" s="11">
        <f t="shared" si="7"/>
        <v>0</v>
      </c>
      <c r="BT50" s="11">
        <f t="shared" si="7"/>
        <v>0</v>
      </c>
      <c r="BU50" s="11">
        <f t="shared" si="7"/>
        <v>0</v>
      </c>
      <c r="BV50" s="11">
        <f t="shared" si="7"/>
        <v>0</v>
      </c>
      <c r="BW50" s="11">
        <f t="shared" ref="BW50:CJ50" si="8">SUM(BW29:BW49)</f>
        <v>0</v>
      </c>
      <c r="BX50" s="11">
        <f t="shared" si="8"/>
        <v>0</v>
      </c>
      <c r="BY50" s="11">
        <f t="shared" si="8"/>
        <v>0</v>
      </c>
      <c r="BZ50" s="11">
        <f t="shared" si="8"/>
        <v>0</v>
      </c>
      <c r="CA50" s="11">
        <f t="shared" si="8"/>
        <v>0</v>
      </c>
      <c r="CB50" s="11">
        <f t="shared" si="8"/>
        <v>0</v>
      </c>
      <c r="CC50" s="11">
        <f t="shared" si="8"/>
        <v>0</v>
      </c>
      <c r="CD50" s="11">
        <f t="shared" si="8"/>
        <v>0</v>
      </c>
      <c r="CE50" s="11">
        <f t="shared" si="8"/>
        <v>0</v>
      </c>
      <c r="CF50" s="11">
        <f t="shared" si="8"/>
        <v>0</v>
      </c>
      <c r="CG50" s="11">
        <f t="shared" si="8"/>
        <v>0</v>
      </c>
      <c r="CH50" s="117">
        <f t="shared" si="8"/>
        <v>0</v>
      </c>
      <c r="CI50" s="119">
        <f t="shared" si="8"/>
        <v>0</v>
      </c>
      <c r="CJ50" s="119">
        <f t="shared" si="8"/>
        <v>0</v>
      </c>
    </row>
    <row r="61" spans="1:88" x14ac:dyDescent="0.25">
      <c r="R61" t="s">
        <v>222</v>
      </c>
      <c r="S61" t="s">
        <v>226</v>
      </c>
    </row>
    <row r="62" spans="1:88" x14ac:dyDescent="0.25">
      <c r="R62" t="s">
        <v>223</v>
      </c>
      <c r="S62" t="s">
        <v>227</v>
      </c>
    </row>
    <row r="63" spans="1:88" x14ac:dyDescent="0.25">
      <c r="R63" t="s">
        <v>224</v>
      </c>
      <c r="S63" t="s">
        <v>228</v>
      </c>
    </row>
    <row r="64" spans="1:88" x14ac:dyDescent="0.25">
      <c r="R64" t="s">
        <v>225</v>
      </c>
      <c r="S64" t="s">
        <v>229</v>
      </c>
    </row>
    <row r="67" spans="19:19" x14ac:dyDescent="0.25">
      <c r="S67" t="s">
        <v>230</v>
      </c>
    </row>
  </sheetData>
  <autoFilter ref="A2:CJ2" xr:uid="{8895BE45-4E42-4E36-89ED-4F87C66164F0}">
    <filterColumn colId="0" showButton="0"/>
    <filterColumn colId="1" showButton="0"/>
  </autoFilter>
  <mergeCells count="75">
    <mergeCell ref="CB27:CH27"/>
    <mergeCell ref="CI27:CI28"/>
    <mergeCell ref="CJ27:CJ28"/>
    <mergeCell ref="A50:B50"/>
    <mergeCell ref="AL27:AR27"/>
    <mergeCell ref="AS27:AY27"/>
    <mergeCell ref="AZ27:BF27"/>
    <mergeCell ref="BG27:BM27"/>
    <mergeCell ref="BN27:BT27"/>
    <mergeCell ref="BU27:CA27"/>
    <mergeCell ref="A27:B28"/>
    <mergeCell ref="C27:I27"/>
    <mergeCell ref="J27:P27"/>
    <mergeCell ref="Q27:W27"/>
    <mergeCell ref="X27:AD27"/>
    <mergeCell ref="AE27:AK27"/>
    <mergeCell ref="A49:B49"/>
    <mergeCell ref="A38:B38"/>
    <mergeCell ref="A39:B39"/>
    <mergeCell ref="A40:B40"/>
    <mergeCell ref="A41:B41"/>
    <mergeCell ref="A42:B42"/>
    <mergeCell ref="A43:B43"/>
    <mergeCell ref="A44:B44"/>
    <mergeCell ref="A45:B45"/>
    <mergeCell ref="A46:B46"/>
    <mergeCell ref="A47:B47"/>
    <mergeCell ref="A48:B48"/>
    <mergeCell ref="A29:B29"/>
    <mergeCell ref="A30:B30"/>
    <mergeCell ref="A31:B31"/>
    <mergeCell ref="A32:B32"/>
    <mergeCell ref="A33:B33"/>
    <mergeCell ref="A34:B34"/>
    <mergeCell ref="A35:B35"/>
    <mergeCell ref="A36:B36"/>
    <mergeCell ref="A37:B37"/>
    <mergeCell ref="CJ1:CJ2"/>
    <mergeCell ref="A1:B2"/>
    <mergeCell ref="A22:B22"/>
    <mergeCell ref="AZ1:BF1"/>
    <mergeCell ref="BG1:BM1"/>
    <mergeCell ref="BN1:BT1"/>
    <mergeCell ref="BU1:CA1"/>
    <mergeCell ref="CB1:CH1"/>
    <mergeCell ref="CI1:CI2"/>
    <mergeCell ref="J1:P1"/>
    <mergeCell ref="Q1:W1"/>
    <mergeCell ref="X1:AD1"/>
    <mergeCell ref="AE1:AK1"/>
    <mergeCell ref="AL1:AR1"/>
    <mergeCell ref="AS1:AY1"/>
    <mergeCell ref="A20:B20"/>
    <mergeCell ref="A21:B21"/>
    <mergeCell ref="A3:B3"/>
    <mergeCell ref="A4:B4"/>
    <mergeCell ref="A5:B5"/>
    <mergeCell ref="A6:B6"/>
    <mergeCell ref="A7:B7"/>
    <mergeCell ref="A23:B23"/>
    <mergeCell ref="A24:B24"/>
    <mergeCell ref="A25:B25"/>
    <mergeCell ref="C1:I1"/>
    <mergeCell ref="A14:B14"/>
    <mergeCell ref="A15:B15"/>
    <mergeCell ref="A16:B16"/>
    <mergeCell ref="A17:B17"/>
    <mergeCell ref="A18:B18"/>
    <mergeCell ref="A19:B19"/>
    <mergeCell ref="A8:B8"/>
    <mergeCell ref="A9:B9"/>
    <mergeCell ref="A10:B10"/>
    <mergeCell ref="A11:B11"/>
    <mergeCell ref="A12:B12"/>
    <mergeCell ref="A13:B13"/>
  </mergeCells>
  <phoneticPr fontId="19" type="noConversion"/>
  <conditionalFormatting sqref="A3:A23">
    <cfRule type="duplicateValues" dxfId="605" priority="15"/>
  </conditionalFormatting>
  <conditionalFormatting sqref="A4">
    <cfRule type="duplicateValues" dxfId="604" priority="13"/>
  </conditionalFormatting>
  <conditionalFormatting sqref="A6:A23">
    <cfRule type="duplicateValues" dxfId="603" priority="14"/>
  </conditionalFormatting>
  <conditionalFormatting sqref="A29">
    <cfRule type="duplicateValues" dxfId="602" priority="9"/>
  </conditionalFormatting>
  <conditionalFormatting sqref="A29:A37">
    <cfRule type="duplicateValues" dxfId="601" priority="10"/>
  </conditionalFormatting>
  <conditionalFormatting sqref="A30">
    <cfRule type="duplicateValues" dxfId="600" priority="8"/>
  </conditionalFormatting>
  <conditionalFormatting sqref="A30:A37">
    <cfRule type="duplicateValues" dxfId="599" priority="11"/>
  </conditionalFormatting>
  <conditionalFormatting sqref="A31">
    <cfRule type="duplicateValues" dxfId="598" priority="6"/>
  </conditionalFormatting>
  <conditionalFormatting sqref="A37">
    <cfRule type="duplicateValues" dxfId="597" priority="5"/>
  </conditionalFormatting>
  <conditionalFormatting sqref="A49 A35:A39 A41:A47">
    <cfRule type="duplicateValues" dxfId="596" priority="7"/>
  </conditionalFormatting>
  <conditionalFormatting sqref="A48">
    <cfRule type="duplicateValues" dxfId="595" priority="3"/>
  </conditionalFormatting>
  <conditionalFormatting sqref="A48">
    <cfRule type="duplicateValues" dxfId="594" priority="4"/>
  </conditionalFormatting>
  <conditionalFormatting sqref="A34">
    <cfRule type="duplicateValues" dxfId="593" priority="2"/>
  </conditionalFormatting>
  <conditionalFormatting sqref="A40">
    <cfRule type="duplicateValues" dxfId="592"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7F891-D8A1-4A9F-8B79-4B063A517E8A}">
  <dimension ref="A1:U167"/>
  <sheetViews>
    <sheetView workbookViewId="0"/>
  </sheetViews>
  <sheetFormatPr defaultRowHeight="12.5" x14ac:dyDescent="0.25"/>
  <cols>
    <col min="1" max="1" width="3.453125" style="354" customWidth="1"/>
    <col min="2" max="2" width="39.54296875" style="356" customWidth="1"/>
    <col min="3" max="3" width="24.81640625" style="356" bestFit="1" customWidth="1"/>
    <col min="4" max="4" width="2.6328125" style="361" customWidth="1"/>
    <col min="5" max="5" width="3.6328125" style="354" customWidth="1"/>
    <col min="6" max="6" width="39.54296875" style="354" customWidth="1"/>
    <col min="7" max="7" width="16.81640625" style="354" customWidth="1"/>
    <col min="8" max="8" width="2.6328125" style="361" customWidth="1"/>
    <col min="9" max="9" width="4.08984375" style="354" bestFit="1" customWidth="1"/>
    <col min="10" max="10" width="10.36328125" style="362" customWidth="1"/>
    <col min="11" max="11" width="37.81640625" style="356" customWidth="1"/>
    <col min="12" max="12" width="39.81640625" customWidth="1"/>
    <col min="13" max="13" width="23.6328125" style="354" bestFit="1" customWidth="1"/>
    <col min="14" max="14" width="2.6328125" style="361" customWidth="1"/>
    <col min="15" max="15" width="3.1796875" style="354" customWidth="1"/>
    <col min="16" max="16" width="10.36328125" style="374" customWidth="1"/>
    <col min="17" max="17" width="65.453125" style="354" bestFit="1" customWidth="1"/>
    <col min="18" max="20" width="17.6328125" style="356" customWidth="1"/>
    <col min="21" max="21" width="2.6328125" style="361" customWidth="1"/>
    <col min="22" max="16384" width="8.7265625" style="354"/>
  </cols>
  <sheetData>
    <row r="1" spans="1:20" ht="13" x14ac:dyDescent="0.25">
      <c r="B1" s="358" t="s">
        <v>922</v>
      </c>
    </row>
    <row r="2" spans="1:20" ht="13" x14ac:dyDescent="0.25">
      <c r="B2" s="358"/>
    </row>
    <row r="3" spans="1:20" ht="25" x14ac:dyDescent="0.25">
      <c r="A3" s="359" t="s">
        <v>1321</v>
      </c>
      <c r="B3" s="355" t="s">
        <v>923</v>
      </c>
      <c r="C3" s="355" t="s">
        <v>953</v>
      </c>
      <c r="E3" s="359" t="s">
        <v>1321</v>
      </c>
      <c r="F3" s="358" t="s">
        <v>952</v>
      </c>
      <c r="G3" s="358" t="s">
        <v>954</v>
      </c>
      <c r="I3" s="359" t="s">
        <v>1321</v>
      </c>
      <c r="J3" s="362" t="s">
        <v>1721</v>
      </c>
      <c r="K3" s="363" t="s">
        <v>992</v>
      </c>
      <c r="L3" t="s">
        <v>1722</v>
      </c>
      <c r="M3" s="358" t="s">
        <v>993</v>
      </c>
      <c r="O3" s="354" t="s">
        <v>1321</v>
      </c>
      <c r="P3" s="360" t="s">
        <v>1721</v>
      </c>
      <c r="Q3" s="360" t="s">
        <v>1322</v>
      </c>
      <c r="R3" s="356" t="s">
        <v>1717</v>
      </c>
      <c r="S3" s="356" t="s">
        <v>1718</v>
      </c>
      <c r="T3" s="356" t="s">
        <v>1719</v>
      </c>
    </row>
    <row r="4" spans="1:20" ht="25" x14ac:dyDescent="0.25">
      <c r="A4" s="354">
        <v>1</v>
      </c>
      <c r="B4" s="356" t="s">
        <v>924</v>
      </c>
      <c r="C4" s="357" t="s">
        <v>932</v>
      </c>
      <c r="F4" s="358" t="s">
        <v>940</v>
      </c>
      <c r="K4" s="363" t="s">
        <v>994</v>
      </c>
      <c r="P4" s="360"/>
      <c r="R4" s="416" t="s">
        <v>1720</v>
      </c>
      <c r="S4" s="416"/>
      <c r="T4" s="416"/>
    </row>
    <row r="5" spans="1:20" x14ac:dyDescent="0.25">
      <c r="A5" s="354">
        <v>2</v>
      </c>
      <c r="B5" s="356" t="s">
        <v>925</v>
      </c>
      <c r="C5" s="357" t="s">
        <v>933</v>
      </c>
      <c r="E5" s="354">
        <v>1</v>
      </c>
      <c r="F5" s="359" t="s">
        <v>941</v>
      </c>
      <c r="G5" s="359" t="s">
        <v>955</v>
      </c>
      <c r="I5" s="354">
        <v>1</v>
      </c>
      <c r="J5" s="364" t="s">
        <v>995</v>
      </c>
      <c r="M5" s="359" t="s">
        <v>1008</v>
      </c>
    </row>
    <row r="6" spans="1:20" ht="25" x14ac:dyDescent="0.25">
      <c r="A6" s="354">
        <v>3</v>
      </c>
      <c r="B6" s="356" t="s">
        <v>929</v>
      </c>
      <c r="C6" s="357" t="s">
        <v>934</v>
      </c>
      <c r="E6" s="354">
        <v>2</v>
      </c>
      <c r="F6" s="359" t="s">
        <v>942</v>
      </c>
      <c r="G6" s="359" t="s">
        <v>956</v>
      </c>
      <c r="J6" s="362">
        <v>1.1000000000000001</v>
      </c>
      <c r="K6" s="357" t="s">
        <v>997</v>
      </c>
      <c r="O6" s="354">
        <v>1</v>
      </c>
      <c r="P6" s="360" t="s">
        <v>1323</v>
      </c>
    </row>
    <row r="7" spans="1:20" x14ac:dyDescent="0.25">
      <c r="A7" s="354">
        <v>4</v>
      </c>
      <c r="B7" s="356" t="s">
        <v>926</v>
      </c>
      <c r="C7" s="357" t="s">
        <v>935</v>
      </c>
      <c r="E7" s="354">
        <v>3</v>
      </c>
      <c r="F7" s="359" t="s">
        <v>943</v>
      </c>
      <c r="G7" s="359" t="s">
        <v>957</v>
      </c>
      <c r="J7" s="362">
        <v>1.2</v>
      </c>
      <c r="K7" s="357" t="s">
        <v>998</v>
      </c>
      <c r="P7" s="374">
        <v>1.2</v>
      </c>
      <c r="Q7" s="359" t="s">
        <v>1330</v>
      </c>
    </row>
    <row r="8" spans="1:20" x14ac:dyDescent="0.25">
      <c r="A8" s="354">
        <v>5</v>
      </c>
      <c r="B8" s="356" t="s">
        <v>930</v>
      </c>
      <c r="C8" s="357" t="s">
        <v>936</v>
      </c>
      <c r="E8" s="354">
        <v>4</v>
      </c>
      <c r="F8" s="359" t="s">
        <v>944</v>
      </c>
      <c r="G8" s="359" t="s">
        <v>958</v>
      </c>
      <c r="J8" s="362">
        <v>1.3</v>
      </c>
      <c r="K8" s="357" t="s">
        <v>999</v>
      </c>
      <c r="P8" s="374">
        <v>1.3</v>
      </c>
      <c r="Q8" s="359" t="s">
        <v>1331</v>
      </c>
    </row>
    <row r="9" spans="1:20" ht="25" x14ac:dyDescent="0.25">
      <c r="A9" s="354">
        <v>6</v>
      </c>
      <c r="B9" s="356" t="s">
        <v>927</v>
      </c>
      <c r="C9" s="357" t="s">
        <v>937</v>
      </c>
      <c r="E9" s="354">
        <v>5</v>
      </c>
      <c r="F9" s="359" t="s">
        <v>945</v>
      </c>
      <c r="G9" s="359" t="s">
        <v>957</v>
      </c>
      <c r="J9" s="362">
        <v>1.4</v>
      </c>
      <c r="K9" s="357" t="s">
        <v>1000</v>
      </c>
      <c r="P9" s="374">
        <v>1.4</v>
      </c>
      <c r="Q9" s="359" t="s">
        <v>1332</v>
      </c>
    </row>
    <row r="10" spans="1:20" ht="25" x14ac:dyDescent="0.25">
      <c r="A10" s="354">
        <v>7</v>
      </c>
      <c r="B10" s="356" t="s">
        <v>928</v>
      </c>
      <c r="C10" s="357" t="s">
        <v>938</v>
      </c>
      <c r="E10" s="354">
        <v>6</v>
      </c>
      <c r="F10" s="359" t="s">
        <v>966</v>
      </c>
      <c r="G10" s="360" t="s">
        <v>974</v>
      </c>
      <c r="J10" s="362">
        <v>1.5</v>
      </c>
      <c r="K10" s="357" t="s">
        <v>1001</v>
      </c>
      <c r="P10" s="374">
        <v>1.5</v>
      </c>
      <c r="Q10" s="359" t="s">
        <v>1333</v>
      </c>
    </row>
    <row r="11" spans="1:20" ht="25" x14ac:dyDescent="0.25">
      <c r="A11" s="354">
        <v>8</v>
      </c>
      <c r="B11" s="356" t="s">
        <v>931</v>
      </c>
      <c r="C11" s="357" t="s">
        <v>939</v>
      </c>
      <c r="E11" s="354">
        <v>7</v>
      </c>
      <c r="F11" s="359" t="s">
        <v>967</v>
      </c>
      <c r="G11" s="359" t="s">
        <v>975</v>
      </c>
      <c r="J11" s="362">
        <v>1.6</v>
      </c>
      <c r="K11" s="357" t="s">
        <v>1002</v>
      </c>
      <c r="P11" s="374">
        <v>1.6</v>
      </c>
      <c r="Q11" s="359" t="s">
        <v>1334</v>
      </c>
    </row>
    <row r="12" spans="1:20" x14ac:dyDescent="0.25">
      <c r="E12" s="354">
        <v>8</v>
      </c>
      <c r="F12" s="359" t="s">
        <v>964</v>
      </c>
      <c r="G12" s="359" t="s">
        <v>976</v>
      </c>
      <c r="J12" s="362">
        <v>1.7</v>
      </c>
      <c r="K12" s="357" t="s">
        <v>1003</v>
      </c>
      <c r="P12" s="374">
        <v>1.7</v>
      </c>
      <c r="Q12" s="359" t="s">
        <v>1335</v>
      </c>
    </row>
    <row r="13" spans="1:20" ht="25" x14ac:dyDescent="0.25">
      <c r="E13" s="354">
        <v>9</v>
      </c>
      <c r="F13" s="359" t="s">
        <v>965</v>
      </c>
      <c r="G13" s="359" t="s">
        <v>956</v>
      </c>
      <c r="J13" s="362">
        <v>1.8</v>
      </c>
      <c r="K13" s="357" t="s">
        <v>1004</v>
      </c>
      <c r="P13" s="374">
        <v>1.8</v>
      </c>
      <c r="Q13" s="359" t="s">
        <v>1336</v>
      </c>
    </row>
    <row r="14" spans="1:20" x14ac:dyDescent="0.25">
      <c r="E14" s="354">
        <v>10</v>
      </c>
      <c r="F14" s="359" t="s">
        <v>968</v>
      </c>
      <c r="G14" s="359" t="s">
        <v>956</v>
      </c>
      <c r="J14" s="362">
        <v>1.9</v>
      </c>
      <c r="K14" s="357" t="s">
        <v>1005</v>
      </c>
      <c r="P14" s="374">
        <v>1.9</v>
      </c>
      <c r="Q14" s="359" t="s">
        <v>1337</v>
      </c>
    </row>
    <row r="15" spans="1:20" x14ac:dyDescent="0.25">
      <c r="E15" s="354">
        <v>11</v>
      </c>
      <c r="F15" s="359" t="s">
        <v>969</v>
      </c>
      <c r="G15" s="359" t="s">
        <v>956</v>
      </c>
      <c r="J15" s="364" t="s">
        <v>996</v>
      </c>
      <c r="K15" s="357" t="s">
        <v>1006</v>
      </c>
      <c r="P15" s="360" t="s">
        <v>996</v>
      </c>
      <c r="Q15" s="359" t="s">
        <v>1338</v>
      </c>
    </row>
    <row r="16" spans="1:20" x14ac:dyDescent="0.25">
      <c r="E16" s="354">
        <v>12</v>
      </c>
      <c r="F16" s="359" t="s">
        <v>970</v>
      </c>
      <c r="G16" s="359" t="s">
        <v>957</v>
      </c>
      <c r="J16" s="362">
        <v>1.1100000000000001</v>
      </c>
      <c r="K16" s="357" t="s">
        <v>1007</v>
      </c>
      <c r="P16" s="360" t="s">
        <v>1324</v>
      </c>
      <c r="Q16" s="359" t="s">
        <v>1339</v>
      </c>
    </row>
    <row r="17" spans="5:17" x14ac:dyDescent="0.25">
      <c r="E17" s="354">
        <v>13</v>
      </c>
      <c r="F17" s="359" t="s">
        <v>971</v>
      </c>
      <c r="G17" s="359" t="s">
        <v>977</v>
      </c>
      <c r="I17" s="354">
        <v>2</v>
      </c>
      <c r="J17" s="364" t="s">
        <v>1009</v>
      </c>
      <c r="M17" s="359" t="s">
        <v>1031</v>
      </c>
      <c r="P17" s="360" t="s">
        <v>1325</v>
      </c>
      <c r="Q17" s="359" t="s">
        <v>1340</v>
      </c>
    </row>
    <row r="18" spans="5:17" x14ac:dyDescent="0.25">
      <c r="E18" s="354">
        <v>14</v>
      </c>
      <c r="F18" s="359" t="s">
        <v>972</v>
      </c>
      <c r="G18" s="359" t="s">
        <v>977</v>
      </c>
      <c r="J18" s="362">
        <v>2.1</v>
      </c>
      <c r="K18" s="357" t="s">
        <v>1020</v>
      </c>
      <c r="P18" s="360" t="s">
        <v>1326</v>
      </c>
      <c r="Q18" s="359" t="s">
        <v>1341</v>
      </c>
    </row>
    <row r="19" spans="5:17" x14ac:dyDescent="0.25">
      <c r="E19" s="354">
        <v>15</v>
      </c>
      <c r="F19" s="359" t="s">
        <v>973</v>
      </c>
      <c r="G19" s="359" t="s">
        <v>978</v>
      </c>
      <c r="J19" s="364" t="s">
        <v>1010</v>
      </c>
      <c r="K19" s="357" t="s">
        <v>1021</v>
      </c>
      <c r="P19" s="360" t="s">
        <v>1327</v>
      </c>
      <c r="Q19" s="359" t="s">
        <v>1342</v>
      </c>
    </row>
    <row r="20" spans="5:17" ht="13" x14ac:dyDescent="0.25">
      <c r="F20" s="358" t="s">
        <v>946</v>
      </c>
      <c r="J20" s="364" t="s">
        <v>1011</v>
      </c>
      <c r="K20" s="357" t="s">
        <v>1022</v>
      </c>
      <c r="P20" s="360" t="s">
        <v>1328</v>
      </c>
      <c r="Q20" s="359" t="s">
        <v>1343</v>
      </c>
    </row>
    <row r="21" spans="5:17" x14ac:dyDescent="0.25">
      <c r="E21" s="354">
        <v>16</v>
      </c>
      <c r="F21" s="359" t="s">
        <v>947</v>
      </c>
      <c r="G21" s="359" t="s">
        <v>959</v>
      </c>
      <c r="J21" s="364" t="s">
        <v>1012</v>
      </c>
      <c r="K21" s="357" t="s">
        <v>1023</v>
      </c>
      <c r="P21" s="360" t="s">
        <v>1329</v>
      </c>
      <c r="Q21" s="359" t="s">
        <v>1344</v>
      </c>
    </row>
    <row r="22" spans="5:17" x14ac:dyDescent="0.25">
      <c r="E22" s="354">
        <v>17</v>
      </c>
      <c r="F22" s="359" t="s">
        <v>948</v>
      </c>
      <c r="G22" s="359" t="s">
        <v>960</v>
      </c>
      <c r="J22" s="364" t="s">
        <v>1013</v>
      </c>
      <c r="K22" s="357" t="s">
        <v>1024</v>
      </c>
      <c r="O22" s="354">
        <v>2</v>
      </c>
      <c r="P22" s="374" t="s">
        <v>1565</v>
      </c>
    </row>
    <row r="23" spans="5:17" x14ac:dyDescent="0.25">
      <c r="E23" s="354">
        <v>18</v>
      </c>
      <c r="F23" s="359" t="s">
        <v>949</v>
      </c>
      <c r="G23" s="360" t="s">
        <v>962</v>
      </c>
      <c r="J23" s="364" t="s">
        <v>1014</v>
      </c>
      <c r="K23" s="357" t="s">
        <v>1025</v>
      </c>
      <c r="P23" s="374" t="s">
        <v>1566</v>
      </c>
      <c r="Q23" s="354" t="s">
        <v>1567</v>
      </c>
    </row>
    <row r="24" spans="5:17" x14ac:dyDescent="0.25">
      <c r="E24" s="354">
        <v>19</v>
      </c>
      <c r="F24" s="359" t="s">
        <v>950</v>
      </c>
      <c r="G24" s="359" t="s">
        <v>961</v>
      </c>
      <c r="J24" s="364" t="s">
        <v>1015</v>
      </c>
      <c r="K24" s="357" t="s">
        <v>1026</v>
      </c>
      <c r="P24" s="374" t="s">
        <v>1010</v>
      </c>
      <c r="Q24" s="354" t="s">
        <v>1568</v>
      </c>
    </row>
    <row r="25" spans="5:17" x14ac:dyDescent="0.25">
      <c r="E25" s="354">
        <v>20</v>
      </c>
      <c r="F25" s="359" t="s">
        <v>951</v>
      </c>
      <c r="G25" s="360" t="s">
        <v>963</v>
      </c>
      <c r="J25" s="364" t="s">
        <v>1016</v>
      </c>
      <c r="K25" s="357" t="s">
        <v>1027</v>
      </c>
      <c r="P25" s="374" t="s">
        <v>1011</v>
      </c>
      <c r="Q25" s="354" t="s">
        <v>1569</v>
      </c>
    </row>
    <row r="26" spans="5:17" x14ac:dyDescent="0.25">
      <c r="E26" s="354">
        <v>21</v>
      </c>
      <c r="F26" s="359" t="s">
        <v>979</v>
      </c>
      <c r="G26" s="359" t="s">
        <v>987</v>
      </c>
      <c r="J26" s="364" t="s">
        <v>1017</v>
      </c>
      <c r="K26" s="357" t="s">
        <v>1029</v>
      </c>
      <c r="P26" s="374" t="s">
        <v>1012</v>
      </c>
      <c r="Q26" s="354" t="s">
        <v>1570</v>
      </c>
    </row>
    <row r="27" spans="5:17" x14ac:dyDescent="0.25">
      <c r="E27" s="354">
        <v>22</v>
      </c>
      <c r="F27" s="359" t="s">
        <v>980</v>
      </c>
      <c r="G27" s="359" t="s">
        <v>987</v>
      </c>
      <c r="J27" s="364" t="s">
        <v>1018</v>
      </c>
      <c r="K27" s="357" t="s">
        <v>1028</v>
      </c>
      <c r="P27" s="374" t="s">
        <v>1013</v>
      </c>
      <c r="Q27" s="354" t="s">
        <v>1571</v>
      </c>
    </row>
    <row r="28" spans="5:17" x14ac:dyDescent="0.25">
      <c r="E28" s="354">
        <v>23</v>
      </c>
      <c r="F28" s="359" t="s">
        <v>981</v>
      </c>
      <c r="G28" s="360" t="s">
        <v>988</v>
      </c>
      <c r="J28" s="364" t="s">
        <v>1019</v>
      </c>
      <c r="K28" s="357" t="s">
        <v>1030</v>
      </c>
      <c r="P28" s="374" t="s">
        <v>1014</v>
      </c>
      <c r="Q28" s="354" t="s">
        <v>1572</v>
      </c>
    </row>
    <row r="29" spans="5:17" x14ac:dyDescent="0.25">
      <c r="E29" s="354">
        <v>24</v>
      </c>
      <c r="F29" s="359" t="s">
        <v>982</v>
      </c>
      <c r="G29" s="360" t="s">
        <v>988</v>
      </c>
      <c r="I29" s="354">
        <v>3</v>
      </c>
      <c r="J29" s="364" t="s">
        <v>1043</v>
      </c>
      <c r="M29" s="359" t="s">
        <v>1044</v>
      </c>
      <c r="P29" s="374" t="s">
        <v>1015</v>
      </c>
      <c r="Q29" s="354" t="s">
        <v>1573</v>
      </c>
    </row>
    <row r="30" spans="5:17" x14ac:dyDescent="0.25">
      <c r="E30" s="354">
        <v>25</v>
      </c>
      <c r="F30" s="359" t="s">
        <v>983</v>
      </c>
      <c r="G30" s="359" t="s">
        <v>989</v>
      </c>
      <c r="J30" s="364" t="s">
        <v>1032</v>
      </c>
      <c r="K30" s="357" t="s">
        <v>1046</v>
      </c>
      <c r="P30" s="374" t="s">
        <v>1016</v>
      </c>
      <c r="Q30" s="354" t="s">
        <v>1574</v>
      </c>
    </row>
    <row r="31" spans="5:17" x14ac:dyDescent="0.25">
      <c r="E31" s="354">
        <v>26</v>
      </c>
      <c r="F31" s="359" t="s">
        <v>984</v>
      </c>
      <c r="G31" s="360" t="s">
        <v>990</v>
      </c>
      <c r="J31" s="364" t="s">
        <v>1033</v>
      </c>
      <c r="K31" s="357" t="s">
        <v>1045</v>
      </c>
      <c r="O31" s="354">
        <v>3</v>
      </c>
      <c r="P31" s="374" t="s">
        <v>1575</v>
      </c>
    </row>
    <row r="32" spans="5:17" x14ac:dyDescent="0.25">
      <c r="E32" s="354">
        <v>27</v>
      </c>
      <c r="F32" s="359" t="s">
        <v>985</v>
      </c>
      <c r="G32" s="360" t="s">
        <v>962</v>
      </c>
      <c r="J32" s="364" t="s">
        <v>1034</v>
      </c>
      <c r="K32" s="357" t="s">
        <v>1047</v>
      </c>
      <c r="P32" s="374" t="s">
        <v>1032</v>
      </c>
      <c r="Q32" s="354" t="s">
        <v>1576</v>
      </c>
    </row>
    <row r="33" spans="5:17" x14ac:dyDescent="0.25">
      <c r="E33" s="354">
        <v>28</v>
      </c>
      <c r="F33" s="359" t="s">
        <v>986</v>
      </c>
      <c r="G33" s="360" t="s">
        <v>991</v>
      </c>
      <c r="J33" s="364" t="s">
        <v>1035</v>
      </c>
      <c r="K33" s="357" t="s">
        <v>1048</v>
      </c>
      <c r="P33" s="374" t="s">
        <v>1033</v>
      </c>
      <c r="Q33" s="354" t="s">
        <v>1577</v>
      </c>
    </row>
    <row r="34" spans="5:17" x14ac:dyDescent="0.25">
      <c r="J34" s="364" t="s">
        <v>1036</v>
      </c>
      <c r="K34" s="357" t="s">
        <v>1049</v>
      </c>
      <c r="P34" s="374" t="s">
        <v>1034</v>
      </c>
      <c r="Q34" s="354" t="s">
        <v>1578</v>
      </c>
    </row>
    <row r="35" spans="5:17" x14ac:dyDescent="0.25">
      <c r="J35" s="364" t="s">
        <v>1037</v>
      </c>
      <c r="K35" s="357" t="s">
        <v>1050</v>
      </c>
      <c r="P35" s="374" t="s">
        <v>1035</v>
      </c>
      <c r="Q35" s="354" t="s">
        <v>1579</v>
      </c>
    </row>
    <row r="36" spans="5:17" x14ac:dyDescent="0.25">
      <c r="J36" s="364" t="s">
        <v>1038</v>
      </c>
      <c r="K36" s="357" t="s">
        <v>1051</v>
      </c>
      <c r="P36" s="374" t="s">
        <v>1036</v>
      </c>
      <c r="Q36" s="354" t="s">
        <v>1580</v>
      </c>
    </row>
    <row r="37" spans="5:17" x14ac:dyDescent="0.25">
      <c r="J37" s="364" t="s">
        <v>1039</v>
      </c>
      <c r="K37" s="357" t="s">
        <v>1052</v>
      </c>
      <c r="P37" s="374" t="s">
        <v>1037</v>
      </c>
      <c r="Q37" s="354" t="s">
        <v>1581</v>
      </c>
    </row>
    <row r="38" spans="5:17" x14ac:dyDescent="0.25">
      <c r="J38" s="364" t="s">
        <v>1040</v>
      </c>
      <c r="K38" s="357" t="s">
        <v>1055</v>
      </c>
      <c r="P38" s="374" t="s">
        <v>1038</v>
      </c>
      <c r="Q38" s="354" t="s">
        <v>1582</v>
      </c>
    </row>
    <row r="39" spans="5:17" x14ac:dyDescent="0.25">
      <c r="J39" s="364" t="s">
        <v>1041</v>
      </c>
      <c r="K39" s="357" t="s">
        <v>1053</v>
      </c>
      <c r="P39" s="374" t="s">
        <v>1039</v>
      </c>
      <c r="Q39" s="354" t="s">
        <v>1583</v>
      </c>
    </row>
    <row r="40" spans="5:17" x14ac:dyDescent="0.25">
      <c r="J40" s="364" t="s">
        <v>1042</v>
      </c>
      <c r="K40" s="357" t="s">
        <v>1054</v>
      </c>
      <c r="P40" s="374" t="s">
        <v>1040</v>
      </c>
      <c r="Q40" s="354" t="s">
        <v>1584</v>
      </c>
    </row>
    <row r="41" spans="5:17" x14ac:dyDescent="0.25">
      <c r="I41" s="354">
        <v>4</v>
      </c>
      <c r="J41" s="364" t="s">
        <v>1056</v>
      </c>
      <c r="M41" s="359" t="s">
        <v>1057</v>
      </c>
      <c r="O41" s="354">
        <v>4</v>
      </c>
      <c r="P41" s="374" t="s">
        <v>1585</v>
      </c>
    </row>
    <row r="42" spans="5:17" x14ac:dyDescent="0.25">
      <c r="J42" s="364" t="s">
        <v>1058</v>
      </c>
      <c r="K42" s="357" t="s">
        <v>1069</v>
      </c>
      <c r="P42" s="374" t="s">
        <v>1058</v>
      </c>
      <c r="Q42" s="354" t="s">
        <v>1586</v>
      </c>
    </row>
    <row r="43" spans="5:17" x14ac:dyDescent="0.25">
      <c r="J43" s="364" t="s">
        <v>1059</v>
      </c>
      <c r="K43" s="357" t="s">
        <v>1070</v>
      </c>
      <c r="P43" s="374" t="s">
        <v>1059</v>
      </c>
      <c r="Q43" s="354" t="s">
        <v>1587</v>
      </c>
    </row>
    <row r="44" spans="5:17" x14ac:dyDescent="0.25">
      <c r="J44" s="364" t="s">
        <v>1060</v>
      </c>
      <c r="K44" s="357" t="s">
        <v>1071</v>
      </c>
      <c r="P44" s="374" t="s">
        <v>1060</v>
      </c>
      <c r="Q44" s="354" t="s">
        <v>1588</v>
      </c>
    </row>
    <row r="45" spans="5:17" ht="25" x14ac:dyDescent="0.25">
      <c r="J45" s="364" t="s">
        <v>1061</v>
      </c>
      <c r="K45" s="357" t="s">
        <v>1072</v>
      </c>
      <c r="P45" s="374" t="s">
        <v>1061</v>
      </c>
      <c r="Q45" s="354" t="s">
        <v>1589</v>
      </c>
    </row>
    <row r="46" spans="5:17" x14ac:dyDescent="0.25">
      <c r="J46" s="364" t="s">
        <v>1062</v>
      </c>
      <c r="K46" s="357" t="s">
        <v>1073</v>
      </c>
      <c r="P46" s="374" t="s">
        <v>1062</v>
      </c>
      <c r="Q46" s="354" t="s">
        <v>1590</v>
      </c>
    </row>
    <row r="47" spans="5:17" x14ac:dyDescent="0.25">
      <c r="J47" s="364" t="s">
        <v>1063</v>
      </c>
      <c r="K47" s="357" t="s">
        <v>1074</v>
      </c>
      <c r="O47" s="354">
        <v>5</v>
      </c>
      <c r="P47" s="374" t="s">
        <v>1591</v>
      </c>
    </row>
    <row r="48" spans="5:17" x14ac:dyDescent="0.25">
      <c r="J48" s="364" t="s">
        <v>1064</v>
      </c>
      <c r="K48" s="357" t="s">
        <v>1075</v>
      </c>
      <c r="P48" s="374" t="s">
        <v>1081</v>
      </c>
      <c r="Q48" s="354" t="s">
        <v>1593</v>
      </c>
    </row>
    <row r="49" spans="9:17" x14ac:dyDescent="0.25">
      <c r="J49" s="364" t="s">
        <v>1065</v>
      </c>
      <c r="K49" s="357" t="s">
        <v>1076</v>
      </c>
      <c r="P49" s="374" t="s">
        <v>1082</v>
      </c>
      <c r="Q49" s="354" t="s">
        <v>1594</v>
      </c>
    </row>
    <row r="50" spans="9:17" x14ac:dyDescent="0.25">
      <c r="J50" s="364" t="s">
        <v>1066</v>
      </c>
      <c r="K50" s="357" t="s">
        <v>1077</v>
      </c>
      <c r="P50" s="374" t="s">
        <v>1083</v>
      </c>
      <c r="Q50" s="354" t="s">
        <v>1595</v>
      </c>
    </row>
    <row r="51" spans="9:17" x14ac:dyDescent="0.25">
      <c r="J51" s="364" t="s">
        <v>1067</v>
      </c>
      <c r="K51" s="357" t="s">
        <v>1078</v>
      </c>
      <c r="P51" s="374" t="s">
        <v>1084</v>
      </c>
      <c r="Q51" s="354" t="s">
        <v>1596</v>
      </c>
    </row>
    <row r="52" spans="9:17" x14ac:dyDescent="0.25">
      <c r="J52" s="364" t="s">
        <v>1068</v>
      </c>
      <c r="K52" s="357" t="s">
        <v>1022</v>
      </c>
      <c r="P52" s="374" t="s">
        <v>1085</v>
      </c>
      <c r="Q52" s="354" t="s">
        <v>1597</v>
      </c>
    </row>
    <row r="53" spans="9:17" x14ac:dyDescent="0.25">
      <c r="I53" s="354">
        <v>5</v>
      </c>
      <c r="J53" s="364" t="s">
        <v>1079</v>
      </c>
      <c r="M53" s="364" t="s">
        <v>1080</v>
      </c>
      <c r="P53" s="374" t="s">
        <v>1592</v>
      </c>
      <c r="Q53" s="354" t="s">
        <v>1598</v>
      </c>
    </row>
    <row r="54" spans="9:17" x14ac:dyDescent="0.25">
      <c r="J54" s="364" t="s">
        <v>1081</v>
      </c>
      <c r="K54" s="357" t="s">
        <v>1086</v>
      </c>
      <c r="O54" s="354">
        <v>6</v>
      </c>
      <c r="P54" s="374" t="s">
        <v>1599</v>
      </c>
    </row>
    <row r="55" spans="9:17" x14ac:dyDescent="0.25">
      <c r="J55" s="364" t="s">
        <v>1082</v>
      </c>
      <c r="K55" s="357" t="s">
        <v>1087</v>
      </c>
      <c r="P55" s="374" t="s">
        <v>1093</v>
      </c>
      <c r="Q55" s="354" t="s">
        <v>1601</v>
      </c>
    </row>
    <row r="56" spans="9:17" x14ac:dyDescent="0.25">
      <c r="J56" s="364" t="s">
        <v>1083</v>
      </c>
      <c r="K56" s="357" t="s">
        <v>1088</v>
      </c>
      <c r="P56" s="374" t="s">
        <v>1094</v>
      </c>
      <c r="Q56" s="354" t="s">
        <v>1602</v>
      </c>
    </row>
    <row r="57" spans="9:17" x14ac:dyDescent="0.25">
      <c r="J57" s="364" t="s">
        <v>1084</v>
      </c>
      <c r="K57" s="357" t="s">
        <v>1089</v>
      </c>
      <c r="P57" s="374" t="s">
        <v>1095</v>
      </c>
      <c r="Q57" s="354" t="s">
        <v>1603</v>
      </c>
    </row>
    <row r="58" spans="9:17" x14ac:dyDescent="0.25">
      <c r="J58" s="364" t="s">
        <v>1085</v>
      </c>
      <c r="K58" s="357" t="s">
        <v>1090</v>
      </c>
      <c r="P58" s="374" t="s">
        <v>1096</v>
      </c>
      <c r="Q58" s="354" t="s">
        <v>1604</v>
      </c>
    </row>
    <row r="59" spans="9:17" x14ac:dyDescent="0.25">
      <c r="I59" s="354">
        <v>6</v>
      </c>
      <c r="J59" s="364" t="s">
        <v>1091</v>
      </c>
      <c r="M59" s="359" t="s">
        <v>1092</v>
      </c>
      <c r="P59" s="374" t="s">
        <v>1097</v>
      </c>
      <c r="Q59" s="354" t="s">
        <v>1605</v>
      </c>
    </row>
    <row r="60" spans="9:17" x14ac:dyDescent="0.25">
      <c r="J60" s="364" t="s">
        <v>1093</v>
      </c>
      <c r="K60" s="357" t="s">
        <v>1098</v>
      </c>
      <c r="P60" s="374" t="s">
        <v>1600</v>
      </c>
      <c r="Q60" s="354" t="s">
        <v>1606</v>
      </c>
    </row>
    <row r="61" spans="9:17" x14ac:dyDescent="0.25">
      <c r="J61" s="364" t="s">
        <v>1094</v>
      </c>
      <c r="K61" s="357" t="s">
        <v>1099</v>
      </c>
      <c r="O61" s="354">
        <v>7</v>
      </c>
      <c r="P61" s="374" t="s">
        <v>1607</v>
      </c>
    </row>
    <row r="62" spans="9:17" x14ac:dyDescent="0.25">
      <c r="J62" s="364" t="s">
        <v>1095</v>
      </c>
      <c r="K62" s="357" t="s">
        <v>1100</v>
      </c>
      <c r="P62" s="374" t="s">
        <v>1104</v>
      </c>
      <c r="Q62" s="354" t="s">
        <v>1601</v>
      </c>
    </row>
    <row r="63" spans="9:17" x14ac:dyDescent="0.25">
      <c r="J63" s="364" t="s">
        <v>1096</v>
      </c>
      <c r="K63" s="357" t="s">
        <v>1101</v>
      </c>
      <c r="P63" s="374" t="s">
        <v>1105</v>
      </c>
      <c r="Q63" s="354" t="s">
        <v>1608</v>
      </c>
    </row>
    <row r="64" spans="9:17" x14ac:dyDescent="0.25">
      <c r="J64" s="364" t="s">
        <v>1097</v>
      </c>
      <c r="K64" s="357" t="s">
        <v>1102</v>
      </c>
      <c r="P64" s="374" t="s">
        <v>1106</v>
      </c>
      <c r="Q64" s="354" t="s">
        <v>1609</v>
      </c>
    </row>
    <row r="65" spans="9:17" x14ac:dyDescent="0.25">
      <c r="I65" s="354">
        <v>7</v>
      </c>
      <c r="J65" s="364" t="s">
        <v>1103</v>
      </c>
      <c r="M65" s="359" t="s">
        <v>1118</v>
      </c>
      <c r="P65" s="374" t="s">
        <v>1107</v>
      </c>
      <c r="Q65" s="354" t="s">
        <v>1610</v>
      </c>
    </row>
    <row r="66" spans="9:17" ht="25" x14ac:dyDescent="0.25">
      <c r="J66" s="364" t="s">
        <v>1104</v>
      </c>
      <c r="K66" s="357" t="s">
        <v>1119</v>
      </c>
      <c r="P66" s="374" t="s">
        <v>1108</v>
      </c>
      <c r="Q66" s="354" t="s">
        <v>1611</v>
      </c>
    </row>
    <row r="67" spans="9:17" x14ac:dyDescent="0.25">
      <c r="J67" s="364" t="s">
        <v>1105</v>
      </c>
      <c r="K67" s="357" t="s">
        <v>1120</v>
      </c>
      <c r="P67" s="374" t="s">
        <v>1109</v>
      </c>
      <c r="Q67" s="354" t="s">
        <v>1612</v>
      </c>
    </row>
    <row r="68" spans="9:17" x14ac:dyDescent="0.25">
      <c r="J68" s="364" t="s">
        <v>1106</v>
      </c>
      <c r="K68" s="357" t="s">
        <v>1121</v>
      </c>
      <c r="P68" s="374" t="s">
        <v>1110</v>
      </c>
      <c r="Q68" s="354" t="s">
        <v>1613</v>
      </c>
    </row>
    <row r="69" spans="9:17" x14ac:dyDescent="0.25">
      <c r="J69" s="364" t="s">
        <v>1107</v>
      </c>
      <c r="K69" s="357" t="s">
        <v>1122</v>
      </c>
      <c r="P69" s="374" t="s">
        <v>1111</v>
      </c>
      <c r="Q69" s="354" t="s">
        <v>1614</v>
      </c>
    </row>
    <row r="70" spans="9:17" x14ac:dyDescent="0.25">
      <c r="J70" s="364" t="s">
        <v>1108</v>
      </c>
      <c r="K70" s="357" t="s">
        <v>1123</v>
      </c>
      <c r="P70" s="374" t="s">
        <v>1112</v>
      </c>
      <c r="Q70" s="354" t="s">
        <v>1615</v>
      </c>
    </row>
    <row r="71" spans="9:17" x14ac:dyDescent="0.25">
      <c r="J71" s="364" t="s">
        <v>1109</v>
      </c>
      <c r="K71" s="357" t="s">
        <v>1124</v>
      </c>
      <c r="P71" s="374" t="s">
        <v>1113</v>
      </c>
      <c r="Q71" s="354" t="s">
        <v>1616</v>
      </c>
    </row>
    <row r="72" spans="9:17" x14ac:dyDescent="0.25">
      <c r="J72" s="364" t="s">
        <v>1110</v>
      </c>
      <c r="K72" s="357" t="s">
        <v>1125</v>
      </c>
      <c r="P72" s="374" t="s">
        <v>1114</v>
      </c>
      <c r="Q72" s="354" t="s">
        <v>1617</v>
      </c>
    </row>
    <row r="73" spans="9:17" x14ac:dyDescent="0.25">
      <c r="J73" s="364" t="s">
        <v>1111</v>
      </c>
      <c r="K73" s="357" t="s">
        <v>1126</v>
      </c>
      <c r="P73" s="374" t="s">
        <v>1115</v>
      </c>
      <c r="Q73" s="354" t="s">
        <v>1618</v>
      </c>
    </row>
    <row r="74" spans="9:17" x14ac:dyDescent="0.25">
      <c r="J74" s="364" t="s">
        <v>1112</v>
      </c>
      <c r="K74" s="357" t="s">
        <v>1127</v>
      </c>
      <c r="P74" s="374" t="s">
        <v>1116</v>
      </c>
      <c r="Q74" s="354" t="s">
        <v>1619</v>
      </c>
    </row>
    <row r="75" spans="9:17" x14ac:dyDescent="0.25">
      <c r="J75" s="364" t="s">
        <v>1113</v>
      </c>
      <c r="K75" s="357" t="s">
        <v>1128</v>
      </c>
      <c r="O75" s="354">
        <v>8</v>
      </c>
      <c r="P75" s="374" t="s">
        <v>1620</v>
      </c>
    </row>
    <row r="76" spans="9:17" x14ac:dyDescent="0.25">
      <c r="J76" s="364" t="s">
        <v>1114</v>
      </c>
      <c r="K76" s="357" t="s">
        <v>1129</v>
      </c>
      <c r="P76" s="374" t="s">
        <v>1133</v>
      </c>
      <c r="Q76" s="354" t="s">
        <v>1621</v>
      </c>
    </row>
    <row r="77" spans="9:17" x14ac:dyDescent="0.25">
      <c r="J77" s="364" t="s">
        <v>1115</v>
      </c>
      <c r="K77" s="357" t="s">
        <v>1130</v>
      </c>
      <c r="P77" s="374" t="s">
        <v>1134</v>
      </c>
      <c r="Q77" s="354" t="s">
        <v>1622</v>
      </c>
    </row>
    <row r="78" spans="9:17" x14ac:dyDescent="0.25">
      <c r="J78" s="364" t="s">
        <v>1116</v>
      </c>
      <c r="K78" s="357" t="s">
        <v>1131</v>
      </c>
      <c r="P78" s="374" t="s">
        <v>1135</v>
      </c>
      <c r="Q78" s="354" t="s">
        <v>1623</v>
      </c>
    </row>
    <row r="79" spans="9:17" x14ac:dyDescent="0.25">
      <c r="J79" s="364" t="s">
        <v>1117</v>
      </c>
      <c r="K79" s="357" t="s">
        <v>1132</v>
      </c>
      <c r="P79" s="374" t="s">
        <v>1136</v>
      </c>
      <c r="Q79" s="354" t="s">
        <v>1624</v>
      </c>
    </row>
    <row r="80" spans="9:17" ht="13" x14ac:dyDescent="0.25">
      <c r="K80" s="355" t="s">
        <v>1146</v>
      </c>
      <c r="P80" s="374" t="s">
        <v>1137</v>
      </c>
      <c r="Q80" s="354" t="s">
        <v>1625</v>
      </c>
    </row>
    <row r="81" spans="9:17" x14ac:dyDescent="0.25">
      <c r="I81" s="354">
        <v>8</v>
      </c>
      <c r="J81" s="364" t="s">
        <v>1147</v>
      </c>
      <c r="M81" s="359" t="s">
        <v>1148</v>
      </c>
      <c r="P81" s="374" t="s">
        <v>1138</v>
      </c>
      <c r="Q81" s="354" t="s">
        <v>1626</v>
      </c>
    </row>
    <row r="82" spans="9:17" x14ac:dyDescent="0.25">
      <c r="J82" s="364" t="s">
        <v>1133</v>
      </c>
      <c r="K82" s="357" t="s">
        <v>1149</v>
      </c>
      <c r="P82" s="374" t="s">
        <v>1139</v>
      </c>
      <c r="Q82" s="354" t="s">
        <v>1627</v>
      </c>
    </row>
    <row r="83" spans="9:17" x14ac:dyDescent="0.25">
      <c r="J83" s="364" t="s">
        <v>1134</v>
      </c>
      <c r="K83" s="357" t="s">
        <v>1150</v>
      </c>
      <c r="O83" s="354">
        <v>9</v>
      </c>
      <c r="P83" s="374" t="s">
        <v>1628</v>
      </c>
    </row>
    <row r="84" spans="9:17" x14ac:dyDescent="0.25">
      <c r="J84" s="364" t="s">
        <v>1135</v>
      </c>
      <c r="K84" s="357" t="s">
        <v>1151</v>
      </c>
      <c r="P84" s="374" t="s">
        <v>1162</v>
      </c>
      <c r="Q84" s="354" t="s">
        <v>1629</v>
      </c>
    </row>
    <row r="85" spans="9:17" ht="25" x14ac:dyDescent="0.25">
      <c r="J85" s="364" t="s">
        <v>1136</v>
      </c>
      <c r="K85" s="357" t="s">
        <v>1152</v>
      </c>
      <c r="P85" s="374" t="s">
        <v>1163</v>
      </c>
      <c r="Q85" s="354" t="s">
        <v>1630</v>
      </c>
    </row>
    <row r="86" spans="9:17" ht="25" x14ac:dyDescent="0.25">
      <c r="J86" s="364" t="s">
        <v>1137</v>
      </c>
      <c r="K86" s="357" t="s">
        <v>1153</v>
      </c>
      <c r="P86" s="374" t="s">
        <v>1164</v>
      </c>
      <c r="Q86" s="354" t="s">
        <v>1631</v>
      </c>
    </row>
    <row r="87" spans="9:17" x14ac:dyDescent="0.25">
      <c r="J87" s="364" t="s">
        <v>1138</v>
      </c>
      <c r="K87" s="357" t="s">
        <v>1154</v>
      </c>
      <c r="P87" s="374" t="s">
        <v>1165</v>
      </c>
      <c r="Q87" s="354" t="s">
        <v>1632</v>
      </c>
    </row>
    <row r="88" spans="9:17" ht="25" x14ac:dyDescent="0.25">
      <c r="J88" s="364" t="s">
        <v>1139</v>
      </c>
      <c r="K88" s="357" t="s">
        <v>1155</v>
      </c>
      <c r="P88" s="374" t="s">
        <v>1166</v>
      </c>
      <c r="Q88" s="354" t="s">
        <v>1633</v>
      </c>
    </row>
    <row r="89" spans="9:17" ht="25" x14ac:dyDescent="0.25">
      <c r="J89" s="364" t="s">
        <v>1140</v>
      </c>
      <c r="K89" s="357" t="s">
        <v>1156</v>
      </c>
      <c r="O89" s="354">
        <v>10</v>
      </c>
      <c r="P89" s="374" t="s">
        <v>1634</v>
      </c>
    </row>
    <row r="90" spans="9:17" ht="25" x14ac:dyDescent="0.25">
      <c r="J90" s="364" t="s">
        <v>1141</v>
      </c>
      <c r="K90" s="357" t="s">
        <v>1157</v>
      </c>
      <c r="P90" s="374" t="s">
        <v>1195</v>
      </c>
      <c r="Q90" s="354" t="s">
        <v>1601</v>
      </c>
    </row>
    <row r="91" spans="9:17" ht="25" x14ac:dyDescent="0.25">
      <c r="J91" s="364" t="s">
        <v>1142</v>
      </c>
      <c r="K91" s="357" t="s">
        <v>1158</v>
      </c>
      <c r="P91" s="374" t="s">
        <v>1196</v>
      </c>
      <c r="Q91" s="354" t="s">
        <v>1567</v>
      </c>
    </row>
    <row r="92" spans="9:17" ht="25" x14ac:dyDescent="0.25">
      <c r="J92" s="364" t="s">
        <v>1143</v>
      </c>
      <c r="K92" s="357" t="s">
        <v>1159</v>
      </c>
      <c r="P92" s="374" t="s">
        <v>1197</v>
      </c>
      <c r="Q92" s="354" t="s">
        <v>1635</v>
      </c>
    </row>
    <row r="93" spans="9:17" ht="25" x14ac:dyDescent="0.25">
      <c r="J93" s="364" t="s">
        <v>1144</v>
      </c>
      <c r="K93" s="357" t="s">
        <v>1160</v>
      </c>
      <c r="P93" s="374" t="s">
        <v>1198</v>
      </c>
      <c r="Q93" s="354" t="s">
        <v>1636</v>
      </c>
    </row>
    <row r="94" spans="9:17" ht="25" x14ac:dyDescent="0.25">
      <c r="J94" s="364" t="s">
        <v>1145</v>
      </c>
      <c r="K94" s="357" t="s">
        <v>1161</v>
      </c>
      <c r="P94" s="374" t="s">
        <v>1199</v>
      </c>
      <c r="Q94" s="354" t="s">
        <v>1637</v>
      </c>
    </row>
    <row r="95" spans="9:17" x14ac:dyDescent="0.25">
      <c r="I95" s="354">
        <v>9</v>
      </c>
      <c r="J95" s="364" t="s">
        <v>1170</v>
      </c>
      <c r="M95" s="359" t="s">
        <v>1220</v>
      </c>
      <c r="O95" s="354">
        <v>11</v>
      </c>
      <c r="P95" s="374" t="s">
        <v>1638</v>
      </c>
    </row>
    <row r="96" spans="9:17" x14ac:dyDescent="0.25">
      <c r="J96" s="364" t="s">
        <v>1162</v>
      </c>
      <c r="K96" s="357" t="s">
        <v>1171</v>
      </c>
      <c r="P96" s="374" t="s">
        <v>1223</v>
      </c>
      <c r="Q96" s="354" t="s">
        <v>1640</v>
      </c>
    </row>
    <row r="97" spans="9:17" ht="25" x14ac:dyDescent="0.25">
      <c r="J97" s="364" t="s">
        <v>1163</v>
      </c>
      <c r="K97" s="357" t="s">
        <v>1187</v>
      </c>
      <c r="P97" s="374" t="s">
        <v>1228</v>
      </c>
      <c r="Q97" s="354" t="s">
        <v>1641</v>
      </c>
    </row>
    <row r="98" spans="9:17" ht="25" x14ac:dyDescent="0.25">
      <c r="J98" s="364" t="s">
        <v>1164</v>
      </c>
      <c r="K98" s="357" t="s">
        <v>1188</v>
      </c>
      <c r="P98" s="374" t="s">
        <v>1639</v>
      </c>
      <c r="Q98" s="354" t="s">
        <v>1642</v>
      </c>
    </row>
    <row r="99" spans="9:17" x14ac:dyDescent="0.25">
      <c r="J99" s="364" t="s">
        <v>1165</v>
      </c>
      <c r="K99" s="357" t="s">
        <v>1189</v>
      </c>
      <c r="O99" s="354">
        <v>12</v>
      </c>
      <c r="P99" s="374" t="s">
        <v>1643</v>
      </c>
    </row>
    <row r="100" spans="9:17" ht="25" x14ac:dyDescent="0.25">
      <c r="J100" s="364" t="s">
        <v>1166</v>
      </c>
      <c r="K100" s="357" t="s">
        <v>1190</v>
      </c>
      <c r="P100" s="374" t="s">
        <v>1244</v>
      </c>
      <c r="Q100" s="354" t="s">
        <v>1601</v>
      </c>
    </row>
    <row r="101" spans="9:17" x14ac:dyDescent="0.25">
      <c r="J101" s="364" t="s">
        <v>1167</v>
      </c>
      <c r="K101" s="357" t="s">
        <v>1191</v>
      </c>
      <c r="P101" s="374" t="s">
        <v>1245</v>
      </c>
      <c r="Q101" s="354" t="s">
        <v>1645</v>
      </c>
    </row>
    <row r="102" spans="9:17" x14ac:dyDescent="0.25">
      <c r="J102" s="364" t="s">
        <v>1168</v>
      </c>
      <c r="K102" s="357" t="s">
        <v>1192</v>
      </c>
      <c r="P102" s="374" t="s">
        <v>1246</v>
      </c>
      <c r="Q102" s="354" t="s">
        <v>1646</v>
      </c>
    </row>
    <row r="103" spans="9:17" x14ac:dyDescent="0.25">
      <c r="J103" s="364" t="s">
        <v>1169</v>
      </c>
      <c r="K103" s="357" t="s">
        <v>1193</v>
      </c>
      <c r="P103" s="374" t="s">
        <v>1247</v>
      </c>
      <c r="Q103" s="354" t="s">
        <v>1647</v>
      </c>
    </row>
    <row r="104" spans="9:17" x14ac:dyDescent="0.25">
      <c r="I104" s="354">
        <v>10</v>
      </c>
      <c r="J104" s="364" t="s">
        <v>1194</v>
      </c>
      <c r="M104" s="359" t="s">
        <v>1221</v>
      </c>
      <c r="P104" s="374" t="s">
        <v>1248</v>
      </c>
      <c r="Q104" s="354" t="s">
        <v>1648</v>
      </c>
    </row>
    <row r="105" spans="9:17" x14ac:dyDescent="0.25">
      <c r="J105" s="364" t="s">
        <v>1195</v>
      </c>
      <c r="K105" s="357" t="s">
        <v>1207</v>
      </c>
      <c r="P105" s="374" t="s">
        <v>1249</v>
      </c>
      <c r="Q105" s="354" t="s">
        <v>1649</v>
      </c>
    </row>
    <row r="106" spans="9:17" ht="25" x14ac:dyDescent="0.25">
      <c r="J106" s="364" t="s">
        <v>1196</v>
      </c>
      <c r="K106" s="357" t="s">
        <v>1208</v>
      </c>
      <c r="P106" s="374" t="s">
        <v>1250</v>
      </c>
      <c r="Q106" s="354" t="s">
        <v>1650</v>
      </c>
    </row>
    <row r="107" spans="9:17" x14ac:dyDescent="0.25">
      <c r="J107" s="364" t="s">
        <v>1197</v>
      </c>
      <c r="K107" s="357" t="s">
        <v>1209</v>
      </c>
      <c r="P107" s="374" t="s">
        <v>1644</v>
      </c>
      <c r="Q107" s="354" t="s">
        <v>1651</v>
      </c>
    </row>
    <row r="108" spans="9:17" x14ac:dyDescent="0.25">
      <c r="J108" s="364" t="s">
        <v>1198</v>
      </c>
      <c r="K108" s="357" t="s">
        <v>1210</v>
      </c>
      <c r="P108" s="374" t="s">
        <v>1653</v>
      </c>
      <c r="Q108" s="354" t="s">
        <v>1652</v>
      </c>
    </row>
    <row r="109" spans="9:17" ht="25" x14ac:dyDescent="0.25">
      <c r="J109" s="364" t="s">
        <v>1199</v>
      </c>
      <c r="K109" s="357" t="s">
        <v>1211</v>
      </c>
      <c r="O109" s="354">
        <v>13</v>
      </c>
      <c r="P109" s="360" t="s">
        <v>1654</v>
      </c>
    </row>
    <row r="110" spans="9:17" ht="25" x14ac:dyDescent="0.25">
      <c r="J110" s="364" t="s">
        <v>1200</v>
      </c>
      <c r="K110" s="357" t="s">
        <v>1212</v>
      </c>
      <c r="P110" s="360" t="s">
        <v>1260</v>
      </c>
      <c r="Q110" s="359" t="s">
        <v>1656</v>
      </c>
    </row>
    <row r="111" spans="9:17" x14ac:dyDescent="0.25">
      <c r="J111" s="364" t="s">
        <v>1201</v>
      </c>
      <c r="K111" s="357" t="s">
        <v>1213</v>
      </c>
      <c r="P111" s="360" t="s">
        <v>1271</v>
      </c>
      <c r="Q111" s="359" t="s">
        <v>1657</v>
      </c>
    </row>
    <row r="112" spans="9:17" x14ac:dyDescent="0.25">
      <c r="J112" s="364" t="s">
        <v>1202</v>
      </c>
      <c r="K112" s="357" t="s">
        <v>1214</v>
      </c>
      <c r="P112" s="360" t="s">
        <v>1283</v>
      </c>
      <c r="Q112" s="359" t="s">
        <v>1658</v>
      </c>
    </row>
    <row r="113" spans="9:17" x14ac:dyDescent="0.25">
      <c r="J113" s="364" t="s">
        <v>1203</v>
      </c>
      <c r="K113" s="357" t="s">
        <v>1215</v>
      </c>
      <c r="P113" s="360" t="s">
        <v>1291</v>
      </c>
      <c r="Q113" s="359" t="s">
        <v>1659</v>
      </c>
    </row>
    <row r="114" spans="9:17" ht="25" x14ac:dyDescent="0.25">
      <c r="J114" s="364" t="s">
        <v>1204</v>
      </c>
      <c r="K114" s="357" t="s">
        <v>1216</v>
      </c>
      <c r="P114" s="360" t="s">
        <v>1655</v>
      </c>
      <c r="Q114" s="359" t="s">
        <v>1652</v>
      </c>
    </row>
    <row r="115" spans="9:17" x14ac:dyDescent="0.25">
      <c r="J115" s="364" t="s">
        <v>1205</v>
      </c>
      <c r="K115" s="357" t="s">
        <v>1217</v>
      </c>
      <c r="O115" s="354">
        <v>14</v>
      </c>
      <c r="P115" s="360" t="s">
        <v>1660</v>
      </c>
    </row>
    <row r="116" spans="9:17" x14ac:dyDescent="0.25">
      <c r="J116" s="364" t="s">
        <v>1206</v>
      </c>
      <c r="K116" s="357" t="s">
        <v>1218</v>
      </c>
      <c r="P116" s="360" t="s">
        <v>1295</v>
      </c>
      <c r="Q116" s="359" t="s">
        <v>1601</v>
      </c>
    </row>
    <row r="117" spans="9:17" x14ac:dyDescent="0.25">
      <c r="I117" s="354">
        <v>11</v>
      </c>
      <c r="J117" s="364" t="s">
        <v>1219</v>
      </c>
      <c r="M117" s="359" t="s">
        <v>1222</v>
      </c>
      <c r="P117" s="360" t="s">
        <v>1296</v>
      </c>
      <c r="Q117" s="359" t="s">
        <v>1661</v>
      </c>
    </row>
    <row r="118" spans="9:17" x14ac:dyDescent="0.25">
      <c r="J118" s="364" t="s">
        <v>1223</v>
      </c>
      <c r="K118" s="357" t="s">
        <v>1233</v>
      </c>
      <c r="P118" s="360" t="s">
        <v>1297</v>
      </c>
      <c r="Q118" s="359" t="s">
        <v>1662</v>
      </c>
    </row>
    <row r="119" spans="9:17" x14ac:dyDescent="0.25">
      <c r="K119" s="357" t="s">
        <v>1225</v>
      </c>
      <c r="L119" s="359" t="s">
        <v>1234</v>
      </c>
      <c r="P119" s="360" t="s">
        <v>1298</v>
      </c>
      <c r="Q119" s="359" t="s">
        <v>1663</v>
      </c>
    </row>
    <row r="120" spans="9:17" x14ac:dyDescent="0.25">
      <c r="K120" s="357" t="s">
        <v>1224</v>
      </c>
      <c r="L120" s="359" t="s">
        <v>1235</v>
      </c>
      <c r="O120" s="354">
        <v>15</v>
      </c>
      <c r="P120" s="360" t="s">
        <v>1664</v>
      </c>
    </row>
    <row r="121" spans="9:17" x14ac:dyDescent="0.25">
      <c r="K121" s="357" t="s">
        <v>1226</v>
      </c>
      <c r="L121" s="359" t="s">
        <v>1236</v>
      </c>
      <c r="P121" s="360" t="s">
        <v>1310</v>
      </c>
      <c r="Q121" s="359" t="s">
        <v>1667</v>
      </c>
    </row>
    <row r="122" spans="9:17" x14ac:dyDescent="0.25">
      <c r="K122" s="357" t="s">
        <v>1227</v>
      </c>
      <c r="L122" s="359" t="s">
        <v>1237</v>
      </c>
      <c r="P122" s="360" t="s">
        <v>1317</v>
      </c>
      <c r="Q122" s="359" t="s">
        <v>1668</v>
      </c>
    </row>
    <row r="123" spans="9:17" x14ac:dyDescent="0.25">
      <c r="J123" s="364" t="s">
        <v>1228</v>
      </c>
      <c r="K123" s="357" t="s">
        <v>1238</v>
      </c>
      <c r="P123" s="360" t="s">
        <v>1665</v>
      </c>
      <c r="Q123" s="359" t="s">
        <v>1669</v>
      </c>
    </row>
    <row r="124" spans="9:17" x14ac:dyDescent="0.25">
      <c r="K124" s="357" t="s">
        <v>1229</v>
      </c>
      <c r="L124" s="359" t="s">
        <v>1239</v>
      </c>
      <c r="P124" s="360" t="s">
        <v>1666</v>
      </c>
      <c r="Q124" s="359" t="s">
        <v>1670</v>
      </c>
    </row>
    <row r="125" spans="9:17" x14ac:dyDescent="0.25">
      <c r="K125" s="357" t="s">
        <v>1230</v>
      </c>
      <c r="L125" s="359" t="s">
        <v>1240</v>
      </c>
      <c r="O125" s="354">
        <v>16</v>
      </c>
      <c r="P125" s="360" t="s">
        <v>1671</v>
      </c>
    </row>
    <row r="126" spans="9:17" x14ac:dyDescent="0.25">
      <c r="K126" s="357" t="s">
        <v>1231</v>
      </c>
      <c r="L126" s="359" t="s">
        <v>1241</v>
      </c>
      <c r="P126" s="360" t="s">
        <v>1672</v>
      </c>
      <c r="Q126" s="359" t="s">
        <v>1675</v>
      </c>
    </row>
    <row r="127" spans="9:17" x14ac:dyDescent="0.25">
      <c r="K127" s="357" t="s">
        <v>1232</v>
      </c>
      <c r="L127" s="359" t="s">
        <v>1242</v>
      </c>
      <c r="P127" s="360" t="s">
        <v>1673</v>
      </c>
      <c r="Q127" s="359" t="s">
        <v>1652</v>
      </c>
    </row>
    <row r="128" spans="9:17" x14ac:dyDescent="0.25">
      <c r="I128" s="354">
        <v>12</v>
      </c>
      <c r="J128" s="364" t="s">
        <v>1243</v>
      </c>
      <c r="M128" s="359" t="s">
        <v>1258</v>
      </c>
      <c r="P128" s="360" t="s">
        <v>1674</v>
      </c>
      <c r="Q128" s="359" t="s">
        <v>1676</v>
      </c>
    </row>
    <row r="129" spans="9:17" x14ac:dyDescent="0.25">
      <c r="J129" s="364" t="s">
        <v>1244</v>
      </c>
      <c r="K129" s="357" t="s">
        <v>1251</v>
      </c>
      <c r="O129" s="354">
        <v>17</v>
      </c>
      <c r="P129" s="360" t="s">
        <v>1677</v>
      </c>
    </row>
    <row r="130" spans="9:17" ht="25" x14ac:dyDescent="0.25">
      <c r="J130" s="364" t="s">
        <v>1245</v>
      </c>
      <c r="K130" s="357" t="s">
        <v>1252</v>
      </c>
      <c r="P130" s="360" t="s">
        <v>1678</v>
      </c>
      <c r="Q130" s="359" t="s">
        <v>1679</v>
      </c>
    </row>
    <row r="131" spans="9:17" x14ac:dyDescent="0.25">
      <c r="J131" s="364" t="s">
        <v>1246</v>
      </c>
      <c r="K131" s="357" t="s">
        <v>1253</v>
      </c>
      <c r="P131" s="360" t="s">
        <v>1688</v>
      </c>
      <c r="Q131" s="359" t="s">
        <v>1680</v>
      </c>
    </row>
    <row r="132" spans="9:17" x14ac:dyDescent="0.25">
      <c r="J132" s="364" t="s">
        <v>1247</v>
      </c>
      <c r="K132" s="357" t="s">
        <v>1254</v>
      </c>
      <c r="P132" s="360" t="s">
        <v>1689</v>
      </c>
      <c r="Q132" s="359" t="s">
        <v>1681</v>
      </c>
    </row>
    <row r="133" spans="9:17" x14ac:dyDescent="0.25">
      <c r="J133" s="364" t="s">
        <v>1248</v>
      </c>
      <c r="K133" s="357" t="s">
        <v>1255</v>
      </c>
      <c r="P133" s="360" t="s">
        <v>1690</v>
      </c>
      <c r="Q133" s="359" t="s">
        <v>1682</v>
      </c>
    </row>
    <row r="134" spans="9:17" x14ac:dyDescent="0.25">
      <c r="J134" s="364" t="s">
        <v>1249</v>
      </c>
      <c r="K134" s="357" t="s">
        <v>1256</v>
      </c>
      <c r="P134" s="360" t="s">
        <v>1691</v>
      </c>
      <c r="Q134" s="359" t="s">
        <v>1683</v>
      </c>
    </row>
    <row r="135" spans="9:17" ht="25" x14ac:dyDescent="0.25">
      <c r="J135" s="364" t="s">
        <v>1250</v>
      </c>
      <c r="K135" s="357" t="s">
        <v>1257</v>
      </c>
      <c r="P135" s="360" t="s">
        <v>1692</v>
      </c>
      <c r="Q135" s="359" t="s">
        <v>1684</v>
      </c>
    </row>
    <row r="136" spans="9:17" x14ac:dyDescent="0.25">
      <c r="I136" s="354">
        <v>13</v>
      </c>
      <c r="J136" s="364" t="s">
        <v>1259</v>
      </c>
      <c r="M136" s="359" t="s">
        <v>1270</v>
      </c>
      <c r="P136" s="360" t="s">
        <v>1693</v>
      </c>
      <c r="Q136" s="359" t="s">
        <v>1685</v>
      </c>
    </row>
    <row r="137" spans="9:17" x14ac:dyDescent="0.25">
      <c r="J137" s="364" t="s">
        <v>1260</v>
      </c>
      <c r="K137" s="357" t="s">
        <v>1261</v>
      </c>
      <c r="P137" s="360" t="s">
        <v>1694</v>
      </c>
      <c r="Q137" s="359" t="s">
        <v>1686</v>
      </c>
    </row>
    <row r="138" spans="9:17" x14ac:dyDescent="0.25">
      <c r="K138" s="357" t="s">
        <v>1262</v>
      </c>
      <c r="L138" s="138" t="s">
        <v>1266</v>
      </c>
      <c r="P138" s="360" t="s">
        <v>1695</v>
      </c>
      <c r="Q138" s="359" t="s">
        <v>1687</v>
      </c>
    </row>
    <row r="139" spans="9:17" x14ac:dyDescent="0.25">
      <c r="K139" s="357" t="s">
        <v>1263</v>
      </c>
      <c r="L139" s="138" t="s">
        <v>1267</v>
      </c>
      <c r="O139" s="354">
        <v>18</v>
      </c>
      <c r="P139" s="360" t="s">
        <v>1696</v>
      </c>
    </row>
    <row r="140" spans="9:17" x14ac:dyDescent="0.25">
      <c r="K140" s="357" t="s">
        <v>1264</v>
      </c>
      <c r="L140" s="138" t="s">
        <v>1268</v>
      </c>
      <c r="P140" s="360" t="s">
        <v>1697</v>
      </c>
      <c r="Q140" s="359" t="s">
        <v>1701</v>
      </c>
    </row>
    <row r="141" spans="9:17" x14ac:dyDescent="0.25">
      <c r="K141" s="357" t="s">
        <v>1265</v>
      </c>
      <c r="L141" s="138" t="s">
        <v>1269</v>
      </c>
      <c r="P141" s="360" t="s">
        <v>1698</v>
      </c>
      <c r="Q141" s="359" t="s">
        <v>1702</v>
      </c>
    </row>
    <row r="142" spans="9:17" x14ac:dyDescent="0.25">
      <c r="J142" s="364" t="s">
        <v>1271</v>
      </c>
      <c r="K142" s="357" t="s">
        <v>1272</v>
      </c>
      <c r="P142" s="360" t="s">
        <v>1699</v>
      </c>
      <c r="Q142" s="359" t="s">
        <v>1703</v>
      </c>
    </row>
    <row r="143" spans="9:17" x14ac:dyDescent="0.25">
      <c r="K143" s="357" t="s">
        <v>1273</v>
      </c>
      <c r="L143" s="138" t="s">
        <v>1278</v>
      </c>
      <c r="P143" s="360" t="s">
        <v>1700</v>
      </c>
      <c r="Q143" s="359" t="s">
        <v>1704</v>
      </c>
    </row>
    <row r="144" spans="9:17" x14ac:dyDescent="0.25">
      <c r="K144" s="357" t="s">
        <v>1274</v>
      </c>
      <c r="L144" s="138" t="s">
        <v>1279</v>
      </c>
      <c r="O144" s="354">
        <v>19</v>
      </c>
      <c r="P144" s="360" t="s">
        <v>1705</v>
      </c>
    </row>
    <row r="145" spans="9:17" x14ac:dyDescent="0.25">
      <c r="K145" s="357" t="s">
        <v>1275</v>
      </c>
      <c r="L145" s="138" t="s">
        <v>1280</v>
      </c>
      <c r="P145" s="360" t="s">
        <v>1706</v>
      </c>
      <c r="Q145" s="354" t="s">
        <v>1709</v>
      </c>
    </row>
    <row r="146" spans="9:17" x14ac:dyDescent="0.25">
      <c r="K146" s="357" t="s">
        <v>1276</v>
      </c>
      <c r="L146" s="138" t="s">
        <v>1281</v>
      </c>
      <c r="P146" s="360" t="s">
        <v>1707</v>
      </c>
      <c r="Q146" s="354" t="s">
        <v>1710</v>
      </c>
    </row>
    <row r="147" spans="9:17" x14ac:dyDescent="0.25">
      <c r="K147" s="357" t="s">
        <v>1277</v>
      </c>
      <c r="L147" s="138" t="s">
        <v>1282</v>
      </c>
      <c r="P147" s="360" t="s">
        <v>1708</v>
      </c>
      <c r="Q147" s="354" t="s">
        <v>1711</v>
      </c>
    </row>
    <row r="148" spans="9:17" x14ac:dyDescent="0.25">
      <c r="J148" s="364" t="s">
        <v>1283</v>
      </c>
      <c r="K148" s="357" t="s">
        <v>1284</v>
      </c>
      <c r="O148" s="354">
        <v>20</v>
      </c>
      <c r="P148" s="360" t="s">
        <v>1712</v>
      </c>
    </row>
    <row r="149" spans="9:17" x14ac:dyDescent="0.25">
      <c r="K149" s="357" t="s">
        <v>1285</v>
      </c>
      <c r="L149" s="138" t="s">
        <v>1288</v>
      </c>
      <c r="P149" s="374" t="s">
        <v>1713</v>
      </c>
      <c r="Q149" s="354" t="s">
        <v>1715</v>
      </c>
    </row>
    <row r="150" spans="9:17" x14ac:dyDescent="0.25">
      <c r="K150" s="357" t="s">
        <v>1286</v>
      </c>
      <c r="L150" s="138" t="s">
        <v>1289</v>
      </c>
      <c r="P150" s="374" t="s">
        <v>1714</v>
      </c>
      <c r="Q150" s="354" t="s">
        <v>1716</v>
      </c>
    </row>
    <row r="151" spans="9:17" x14ac:dyDescent="0.25">
      <c r="K151" s="357" t="s">
        <v>1287</v>
      </c>
      <c r="L151" s="138" t="s">
        <v>1290</v>
      </c>
    </row>
    <row r="152" spans="9:17" x14ac:dyDescent="0.25">
      <c r="J152" s="364" t="s">
        <v>1291</v>
      </c>
      <c r="K152" s="357" t="s">
        <v>1292</v>
      </c>
    </row>
    <row r="153" spans="9:17" x14ac:dyDescent="0.25">
      <c r="I153" s="354">
        <v>14</v>
      </c>
      <c r="J153" s="364" t="s">
        <v>1293</v>
      </c>
      <c r="M153" s="359" t="s">
        <v>1294</v>
      </c>
    </row>
    <row r="154" spans="9:17" x14ac:dyDescent="0.25">
      <c r="J154" s="364" t="s">
        <v>1295</v>
      </c>
      <c r="K154" s="357" t="s">
        <v>1302</v>
      </c>
    </row>
    <row r="155" spans="9:17" x14ac:dyDescent="0.25">
      <c r="J155" s="364" t="s">
        <v>1296</v>
      </c>
      <c r="K155" s="357" t="s">
        <v>1303</v>
      </c>
    </row>
    <row r="156" spans="9:17" x14ac:dyDescent="0.25">
      <c r="J156" s="364" t="s">
        <v>1297</v>
      </c>
      <c r="K156" s="357" t="s">
        <v>1304</v>
      </c>
    </row>
    <row r="157" spans="9:17" x14ac:dyDescent="0.25">
      <c r="J157" s="364" t="s">
        <v>1298</v>
      </c>
      <c r="K157" s="357" t="s">
        <v>1305</v>
      </c>
    </row>
    <row r="158" spans="9:17" x14ac:dyDescent="0.25">
      <c r="J158" s="364" t="s">
        <v>1299</v>
      </c>
      <c r="K158" s="357" t="s">
        <v>1306</v>
      </c>
    </row>
    <row r="159" spans="9:17" x14ac:dyDescent="0.25">
      <c r="J159" s="364" t="s">
        <v>1300</v>
      </c>
      <c r="K159" s="357" t="s">
        <v>1307</v>
      </c>
    </row>
    <row r="160" spans="9:17" x14ac:dyDescent="0.25">
      <c r="J160" s="364" t="s">
        <v>1301</v>
      </c>
      <c r="K160" s="357" t="s">
        <v>1308</v>
      </c>
    </row>
    <row r="161" spans="9:13" x14ac:dyDescent="0.25">
      <c r="I161" s="354">
        <v>15</v>
      </c>
      <c r="J161" s="364" t="s">
        <v>1309</v>
      </c>
      <c r="M161" s="359" t="s">
        <v>1311</v>
      </c>
    </row>
    <row r="162" spans="9:13" x14ac:dyDescent="0.25">
      <c r="J162" s="364" t="s">
        <v>1310</v>
      </c>
      <c r="K162" s="357" t="s">
        <v>1312</v>
      </c>
    </row>
    <row r="163" spans="9:13" x14ac:dyDescent="0.25">
      <c r="K163" s="357" t="s">
        <v>1313</v>
      </c>
      <c r="L163" s="138" t="s">
        <v>1315</v>
      </c>
    </row>
    <row r="164" spans="9:13" x14ac:dyDescent="0.25">
      <c r="K164" s="357" t="s">
        <v>1314</v>
      </c>
      <c r="L164" s="138" t="s">
        <v>1316</v>
      </c>
    </row>
    <row r="165" spans="9:13" x14ac:dyDescent="0.25">
      <c r="J165" s="364" t="s">
        <v>1317</v>
      </c>
      <c r="K165" s="357" t="s">
        <v>1318</v>
      </c>
    </row>
    <row r="166" spans="9:13" x14ac:dyDescent="0.25">
      <c r="K166" s="357" t="s">
        <v>1319</v>
      </c>
      <c r="L166" s="138" t="s">
        <v>1315</v>
      </c>
    </row>
    <row r="167" spans="9:13" x14ac:dyDescent="0.25">
      <c r="K167" s="357" t="s">
        <v>1320</v>
      </c>
      <c r="L167" s="138" t="s">
        <v>1316</v>
      </c>
    </row>
  </sheetData>
  <phoneticPr fontId="19" type="noConversion"/>
  <pageMargins left="0.7" right="0.7" top="0.75" bottom="0.75" header="0.3" footer="0.3"/>
  <pageSetup paperSize="9" orientation="portrait" horizontalDpi="360" verticalDpi="360" r:id="rId1"/>
  <tableParts count="4">
    <tablePart r:id="rId2"/>
    <tablePart r:id="rId3"/>
    <tablePart r:id="rId4"/>
    <tablePart r:id="rId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A1FBC-F021-4D90-BB58-A34AFA9EFEE6}">
  <sheetPr>
    <tabColor theme="0" tint="-0.499984740745262"/>
  </sheetPr>
  <dimension ref="A1:X79"/>
  <sheetViews>
    <sheetView workbookViewId="0"/>
  </sheetViews>
  <sheetFormatPr defaultRowHeight="12.5" x14ac:dyDescent="0.25"/>
  <cols>
    <col min="1" max="1" width="17.08984375" style="354" bestFit="1" customWidth="1"/>
    <col min="2" max="2" width="11" style="354" bestFit="1" customWidth="1"/>
    <col min="3" max="4" width="22.81640625" style="354" bestFit="1" customWidth="1"/>
    <col min="5" max="6" width="8.7265625" style="354"/>
    <col min="7" max="7" width="27.54296875" style="354" bestFit="1" customWidth="1"/>
    <col min="8" max="8" width="20.7265625" style="354" bestFit="1" customWidth="1"/>
    <col min="9" max="9" width="27.54296875" style="354" bestFit="1" customWidth="1"/>
    <col min="10" max="10" width="14.26953125" style="354" bestFit="1" customWidth="1"/>
    <col min="11" max="11" width="39.1796875" style="354" bestFit="1" customWidth="1"/>
    <col min="12" max="12" width="9.6328125" style="354" bestFit="1" customWidth="1"/>
    <col min="13" max="13" width="16.6328125" style="354" bestFit="1" customWidth="1"/>
    <col min="14" max="14" width="36.453125" style="354" bestFit="1" customWidth="1"/>
    <col min="15" max="15" width="36" style="354" bestFit="1" customWidth="1"/>
    <col min="16" max="16" width="9.453125" style="354" bestFit="1" customWidth="1"/>
    <col min="17" max="24" width="25.6328125" style="356" customWidth="1"/>
    <col min="25" max="16384" width="8.7265625" style="354"/>
  </cols>
  <sheetData>
    <row r="1" spans="1:24" s="358" customFormat="1" ht="26" x14ac:dyDescent="0.25">
      <c r="A1" s="376" t="s">
        <v>542</v>
      </c>
      <c r="B1" s="358" t="s">
        <v>63</v>
      </c>
      <c r="C1" s="358" t="s">
        <v>245</v>
      </c>
      <c r="D1" s="358" t="s">
        <v>165</v>
      </c>
      <c r="E1" s="358" t="s">
        <v>21</v>
      </c>
      <c r="F1" s="358" t="s">
        <v>7</v>
      </c>
      <c r="G1" s="358" t="s">
        <v>306</v>
      </c>
      <c r="H1" s="358" t="s">
        <v>314</v>
      </c>
      <c r="I1" s="358" t="s">
        <v>45</v>
      </c>
      <c r="J1" s="358" t="s">
        <v>10</v>
      </c>
      <c r="K1" s="358" t="s">
        <v>11</v>
      </c>
      <c r="L1" s="358" t="s">
        <v>60</v>
      </c>
      <c r="M1" s="358" t="s">
        <v>61</v>
      </c>
      <c r="N1" s="358" t="s">
        <v>63</v>
      </c>
      <c r="O1" s="358" t="s">
        <v>369</v>
      </c>
      <c r="P1" s="358" t="s">
        <v>326</v>
      </c>
      <c r="Q1" s="424" t="s">
        <v>1345</v>
      </c>
      <c r="R1" s="425" t="s">
        <v>1355</v>
      </c>
      <c r="S1" s="425" t="s">
        <v>1361</v>
      </c>
      <c r="T1" s="425" t="s">
        <v>1365</v>
      </c>
      <c r="U1" s="425" t="s">
        <v>1371</v>
      </c>
      <c r="V1" s="425" t="s">
        <v>1377</v>
      </c>
      <c r="W1" s="425" t="s">
        <v>1381</v>
      </c>
      <c r="X1" s="426" t="s">
        <v>1383</v>
      </c>
    </row>
    <row r="2" spans="1:24" x14ac:dyDescent="0.25">
      <c r="A2" s="377" t="s">
        <v>540</v>
      </c>
      <c r="B2" s="359" t="s">
        <v>304</v>
      </c>
      <c r="C2" s="359" t="s">
        <v>57</v>
      </c>
      <c r="D2" s="359" t="s">
        <v>715</v>
      </c>
      <c r="E2" s="359" t="s">
        <v>416</v>
      </c>
      <c r="F2" s="359" t="s">
        <v>13</v>
      </c>
      <c r="G2" s="359" t="s">
        <v>57</v>
      </c>
      <c r="H2" s="359" t="s">
        <v>57</v>
      </c>
      <c r="I2" s="359" t="s">
        <v>57</v>
      </c>
      <c r="J2" s="359" t="s">
        <v>6</v>
      </c>
      <c r="K2" s="359" t="s">
        <v>86</v>
      </c>
      <c r="L2" s="359" t="s">
        <v>697</v>
      </c>
      <c r="M2" s="359" t="s">
        <v>697</v>
      </c>
      <c r="N2" s="359" t="s">
        <v>697</v>
      </c>
      <c r="O2" s="359" t="s">
        <v>706</v>
      </c>
      <c r="P2" s="359" t="s">
        <v>2214</v>
      </c>
      <c r="Q2" s="427" t="s">
        <v>1346</v>
      </c>
      <c r="R2" s="375" t="s">
        <v>1356</v>
      </c>
      <c r="S2" s="375" t="s">
        <v>1362</v>
      </c>
      <c r="T2" s="375" t="s">
        <v>1366</v>
      </c>
      <c r="U2" s="375" t="s">
        <v>1372</v>
      </c>
      <c r="V2" s="375" t="s">
        <v>1378</v>
      </c>
      <c r="W2" s="375" t="s">
        <v>1382</v>
      </c>
      <c r="X2" s="428" t="s">
        <v>1384</v>
      </c>
    </row>
    <row r="3" spans="1:24" x14ac:dyDescent="0.25">
      <c r="A3" s="377" t="s">
        <v>549</v>
      </c>
      <c r="B3" s="359" t="s">
        <v>305</v>
      </c>
      <c r="C3" s="354" t="s">
        <v>33</v>
      </c>
      <c r="D3" s="359" t="s">
        <v>2194</v>
      </c>
      <c r="E3" s="359" t="s">
        <v>2034</v>
      </c>
      <c r="F3" s="359" t="s">
        <v>14</v>
      </c>
      <c r="G3" s="359" t="s">
        <v>474</v>
      </c>
      <c r="H3" s="359" t="s">
        <v>365</v>
      </c>
      <c r="I3" s="359" t="s">
        <v>592</v>
      </c>
      <c r="J3" s="359" t="s">
        <v>2</v>
      </c>
      <c r="K3" s="359" t="s">
        <v>2028</v>
      </c>
      <c r="L3" s="359" t="s">
        <v>166</v>
      </c>
      <c r="M3" s="359" t="s">
        <v>319</v>
      </c>
      <c r="N3" s="359" t="s">
        <v>166</v>
      </c>
      <c r="O3" s="359" t="s">
        <v>370</v>
      </c>
      <c r="P3" s="359" t="s">
        <v>2215</v>
      </c>
      <c r="Q3" s="427" t="s">
        <v>1347</v>
      </c>
      <c r="R3" s="375" t="s">
        <v>1357</v>
      </c>
      <c r="S3" s="375" t="s">
        <v>1363</v>
      </c>
      <c r="T3" s="375" t="s">
        <v>1367</v>
      </c>
      <c r="U3" s="375" t="s">
        <v>1373</v>
      </c>
      <c r="V3" s="375" t="s">
        <v>1379</v>
      </c>
      <c r="W3" s="375"/>
      <c r="X3" s="428" t="s">
        <v>1385</v>
      </c>
    </row>
    <row r="4" spans="1:24" ht="62.5" x14ac:dyDescent="0.25">
      <c r="A4" s="377" t="s">
        <v>550</v>
      </c>
      <c r="C4" s="359" t="s">
        <v>1949</v>
      </c>
      <c r="D4" s="359" t="s">
        <v>2269</v>
      </c>
      <c r="E4" s="354" t="s">
        <v>1446</v>
      </c>
      <c r="F4" s="359" t="s">
        <v>15</v>
      </c>
      <c r="G4" s="359" t="s">
        <v>2036</v>
      </c>
      <c r="H4" s="359" t="s">
        <v>312</v>
      </c>
      <c r="I4" s="359" t="s">
        <v>781</v>
      </c>
      <c r="J4" s="359" t="s">
        <v>3</v>
      </c>
      <c r="K4" s="359" t="s">
        <v>335</v>
      </c>
      <c r="L4" s="359" t="s">
        <v>91</v>
      </c>
      <c r="M4" s="359" t="s">
        <v>320</v>
      </c>
      <c r="N4" s="359" t="s">
        <v>348</v>
      </c>
      <c r="O4" s="359" t="s">
        <v>371</v>
      </c>
      <c r="P4" s="359" t="s">
        <v>2126</v>
      </c>
      <c r="Q4" s="427" t="s">
        <v>1348</v>
      </c>
      <c r="R4" s="375" t="s">
        <v>1358</v>
      </c>
      <c r="S4" s="375" t="s">
        <v>1364</v>
      </c>
      <c r="T4" s="375" t="s">
        <v>1368</v>
      </c>
      <c r="U4" s="375" t="s">
        <v>1374</v>
      </c>
      <c r="V4" s="375" t="s">
        <v>1380</v>
      </c>
      <c r="W4" s="375"/>
      <c r="X4" s="428" t="s">
        <v>1386</v>
      </c>
    </row>
    <row r="5" spans="1:24" ht="50" x14ac:dyDescent="0.25">
      <c r="A5" s="377" t="s">
        <v>551</v>
      </c>
      <c r="C5" s="359" t="s">
        <v>472</v>
      </c>
      <c r="D5" s="359" t="s">
        <v>856</v>
      </c>
      <c r="E5" s="359" t="s">
        <v>2031</v>
      </c>
      <c r="G5" s="359" t="s">
        <v>500</v>
      </c>
      <c r="H5" s="359" t="s">
        <v>2037</v>
      </c>
      <c r="I5" s="359" t="s">
        <v>821</v>
      </c>
      <c r="J5" s="359" t="s">
        <v>0</v>
      </c>
      <c r="K5" s="359" t="s">
        <v>138</v>
      </c>
      <c r="L5" s="359" t="s">
        <v>177</v>
      </c>
      <c r="M5" s="359" t="s">
        <v>259</v>
      </c>
      <c r="N5" s="359" t="s">
        <v>283</v>
      </c>
      <c r="O5" s="359" t="s">
        <v>372</v>
      </c>
      <c r="P5" s="359" t="s">
        <v>48</v>
      </c>
      <c r="Q5" s="427" t="s">
        <v>1349</v>
      </c>
      <c r="R5" s="375" t="s">
        <v>1359</v>
      </c>
      <c r="S5" s="375"/>
      <c r="T5" s="375" t="s">
        <v>1369</v>
      </c>
      <c r="U5" s="375" t="s">
        <v>1375</v>
      </c>
      <c r="V5" s="375"/>
      <c r="W5" s="375"/>
      <c r="X5" s="428" t="s">
        <v>1387</v>
      </c>
    </row>
    <row r="6" spans="1:24" ht="50" x14ac:dyDescent="0.25">
      <c r="A6" s="377" t="s">
        <v>552</v>
      </c>
      <c r="C6" s="359" t="s">
        <v>1781</v>
      </c>
      <c r="D6" s="359" t="s">
        <v>816</v>
      </c>
      <c r="E6" s="359" t="s">
        <v>2032</v>
      </c>
      <c r="G6" s="359" t="s">
        <v>817</v>
      </c>
      <c r="H6" s="359" t="s">
        <v>847</v>
      </c>
      <c r="I6" s="359" t="s">
        <v>1466</v>
      </c>
      <c r="J6" s="359" t="s">
        <v>1</v>
      </c>
      <c r="K6" s="359" t="s">
        <v>25</v>
      </c>
      <c r="L6" s="359" t="s">
        <v>429</v>
      </c>
      <c r="M6" s="359" t="s">
        <v>79</v>
      </c>
      <c r="N6" s="359" t="s">
        <v>296</v>
      </c>
      <c r="O6" s="359" t="s">
        <v>373</v>
      </c>
      <c r="P6" s="359" t="s">
        <v>2054</v>
      </c>
      <c r="Q6" s="427" t="s">
        <v>1350</v>
      </c>
      <c r="R6" s="375" t="s">
        <v>1360</v>
      </c>
      <c r="S6" s="375"/>
      <c r="T6" s="375" t="s">
        <v>1370</v>
      </c>
      <c r="U6" s="375" t="s">
        <v>1376</v>
      </c>
      <c r="V6" s="375"/>
      <c r="W6" s="375"/>
      <c r="X6" s="428" t="s">
        <v>1388</v>
      </c>
    </row>
    <row r="7" spans="1:24" x14ac:dyDescent="0.25">
      <c r="A7" s="377" t="s">
        <v>553</v>
      </c>
      <c r="C7" s="359" t="s">
        <v>2113</v>
      </c>
      <c r="D7" s="359" t="s">
        <v>684</v>
      </c>
      <c r="E7" s="359" t="s">
        <v>1806</v>
      </c>
      <c r="G7" s="359" t="s">
        <v>461</v>
      </c>
      <c r="H7" s="359" t="s">
        <v>626</v>
      </c>
      <c r="I7" s="359" t="s">
        <v>2273</v>
      </c>
      <c r="J7" s="359" t="s">
        <v>53</v>
      </c>
      <c r="K7" s="359" t="s">
        <v>336</v>
      </c>
      <c r="L7" s="359" t="s">
        <v>163</v>
      </c>
      <c r="M7" s="359" t="s">
        <v>133</v>
      </c>
      <c r="N7" s="379" t="s">
        <v>289</v>
      </c>
      <c r="O7" s="359" t="s">
        <v>374</v>
      </c>
      <c r="Q7" s="427" t="s">
        <v>1351</v>
      </c>
      <c r="R7" s="375"/>
      <c r="S7" s="375"/>
      <c r="T7" s="375"/>
      <c r="U7" s="375"/>
      <c r="V7" s="375"/>
      <c r="W7" s="375"/>
      <c r="X7" s="428" t="s">
        <v>1389</v>
      </c>
    </row>
    <row r="8" spans="1:24" x14ac:dyDescent="0.25">
      <c r="A8" s="377" t="s">
        <v>554</v>
      </c>
      <c r="C8" s="359" t="s">
        <v>2040</v>
      </c>
      <c r="D8" s="359" t="s">
        <v>1953</v>
      </c>
      <c r="E8" s="359" t="s">
        <v>872</v>
      </c>
      <c r="G8" s="359" t="s">
        <v>310</v>
      </c>
      <c r="H8" s="359" t="s">
        <v>780</v>
      </c>
      <c r="I8" s="359" t="s">
        <v>2037</v>
      </c>
      <c r="J8" s="359" t="s">
        <v>12</v>
      </c>
      <c r="K8" s="359" t="s">
        <v>337</v>
      </c>
      <c r="L8" s="359" t="s">
        <v>118</v>
      </c>
      <c r="M8" s="359" t="s">
        <v>156</v>
      </c>
      <c r="N8" s="359" t="s">
        <v>349</v>
      </c>
      <c r="O8" s="359" t="s">
        <v>375</v>
      </c>
      <c r="Q8" s="427" t="s">
        <v>1352</v>
      </c>
      <c r="R8" s="375"/>
      <c r="S8" s="375"/>
      <c r="T8" s="375"/>
      <c r="U8" s="375"/>
      <c r="V8" s="375"/>
      <c r="W8" s="375"/>
      <c r="X8" s="428" t="s">
        <v>1390</v>
      </c>
    </row>
    <row r="9" spans="1:24" x14ac:dyDescent="0.25">
      <c r="A9" s="377" t="s">
        <v>555</v>
      </c>
      <c r="C9" s="359" t="s">
        <v>1536</v>
      </c>
      <c r="D9" s="359" t="s">
        <v>449</v>
      </c>
      <c r="E9" s="359" t="s">
        <v>585</v>
      </c>
      <c r="G9" s="359" t="s">
        <v>307</v>
      </c>
      <c r="H9" s="359" t="s">
        <v>501</v>
      </c>
      <c r="I9" s="359" t="s">
        <v>1464</v>
      </c>
      <c r="J9" s="359" t="s">
        <v>693</v>
      </c>
      <c r="K9" s="359" t="s">
        <v>338</v>
      </c>
      <c r="L9" s="359" t="s">
        <v>54</v>
      </c>
      <c r="M9" s="359" t="s">
        <v>121</v>
      </c>
      <c r="N9" s="379" t="s">
        <v>279</v>
      </c>
      <c r="O9" s="359" t="s">
        <v>376</v>
      </c>
      <c r="Q9" s="427" t="s">
        <v>1353</v>
      </c>
      <c r="R9" s="375"/>
      <c r="S9" s="375"/>
      <c r="T9" s="375"/>
      <c r="U9" s="375"/>
      <c r="V9" s="375"/>
      <c r="W9" s="375"/>
      <c r="X9" s="428"/>
    </row>
    <row r="10" spans="1:24" ht="13" thickBot="1" x14ac:dyDescent="0.3">
      <c r="A10" s="377" t="s">
        <v>556</v>
      </c>
      <c r="C10" s="359" t="s">
        <v>1950</v>
      </c>
      <c r="D10" s="359" t="s">
        <v>915</v>
      </c>
      <c r="E10" s="359" t="s">
        <v>624</v>
      </c>
      <c r="G10" s="359" t="s">
        <v>589</v>
      </c>
      <c r="H10" s="359" t="s">
        <v>1983</v>
      </c>
      <c r="I10" s="359" t="s">
        <v>1958</v>
      </c>
      <c r="K10" s="359" t="s">
        <v>24</v>
      </c>
      <c r="L10" s="359" t="s">
        <v>49</v>
      </c>
      <c r="M10" s="359" t="s">
        <v>388</v>
      </c>
      <c r="N10" s="359" t="s">
        <v>2284</v>
      </c>
      <c r="O10" s="359" t="s">
        <v>378</v>
      </c>
      <c r="Q10" s="429" t="s">
        <v>1354</v>
      </c>
      <c r="R10" s="430"/>
      <c r="S10" s="430"/>
      <c r="T10" s="430"/>
      <c r="U10" s="430"/>
      <c r="V10" s="430"/>
      <c r="W10" s="430"/>
      <c r="X10" s="431"/>
    </row>
    <row r="11" spans="1:24" x14ac:dyDescent="0.25">
      <c r="A11" s="377" t="s">
        <v>557</v>
      </c>
      <c r="C11" s="359" t="s">
        <v>682</v>
      </c>
      <c r="D11" s="359" t="s">
        <v>898</v>
      </c>
      <c r="E11" s="354" t="s">
        <v>46</v>
      </c>
      <c r="G11" s="359" t="s">
        <v>660</v>
      </c>
      <c r="H11" s="359" t="s">
        <v>545</v>
      </c>
      <c r="I11" s="359" t="s">
        <v>629</v>
      </c>
      <c r="K11" s="359" t="s">
        <v>1999</v>
      </c>
      <c r="L11" s="359" t="s">
        <v>112</v>
      </c>
      <c r="M11" s="359" t="s">
        <v>119</v>
      </c>
      <c r="N11" s="359" t="s">
        <v>321</v>
      </c>
      <c r="O11" s="359" t="s">
        <v>379</v>
      </c>
    </row>
    <row r="12" spans="1:24" x14ac:dyDescent="0.25">
      <c r="A12" s="377" t="s">
        <v>558</v>
      </c>
      <c r="C12" s="359" t="s">
        <v>493</v>
      </c>
      <c r="D12" s="359" t="s">
        <v>90</v>
      </c>
      <c r="E12" s="354" t="s">
        <v>167</v>
      </c>
      <c r="G12" s="359" t="s">
        <v>852</v>
      </c>
      <c r="H12" s="359" t="s">
        <v>1737</v>
      </c>
      <c r="I12" s="359" t="s">
        <v>1921</v>
      </c>
      <c r="K12" s="359" t="s">
        <v>2000</v>
      </c>
      <c r="M12" s="359" t="s">
        <v>387</v>
      </c>
      <c r="N12" s="359" t="s">
        <v>322</v>
      </c>
      <c r="O12" s="359" t="s">
        <v>606</v>
      </c>
    </row>
    <row r="13" spans="1:24" x14ac:dyDescent="0.25">
      <c r="A13" s="377" t="s">
        <v>559</v>
      </c>
      <c r="C13" s="359" t="s">
        <v>681</v>
      </c>
      <c r="D13" s="359" t="s">
        <v>1782</v>
      </c>
      <c r="E13" s="359" t="s">
        <v>584</v>
      </c>
      <c r="G13" s="359" t="s">
        <v>625</v>
      </c>
      <c r="H13" s="359" t="s">
        <v>577</v>
      </c>
      <c r="I13" s="359" t="s">
        <v>318</v>
      </c>
      <c r="K13" s="359" t="s">
        <v>2001</v>
      </c>
      <c r="M13" s="359" t="s">
        <v>389</v>
      </c>
      <c r="N13" s="379" t="s">
        <v>325</v>
      </c>
      <c r="O13" s="359" t="s">
        <v>380</v>
      </c>
    </row>
    <row r="14" spans="1:24" x14ac:dyDescent="0.25">
      <c r="C14" s="359" t="s">
        <v>776</v>
      </c>
      <c r="D14" s="359" t="s">
        <v>2117</v>
      </c>
      <c r="E14" s="354" t="s">
        <v>152</v>
      </c>
      <c r="G14" s="359" t="s">
        <v>1891</v>
      </c>
      <c r="H14" s="359" t="s">
        <v>782</v>
      </c>
      <c r="I14" s="359" t="s">
        <v>2035</v>
      </c>
      <c r="K14" s="359" t="s">
        <v>122</v>
      </c>
      <c r="M14" s="359" t="s">
        <v>391</v>
      </c>
      <c r="N14" s="359" t="s">
        <v>85</v>
      </c>
      <c r="O14" s="359" t="s">
        <v>381</v>
      </c>
    </row>
    <row r="15" spans="1:24" x14ac:dyDescent="0.25">
      <c r="C15" s="359" t="s">
        <v>622</v>
      </c>
      <c r="D15" s="359" t="s">
        <v>1952</v>
      </c>
      <c r="E15" s="359" t="s">
        <v>2270</v>
      </c>
      <c r="G15" s="359" t="s">
        <v>2197</v>
      </c>
      <c r="H15" s="359" t="s">
        <v>1988</v>
      </c>
      <c r="I15" s="359" t="s">
        <v>546</v>
      </c>
      <c r="K15" s="359" t="s">
        <v>141</v>
      </c>
      <c r="M15" s="359" t="s">
        <v>125</v>
      </c>
      <c r="N15" s="359" t="s">
        <v>504</v>
      </c>
      <c r="O15" s="359" t="s">
        <v>382</v>
      </c>
    </row>
    <row r="16" spans="1:24" x14ac:dyDescent="0.25">
      <c r="C16" s="354" t="s">
        <v>1434</v>
      </c>
      <c r="D16" s="359" t="s">
        <v>2116</v>
      </c>
      <c r="E16" s="354" t="s">
        <v>287</v>
      </c>
      <c r="G16" s="359" t="s">
        <v>2109</v>
      </c>
      <c r="H16" s="359" t="s">
        <v>2120</v>
      </c>
      <c r="I16" s="359" t="s">
        <v>2149</v>
      </c>
      <c r="K16" s="359" t="s">
        <v>340</v>
      </c>
      <c r="M16" s="359" t="s">
        <v>260</v>
      </c>
      <c r="N16" s="359" t="s">
        <v>505</v>
      </c>
      <c r="O16" s="359" t="s">
        <v>383</v>
      </c>
    </row>
    <row r="17" spans="3:15" x14ac:dyDescent="0.25">
      <c r="C17" s="359" t="s">
        <v>105</v>
      </c>
      <c r="D17" s="359" t="s">
        <v>659</v>
      </c>
      <c r="E17" s="354" t="s">
        <v>1445</v>
      </c>
      <c r="G17" s="359" t="s">
        <v>2195</v>
      </c>
      <c r="H17" s="359" t="s">
        <v>1807</v>
      </c>
      <c r="I17" s="359" t="s">
        <v>347</v>
      </c>
      <c r="K17" s="359" t="s">
        <v>341</v>
      </c>
      <c r="M17" s="359" t="s">
        <v>743</v>
      </c>
      <c r="N17" s="359" t="s">
        <v>327</v>
      </c>
      <c r="O17" s="359" t="s">
        <v>384</v>
      </c>
    </row>
    <row r="18" spans="3:15" x14ac:dyDescent="0.25">
      <c r="C18" s="359" t="s">
        <v>2114</v>
      </c>
      <c r="D18" s="359" t="s">
        <v>52</v>
      </c>
      <c r="E18" s="359" t="s">
        <v>2033</v>
      </c>
      <c r="G18" s="359" t="s">
        <v>1919</v>
      </c>
      <c r="H18" s="359" t="s">
        <v>418</v>
      </c>
      <c r="I18" s="359" t="s">
        <v>1810</v>
      </c>
      <c r="K18" s="359" t="s">
        <v>342</v>
      </c>
      <c r="M18" s="359" t="s">
        <v>160</v>
      </c>
      <c r="N18" s="379" t="s">
        <v>506</v>
      </c>
      <c r="O18" s="359" t="s">
        <v>377</v>
      </c>
    </row>
    <row r="19" spans="3:15" x14ac:dyDescent="0.25">
      <c r="C19" s="354" t="s">
        <v>1774</v>
      </c>
      <c r="D19" s="359" t="s">
        <v>103</v>
      </c>
      <c r="G19" s="359" t="s">
        <v>1835</v>
      </c>
      <c r="H19" s="359" t="s">
        <v>1535</v>
      </c>
      <c r="I19" s="354" t="s">
        <v>1511</v>
      </c>
      <c r="K19" s="359" t="s">
        <v>343</v>
      </c>
      <c r="M19" s="359" t="s">
        <v>136</v>
      </c>
      <c r="N19" s="359" t="s">
        <v>323</v>
      </c>
      <c r="O19" s="359" t="s">
        <v>385</v>
      </c>
    </row>
    <row r="20" spans="3:15" x14ac:dyDescent="0.25">
      <c r="C20" s="359" t="s">
        <v>413</v>
      </c>
      <c r="D20" s="359" t="s">
        <v>483</v>
      </c>
      <c r="G20" s="359" t="s">
        <v>1955</v>
      </c>
      <c r="H20" s="359" t="s">
        <v>1987</v>
      </c>
      <c r="I20" s="359" t="s">
        <v>590</v>
      </c>
      <c r="K20" s="359" t="s">
        <v>344</v>
      </c>
      <c r="M20" s="359" t="s">
        <v>261</v>
      </c>
      <c r="N20" s="379" t="s">
        <v>324</v>
      </c>
      <c r="O20" s="359" t="s">
        <v>441</v>
      </c>
    </row>
    <row r="21" spans="3:15" x14ac:dyDescent="0.25">
      <c r="C21" s="359" t="s">
        <v>172</v>
      </c>
      <c r="D21" s="359" t="s">
        <v>2115</v>
      </c>
      <c r="G21" s="359" t="s">
        <v>2196</v>
      </c>
      <c r="H21" s="359" t="s">
        <v>750</v>
      </c>
      <c r="I21" s="359" t="s">
        <v>1809</v>
      </c>
      <c r="K21" s="359" t="s">
        <v>345</v>
      </c>
      <c r="M21" s="359" t="s">
        <v>177</v>
      </c>
      <c r="N21" s="380" t="s">
        <v>1450</v>
      </c>
      <c r="O21" s="359" t="s">
        <v>2158</v>
      </c>
    </row>
    <row r="22" spans="3:15" x14ac:dyDescent="0.25">
      <c r="C22" s="359" t="s">
        <v>1756</v>
      </c>
      <c r="D22" s="359" t="s">
        <v>1421</v>
      </c>
      <c r="G22" s="359" t="s">
        <v>309</v>
      </c>
      <c r="H22" s="359" t="s">
        <v>2111</v>
      </c>
      <c r="I22" s="359" t="s">
        <v>591</v>
      </c>
      <c r="K22" s="359" t="s">
        <v>203</v>
      </c>
      <c r="M22" s="359" t="s">
        <v>164</v>
      </c>
      <c r="N22" s="359" t="s">
        <v>392</v>
      </c>
      <c r="O22" s="359" t="s">
        <v>71</v>
      </c>
    </row>
    <row r="23" spans="3:15" x14ac:dyDescent="0.25">
      <c r="C23" s="359" t="s">
        <v>1951</v>
      </c>
      <c r="D23" s="359" t="s">
        <v>678</v>
      </c>
      <c r="G23" s="359" t="s">
        <v>2119</v>
      </c>
      <c r="H23" s="359" t="s">
        <v>1920</v>
      </c>
      <c r="I23" s="359" t="s">
        <v>2102</v>
      </c>
      <c r="K23" s="359" t="s">
        <v>42</v>
      </c>
      <c r="M23" s="359" t="s">
        <v>395</v>
      </c>
      <c r="N23" s="359" t="s">
        <v>393</v>
      </c>
      <c r="O23" s="359" t="s">
        <v>442</v>
      </c>
    </row>
    <row r="24" spans="3:15" x14ac:dyDescent="0.25">
      <c r="C24" s="359" t="s">
        <v>1888</v>
      </c>
      <c r="D24" s="359" t="s">
        <v>694</v>
      </c>
      <c r="H24" s="359" t="s">
        <v>818</v>
      </c>
      <c r="I24" s="359" t="s">
        <v>860</v>
      </c>
      <c r="K24" s="359" t="s">
        <v>499</v>
      </c>
      <c r="M24" s="359" t="s">
        <v>179</v>
      </c>
      <c r="N24" s="359" t="s">
        <v>394</v>
      </c>
      <c r="O24" s="359" t="s">
        <v>72</v>
      </c>
    </row>
    <row r="25" spans="3:15" x14ac:dyDescent="0.25">
      <c r="C25" s="359" t="s">
        <v>169</v>
      </c>
      <c r="D25" s="359" t="s">
        <v>1917</v>
      </c>
      <c r="H25" s="359" t="s">
        <v>462</v>
      </c>
      <c r="I25" s="359" t="s">
        <v>578</v>
      </c>
      <c r="K25" s="359" t="s">
        <v>703</v>
      </c>
      <c r="M25" s="359" t="s">
        <v>113</v>
      </c>
      <c r="N25" s="359" t="s">
        <v>477</v>
      </c>
      <c r="O25" s="359" t="s">
        <v>73</v>
      </c>
    </row>
    <row r="26" spans="3:15" x14ac:dyDescent="0.25">
      <c r="C26" s="359" t="s">
        <v>658</v>
      </c>
      <c r="D26" s="359" t="s">
        <v>415</v>
      </c>
      <c r="H26" s="359" t="s">
        <v>602</v>
      </c>
      <c r="I26" s="359" t="s">
        <v>2272</v>
      </c>
      <c r="K26" s="359" t="s">
        <v>1533</v>
      </c>
      <c r="M26" s="359" t="s">
        <v>139</v>
      </c>
      <c r="N26" s="359" t="s">
        <v>502</v>
      </c>
      <c r="O26" s="359" t="s">
        <v>639</v>
      </c>
    </row>
    <row r="27" spans="3:15" x14ac:dyDescent="0.25">
      <c r="C27" s="359" t="s">
        <v>18</v>
      </c>
      <c r="D27" s="359" t="s">
        <v>1954</v>
      </c>
      <c r="H27" s="359" t="s">
        <v>763</v>
      </c>
      <c r="I27" s="359" t="s">
        <v>2274</v>
      </c>
      <c r="K27" s="359" t="s">
        <v>2167</v>
      </c>
      <c r="M27" s="359" t="s">
        <v>98</v>
      </c>
      <c r="N27" s="359" t="s">
        <v>503</v>
      </c>
      <c r="O27" s="359" t="s">
        <v>443</v>
      </c>
    </row>
    <row r="28" spans="3:15" x14ac:dyDescent="0.25">
      <c r="C28" s="359" t="s">
        <v>410</v>
      </c>
      <c r="D28" s="359" t="s">
        <v>116</v>
      </c>
      <c r="H28" s="359" t="s">
        <v>313</v>
      </c>
      <c r="I28" s="359" t="s">
        <v>317</v>
      </c>
      <c r="M28" s="359" t="s">
        <v>455</v>
      </c>
      <c r="N28" s="359" t="s">
        <v>178</v>
      </c>
      <c r="O28" s="359" t="s">
        <v>444</v>
      </c>
    </row>
    <row r="29" spans="3:15" x14ac:dyDescent="0.25">
      <c r="C29" s="354" t="s">
        <v>1550</v>
      </c>
      <c r="D29" s="359" t="s">
        <v>2118</v>
      </c>
      <c r="H29" s="354" t="s">
        <v>1447</v>
      </c>
      <c r="I29" s="359" t="s">
        <v>1784</v>
      </c>
      <c r="M29" s="359" t="s">
        <v>456</v>
      </c>
      <c r="N29" s="359" t="s">
        <v>396</v>
      </c>
      <c r="O29" s="359" t="s">
        <v>445</v>
      </c>
    </row>
    <row r="30" spans="3:15" x14ac:dyDescent="0.25">
      <c r="C30" s="354" t="s">
        <v>1509</v>
      </c>
      <c r="D30" s="359" t="s">
        <v>1185</v>
      </c>
      <c r="H30" s="359" t="s">
        <v>308</v>
      </c>
      <c r="I30" s="359" t="s">
        <v>463</v>
      </c>
      <c r="M30" s="359" t="s">
        <v>457</v>
      </c>
      <c r="N30" s="359" t="s">
        <v>397</v>
      </c>
      <c r="O30" s="359" t="s">
        <v>507</v>
      </c>
    </row>
    <row r="31" spans="3:15" x14ac:dyDescent="0.25">
      <c r="C31" s="359" t="s">
        <v>747</v>
      </c>
      <c r="D31" s="359" t="s">
        <v>740</v>
      </c>
      <c r="H31" s="354" t="s">
        <v>1777</v>
      </c>
      <c r="I31" s="359" t="s">
        <v>475</v>
      </c>
      <c r="M31" s="359" t="s">
        <v>47</v>
      </c>
      <c r="N31" s="379" t="s">
        <v>398</v>
      </c>
      <c r="O31" s="359" t="s">
        <v>508</v>
      </c>
    </row>
    <row r="32" spans="3:15" x14ac:dyDescent="0.25">
      <c r="C32" s="359" t="s">
        <v>333</v>
      </c>
      <c r="D32" s="359" t="s">
        <v>89</v>
      </c>
      <c r="H32" s="359" t="s">
        <v>473</v>
      </c>
      <c r="I32" s="359" t="s">
        <v>1758</v>
      </c>
      <c r="M32" s="359" t="s">
        <v>406</v>
      </c>
      <c r="N32" s="359" t="s">
        <v>399</v>
      </c>
      <c r="O32" s="359" t="s">
        <v>764</v>
      </c>
    </row>
    <row r="33" spans="3:15" x14ac:dyDescent="0.25">
      <c r="C33" s="359" t="s">
        <v>411</v>
      </c>
      <c r="D33" s="359" t="s">
        <v>108</v>
      </c>
      <c r="H33" s="359" t="s">
        <v>494</v>
      </c>
      <c r="I33" s="359" t="s">
        <v>1959</v>
      </c>
      <c r="M33" s="359" t="s">
        <v>407</v>
      </c>
      <c r="N33" s="359" t="s">
        <v>402</v>
      </c>
      <c r="O33" s="359" t="s">
        <v>75</v>
      </c>
    </row>
    <row r="34" spans="3:15" x14ac:dyDescent="0.25">
      <c r="C34" s="359" t="s">
        <v>93</v>
      </c>
      <c r="D34" s="359" t="s">
        <v>398</v>
      </c>
      <c r="H34" s="359" t="s">
        <v>855</v>
      </c>
      <c r="I34" s="359" t="s">
        <v>2038</v>
      </c>
      <c r="M34" s="359" t="s">
        <v>408</v>
      </c>
      <c r="N34" s="359" t="s">
        <v>400</v>
      </c>
      <c r="O34" s="359" t="s">
        <v>744</v>
      </c>
    </row>
    <row r="35" spans="3:15" x14ac:dyDescent="0.25">
      <c r="C35" s="359" t="s">
        <v>334</v>
      </c>
      <c r="D35" s="354" t="s">
        <v>83</v>
      </c>
      <c r="H35" s="359" t="s">
        <v>315</v>
      </c>
      <c r="I35" s="359" t="s">
        <v>2271</v>
      </c>
      <c r="M35" s="359" t="s">
        <v>409</v>
      </c>
      <c r="N35" s="359" t="s">
        <v>401</v>
      </c>
      <c r="O35" s="359" t="s">
        <v>663</v>
      </c>
    </row>
    <row r="36" spans="3:15" x14ac:dyDescent="0.25">
      <c r="C36" s="359" t="s">
        <v>881</v>
      </c>
      <c r="D36" s="359" t="s">
        <v>1994</v>
      </c>
      <c r="H36" s="359" t="s">
        <v>627</v>
      </c>
      <c r="I36" s="359" t="s">
        <v>316</v>
      </c>
      <c r="M36" s="359" t="s">
        <v>430</v>
      </c>
      <c r="N36" s="379" t="s">
        <v>403</v>
      </c>
      <c r="O36" s="359" t="s">
        <v>2008</v>
      </c>
    </row>
    <row r="37" spans="3:15" x14ac:dyDescent="0.25">
      <c r="C37" s="359" t="s">
        <v>813</v>
      </c>
      <c r="D37" s="359" t="s">
        <v>2193</v>
      </c>
      <c r="H37" s="359" t="s">
        <v>484</v>
      </c>
      <c r="I37" s="354" t="s">
        <v>1448</v>
      </c>
      <c r="M37" s="359" t="s">
        <v>431</v>
      </c>
      <c r="N37" s="359" t="s">
        <v>446</v>
      </c>
      <c r="O37" s="359" t="s">
        <v>2009</v>
      </c>
    </row>
    <row r="38" spans="3:15" x14ac:dyDescent="0.25">
      <c r="C38" s="359" t="s">
        <v>770</v>
      </c>
      <c r="D38" s="354" t="s">
        <v>1438</v>
      </c>
      <c r="H38" s="359" t="s">
        <v>1456</v>
      </c>
      <c r="I38" s="359" t="s">
        <v>665</v>
      </c>
      <c r="N38" s="359" t="s">
        <v>447</v>
      </c>
      <c r="O38" s="359" t="s">
        <v>2010</v>
      </c>
    </row>
    <row r="39" spans="3:15" x14ac:dyDescent="0.25">
      <c r="C39" s="359" t="s">
        <v>850</v>
      </c>
      <c r="D39" s="359" t="s">
        <v>876</v>
      </c>
      <c r="H39" s="359" t="s">
        <v>1796</v>
      </c>
      <c r="I39" s="359" t="s">
        <v>485</v>
      </c>
      <c r="N39" s="359" t="s">
        <v>448</v>
      </c>
      <c r="O39" s="359" t="s">
        <v>425</v>
      </c>
    </row>
    <row r="40" spans="3:15" x14ac:dyDescent="0.25">
      <c r="C40" s="359" t="s">
        <v>130</v>
      </c>
      <c r="D40" s="359" t="s">
        <v>1492</v>
      </c>
      <c r="I40" s="359" t="s">
        <v>783</v>
      </c>
      <c r="N40" s="359" t="s">
        <v>449</v>
      </c>
      <c r="O40" s="359" t="s">
        <v>2011</v>
      </c>
    </row>
    <row r="41" spans="3:15" x14ac:dyDescent="0.25">
      <c r="C41" s="359" t="s">
        <v>110</v>
      </c>
      <c r="D41" s="354" t="s">
        <v>1775</v>
      </c>
      <c r="I41" s="359" t="s">
        <v>473</v>
      </c>
      <c r="N41" s="359" t="s">
        <v>450</v>
      </c>
      <c r="O41" s="359" t="s">
        <v>2221</v>
      </c>
    </row>
    <row r="42" spans="3:15" x14ac:dyDescent="0.25">
      <c r="C42" s="359" t="s">
        <v>2026</v>
      </c>
      <c r="D42" s="359" t="s">
        <v>895</v>
      </c>
      <c r="I42" s="359" t="s">
        <v>2198</v>
      </c>
      <c r="N42" s="359" t="s">
        <v>451</v>
      </c>
      <c r="O42" s="359" t="s">
        <v>2222</v>
      </c>
    </row>
    <row r="43" spans="3:15" x14ac:dyDescent="0.25">
      <c r="C43" s="359" t="s">
        <v>1805</v>
      </c>
      <c r="D43" s="359" t="s">
        <v>1889</v>
      </c>
      <c r="I43" s="359" t="s">
        <v>1931</v>
      </c>
      <c r="N43" s="359" t="s">
        <v>452</v>
      </c>
      <c r="O43" s="359" t="s">
        <v>2223</v>
      </c>
    </row>
    <row r="44" spans="3:15" x14ac:dyDescent="0.25">
      <c r="C44" s="359" t="s">
        <v>1915</v>
      </c>
      <c r="D44" s="359" t="s">
        <v>1767</v>
      </c>
      <c r="I44" s="359" t="s">
        <v>495</v>
      </c>
      <c r="N44" s="359" t="s">
        <v>453</v>
      </c>
      <c r="O44" s="359" t="s">
        <v>2224</v>
      </c>
    </row>
    <row r="45" spans="3:15" x14ac:dyDescent="0.25">
      <c r="C45" s="359" t="s">
        <v>1804</v>
      </c>
      <c r="D45" s="359" t="s">
        <v>55</v>
      </c>
      <c r="I45" s="359" t="s">
        <v>1957</v>
      </c>
      <c r="N45" s="359" t="s">
        <v>480</v>
      </c>
      <c r="O45" s="359" t="s">
        <v>2225</v>
      </c>
    </row>
    <row r="46" spans="3:15" ht="13" thickBot="1" x14ac:dyDescent="0.3">
      <c r="C46" s="354" t="s">
        <v>1435</v>
      </c>
      <c r="D46" s="354" t="s">
        <v>285</v>
      </c>
      <c r="I46" s="354" t="s">
        <v>1778</v>
      </c>
      <c r="N46" s="423" t="s">
        <v>454</v>
      </c>
      <c r="O46" s="359" t="s">
        <v>2226</v>
      </c>
    </row>
    <row r="47" spans="3:15" x14ac:dyDescent="0.25">
      <c r="C47" s="359" t="s">
        <v>1827</v>
      </c>
      <c r="D47" s="359" t="s">
        <v>142</v>
      </c>
      <c r="I47" s="359" t="s">
        <v>1956</v>
      </c>
      <c r="N47" s="359" t="s">
        <v>404</v>
      </c>
      <c r="O47" s="359" t="s">
        <v>2227</v>
      </c>
    </row>
    <row r="48" spans="3:15" ht="13" thickBot="1" x14ac:dyDescent="0.3">
      <c r="C48" s="359" t="s">
        <v>777</v>
      </c>
      <c r="D48" s="359" t="s">
        <v>778</v>
      </c>
      <c r="I48" s="359" t="s">
        <v>572</v>
      </c>
      <c r="N48" s="423" t="s">
        <v>405</v>
      </c>
      <c r="O48" s="359" t="s">
        <v>479</v>
      </c>
    </row>
    <row r="49" spans="3:15" x14ac:dyDescent="0.25">
      <c r="C49" s="359" t="s">
        <v>41</v>
      </c>
      <c r="D49" s="359" t="s">
        <v>1411</v>
      </c>
      <c r="I49" s="359" t="s">
        <v>1808</v>
      </c>
      <c r="N49" s="359" t="s">
        <v>432</v>
      </c>
      <c r="O49" s="359" t="s">
        <v>2228</v>
      </c>
    </row>
    <row r="50" spans="3:15" x14ac:dyDescent="0.25">
      <c r="C50" s="359" t="s">
        <v>686</v>
      </c>
      <c r="D50" s="359" t="s">
        <v>877</v>
      </c>
      <c r="I50" s="359" t="s">
        <v>630</v>
      </c>
      <c r="N50" s="359" t="s">
        <v>433</v>
      </c>
      <c r="O50" s="359" t="s">
        <v>2229</v>
      </c>
    </row>
    <row r="51" spans="3:15" x14ac:dyDescent="0.25">
      <c r="C51" s="359" t="s">
        <v>460</v>
      </c>
      <c r="D51" s="359" t="s">
        <v>356</v>
      </c>
      <c r="I51" s="359" t="s">
        <v>2150</v>
      </c>
      <c r="N51" s="359" t="s">
        <v>434</v>
      </c>
      <c r="O51" s="359" t="s">
        <v>2004</v>
      </c>
    </row>
    <row r="52" spans="3:15" x14ac:dyDescent="0.25">
      <c r="C52" s="359" t="s">
        <v>482</v>
      </c>
      <c r="D52" s="359" t="s">
        <v>760</v>
      </c>
      <c r="I52" s="359" t="s">
        <v>628</v>
      </c>
      <c r="N52" s="359" t="s">
        <v>435</v>
      </c>
      <c r="O52" s="359" t="s">
        <v>2005</v>
      </c>
    </row>
    <row r="53" spans="3:15" ht="13" thickBot="1" x14ac:dyDescent="0.3">
      <c r="C53" s="359" t="s">
        <v>1948</v>
      </c>
      <c r="D53" s="359" t="s">
        <v>414</v>
      </c>
      <c r="I53" s="359" t="s">
        <v>823</v>
      </c>
      <c r="N53" s="423" t="s">
        <v>436</v>
      </c>
      <c r="O53" s="359" t="s">
        <v>2006</v>
      </c>
    </row>
    <row r="54" spans="3:15" x14ac:dyDescent="0.25">
      <c r="C54" s="359" t="s">
        <v>2268</v>
      </c>
      <c r="D54" s="354" t="s">
        <v>23</v>
      </c>
      <c r="I54" s="359" t="s">
        <v>311</v>
      </c>
      <c r="N54" s="359" t="s">
        <v>437</v>
      </c>
      <c r="O54" s="359" t="s">
        <v>2007</v>
      </c>
    </row>
    <row r="55" spans="3:15" x14ac:dyDescent="0.25">
      <c r="C55" s="359" t="s">
        <v>247</v>
      </c>
      <c r="D55" s="359" t="s">
        <v>2029</v>
      </c>
      <c r="I55" s="359" t="s">
        <v>1455</v>
      </c>
      <c r="N55" s="359" t="s">
        <v>438</v>
      </c>
      <c r="O55" s="359" t="s">
        <v>1742</v>
      </c>
    </row>
    <row r="56" spans="3:15" x14ac:dyDescent="0.25">
      <c r="D56" s="359" t="s">
        <v>704</v>
      </c>
      <c r="I56" s="359" t="s">
        <v>2199</v>
      </c>
      <c r="N56" s="359" t="s">
        <v>439</v>
      </c>
      <c r="O56" s="359" t="s">
        <v>1743</v>
      </c>
    </row>
    <row r="57" spans="3:15" ht="13" thickBot="1" x14ac:dyDescent="0.3">
      <c r="D57" s="359" t="s">
        <v>710</v>
      </c>
      <c r="I57" s="359" t="s">
        <v>1559</v>
      </c>
      <c r="N57" s="423" t="s">
        <v>440</v>
      </c>
      <c r="O57" s="359" t="s">
        <v>679</v>
      </c>
    </row>
    <row r="58" spans="3:15" x14ac:dyDescent="0.25">
      <c r="D58" s="359" t="s">
        <v>1407</v>
      </c>
      <c r="I58" s="359" t="s">
        <v>1830</v>
      </c>
      <c r="N58" s="359" t="s">
        <v>640</v>
      </c>
      <c r="O58" s="359" t="s">
        <v>1927</v>
      </c>
    </row>
    <row r="59" spans="3:15" x14ac:dyDescent="0.25">
      <c r="D59" s="359" t="s">
        <v>779</v>
      </c>
      <c r="I59" s="359" t="s">
        <v>1545</v>
      </c>
      <c r="N59" s="359" t="s">
        <v>143</v>
      </c>
      <c r="O59" s="359" t="s">
        <v>2159</v>
      </c>
    </row>
    <row r="60" spans="3:15" x14ac:dyDescent="0.25">
      <c r="D60" s="359" t="s">
        <v>1391</v>
      </c>
      <c r="N60" s="359" t="s">
        <v>822</v>
      </c>
      <c r="O60" s="359" t="s">
        <v>188</v>
      </c>
    </row>
    <row r="61" spans="3:15" x14ac:dyDescent="0.25">
      <c r="D61" s="359" t="s">
        <v>389</v>
      </c>
      <c r="N61" s="354" t="s">
        <v>1451</v>
      </c>
      <c r="O61" s="359" t="s">
        <v>361</v>
      </c>
    </row>
    <row r="62" spans="3:15" x14ac:dyDescent="0.25">
      <c r="D62" s="359" t="s">
        <v>689</v>
      </c>
      <c r="N62" s="359" t="s">
        <v>858</v>
      </c>
      <c r="O62" s="359" t="s">
        <v>426</v>
      </c>
    </row>
    <row r="63" spans="3:15" x14ac:dyDescent="0.25">
      <c r="D63" s="359" t="s">
        <v>181</v>
      </c>
      <c r="N63" s="359" t="s">
        <v>1924</v>
      </c>
      <c r="O63" s="359" t="s">
        <v>427</v>
      </c>
    </row>
    <row r="64" spans="3:15" ht="13" thickBot="1" x14ac:dyDescent="0.3">
      <c r="D64" s="359" t="s">
        <v>1828</v>
      </c>
      <c r="N64" s="423" t="s">
        <v>1828</v>
      </c>
      <c r="O64" s="359" t="s">
        <v>428</v>
      </c>
    </row>
    <row r="65" spans="4:15" x14ac:dyDescent="0.25">
      <c r="D65" s="359" t="s">
        <v>2168</v>
      </c>
      <c r="N65" s="359" t="s">
        <v>1986</v>
      </c>
      <c r="O65" s="354" t="s">
        <v>467</v>
      </c>
    </row>
    <row r="66" spans="4:15" x14ac:dyDescent="0.25">
      <c r="D66" s="359" t="s">
        <v>2030</v>
      </c>
      <c r="N66" s="359" t="s">
        <v>1984</v>
      </c>
      <c r="O66" s="354" t="s">
        <v>468</v>
      </c>
    </row>
    <row r="67" spans="4:15" ht="13" thickBot="1" x14ac:dyDescent="0.3">
      <c r="N67" s="423" t="s">
        <v>1985</v>
      </c>
      <c r="O67" s="354" t="s">
        <v>469</v>
      </c>
    </row>
    <row r="68" spans="4:15" x14ac:dyDescent="0.25">
      <c r="N68" s="359" t="s">
        <v>2127</v>
      </c>
      <c r="O68" s="354" t="s">
        <v>481</v>
      </c>
    </row>
    <row r="69" spans="4:15" x14ac:dyDescent="0.25">
      <c r="N69" s="359" t="s">
        <v>2128</v>
      </c>
      <c r="O69" s="354" t="s">
        <v>2230</v>
      </c>
    </row>
    <row r="70" spans="4:15" x14ac:dyDescent="0.25">
      <c r="N70" s="359" t="s">
        <v>143</v>
      </c>
      <c r="O70" s="354" t="s">
        <v>2231</v>
      </c>
    </row>
    <row r="71" spans="4:15" x14ac:dyDescent="0.25">
      <c r="N71" s="359" t="s">
        <v>2129</v>
      </c>
      <c r="O71" s="354" t="s">
        <v>2232</v>
      </c>
    </row>
    <row r="72" spans="4:15" x14ac:dyDescent="0.25">
      <c r="N72" s="359" t="s">
        <v>2130</v>
      </c>
      <c r="O72" s="354" t="s">
        <v>2233</v>
      </c>
    </row>
    <row r="73" spans="4:15" x14ac:dyDescent="0.25">
      <c r="N73" s="359" t="s">
        <v>2131</v>
      </c>
      <c r="O73" s="354" t="s">
        <v>2234</v>
      </c>
    </row>
    <row r="74" spans="4:15" x14ac:dyDescent="0.25">
      <c r="N74" s="359" t="s">
        <v>2132</v>
      </c>
    </row>
    <row r="75" spans="4:15" ht="13" thickBot="1" x14ac:dyDescent="0.3">
      <c r="N75" s="423" t="s">
        <v>2133</v>
      </c>
    </row>
    <row r="76" spans="4:15" x14ac:dyDescent="0.25">
      <c r="N76" s="354" t="s">
        <v>2210</v>
      </c>
    </row>
    <row r="77" spans="4:15" x14ac:dyDescent="0.25">
      <c r="N77" s="354" t="s">
        <v>2213</v>
      </c>
    </row>
    <row r="78" spans="4:15" x14ac:dyDescent="0.25">
      <c r="N78" s="354" t="s">
        <v>2211</v>
      </c>
    </row>
    <row r="79" spans="4:15" ht="13" thickBot="1" x14ac:dyDescent="0.3">
      <c r="N79" s="423" t="s">
        <v>2212</v>
      </c>
    </row>
  </sheetData>
  <sortState xmlns:xlrd2="http://schemas.microsoft.com/office/spreadsheetml/2017/richdata2" ref="G3:G15">
    <sortCondition ref="G3:G15"/>
  </sortState>
  <phoneticPr fontId="1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23521-D9C4-4EB8-B4B7-93AB3FAE7D91}">
  <sheetPr filterMode="1">
    <tabColor theme="9"/>
  </sheetPr>
  <dimension ref="A1:AE133"/>
  <sheetViews>
    <sheetView topLeftCell="A127" workbookViewId="0">
      <selection activeCell="A133" sqref="A133"/>
    </sheetView>
  </sheetViews>
  <sheetFormatPr defaultRowHeight="13" x14ac:dyDescent="0.25"/>
  <cols>
    <col min="1" max="1" width="13.90625" style="200" bestFit="1" customWidth="1"/>
    <col min="2" max="2" width="11.453125" style="185" customWidth="1"/>
    <col min="3" max="3" width="22.6328125" style="185" customWidth="1"/>
    <col min="4" max="4" width="12.54296875" style="185" customWidth="1"/>
    <col min="5" max="5" width="25" style="185" customWidth="1"/>
    <col min="6" max="6" width="21.54296875" style="185" customWidth="1"/>
    <col min="7" max="7" width="21.6328125" style="185" customWidth="1"/>
    <col min="8" max="8" width="8.7265625" style="185" customWidth="1"/>
    <col min="9" max="9" width="14.7265625" style="193" customWidth="1"/>
    <col min="10" max="10" width="10.90625" style="195" customWidth="1"/>
    <col min="11" max="11" width="8.7265625" style="185" customWidth="1"/>
    <col min="12" max="12" width="20.90625" style="185" customWidth="1"/>
    <col min="13" max="13" width="24.90625" style="185" customWidth="1"/>
    <col min="14" max="14" width="20.08984375" style="185" customWidth="1"/>
    <col min="15" max="15" width="8.7265625" style="185" customWidth="1"/>
    <col min="16" max="16" width="34.36328125" style="185" customWidth="1"/>
    <col min="17" max="17" width="16.1796875" style="185" customWidth="1"/>
    <col min="18" max="18" width="6.453125" style="185" customWidth="1"/>
    <col min="19" max="19" width="16.08984375" style="185" customWidth="1"/>
    <col min="20" max="20" width="20.36328125" style="185" customWidth="1"/>
    <col min="21" max="21" width="9.26953125" style="185" customWidth="1"/>
    <col min="22" max="22" width="24.6328125" style="197" customWidth="1"/>
    <col min="23" max="23" width="25" style="185" customWidth="1"/>
    <col min="24" max="24" width="35.08984375" style="185" customWidth="1"/>
    <col min="25" max="27" width="35.26953125" style="197" customWidth="1"/>
    <col min="28" max="29" width="23.90625" style="197" customWidth="1"/>
    <col min="30" max="31" width="24" style="197" customWidth="1"/>
    <col min="32" max="16384" width="8.7265625" style="185"/>
  </cols>
  <sheetData>
    <row r="1" spans="1:31" s="184" customFormat="1" ht="26" customHeight="1" x14ac:dyDescent="0.25">
      <c r="A1" s="199" t="s">
        <v>541</v>
      </c>
      <c r="B1" s="184" t="s">
        <v>297</v>
      </c>
      <c r="C1" s="184" t="s">
        <v>298</v>
      </c>
      <c r="D1" s="184" t="s">
        <v>39</v>
      </c>
      <c r="E1" s="184" t="s">
        <v>264</v>
      </c>
      <c r="F1" s="184" t="s">
        <v>265</v>
      </c>
      <c r="G1" s="184" t="s">
        <v>266</v>
      </c>
      <c r="H1" s="184" t="s">
        <v>267</v>
      </c>
      <c r="I1" s="192" t="s">
        <v>268</v>
      </c>
      <c r="J1" s="194" t="s">
        <v>269</v>
      </c>
      <c r="K1" s="184" t="s">
        <v>270</v>
      </c>
      <c r="L1" s="184" t="s">
        <v>271</v>
      </c>
      <c r="M1" s="184" t="s">
        <v>272</v>
      </c>
      <c r="N1" s="184" t="s">
        <v>273</v>
      </c>
      <c r="O1" s="184" t="s">
        <v>274</v>
      </c>
      <c r="P1" s="184" t="s">
        <v>299</v>
      </c>
      <c r="Q1" s="184" t="s">
        <v>275</v>
      </c>
      <c r="R1" s="184" t="s">
        <v>300</v>
      </c>
      <c r="S1" s="184" t="s">
        <v>301</v>
      </c>
      <c r="T1" s="184" t="s">
        <v>302</v>
      </c>
      <c r="U1" s="184" t="s">
        <v>276</v>
      </c>
      <c r="V1" s="184" t="s">
        <v>350</v>
      </c>
      <c r="W1" s="184" t="s">
        <v>367</v>
      </c>
      <c r="X1" s="184" t="s">
        <v>368</v>
      </c>
      <c r="Y1" s="184" t="s">
        <v>514</v>
      </c>
      <c r="Z1" s="184" t="s">
        <v>517</v>
      </c>
      <c r="AA1" s="184" t="s">
        <v>518</v>
      </c>
      <c r="AB1" s="184" t="s">
        <v>920</v>
      </c>
      <c r="AC1" s="184" t="s">
        <v>994</v>
      </c>
      <c r="AD1" s="184" t="s">
        <v>921</v>
      </c>
      <c r="AE1" s="184" t="s">
        <v>1146</v>
      </c>
    </row>
    <row r="2" spans="1:31" ht="13" hidden="1" customHeight="1" x14ac:dyDescent="0.25">
      <c r="A2" s="200" t="s">
        <v>540</v>
      </c>
      <c r="B2" s="185" t="s">
        <v>305</v>
      </c>
      <c r="C2" s="185" t="s">
        <v>303</v>
      </c>
      <c r="D2" s="185">
        <v>8471</v>
      </c>
      <c r="E2" s="185" t="s">
        <v>33</v>
      </c>
      <c r="F2" s="185" t="s">
        <v>203</v>
      </c>
      <c r="G2" s="185" t="s">
        <v>356</v>
      </c>
      <c r="H2" s="185" t="s">
        <v>46</v>
      </c>
      <c r="I2" s="193">
        <v>46032</v>
      </c>
      <c r="J2" s="195">
        <v>0.97916666666666663</v>
      </c>
      <c r="K2" s="185" t="s">
        <v>14</v>
      </c>
      <c r="L2" s="185" t="s">
        <v>307</v>
      </c>
      <c r="M2" s="185" t="s">
        <v>315</v>
      </c>
      <c r="N2" s="185" t="s">
        <v>311</v>
      </c>
      <c r="O2" s="185" t="s">
        <v>53</v>
      </c>
      <c r="P2" s="185" t="s">
        <v>278</v>
      </c>
      <c r="Q2" s="185" t="s">
        <v>421</v>
      </c>
      <c r="R2" s="185" t="s">
        <v>54</v>
      </c>
      <c r="S2" s="185" t="s">
        <v>320</v>
      </c>
      <c r="T2" s="185" t="s">
        <v>279</v>
      </c>
      <c r="U2" s="185" t="s">
        <v>232</v>
      </c>
      <c r="V2" s="185" t="s">
        <v>277</v>
      </c>
      <c r="W2" s="185" t="s">
        <v>357</v>
      </c>
      <c r="X2" s="185" t="s">
        <v>375</v>
      </c>
      <c r="Y2" s="198"/>
      <c r="Z2" s="198"/>
      <c r="AA2" s="198"/>
    </row>
    <row r="3" spans="1:31" ht="39" hidden="1" x14ac:dyDescent="0.25">
      <c r="A3" s="200" t="s">
        <v>540</v>
      </c>
      <c r="B3" s="185" t="s">
        <v>305</v>
      </c>
      <c r="C3" s="185" t="s">
        <v>280</v>
      </c>
      <c r="D3" s="185">
        <v>9728</v>
      </c>
      <c r="E3" s="185" t="s">
        <v>33</v>
      </c>
      <c r="F3" s="185" t="s">
        <v>86</v>
      </c>
      <c r="G3" s="185" t="s">
        <v>23</v>
      </c>
      <c r="H3" s="185" t="s">
        <v>167</v>
      </c>
      <c r="I3" s="193">
        <v>46038</v>
      </c>
      <c r="J3" s="195">
        <v>0.97916666666666663</v>
      </c>
      <c r="K3" s="185" t="s">
        <v>14</v>
      </c>
      <c r="L3" s="185" t="s">
        <v>309</v>
      </c>
      <c r="M3" s="185" t="s">
        <v>308</v>
      </c>
      <c r="N3" s="185" t="s">
        <v>316</v>
      </c>
      <c r="O3" s="185" t="s">
        <v>1</v>
      </c>
      <c r="P3" s="185" t="s">
        <v>282</v>
      </c>
      <c r="Q3" s="185" t="s">
        <v>422</v>
      </c>
      <c r="R3" s="185" t="s">
        <v>54</v>
      </c>
      <c r="S3" s="185" t="s">
        <v>319</v>
      </c>
      <c r="T3" s="185" t="s">
        <v>283</v>
      </c>
      <c r="U3" s="185" t="s">
        <v>232</v>
      </c>
      <c r="V3" s="185" t="s">
        <v>281</v>
      </c>
      <c r="W3" s="185" t="s">
        <v>358</v>
      </c>
      <c r="X3" s="185" t="s">
        <v>371</v>
      </c>
      <c r="Y3" s="197" t="s">
        <v>523</v>
      </c>
      <c r="Z3" s="197" t="s">
        <v>524</v>
      </c>
      <c r="AA3" s="197" t="s">
        <v>528</v>
      </c>
    </row>
    <row r="4" spans="1:31" hidden="1" x14ac:dyDescent="0.25">
      <c r="A4" s="200" t="s">
        <v>540</v>
      </c>
      <c r="B4" s="185" t="s">
        <v>305</v>
      </c>
      <c r="C4" s="185" t="s">
        <v>284</v>
      </c>
      <c r="D4" s="185">
        <v>1209</v>
      </c>
      <c r="E4" s="185" t="s">
        <v>41</v>
      </c>
      <c r="F4" s="185" t="s">
        <v>344</v>
      </c>
      <c r="G4" s="185" t="s">
        <v>285</v>
      </c>
      <c r="H4" s="185" t="s">
        <v>287</v>
      </c>
      <c r="I4" s="193">
        <v>46046</v>
      </c>
      <c r="J4" s="195">
        <v>0.125</v>
      </c>
      <c r="K4" s="185" t="s">
        <v>13</v>
      </c>
      <c r="L4" s="185" t="s">
        <v>307</v>
      </c>
      <c r="M4" s="185" t="s">
        <v>312</v>
      </c>
      <c r="N4" s="185" t="s">
        <v>347</v>
      </c>
      <c r="O4" s="185" t="s">
        <v>1</v>
      </c>
      <c r="P4" s="185" t="s">
        <v>288</v>
      </c>
      <c r="Q4" s="185" t="s">
        <v>423</v>
      </c>
      <c r="R4" s="185" t="s">
        <v>54</v>
      </c>
      <c r="S4" s="185" t="s">
        <v>320</v>
      </c>
      <c r="T4" s="185" t="s">
        <v>289</v>
      </c>
      <c r="U4" s="185" t="s">
        <v>232</v>
      </c>
      <c r="V4" s="185" t="s">
        <v>286</v>
      </c>
      <c r="W4" s="185" t="s">
        <v>359</v>
      </c>
      <c r="X4" s="185" t="s">
        <v>373</v>
      </c>
      <c r="Y4" s="198"/>
      <c r="Z4" s="198"/>
      <c r="AA4" s="198"/>
    </row>
    <row r="5" spans="1:31" hidden="1" x14ac:dyDescent="0.25">
      <c r="A5" s="200" t="s">
        <v>540</v>
      </c>
      <c r="B5" s="185" t="s">
        <v>305</v>
      </c>
      <c r="C5" s="185" t="s">
        <v>290</v>
      </c>
      <c r="D5" s="185">
        <v>9940</v>
      </c>
      <c r="E5" s="185" t="s">
        <v>334</v>
      </c>
      <c r="F5" s="185" t="s">
        <v>203</v>
      </c>
      <c r="G5" s="185" t="s">
        <v>356</v>
      </c>
      <c r="H5" s="185" t="s">
        <v>46</v>
      </c>
      <c r="I5" s="193">
        <v>46047</v>
      </c>
      <c r="J5" s="195">
        <v>0.29166666666666669</v>
      </c>
      <c r="K5" s="185" t="s">
        <v>14</v>
      </c>
      <c r="L5" s="185" t="s">
        <v>310</v>
      </c>
      <c r="M5" s="185" t="s">
        <v>365</v>
      </c>
      <c r="N5" s="185" t="s">
        <v>317</v>
      </c>
      <c r="O5" s="185" t="s">
        <v>53</v>
      </c>
      <c r="P5" s="185" t="s">
        <v>291</v>
      </c>
      <c r="Q5" s="185" t="s">
        <v>292</v>
      </c>
      <c r="R5" s="185" t="s">
        <v>54</v>
      </c>
      <c r="S5" s="185" t="s">
        <v>259</v>
      </c>
      <c r="T5" s="185" t="s">
        <v>321</v>
      </c>
      <c r="U5" s="185" t="s">
        <v>232</v>
      </c>
      <c r="V5" s="185" t="s">
        <v>277</v>
      </c>
      <c r="W5" s="185" t="s">
        <v>366</v>
      </c>
      <c r="X5" s="185" t="s">
        <v>376</v>
      </c>
      <c r="Y5" s="198"/>
      <c r="Z5" s="198"/>
      <c r="AA5" s="198"/>
    </row>
    <row r="6" spans="1:31" s="279" customFormat="1" ht="65" hidden="1" x14ac:dyDescent="0.25">
      <c r="A6" s="278" t="s">
        <v>540</v>
      </c>
      <c r="B6" s="279" t="s">
        <v>305</v>
      </c>
      <c r="C6" s="279" t="s">
        <v>293</v>
      </c>
      <c r="D6" s="279">
        <v>1336</v>
      </c>
      <c r="E6" s="279" t="s">
        <v>410</v>
      </c>
      <c r="F6" s="279" t="s">
        <v>336</v>
      </c>
      <c r="G6" s="279" t="s">
        <v>285</v>
      </c>
      <c r="H6" s="279" t="s">
        <v>152</v>
      </c>
      <c r="I6" s="280">
        <v>46048</v>
      </c>
      <c r="J6" s="281">
        <v>0.8125</v>
      </c>
      <c r="K6" s="279" t="s">
        <v>15</v>
      </c>
      <c r="L6" s="279" t="s">
        <v>309</v>
      </c>
      <c r="M6" s="279" t="s">
        <v>313</v>
      </c>
      <c r="N6" s="279" t="s">
        <v>318</v>
      </c>
      <c r="O6" s="279" t="s">
        <v>6</v>
      </c>
      <c r="P6" s="279" t="s">
        <v>295</v>
      </c>
      <c r="Q6" s="279" t="s">
        <v>424</v>
      </c>
      <c r="R6" s="279" t="s">
        <v>54</v>
      </c>
      <c r="S6" s="279" t="s">
        <v>319</v>
      </c>
      <c r="T6" s="279" t="s">
        <v>296</v>
      </c>
      <c r="U6" s="279" t="s">
        <v>232</v>
      </c>
      <c r="V6" s="279" t="s">
        <v>294</v>
      </c>
      <c r="W6" s="279" t="s">
        <v>360</v>
      </c>
      <c r="X6" s="279" t="s">
        <v>372</v>
      </c>
      <c r="Y6" s="282" t="s">
        <v>532</v>
      </c>
      <c r="Z6" s="282" t="s">
        <v>57</v>
      </c>
      <c r="AA6" s="282" t="s">
        <v>57</v>
      </c>
      <c r="AB6" s="282"/>
      <c r="AC6" s="282"/>
      <c r="AD6" s="282"/>
      <c r="AE6" s="282"/>
    </row>
    <row r="7" spans="1:31" s="274" customFormat="1" ht="26" hidden="1" x14ac:dyDescent="0.25">
      <c r="A7" s="273" t="s">
        <v>540</v>
      </c>
      <c r="B7" s="274" t="s">
        <v>305</v>
      </c>
      <c r="C7" s="274" t="s">
        <v>490</v>
      </c>
      <c r="D7" s="274">
        <v>9346</v>
      </c>
      <c r="E7" s="274" t="s">
        <v>482</v>
      </c>
      <c r="F7" s="274" t="s">
        <v>336</v>
      </c>
      <c r="G7" s="274" t="s">
        <v>483</v>
      </c>
      <c r="H7" s="274" t="s">
        <v>46</v>
      </c>
      <c r="I7" s="275">
        <v>46052</v>
      </c>
      <c r="J7" s="276">
        <v>0.40625</v>
      </c>
      <c r="K7" s="274" t="s">
        <v>14</v>
      </c>
      <c r="L7" s="274" t="s">
        <v>461</v>
      </c>
      <c r="M7" s="274" t="s">
        <v>484</v>
      </c>
      <c r="N7" s="274" t="s">
        <v>485</v>
      </c>
      <c r="O7" s="274" t="s">
        <v>2</v>
      </c>
      <c r="P7" s="274" t="s">
        <v>486</v>
      </c>
      <c r="Q7" s="274" t="s">
        <v>487</v>
      </c>
      <c r="R7" s="274" t="s">
        <v>429</v>
      </c>
      <c r="S7" s="274" t="s">
        <v>431</v>
      </c>
      <c r="T7" s="274" t="s">
        <v>440</v>
      </c>
      <c r="U7" s="274" t="s">
        <v>147</v>
      </c>
      <c r="V7" s="274" t="s">
        <v>488</v>
      </c>
      <c r="W7" s="274" t="s">
        <v>489</v>
      </c>
      <c r="X7" s="274" t="s">
        <v>481</v>
      </c>
      <c r="Y7" s="277" t="s">
        <v>515</v>
      </c>
      <c r="Z7" s="277" t="s">
        <v>516</v>
      </c>
      <c r="AA7" s="277" t="s">
        <v>519</v>
      </c>
      <c r="AB7" s="277"/>
      <c r="AC7" s="277"/>
      <c r="AD7" s="277"/>
      <c r="AE7" s="277"/>
    </row>
    <row r="8" spans="1:31" ht="26" hidden="1" x14ac:dyDescent="0.25">
      <c r="A8" s="200" t="s">
        <v>540</v>
      </c>
      <c r="B8" s="185" t="s">
        <v>304</v>
      </c>
      <c r="C8" s="185" t="s">
        <v>412</v>
      </c>
      <c r="D8" s="185">
        <v>9901</v>
      </c>
      <c r="E8" s="185" t="s">
        <v>413</v>
      </c>
      <c r="F8" s="185" t="s">
        <v>336</v>
      </c>
      <c r="G8" s="185" t="s">
        <v>398</v>
      </c>
      <c r="H8" s="185" t="s">
        <v>416</v>
      </c>
      <c r="I8" s="193">
        <v>46039</v>
      </c>
      <c r="J8" s="195">
        <v>0.46527777777777773</v>
      </c>
      <c r="K8" s="185" t="s">
        <v>14</v>
      </c>
      <c r="L8" s="185" t="s">
        <v>417</v>
      </c>
      <c r="M8" s="185" t="s">
        <v>418</v>
      </c>
      <c r="N8" s="185" t="s">
        <v>57</v>
      </c>
      <c r="O8" s="185" t="s">
        <v>1</v>
      </c>
      <c r="P8" s="185" t="s">
        <v>419</v>
      </c>
      <c r="Q8" s="185" t="s">
        <v>420</v>
      </c>
      <c r="R8" s="185" t="s">
        <v>112</v>
      </c>
      <c r="S8" s="185" t="s">
        <v>179</v>
      </c>
      <c r="T8" s="185" t="s">
        <v>398</v>
      </c>
      <c r="U8" s="185" t="s">
        <v>346</v>
      </c>
      <c r="V8" s="185" t="s">
        <v>57</v>
      </c>
      <c r="W8" s="185" t="s">
        <v>458</v>
      </c>
      <c r="X8" s="185" t="s">
        <v>425</v>
      </c>
      <c r="Y8" s="197" t="s">
        <v>520</v>
      </c>
      <c r="Z8" s="197" t="s">
        <v>521</v>
      </c>
      <c r="AA8" s="197" t="s">
        <v>522</v>
      </c>
    </row>
    <row r="9" spans="1:31" ht="26" hidden="1" x14ac:dyDescent="0.25">
      <c r="A9" s="200" t="s">
        <v>540</v>
      </c>
      <c r="B9" s="185" t="s">
        <v>304</v>
      </c>
      <c r="C9" s="185" t="s">
        <v>459</v>
      </c>
      <c r="D9" s="185">
        <v>9386</v>
      </c>
      <c r="E9" s="185" t="s">
        <v>460</v>
      </c>
      <c r="F9" s="185" t="s">
        <v>141</v>
      </c>
      <c r="G9" s="185" t="s">
        <v>414</v>
      </c>
      <c r="H9" s="185" t="s">
        <v>416</v>
      </c>
      <c r="I9" s="193">
        <v>46034</v>
      </c>
      <c r="J9" s="195">
        <v>0.32291666666666669</v>
      </c>
      <c r="K9" s="185" t="s">
        <v>14</v>
      </c>
      <c r="L9" s="185" t="s">
        <v>461</v>
      </c>
      <c r="M9" s="185" t="s">
        <v>462</v>
      </c>
      <c r="N9" s="185" t="s">
        <v>463</v>
      </c>
      <c r="O9" s="185" t="s">
        <v>1</v>
      </c>
      <c r="P9" s="185" t="s">
        <v>464</v>
      </c>
      <c r="Q9" s="185" t="s">
        <v>465</v>
      </c>
      <c r="R9" s="185" t="s">
        <v>429</v>
      </c>
      <c r="S9" s="185" t="s">
        <v>431</v>
      </c>
      <c r="T9" s="185" t="s">
        <v>437</v>
      </c>
      <c r="U9" s="185" t="s">
        <v>346</v>
      </c>
      <c r="V9" s="185" t="s">
        <v>57</v>
      </c>
      <c r="W9" s="185" t="s">
        <v>466</v>
      </c>
      <c r="X9" s="185" t="s">
        <v>467</v>
      </c>
      <c r="Y9" s="197" t="s">
        <v>525</v>
      </c>
      <c r="Z9" s="197" t="s">
        <v>526</v>
      </c>
    </row>
    <row r="10" spans="1:31" hidden="1" x14ac:dyDescent="0.25">
      <c r="A10" s="200" t="s">
        <v>540</v>
      </c>
      <c r="B10" s="185" t="s">
        <v>304</v>
      </c>
      <c r="C10" s="185" t="s">
        <v>470</v>
      </c>
      <c r="D10" s="185" t="s">
        <v>471</v>
      </c>
      <c r="E10" s="185" t="s">
        <v>472</v>
      </c>
      <c r="F10" s="185" t="s">
        <v>336</v>
      </c>
      <c r="G10" s="185" t="s">
        <v>415</v>
      </c>
      <c r="H10" s="185" t="s">
        <v>416</v>
      </c>
      <c r="I10" s="193">
        <v>46045</v>
      </c>
      <c r="J10" s="195">
        <v>0.33333333333333331</v>
      </c>
      <c r="K10" s="185" t="s">
        <v>14</v>
      </c>
      <c r="L10" s="185" t="s">
        <v>474</v>
      </c>
      <c r="M10" s="185" t="s">
        <v>473</v>
      </c>
      <c r="N10" s="185" t="s">
        <v>475</v>
      </c>
      <c r="O10" s="185" t="s">
        <v>1</v>
      </c>
      <c r="P10" s="185" t="s">
        <v>476</v>
      </c>
      <c r="Q10" s="185" t="s">
        <v>465</v>
      </c>
      <c r="R10" s="185" t="s">
        <v>166</v>
      </c>
      <c r="S10" s="185" t="s">
        <v>406</v>
      </c>
      <c r="T10" s="185" t="s">
        <v>453</v>
      </c>
      <c r="U10" s="185" t="s">
        <v>346</v>
      </c>
      <c r="V10" s="185" t="s">
        <v>478</v>
      </c>
      <c r="W10" s="185" t="s">
        <v>361</v>
      </c>
      <c r="X10" s="185" t="s">
        <v>361</v>
      </c>
    </row>
    <row r="11" spans="1:31" hidden="1" x14ac:dyDescent="0.25">
      <c r="A11" s="200" t="s">
        <v>540</v>
      </c>
      <c r="B11" s="185" t="s">
        <v>304</v>
      </c>
      <c r="C11" s="185" t="s">
        <v>491</v>
      </c>
      <c r="D11" s="185" t="s">
        <v>492</v>
      </c>
      <c r="E11" s="185" t="s">
        <v>493</v>
      </c>
      <c r="F11" s="185" t="s">
        <v>42</v>
      </c>
      <c r="G11" s="185" t="s">
        <v>181</v>
      </c>
      <c r="H11" s="185" t="s">
        <v>416</v>
      </c>
      <c r="I11" s="193">
        <v>46039</v>
      </c>
      <c r="J11" s="195">
        <v>0.77083333333333337</v>
      </c>
      <c r="K11" s="185" t="s">
        <v>15</v>
      </c>
      <c r="L11" s="185" t="s">
        <v>310</v>
      </c>
      <c r="M11" s="185" t="s">
        <v>494</v>
      </c>
      <c r="N11" s="185" t="s">
        <v>495</v>
      </c>
      <c r="O11" s="185" t="s">
        <v>12</v>
      </c>
      <c r="P11" s="185" t="s">
        <v>496</v>
      </c>
      <c r="Q11" s="185" t="s">
        <v>109</v>
      </c>
      <c r="R11" s="185" t="s">
        <v>54</v>
      </c>
      <c r="S11" s="185" t="s">
        <v>259</v>
      </c>
      <c r="T11" s="185" t="s">
        <v>325</v>
      </c>
      <c r="U11" s="185" t="s">
        <v>147</v>
      </c>
      <c r="V11" s="185" t="s">
        <v>497</v>
      </c>
      <c r="W11" s="185" t="s">
        <v>498</v>
      </c>
      <c r="X11" s="185" t="s">
        <v>379</v>
      </c>
      <c r="Y11" s="198"/>
      <c r="Z11" s="198"/>
      <c r="AA11" s="198"/>
    </row>
    <row r="12" spans="1:31" hidden="1" x14ac:dyDescent="0.25">
      <c r="A12" s="200" t="s">
        <v>540</v>
      </c>
      <c r="B12" s="185" t="s">
        <v>304</v>
      </c>
      <c r="C12" s="185" t="s">
        <v>683</v>
      </c>
      <c r="D12" s="185" t="s">
        <v>676</v>
      </c>
      <c r="E12" s="185" t="s">
        <v>682</v>
      </c>
      <c r="F12" s="185" t="s">
        <v>122</v>
      </c>
      <c r="G12" s="185" t="s">
        <v>684</v>
      </c>
      <c r="H12" s="185" t="s">
        <v>416</v>
      </c>
      <c r="I12" s="193">
        <v>46043</v>
      </c>
      <c r="J12" s="195">
        <v>0.66666666666666663</v>
      </c>
      <c r="K12" s="185" t="s">
        <v>14</v>
      </c>
      <c r="L12" s="185" t="s">
        <v>57</v>
      </c>
      <c r="M12" s="185" t="s">
        <v>57</v>
      </c>
      <c r="N12" s="185" t="s">
        <v>57</v>
      </c>
      <c r="O12" s="185" t="s">
        <v>693</v>
      </c>
      <c r="Q12" s="185" t="s">
        <v>109</v>
      </c>
      <c r="R12" s="185" t="s">
        <v>91</v>
      </c>
      <c r="S12" s="185" t="s">
        <v>98</v>
      </c>
      <c r="T12" s="185" t="s">
        <v>697</v>
      </c>
      <c r="U12" s="185" t="s">
        <v>147</v>
      </c>
      <c r="V12" s="185"/>
      <c r="W12" s="185" t="s">
        <v>57</v>
      </c>
      <c r="X12" s="185" t="s">
        <v>706</v>
      </c>
      <c r="Y12" s="198"/>
      <c r="Z12" s="198"/>
      <c r="AA12" s="198"/>
    </row>
    <row r="13" spans="1:31" hidden="1" x14ac:dyDescent="0.25">
      <c r="A13" s="200" t="s">
        <v>540</v>
      </c>
      <c r="B13" s="185" t="s">
        <v>304</v>
      </c>
      <c r="C13" s="185" t="s">
        <v>677</v>
      </c>
      <c r="D13" s="185" t="s">
        <v>676</v>
      </c>
      <c r="E13" s="185" t="s">
        <v>682</v>
      </c>
      <c r="F13" s="185" t="s">
        <v>122</v>
      </c>
      <c r="G13" s="185" t="s">
        <v>678</v>
      </c>
      <c r="H13" s="185" t="s">
        <v>416</v>
      </c>
      <c r="I13" s="193">
        <v>46046</v>
      </c>
      <c r="J13" s="195">
        <v>0.82361111111111107</v>
      </c>
      <c r="K13" s="185" t="s">
        <v>15</v>
      </c>
      <c r="L13" s="185" t="s">
        <v>57</v>
      </c>
      <c r="M13" s="185" t="s">
        <v>57</v>
      </c>
      <c r="N13" s="185" t="s">
        <v>57</v>
      </c>
      <c r="O13" s="185" t="s">
        <v>693</v>
      </c>
      <c r="Q13" s="185" t="s">
        <v>692</v>
      </c>
      <c r="R13" s="185" t="s">
        <v>91</v>
      </c>
      <c r="S13" s="185" t="s">
        <v>98</v>
      </c>
      <c r="T13" s="185" t="s">
        <v>697</v>
      </c>
      <c r="U13" s="185" t="s">
        <v>147</v>
      </c>
      <c r="V13" s="185"/>
      <c r="W13" s="185" t="s">
        <v>57</v>
      </c>
      <c r="X13" s="185" t="s">
        <v>706</v>
      </c>
      <c r="Y13" s="198" t="s">
        <v>57</v>
      </c>
      <c r="Z13" s="198"/>
      <c r="AA13" s="198"/>
    </row>
    <row r="14" spans="1:31" hidden="1" x14ac:dyDescent="0.25">
      <c r="A14" s="200" t="s">
        <v>540</v>
      </c>
      <c r="B14" s="185" t="s">
        <v>304</v>
      </c>
      <c r="C14" s="185" t="s">
        <v>687</v>
      </c>
      <c r="D14" s="185" t="s">
        <v>688</v>
      </c>
      <c r="E14" s="185" t="s">
        <v>686</v>
      </c>
      <c r="F14" s="185" t="s">
        <v>338</v>
      </c>
      <c r="G14" s="185" t="s">
        <v>689</v>
      </c>
      <c r="H14" s="185" t="s">
        <v>416</v>
      </c>
      <c r="I14" s="193">
        <v>46052</v>
      </c>
      <c r="J14" s="195">
        <v>0.2902777777777778</v>
      </c>
      <c r="K14" s="185" t="s">
        <v>14</v>
      </c>
      <c r="L14" s="185" t="s">
        <v>57</v>
      </c>
      <c r="M14" s="185" t="s">
        <v>57</v>
      </c>
      <c r="N14" s="185" t="s">
        <v>57</v>
      </c>
      <c r="O14" s="185" t="s">
        <v>693</v>
      </c>
      <c r="P14" s="185" t="s">
        <v>691</v>
      </c>
      <c r="Q14" s="185" t="s">
        <v>109</v>
      </c>
      <c r="R14" s="185" t="s">
        <v>429</v>
      </c>
      <c r="S14" s="185" t="s">
        <v>431</v>
      </c>
      <c r="T14" s="185" t="s">
        <v>437</v>
      </c>
      <c r="U14" s="185" t="s">
        <v>147</v>
      </c>
      <c r="V14" s="185"/>
      <c r="W14" s="185" t="s">
        <v>57</v>
      </c>
      <c r="X14" s="185" t="s">
        <v>706</v>
      </c>
      <c r="Y14" s="198"/>
      <c r="Z14" s="198"/>
      <c r="AA14" s="198"/>
    </row>
    <row r="15" spans="1:31" hidden="1" x14ac:dyDescent="0.25">
      <c r="A15" s="200" t="s">
        <v>549</v>
      </c>
      <c r="B15" s="185" t="s">
        <v>305</v>
      </c>
      <c r="C15" s="185" t="s">
        <v>543</v>
      </c>
      <c r="D15" s="185" t="s">
        <v>471</v>
      </c>
      <c r="E15" s="185" t="s">
        <v>1536</v>
      </c>
      <c r="F15" s="185" t="s">
        <v>335</v>
      </c>
      <c r="G15" s="185" t="s">
        <v>52</v>
      </c>
      <c r="H15" s="185" t="s">
        <v>152</v>
      </c>
      <c r="I15" s="193">
        <v>46062</v>
      </c>
      <c r="J15" s="195">
        <v>0.625</v>
      </c>
      <c r="K15" s="185" t="s">
        <v>14</v>
      </c>
      <c r="L15" s="185" t="s">
        <v>309</v>
      </c>
      <c r="M15" s="185" t="s">
        <v>545</v>
      </c>
      <c r="N15" s="185" t="s">
        <v>546</v>
      </c>
      <c r="O15" s="185" t="s">
        <v>1</v>
      </c>
      <c r="P15" s="185" t="s">
        <v>547</v>
      </c>
      <c r="Q15" s="185" t="s">
        <v>548</v>
      </c>
      <c r="R15" s="185" t="s">
        <v>166</v>
      </c>
      <c r="S15" s="185" t="s">
        <v>47</v>
      </c>
      <c r="T15" s="185" t="s">
        <v>296</v>
      </c>
      <c r="U15" s="185" t="s">
        <v>232</v>
      </c>
      <c r="V15" s="185" t="s">
        <v>560</v>
      </c>
      <c r="W15" s="185" t="s">
        <v>561</v>
      </c>
      <c r="X15" s="185" t="s">
        <v>188</v>
      </c>
    </row>
    <row r="16" spans="1:31" s="274" customFormat="1" ht="91" hidden="1" x14ac:dyDescent="0.25">
      <c r="A16" s="273" t="s">
        <v>549</v>
      </c>
      <c r="B16" s="274" t="s">
        <v>305</v>
      </c>
      <c r="C16" s="274" t="s">
        <v>575</v>
      </c>
      <c r="D16" s="274">
        <v>9027</v>
      </c>
      <c r="E16" s="274" t="s">
        <v>33</v>
      </c>
      <c r="F16" s="274" t="s">
        <v>336</v>
      </c>
      <c r="G16" s="274" t="s">
        <v>55</v>
      </c>
      <c r="H16" s="274" t="s">
        <v>152</v>
      </c>
      <c r="I16" s="275" t="s">
        <v>576</v>
      </c>
      <c r="J16" s="276">
        <v>0.72569444444444453</v>
      </c>
      <c r="K16" s="274" t="s">
        <v>15</v>
      </c>
      <c r="L16" s="274" t="s">
        <v>309</v>
      </c>
      <c r="M16" s="274" t="s">
        <v>313</v>
      </c>
      <c r="N16" s="274" t="s">
        <v>578</v>
      </c>
      <c r="O16" s="274" t="s">
        <v>2</v>
      </c>
      <c r="P16" s="274" t="s">
        <v>579</v>
      </c>
      <c r="Q16" s="274" t="s">
        <v>580</v>
      </c>
      <c r="R16" s="274" t="s">
        <v>54</v>
      </c>
      <c r="S16" s="274" t="s">
        <v>319</v>
      </c>
      <c r="T16" s="274" t="s">
        <v>296</v>
      </c>
      <c r="U16" s="274" t="s">
        <v>232</v>
      </c>
      <c r="V16" s="274" t="s">
        <v>581</v>
      </c>
      <c r="W16" s="274" t="s">
        <v>600</v>
      </c>
      <c r="X16" s="274" t="s">
        <v>372</v>
      </c>
      <c r="Y16" s="277" t="s">
        <v>721</v>
      </c>
      <c r="Z16" s="277" t="s">
        <v>722</v>
      </c>
      <c r="AA16" s="277" t="s">
        <v>723</v>
      </c>
      <c r="AB16" s="277"/>
      <c r="AC16" s="277"/>
      <c r="AD16" s="277"/>
      <c r="AE16" s="277"/>
    </row>
    <row r="17" spans="1:31" hidden="1" x14ac:dyDescent="0.25">
      <c r="A17" s="200" t="s">
        <v>549</v>
      </c>
      <c r="B17" s="185" t="s">
        <v>305</v>
      </c>
      <c r="C17" s="185" t="s">
        <v>565</v>
      </c>
      <c r="D17" s="185">
        <v>1</v>
      </c>
      <c r="E17" s="185" t="s">
        <v>18</v>
      </c>
      <c r="F17" s="185" t="s">
        <v>203</v>
      </c>
      <c r="G17" s="185" t="s">
        <v>356</v>
      </c>
      <c r="H17" s="185" t="s">
        <v>46</v>
      </c>
      <c r="I17" s="193" t="s">
        <v>571</v>
      </c>
      <c r="J17" s="195">
        <v>0.90277777777777779</v>
      </c>
      <c r="K17" s="185" t="s">
        <v>15</v>
      </c>
      <c r="L17" s="185" t="s">
        <v>309</v>
      </c>
      <c r="M17" s="185" t="s">
        <v>577</v>
      </c>
      <c r="N17" s="185" t="s">
        <v>572</v>
      </c>
      <c r="O17" s="185" t="s">
        <v>53</v>
      </c>
      <c r="P17" s="185" t="s">
        <v>573</v>
      </c>
      <c r="Q17" s="185" t="s">
        <v>574</v>
      </c>
      <c r="R17" s="185" t="s">
        <v>54</v>
      </c>
      <c r="S17" s="185" t="s">
        <v>319</v>
      </c>
      <c r="T17" s="185" t="s">
        <v>348</v>
      </c>
      <c r="U17" s="185" t="s">
        <v>232</v>
      </c>
      <c r="V17" s="185" t="s">
        <v>597</v>
      </c>
      <c r="W17" s="185" t="s">
        <v>601</v>
      </c>
      <c r="X17" s="185" t="s">
        <v>370</v>
      </c>
    </row>
    <row r="18" spans="1:31" hidden="1" x14ac:dyDescent="0.25">
      <c r="A18" s="200" t="s">
        <v>549</v>
      </c>
      <c r="B18" s="185" t="s">
        <v>305</v>
      </c>
      <c r="C18" s="185" t="s">
        <v>582</v>
      </c>
      <c r="D18" s="185">
        <v>7844</v>
      </c>
      <c r="E18" s="185" t="s">
        <v>93</v>
      </c>
      <c r="F18" s="185" t="s">
        <v>203</v>
      </c>
      <c r="G18" s="185" t="s">
        <v>356</v>
      </c>
      <c r="H18" s="185" t="s">
        <v>46</v>
      </c>
      <c r="I18" s="193" t="s">
        <v>586</v>
      </c>
      <c r="J18" s="195">
        <v>0.35416666666666669</v>
      </c>
      <c r="K18" s="185" t="s">
        <v>14</v>
      </c>
      <c r="L18" s="185" t="s">
        <v>589</v>
      </c>
      <c r="M18" s="185" t="s">
        <v>602</v>
      </c>
      <c r="N18" s="185" t="s">
        <v>590</v>
      </c>
      <c r="O18" s="185" t="s">
        <v>53</v>
      </c>
      <c r="P18" s="185" t="s">
        <v>593</v>
      </c>
      <c r="Q18" s="185" t="s">
        <v>595</v>
      </c>
      <c r="R18" s="185" t="s">
        <v>54</v>
      </c>
      <c r="S18" s="185" t="s">
        <v>79</v>
      </c>
      <c r="T18" s="185" t="s">
        <v>504</v>
      </c>
      <c r="U18" s="185" t="s">
        <v>232</v>
      </c>
      <c r="V18" s="185" t="s">
        <v>597</v>
      </c>
      <c r="W18" s="185" t="s">
        <v>603</v>
      </c>
      <c r="X18" s="185" t="s">
        <v>606</v>
      </c>
    </row>
    <row r="19" spans="1:31" hidden="1" x14ac:dyDescent="0.25">
      <c r="A19" s="200" t="s">
        <v>549</v>
      </c>
      <c r="B19" s="185" t="s">
        <v>305</v>
      </c>
      <c r="C19" s="185" t="s">
        <v>583</v>
      </c>
      <c r="D19" s="185">
        <v>621</v>
      </c>
      <c r="E19" s="185" t="s">
        <v>33</v>
      </c>
      <c r="F19" s="185" t="s">
        <v>203</v>
      </c>
      <c r="G19" s="185" t="s">
        <v>83</v>
      </c>
      <c r="H19" s="185" t="s">
        <v>584</v>
      </c>
      <c r="I19" s="193" t="s">
        <v>587</v>
      </c>
      <c r="J19" s="195">
        <v>0.14583333333333334</v>
      </c>
      <c r="K19" s="185" t="s">
        <v>13</v>
      </c>
      <c r="L19" s="185" t="s">
        <v>309</v>
      </c>
      <c r="M19" s="185" t="s">
        <v>308</v>
      </c>
      <c r="N19" s="185" t="s">
        <v>591</v>
      </c>
      <c r="O19" s="185" t="s">
        <v>53</v>
      </c>
      <c r="P19" s="185" t="s">
        <v>594</v>
      </c>
      <c r="Q19" s="185" t="s">
        <v>596</v>
      </c>
      <c r="R19" s="185" t="s">
        <v>54</v>
      </c>
      <c r="S19" s="185" t="s">
        <v>319</v>
      </c>
      <c r="T19" s="185" t="s">
        <v>283</v>
      </c>
      <c r="U19" s="185" t="s">
        <v>232</v>
      </c>
      <c r="V19" s="185" t="s">
        <v>598</v>
      </c>
      <c r="W19" s="185" t="s">
        <v>604</v>
      </c>
      <c r="X19" s="185" t="s">
        <v>371</v>
      </c>
    </row>
    <row r="20" spans="1:31" hidden="1" x14ac:dyDescent="0.25">
      <c r="A20" s="200" t="s">
        <v>549</v>
      </c>
      <c r="B20" s="185" t="s">
        <v>305</v>
      </c>
      <c r="C20" s="185" t="s">
        <v>617</v>
      </c>
      <c r="D20" s="185">
        <v>30</v>
      </c>
      <c r="E20" s="185" t="s">
        <v>33</v>
      </c>
      <c r="F20" s="185" t="s">
        <v>336</v>
      </c>
      <c r="G20" s="185" t="s">
        <v>23</v>
      </c>
      <c r="H20" s="185" t="s">
        <v>585</v>
      </c>
      <c r="I20" s="193" t="s">
        <v>588</v>
      </c>
      <c r="J20" s="195">
        <v>0.10416666666666667</v>
      </c>
      <c r="K20" s="185" t="s">
        <v>13</v>
      </c>
      <c r="L20" s="185" t="s">
        <v>307</v>
      </c>
      <c r="M20" s="185" t="s">
        <v>315</v>
      </c>
      <c r="N20" s="185" t="s">
        <v>592</v>
      </c>
      <c r="O20" s="185" t="s">
        <v>1</v>
      </c>
      <c r="P20" s="185" t="s">
        <v>579</v>
      </c>
      <c r="Q20" s="185" t="s">
        <v>596</v>
      </c>
      <c r="R20" s="185" t="s">
        <v>54</v>
      </c>
      <c r="S20" s="185" t="s">
        <v>320</v>
      </c>
      <c r="T20" s="185" t="s">
        <v>279</v>
      </c>
      <c r="U20" s="185" t="s">
        <v>232</v>
      </c>
      <c r="V20" s="185" t="s">
        <v>599</v>
      </c>
      <c r="W20" s="185" t="s">
        <v>605</v>
      </c>
      <c r="X20" s="185" t="s">
        <v>375</v>
      </c>
    </row>
    <row r="21" spans="1:31" hidden="1" x14ac:dyDescent="0.25">
      <c r="A21" s="200" t="s">
        <v>549</v>
      </c>
      <c r="B21" s="185" t="s">
        <v>305</v>
      </c>
      <c r="C21" s="185" t="s">
        <v>618</v>
      </c>
      <c r="D21" s="185">
        <v>1858</v>
      </c>
      <c r="E21" s="185" t="s">
        <v>410</v>
      </c>
      <c r="F21" s="185" t="s">
        <v>86</v>
      </c>
      <c r="G21" s="185" t="s">
        <v>23</v>
      </c>
      <c r="H21" s="185" t="s">
        <v>623</v>
      </c>
      <c r="I21" s="193">
        <v>46076</v>
      </c>
      <c r="J21" s="195">
        <v>0.85416666666666663</v>
      </c>
      <c r="K21" s="185" t="s">
        <v>15</v>
      </c>
      <c r="L21" s="185" t="s">
        <v>309</v>
      </c>
      <c r="M21" s="185" t="s">
        <v>577</v>
      </c>
      <c r="N21" s="185" t="s">
        <v>628</v>
      </c>
      <c r="O21" s="185" t="s">
        <v>1</v>
      </c>
      <c r="P21" s="185" t="s">
        <v>631</v>
      </c>
      <c r="Q21" s="185" t="s">
        <v>635</v>
      </c>
      <c r="R21" s="185" t="s">
        <v>54</v>
      </c>
      <c r="S21" s="185" t="s">
        <v>319</v>
      </c>
      <c r="T21" s="185" t="s">
        <v>348</v>
      </c>
      <c r="U21" s="185" t="s">
        <v>232</v>
      </c>
      <c r="V21" s="185" t="s">
        <v>641</v>
      </c>
      <c r="W21" s="185" t="s">
        <v>645</v>
      </c>
      <c r="X21" s="185" t="s">
        <v>370</v>
      </c>
    </row>
    <row r="22" spans="1:31" hidden="1" x14ac:dyDescent="0.25">
      <c r="A22" s="200" t="s">
        <v>549</v>
      </c>
      <c r="B22" s="185" t="s">
        <v>305</v>
      </c>
      <c r="C22" s="185" t="s">
        <v>619</v>
      </c>
      <c r="D22" s="185">
        <v>9690</v>
      </c>
      <c r="E22" s="185" t="s">
        <v>33</v>
      </c>
      <c r="F22" s="185" t="s">
        <v>24</v>
      </c>
      <c r="G22" s="185" t="s">
        <v>23</v>
      </c>
      <c r="H22" s="185" t="s">
        <v>152</v>
      </c>
      <c r="I22" s="193">
        <v>46077</v>
      </c>
      <c r="J22" s="195">
        <v>6.25E-2</v>
      </c>
      <c r="K22" s="185" t="s">
        <v>13</v>
      </c>
      <c r="L22" s="185" t="s">
        <v>309</v>
      </c>
      <c r="M22" s="185" t="s">
        <v>313</v>
      </c>
      <c r="N22" s="185" t="s">
        <v>629</v>
      </c>
      <c r="O22" s="185" t="s">
        <v>1</v>
      </c>
      <c r="P22" s="185" t="s">
        <v>632</v>
      </c>
      <c r="Q22" s="185" t="s">
        <v>636</v>
      </c>
      <c r="R22" s="185" t="s">
        <v>54</v>
      </c>
      <c r="S22" s="185" t="s">
        <v>319</v>
      </c>
      <c r="T22" s="185" t="s">
        <v>296</v>
      </c>
      <c r="U22" s="185" t="s">
        <v>232</v>
      </c>
      <c r="V22" s="185" t="s">
        <v>642</v>
      </c>
      <c r="W22" s="185" t="s">
        <v>646</v>
      </c>
      <c r="X22" s="185" t="s">
        <v>372</v>
      </c>
    </row>
    <row r="23" spans="1:31" s="274" customFormat="1" hidden="1" x14ac:dyDescent="0.25">
      <c r="A23" s="273" t="s">
        <v>549</v>
      </c>
      <c r="B23" s="274" t="s">
        <v>305</v>
      </c>
      <c r="C23" s="274" t="s">
        <v>620</v>
      </c>
      <c r="D23" s="274">
        <v>9820</v>
      </c>
      <c r="E23" s="274" t="s">
        <v>622</v>
      </c>
      <c r="F23" s="274" t="s">
        <v>86</v>
      </c>
      <c r="G23" s="274" t="s">
        <v>23</v>
      </c>
      <c r="H23" s="274" t="s">
        <v>624</v>
      </c>
      <c r="I23" s="275">
        <v>46077</v>
      </c>
      <c r="J23" s="276">
        <v>0.32291666666666669</v>
      </c>
      <c r="K23" s="274" t="s">
        <v>14</v>
      </c>
      <c r="L23" s="274" t="s">
        <v>625</v>
      </c>
      <c r="M23" s="274" t="s">
        <v>626</v>
      </c>
      <c r="N23" s="274" t="s">
        <v>630</v>
      </c>
      <c r="O23" s="274" t="s">
        <v>2</v>
      </c>
      <c r="P23" s="274" t="s">
        <v>633</v>
      </c>
      <c r="Q23" s="274" t="s">
        <v>637</v>
      </c>
      <c r="R23" s="274" t="s">
        <v>118</v>
      </c>
      <c r="S23" s="274" t="s">
        <v>386</v>
      </c>
      <c r="T23" s="274" t="s">
        <v>640</v>
      </c>
      <c r="U23" s="274" t="s">
        <v>232</v>
      </c>
      <c r="V23" s="274" t="s">
        <v>643</v>
      </c>
      <c r="W23" s="274" t="s">
        <v>647</v>
      </c>
      <c r="X23" s="274" t="s">
        <v>639</v>
      </c>
      <c r="Y23" s="277"/>
      <c r="Z23" s="277"/>
      <c r="AA23" s="277"/>
      <c r="AB23" s="277"/>
      <c r="AC23" s="277"/>
      <c r="AD23" s="277"/>
      <c r="AE23" s="277"/>
    </row>
    <row r="24" spans="1:31" hidden="1" x14ac:dyDescent="0.25">
      <c r="A24" s="200" t="s">
        <v>549</v>
      </c>
      <c r="B24" s="185" t="s">
        <v>305</v>
      </c>
      <c r="C24" s="185" t="s">
        <v>621</v>
      </c>
      <c r="D24" s="185">
        <v>7230</v>
      </c>
      <c r="E24" s="185" t="s">
        <v>33</v>
      </c>
      <c r="F24" s="185" t="s">
        <v>86</v>
      </c>
      <c r="G24" s="185" t="s">
        <v>103</v>
      </c>
      <c r="H24" s="185" t="s">
        <v>152</v>
      </c>
      <c r="I24" s="193">
        <v>46078</v>
      </c>
      <c r="J24" s="195">
        <v>0.40625</v>
      </c>
      <c r="K24" s="185" t="s">
        <v>14</v>
      </c>
      <c r="L24" s="185" t="s">
        <v>307</v>
      </c>
      <c r="M24" s="185" t="s">
        <v>627</v>
      </c>
      <c r="N24" s="185" t="s">
        <v>57</v>
      </c>
      <c r="O24" s="185" t="s">
        <v>1</v>
      </c>
      <c r="P24" s="185" t="s">
        <v>634</v>
      </c>
      <c r="Q24" s="185" t="s">
        <v>638</v>
      </c>
      <c r="R24" s="185" t="s">
        <v>54</v>
      </c>
      <c r="S24" s="185" t="s">
        <v>320</v>
      </c>
      <c r="T24" s="185" t="s">
        <v>349</v>
      </c>
      <c r="U24" s="185" t="s">
        <v>232</v>
      </c>
      <c r="V24" s="185" t="s">
        <v>644</v>
      </c>
      <c r="W24" s="185" t="s">
        <v>648</v>
      </c>
      <c r="X24" s="185" t="s">
        <v>374</v>
      </c>
    </row>
    <row r="25" spans="1:31" hidden="1" x14ac:dyDescent="0.25">
      <c r="A25" s="200" t="s">
        <v>549</v>
      </c>
      <c r="B25" s="185" t="s">
        <v>304</v>
      </c>
      <c r="C25" s="185" t="s">
        <v>657</v>
      </c>
      <c r="D25" s="185">
        <v>790</v>
      </c>
      <c r="E25" s="185" t="s">
        <v>658</v>
      </c>
      <c r="F25" s="185" t="s">
        <v>338</v>
      </c>
      <c r="G25" s="185" t="s">
        <v>659</v>
      </c>
      <c r="H25" s="185" t="s">
        <v>416</v>
      </c>
      <c r="I25" s="193">
        <v>46077</v>
      </c>
      <c r="J25" s="195">
        <v>0.39583333333333331</v>
      </c>
      <c r="K25" s="185" t="s">
        <v>14</v>
      </c>
      <c r="L25" s="185" t="s">
        <v>660</v>
      </c>
      <c r="M25" s="185" t="s">
        <v>57</v>
      </c>
      <c r="N25" s="185" t="s">
        <v>665</v>
      </c>
      <c r="O25" s="185" t="s">
        <v>0</v>
      </c>
      <c r="P25" s="185" t="s">
        <v>661</v>
      </c>
      <c r="Q25" s="185" t="s">
        <v>662</v>
      </c>
      <c r="R25" s="185" t="s">
        <v>49</v>
      </c>
      <c r="S25" s="185" t="s">
        <v>160</v>
      </c>
      <c r="T25" s="185" t="s">
        <v>143</v>
      </c>
      <c r="U25" s="185" t="s">
        <v>147</v>
      </c>
      <c r="V25" s="185" t="s">
        <v>664</v>
      </c>
      <c r="W25" s="185" t="s">
        <v>666</v>
      </c>
      <c r="X25" s="185" t="s">
        <v>663</v>
      </c>
    </row>
    <row r="26" spans="1:31" hidden="1" x14ac:dyDescent="0.25">
      <c r="A26" s="200" t="s">
        <v>549</v>
      </c>
      <c r="B26" s="185" t="s">
        <v>304</v>
      </c>
      <c r="C26" s="185" t="s">
        <v>677</v>
      </c>
      <c r="D26" s="185" t="s">
        <v>676</v>
      </c>
      <c r="E26" s="185" t="s">
        <v>682</v>
      </c>
      <c r="F26" s="185" t="s">
        <v>122</v>
      </c>
      <c r="G26" s="185" t="s">
        <v>694</v>
      </c>
      <c r="H26" s="185" t="s">
        <v>416</v>
      </c>
      <c r="I26" s="193">
        <v>46059</v>
      </c>
      <c r="J26" s="195">
        <v>0.71180555555555547</v>
      </c>
      <c r="K26" s="185" t="s">
        <v>15</v>
      </c>
      <c r="L26" s="185" t="s">
        <v>57</v>
      </c>
      <c r="M26" s="185" t="s">
        <v>57</v>
      </c>
      <c r="N26" s="185" t="s">
        <v>57</v>
      </c>
      <c r="O26" s="185" t="s">
        <v>693</v>
      </c>
      <c r="P26" s="185" t="s">
        <v>696</v>
      </c>
      <c r="Q26" s="185" t="s">
        <v>109</v>
      </c>
      <c r="R26" s="185" t="s">
        <v>91</v>
      </c>
      <c r="S26" s="185" t="s">
        <v>98</v>
      </c>
      <c r="T26" s="185" t="s">
        <v>697</v>
      </c>
      <c r="U26" s="185" t="s">
        <v>147</v>
      </c>
      <c r="V26" s="185"/>
      <c r="W26" s="185" t="s">
        <v>57</v>
      </c>
      <c r="X26" s="185" t="s">
        <v>706</v>
      </c>
    </row>
    <row r="27" spans="1:31" hidden="1" x14ac:dyDescent="0.25">
      <c r="A27" s="200" t="s">
        <v>549</v>
      </c>
      <c r="B27" s="185" t="s">
        <v>304</v>
      </c>
      <c r="C27" s="185" t="s">
        <v>702</v>
      </c>
      <c r="D27" s="185" t="s">
        <v>676</v>
      </c>
      <c r="E27" s="185" t="s">
        <v>57</v>
      </c>
      <c r="F27" s="185" t="s">
        <v>703</v>
      </c>
      <c r="G27" s="185" t="s">
        <v>704</v>
      </c>
      <c r="H27" s="185" t="s">
        <v>416</v>
      </c>
      <c r="I27" s="193">
        <v>46069</v>
      </c>
      <c r="J27" s="195">
        <v>0.40277777777777773</v>
      </c>
      <c r="K27" s="185" t="s">
        <v>14</v>
      </c>
      <c r="L27" s="185" t="s">
        <v>57</v>
      </c>
      <c r="M27" s="185" t="s">
        <v>57</v>
      </c>
      <c r="N27" s="185" t="s">
        <v>57</v>
      </c>
      <c r="O27" s="185" t="s">
        <v>693</v>
      </c>
      <c r="P27" s="185" t="s">
        <v>705</v>
      </c>
      <c r="Q27" s="185" t="s">
        <v>346</v>
      </c>
      <c r="R27" s="185" t="s">
        <v>91</v>
      </c>
      <c r="S27" s="185" t="s">
        <v>98</v>
      </c>
      <c r="T27" s="185" t="s">
        <v>697</v>
      </c>
      <c r="U27" s="185" t="s">
        <v>147</v>
      </c>
      <c r="V27" s="185"/>
      <c r="W27" s="185" t="s">
        <v>57</v>
      </c>
      <c r="X27" s="185" t="s">
        <v>706</v>
      </c>
    </row>
    <row r="28" spans="1:31" hidden="1" x14ac:dyDescent="0.25">
      <c r="A28" s="200" t="s">
        <v>549</v>
      </c>
      <c r="B28" s="185" t="s">
        <v>304</v>
      </c>
      <c r="C28" s="185" t="s">
        <v>683</v>
      </c>
      <c r="D28" s="185" t="s">
        <v>676</v>
      </c>
      <c r="E28" s="185" t="s">
        <v>682</v>
      </c>
      <c r="F28" s="185" t="s">
        <v>122</v>
      </c>
      <c r="G28" s="185" t="s">
        <v>678</v>
      </c>
      <c r="H28" s="185" t="s">
        <v>416</v>
      </c>
      <c r="I28" s="193">
        <v>46074</v>
      </c>
      <c r="J28" s="195">
        <v>0.69791666666666663</v>
      </c>
      <c r="K28" s="185" t="s">
        <v>15</v>
      </c>
      <c r="L28" s="185" t="s">
        <v>57</v>
      </c>
      <c r="M28" s="185" t="s">
        <v>57</v>
      </c>
      <c r="N28" s="185" t="s">
        <v>57</v>
      </c>
      <c r="O28" s="185" t="s">
        <v>693</v>
      </c>
      <c r="P28" s="185" t="s">
        <v>705</v>
      </c>
      <c r="Q28" s="185" t="s">
        <v>109</v>
      </c>
      <c r="R28" s="185" t="s">
        <v>91</v>
      </c>
      <c r="S28" s="185" t="s">
        <v>98</v>
      </c>
      <c r="T28" s="185" t="s">
        <v>697</v>
      </c>
      <c r="U28" s="185" t="s">
        <v>147</v>
      </c>
      <c r="V28" s="185"/>
      <c r="W28" s="185" t="s">
        <v>57</v>
      </c>
      <c r="X28" s="185" t="s">
        <v>706</v>
      </c>
    </row>
    <row r="29" spans="1:31" hidden="1" x14ac:dyDescent="0.25">
      <c r="A29" s="200" t="s">
        <v>549</v>
      </c>
      <c r="B29" s="185" t="s">
        <v>304</v>
      </c>
      <c r="C29" s="185" t="s">
        <v>683</v>
      </c>
      <c r="D29" s="185" t="s">
        <v>676</v>
      </c>
      <c r="E29" s="185" t="s">
        <v>682</v>
      </c>
      <c r="F29" s="185" t="s">
        <v>122</v>
      </c>
      <c r="G29" s="185" t="s">
        <v>710</v>
      </c>
      <c r="H29" s="185" t="s">
        <v>416</v>
      </c>
      <c r="I29" s="193" t="s">
        <v>712</v>
      </c>
      <c r="J29" s="195">
        <v>0.85763888888888884</v>
      </c>
      <c r="K29" s="185" t="s">
        <v>15</v>
      </c>
      <c r="L29" s="185" t="s">
        <v>57</v>
      </c>
      <c r="M29" s="185" t="s">
        <v>57</v>
      </c>
      <c r="N29" s="185" t="s">
        <v>57</v>
      </c>
      <c r="O29" s="185" t="s">
        <v>693</v>
      </c>
      <c r="P29" s="185" t="s">
        <v>705</v>
      </c>
      <c r="Q29" s="185" t="s">
        <v>713</v>
      </c>
      <c r="R29" s="185" t="s">
        <v>91</v>
      </c>
      <c r="S29" s="185" t="s">
        <v>98</v>
      </c>
      <c r="T29" s="185" t="s">
        <v>697</v>
      </c>
      <c r="U29" s="185" t="s">
        <v>147</v>
      </c>
      <c r="V29" s="185"/>
      <c r="W29" s="185" t="s">
        <v>57</v>
      </c>
      <c r="X29" s="185" t="s">
        <v>706</v>
      </c>
    </row>
    <row r="30" spans="1:31" hidden="1" x14ac:dyDescent="0.25">
      <c r="A30" s="200" t="s">
        <v>549</v>
      </c>
      <c r="B30" s="185" t="s">
        <v>304</v>
      </c>
      <c r="C30" s="185" t="s">
        <v>714</v>
      </c>
      <c r="D30" s="185" t="s">
        <v>676</v>
      </c>
      <c r="E30" s="185" t="s">
        <v>682</v>
      </c>
      <c r="F30" s="185" t="s">
        <v>122</v>
      </c>
      <c r="G30" s="185" t="s">
        <v>715</v>
      </c>
      <c r="H30" s="185" t="s">
        <v>416</v>
      </c>
      <c r="I30" s="193" t="s">
        <v>716</v>
      </c>
      <c r="J30" s="195">
        <v>0.48888888888888887</v>
      </c>
      <c r="K30" s="185" t="s">
        <v>14</v>
      </c>
      <c r="L30" s="185" t="s">
        <v>57</v>
      </c>
      <c r="M30" s="185" t="s">
        <v>57</v>
      </c>
      <c r="N30" s="185" t="s">
        <v>57</v>
      </c>
      <c r="O30" s="185" t="s">
        <v>693</v>
      </c>
      <c r="P30" s="185" t="s">
        <v>705</v>
      </c>
      <c r="Q30" s="185" t="s">
        <v>346</v>
      </c>
      <c r="R30" s="185" t="s">
        <v>91</v>
      </c>
      <c r="S30" s="185" t="s">
        <v>98</v>
      </c>
      <c r="T30" s="185" t="s">
        <v>697</v>
      </c>
      <c r="U30" s="185" t="s">
        <v>147</v>
      </c>
      <c r="V30" s="185"/>
      <c r="W30" s="185" t="s">
        <v>57</v>
      </c>
      <c r="X30" s="185" t="s">
        <v>706</v>
      </c>
    </row>
    <row r="31" spans="1:31" hidden="1" x14ac:dyDescent="0.25">
      <c r="A31" s="200" t="s">
        <v>550</v>
      </c>
      <c r="B31" s="185" t="s">
        <v>304</v>
      </c>
      <c r="C31" s="185" t="s">
        <v>869</v>
      </c>
      <c r="D31" s="185" t="s">
        <v>676</v>
      </c>
      <c r="E31" s="185" t="s">
        <v>682</v>
      </c>
      <c r="F31" s="185" t="s">
        <v>122</v>
      </c>
      <c r="G31" s="185" t="s">
        <v>678</v>
      </c>
      <c r="H31" s="185" t="s">
        <v>416</v>
      </c>
      <c r="I31" s="193" t="s">
        <v>738</v>
      </c>
      <c r="J31" s="195">
        <v>0.91041666666666676</v>
      </c>
      <c r="K31" s="185" t="s">
        <v>15</v>
      </c>
      <c r="L31" s="185" t="s">
        <v>57</v>
      </c>
      <c r="M31" s="185" t="s">
        <v>57</v>
      </c>
      <c r="N31" s="185" t="s">
        <v>57</v>
      </c>
      <c r="O31" s="185" t="s">
        <v>693</v>
      </c>
      <c r="P31" s="185" t="s">
        <v>761</v>
      </c>
      <c r="Q31" s="185" t="s">
        <v>692</v>
      </c>
      <c r="R31" s="185" t="s">
        <v>91</v>
      </c>
      <c r="S31" s="185" t="s">
        <v>98</v>
      </c>
      <c r="T31" s="185" t="s">
        <v>697</v>
      </c>
      <c r="U31" s="185" t="s">
        <v>147</v>
      </c>
      <c r="W31" s="185" t="s">
        <v>57</v>
      </c>
      <c r="X31" s="185" t="s">
        <v>706</v>
      </c>
      <c r="Y31" s="197" t="s">
        <v>57</v>
      </c>
      <c r="Z31" s="197" t="s">
        <v>57</v>
      </c>
      <c r="AA31" s="197" t="s">
        <v>57</v>
      </c>
    </row>
    <row r="32" spans="1:31" hidden="1" x14ac:dyDescent="0.25">
      <c r="A32" s="200" t="s">
        <v>550</v>
      </c>
      <c r="B32" s="185" t="s">
        <v>304</v>
      </c>
      <c r="C32" s="185" t="s">
        <v>745</v>
      </c>
      <c r="D32" s="185" t="s">
        <v>739</v>
      </c>
      <c r="E32" s="185" t="s">
        <v>770</v>
      </c>
      <c r="F32" s="185" t="s">
        <v>42</v>
      </c>
      <c r="G32" s="185" t="s">
        <v>740</v>
      </c>
      <c r="H32" s="185" t="s">
        <v>416</v>
      </c>
      <c r="I32" s="193" t="s">
        <v>741</v>
      </c>
      <c r="J32" s="195">
        <v>0.40208333333333335</v>
      </c>
      <c r="K32" s="185" t="s">
        <v>14</v>
      </c>
      <c r="L32" s="185" t="s">
        <v>474</v>
      </c>
      <c r="M32" s="185" t="s">
        <v>763</v>
      </c>
      <c r="N32" s="185" t="s">
        <v>57</v>
      </c>
      <c r="O32" s="185" t="s">
        <v>693</v>
      </c>
      <c r="P32" s="185" t="s">
        <v>742</v>
      </c>
      <c r="Q32" s="185" t="s">
        <v>420</v>
      </c>
      <c r="R32" s="185" t="s">
        <v>49</v>
      </c>
      <c r="S32" s="185" t="s">
        <v>743</v>
      </c>
      <c r="U32" s="185" t="s">
        <v>147</v>
      </c>
      <c r="V32" s="197" t="s">
        <v>700</v>
      </c>
      <c r="W32" s="185" t="s">
        <v>825</v>
      </c>
      <c r="X32" s="185" t="s">
        <v>744</v>
      </c>
      <c r="Y32" s="197" t="s">
        <v>57</v>
      </c>
      <c r="Z32" s="197" t="s">
        <v>57</v>
      </c>
      <c r="AA32" s="197" t="s">
        <v>57</v>
      </c>
    </row>
    <row r="33" spans="1:27" hidden="1" x14ac:dyDescent="0.25">
      <c r="A33" s="200" t="s">
        <v>550</v>
      </c>
      <c r="B33" s="185" t="s">
        <v>304</v>
      </c>
      <c r="C33" s="185" t="s">
        <v>746</v>
      </c>
      <c r="D33" s="185" t="s">
        <v>492</v>
      </c>
      <c r="E33" s="185" t="s">
        <v>747</v>
      </c>
      <c r="F33" s="185" t="s">
        <v>141</v>
      </c>
      <c r="G33" s="185" t="s">
        <v>116</v>
      </c>
      <c r="H33" s="185" t="s">
        <v>416</v>
      </c>
      <c r="I33" s="193" t="s">
        <v>748</v>
      </c>
      <c r="J33" s="195">
        <v>0.9375</v>
      </c>
      <c r="K33" s="185" t="s">
        <v>15</v>
      </c>
      <c r="L33" s="185" t="s">
        <v>500</v>
      </c>
      <c r="M33" s="185" t="s">
        <v>750</v>
      </c>
      <c r="N33" s="185" t="s">
        <v>751</v>
      </c>
      <c r="O33" s="185" t="s">
        <v>12</v>
      </c>
      <c r="P33" s="185" t="s">
        <v>705</v>
      </c>
      <c r="Q33" s="185" t="s">
        <v>109</v>
      </c>
      <c r="R33" s="185" t="s">
        <v>49</v>
      </c>
      <c r="S33" s="185" t="s">
        <v>391</v>
      </c>
      <c r="T33" s="185" t="s">
        <v>752</v>
      </c>
      <c r="U33" s="185" t="s">
        <v>147</v>
      </c>
      <c r="V33" s="197" t="s">
        <v>749</v>
      </c>
      <c r="W33" s="185" t="s">
        <v>765</v>
      </c>
      <c r="X33" s="185" t="s">
        <v>764</v>
      </c>
      <c r="Y33" s="197" t="s">
        <v>57</v>
      </c>
      <c r="Z33" s="197" t="s">
        <v>57</v>
      </c>
      <c r="AA33" s="197" t="s">
        <v>57</v>
      </c>
    </row>
    <row r="34" spans="1:27" hidden="1" x14ac:dyDescent="0.25">
      <c r="A34" s="200" t="s">
        <v>550</v>
      </c>
      <c r="B34" s="185" t="s">
        <v>304</v>
      </c>
      <c r="C34" s="185" t="s">
        <v>869</v>
      </c>
      <c r="D34" s="185" t="s">
        <v>676</v>
      </c>
      <c r="E34" s="185" t="s">
        <v>682</v>
      </c>
      <c r="F34" s="185" t="s">
        <v>122</v>
      </c>
      <c r="G34" s="185" t="s">
        <v>760</v>
      </c>
      <c r="H34" s="185" t="s">
        <v>416</v>
      </c>
      <c r="I34" s="193" t="s">
        <v>748</v>
      </c>
      <c r="J34" s="195">
        <v>0.75</v>
      </c>
      <c r="K34" s="185" t="s">
        <v>15</v>
      </c>
      <c r="L34" s="185" t="s">
        <v>57</v>
      </c>
      <c r="M34" s="185" t="s">
        <v>57</v>
      </c>
      <c r="N34" s="185" t="s">
        <v>57</v>
      </c>
      <c r="O34" s="185" t="s">
        <v>693</v>
      </c>
      <c r="P34" s="185" t="s">
        <v>761</v>
      </c>
      <c r="Q34" s="185" t="s">
        <v>109</v>
      </c>
      <c r="R34" s="185" t="s">
        <v>91</v>
      </c>
      <c r="S34" s="185" t="s">
        <v>98</v>
      </c>
      <c r="T34" s="185" t="s">
        <v>697</v>
      </c>
      <c r="U34" s="185" t="s">
        <v>147</v>
      </c>
      <c r="W34" s="185" t="s">
        <v>57</v>
      </c>
      <c r="X34" s="185" t="s">
        <v>706</v>
      </c>
      <c r="Y34" s="197" t="s">
        <v>57</v>
      </c>
      <c r="Z34" s="197" t="s">
        <v>57</v>
      </c>
      <c r="AA34" s="197" t="s">
        <v>57</v>
      </c>
    </row>
    <row r="35" spans="1:27" hidden="1" x14ac:dyDescent="0.25">
      <c r="A35" s="200" t="s">
        <v>550</v>
      </c>
      <c r="B35" s="185" t="s">
        <v>304</v>
      </c>
      <c r="C35" s="185" t="s">
        <v>869</v>
      </c>
      <c r="D35" s="185" t="s">
        <v>676</v>
      </c>
      <c r="E35" s="185" t="s">
        <v>682</v>
      </c>
      <c r="F35" s="185" t="s">
        <v>122</v>
      </c>
      <c r="G35" s="185" t="s">
        <v>710</v>
      </c>
      <c r="H35" s="185" t="s">
        <v>416</v>
      </c>
      <c r="I35" s="193" t="s">
        <v>748</v>
      </c>
      <c r="J35" s="195">
        <v>0.75</v>
      </c>
      <c r="K35" s="185" t="s">
        <v>15</v>
      </c>
      <c r="L35" s="185" t="s">
        <v>57</v>
      </c>
      <c r="M35" s="185" t="s">
        <v>57</v>
      </c>
      <c r="N35" s="185" t="s">
        <v>57</v>
      </c>
      <c r="O35" s="185" t="s">
        <v>693</v>
      </c>
      <c r="P35" s="185" t="s">
        <v>762</v>
      </c>
      <c r="Q35" s="185" t="s">
        <v>109</v>
      </c>
      <c r="R35" s="185" t="s">
        <v>91</v>
      </c>
      <c r="S35" s="185" t="s">
        <v>98</v>
      </c>
      <c r="T35" s="185" t="s">
        <v>697</v>
      </c>
      <c r="U35" s="185" t="s">
        <v>147</v>
      </c>
      <c r="W35" s="185" t="s">
        <v>57</v>
      </c>
      <c r="X35" s="185" t="s">
        <v>706</v>
      </c>
      <c r="Y35" s="197" t="s">
        <v>57</v>
      </c>
      <c r="Z35" s="197" t="s">
        <v>57</v>
      </c>
      <c r="AA35" s="197" t="s">
        <v>57</v>
      </c>
    </row>
    <row r="36" spans="1:27" hidden="1" x14ac:dyDescent="0.25">
      <c r="A36" s="200" t="s">
        <v>550</v>
      </c>
      <c r="B36" s="185" t="s">
        <v>305</v>
      </c>
      <c r="C36" s="185" t="s">
        <v>769</v>
      </c>
      <c r="D36" s="185">
        <v>9923</v>
      </c>
      <c r="E36" s="185" t="s">
        <v>33</v>
      </c>
      <c r="F36" s="185" t="s">
        <v>203</v>
      </c>
      <c r="G36" s="185" t="s">
        <v>23</v>
      </c>
      <c r="H36" s="185" t="s">
        <v>585</v>
      </c>
      <c r="I36" s="193" t="s">
        <v>741</v>
      </c>
      <c r="J36" s="195">
        <v>0.45833333333333331</v>
      </c>
      <c r="K36" s="185" t="s">
        <v>14</v>
      </c>
      <c r="L36" s="185" t="s">
        <v>309</v>
      </c>
      <c r="M36" s="185" t="s">
        <v>577</v>
      </c>
      <c r="N36" s="185" t="s">
        <v>628</v>
      </c>
      <c r="O36" s="185" t="s">
        <v>53</v>
      </c>
      <c r="P36" s="185" t="s">
        <v>579</v>
      </c>
      <c r="Q36" s="185" t="s">
        <v>787</v>
      </c>
      <c r="R36" s="185" t="s">
        <v>54</v>
      </c>
      <c r="S36" s="185" t="s">
        <v>319</v>
      </c>
      <c r="T36" s="185" t="s">
        <v>348</v>
      </c>
      <c r="U36" s="185" t="s">
        <v>232</v>
      </c>
      <c r="V36" s="197" t="s">
        <v>792</v>
      </c>
      <c r="W36" s="185" t="s">
        <v>645</v>
      </c>
      <c r="X36" s="185" t="s">
        <v>370</v>
      </c>
      <c r="Y36" s="197" t="s">
        <v>842</v>
      </c>
      <c r="Z36" s="197" t="s">
        <v>843</v>
      </c>
      <c r="AA36" s="197" t="s">
        <v>831</v>
      </c>
    </row>
    <row r="37" spans="1:27" ht="26" hidden="1" x14ac:dyDescent="0.25">
      <c r="A37" s="200" t="s">
        <v>550</v>
      </c>
      <c r="B37" s="185" t="s">
        <v>305</v>
      </c>
      <c r="C37" s="185" t="s">
        <v>771</v>
      </c>
      <c r="D37" s="185">
        <v>9771</v>
      </c>
      <c r="E37" s="185" t="s">
        <v>776</v>
      </c>
      <c r="F37" s="185" t="s">
        <v>340</v>
      </c>
      <c r="G37" s="185" t="s">
        <v>83</v>
      </c>
      <c r="H37" s="185" t="s">
        <v>585</v>
      </c>
      <c r="I37" s="193">
        <v>46092</v>
      </c>
      <c r="J37" s="195">
        <v>0.38194444444444442</v>
      </c>
      <c r="K37" s="185" t="s">
        <v>14</v>
      </c>
      <c r="L37" s="185" t="s">
        <v>625</v>
      </c>
      <c r="M37" s="185" t="s">
        <v>780</v>
      </c>
      <c r="N37" s="185" t="s">
        <v>823</v>
      </c>
      <c r="O37" s="185" t="s">
        <v>53</v>
      </c>
      <c r="P37" s="185" t="s">
        <v>784</v>
      </c>
      <c r="Q37" s="185" t="s">
        <v>788</v>
      </c>
      <c r="R37" s="185" t="s">
        <v>118</v>
      </c>
      <c r="S37" s="185" t="s">
        <v>119</v>
      </c>
      <c r="T37" s="185" t="s">
        <v>822</v>
      </c>
      <c r="U37" s="185" t="s">
        <v>147</v>
      </c>
      <c r="V37" s="197" t="s">
        <v>793</v>
      </c>
      <c r="W37" s="185" t="s">
        <v>826</v>
      </c>
      <c r="X37" s="185" t="s">
        <v>72</v>
      </c>
      <c r="Y37" s="197" t="s">
        <v>835</v>
      </c>
      <c r="Z37" s="197" t="s">
        <v>836</v>
      </c>
      <c r="AA37" s="197" t="s">
        <v>837</v>
      </c>
    </row>
    <row r="38" spans="1:27" ht="26" hidden="1" x14ac:dyDescent="0.25">
      <c r="A38" s="200" t="s">
        <v>550</v>
      </c>
      <c r="B38" s="185" t="s">
        <v>305</v>
      </c>
      <c r="C38" s="185" t="s">
        <v>772</v>
      </c>
      <c r="D38" s="185">
        <v>9697</v>
      </c>
      <c r="E38" s="185" t="s">
        <v>334</v>
      </c>
      <c r="F38" s="185" t="s">
        <v>335</v>
      </c>
      <c r="G38" s="185" t="s">
        <v>778</v>
      </c>
      <c r="H38" s="185" t="s">
        <v>152</v>
      </c>
      <c r="I38" s="193">
        <v>46095</v>
      </c>
      <c r="J38" s="195">
        <v>0.33333333333333331</v>
      </c>
      <c r="K38" s="185" t="s">
        <v>15</v>
      </c>
      <c r="L38" s="185" t="s">
        <v>310</v>
      </c>
      <c r="M38" s="185" t="s">
        <v>847</v>
      </c>
      <c r="N38" s="185" t="s">
        <v>57</v>
      </c>
      <c r="O38" s="185" t="s">
        <v>1</v>
      </c>
      <c r="P38" s="185" t="s">
        <v>810</v>
      </c>
      <c r="Q38" s="185" t="s">
        <v>789</v>
      </c>
      <c r="R38" s="185" t="s">
        <v>54</v>
      </c>
      <c r="S38" s="185" t="s">
        <v>259</v>
      </c>
      <c r="T38" s="185" t="s">
        <v>322</v>
      </c>
      <c r="U38" s="185" t="s">
        <v>232</v>
      </c>
      <c r="V38" s="197" t="s">
        <v>794</v>
      </c>
      <c r="W38" s="185" t="s">
        <v>864</v>
      </c>
      <c r="X38" s="185" t="s">
        <v>378</v>
      </c>
      <c r="Y38" s="197" t="s">
        <v>832</v>
      </c>
      <c r="Z38" s="197" t="s">
        <v>833</v>
      </c>
      <c r="AA38" s="197" t="s">
        <v>831</v>
      </c>
    </row>
    <row r="39" spans="1:27" hidden="1" x14ac:dyDescent="0.25">
      <c r="A39" s="200" t="s">
        <v>550</v>
      </c>
      <c r="B39" s="185" t="s">
        <v>305</v>
      </c>
      <c r="C39" s="185" t="s">
        <v>773</v>
      </c>
      <c r="D39" s="185">
        <v>9946</v>
      </c>
      <c r="E39" s="185" t="s">
        <v>33</v>
      </c>
      <c r="F39" s="185" t="s">
        <v>86</v>
      </c>
      <c r="G39" s="185" t="s">
        <v>103</v>
      </c>
      <c r="H39" s="185" t="s">
        <v>152</v>
      </c>
      <c r="I39" s="193">
        <v>46097</v>
      </c>
      <c r="J39" s="195">
        <v>0.15625</v>
      </c>
      <c r="K39" s="185" t="s">
        <v>13</v>
      </c>
      <c r="L39" s="185" t="s">
        <v>307</v>
      </c>
      <c r="M39" s="185" t="s">
        <v>627</v>
      </c>
      <c r="N39" s="185" t="s">
        <v>781</v>
      </c>
      <c r="O39" s="185" t="s">
        <v>1</v>
      </c>
      <c r="P39" s="185" t="s">
        <v>785</v>
      </c>
      <c r="Q39" s="185" t="s">
        <v>790</v>
      </c>
      <c r="R39" s="185" t="s">
        <v>54</v>
      </c>
      <c r="S39" s="185" t="s">
        <v>320</v>
      </c>
      <c r="T39" s="185" t="s">
        <v>349</v>
      </c>
      <c r="U39" s="185" t="s">
        <v>232</v>
      </c>
      <c r="V39" s="197" t="s">
        <v>644</v>
      </c>
      <c r="W39" s="185" t="s">
        <v>827</v>
      </c>
      <c r="X39" s="185" t="s">
        <v>374</v>
      </c>
      <c r="Y39" s="197" t="s">
        <v>844</v>
      </c>
      <c r="Z39" s="197" t="s">
        <v>853</v>
      </c>
      <c r="AA39" s="197" t="s">
        <v>831</v>
      </c>
    </row>
    <row r="40" spans="1:27" hidden="1" x14ac:dyDescent="0.25">
      <c r="A40" s="200" t="s">
        <v>550</v>
      </c>
      <c r="B40" s="185" t="s">
        <v>305</v>
      </c>
      <c r="C40" s="185" t="s">
        <v>774</v>
      </c>
      <c r="D40" s="185">
        <v>1930</v>
      </c>
      <c r="E40" s="185" t="s">
        <v>777</v>
      </c>
      <c r="F40" s="185" t="s">
        <v>203</v>
      </c>
      <c r="G40" s="185" t="s">
        <v>356</v>
      </c>
      <c r="H40" s="185" t="s">
        <v>416</v>
      </c>
      <c r="I40" s="193">
        <v>46098</v>
      </c>
      <c r="J40" s="195">
        <v>0.5625</v>
      </c>
      <c r="K40" s="185" t="s">
        <v>14</v>
      </c>
      <c r="L40" s="185" t="s">
        <v>589</v>
      </c>
      <c r="M40" s="185" t="s">
        <v>782</v>
      </c>
      <c r="N40" s="185" t="s">
        <v>821</v>
      </c>
      <c r="O40" s="185" t="s">
        <v>53</v>
      </c>
      <c r="P40" s="185" t="s">
        <v>811</v>
      </c>
      <c r="Q40" s="185" t="s">
        <v>791</v>
      </c>
      <c r="R40" s="185" t="s">
        <v>54</v>
      </c>
      <c r="S40" s="185" t="s">
        <v>79</v>
      </c>
      <c r="T40" s="185" t="s">
        <v>505</v>
      </c>
      <c r="U40" s="185" t="s">
        <v>147</v>
      </c>
      <c r="V40" s="197" t="s">
        <v>795</v>
      </c>
      <c r="W40" s="185" t="s">
        <v>828</v>
      </c>
      <c r="X40" s="185" t="s">
        <v>380</v>
      </c>
      <c r="Y40" s="197" t="s">
        <v>840</v>
      </c>
      <c r="Z40" s="197" t="s">
        <v>841</v>
      </c>
      <c r="AA40" s="197" t="s">
        <v>831</v>
      </c>
    </row>
    <row r="41" spans="1:27" ht="26" hidden="1" x14ac:dyDescent="0.25">
      <c r="A41" s="200" t="s">
        <v>550</v>
      </c>
      <c r="B41" s="185" t="s">
        <v>305</v>
      </c>
      <c r="C41" s="185" t="s">
        <v>775</v>
      </c>
      <c r="D41" s="185">
        <v>8489</v>
      </c>
      <c r="E41" s="185" t="s">
        <v>33</v>
      </c>
      <c r="F41" s="185" t="s">
        <v>338</v>
      </c>
      <c r="G41" s="185" t="s">
        <v>779</v>
      </c>
      <c r="H41" s="185" t="s">
        <v>416</v>
      </c>
      <c r="I41" s="193">
        <v>46099</v>
      </c>
      <c r="J41" s="195">
        <v>0.27916666666666667</v>
      </c>
      <c r="K41" s="185" t="s">
        <v>13</v>
      </c>
      <c r="L41" s="185" t="s">
        <v>309</v>
      </c>
      <c r="M41" s="185" t="s">
        <v>577</v>
      </c>
      <c r="N41" s="185" t="s">
        <v>783</v>
      </c>
      <c r="O41" s="185" t="s">
        <v>1</v>
      </c>
      <c r="P41" s="185" t="s">
        <v>786</v>
      </c>
      <c r="Q41" s="185" t="s">
        <v>788</v>
      </c>
      <c r="R41" s="185" t="s">
        <v>54</v>
      </c>
      <c r="S41" s="185" t="s">
        <v>319</v>
      </c>
      <c r="T41" s="185" t="s">
        <v>348</v>
      </c>
      <c r="U41" s="185" t="s">
        <v>232</v>
      </c>
      <c r="V41" s="197" t="s">
        <v>796</v>
      </c>
      <c r="W41" s="185" t="s">
        <v>829</v>
      </c>
      <c r="X41" s="185" t="s">
        <v>370</v>
      </c>
      <c r="Y41" s="197" t="s">
        <v>838</v>
      </c>
      <c r="Z41" s="197" t="s">
        <v>839</v>
      </c>
      <c r="AA41" s="197" t="s">
        <v>831</v>
      </c>
    </row>
    <row r="42" spans="1:27" ht="26" hidden="1" x14ac:dyDescent="0.25">
      <c r="A42" s="200" t="s">
        <v>550</v>
      </c>
      <c r="B42" s="185" t="s">
        <v>304</v>
      </c>
      <c r="C42" s="185" t="s">
        <v>812</v>
      </c>
      <c r="D42" s="185">
        <v>4127</v>
      </c>
      <c r="E42" s="185" t="s">
        <v>813</v>
      </c>
      <c r="F42" s="185" t="s">
        <v>337</v>
      </c>
      <c r="G42" s="185" t="s">
        <v>816</v>
      </c>
      <c r="H42" s="185" t="s">
        <v>416</v>
      </c>
      <c r="I42" s="193">
        <v>46099</v>
      </c>
      <c r="J42" s="195">
        <v>0.35416666666666669</v>
      </c>
      <c r="K42" s="185" t="s">
        <v>14</v>
      </c>
      <c r="L42" s="197" t="s">
        <v>817</v>
      </c>
      <c r="M42" s="185" t="s">
        <v>818</v>
      </c>
      <c r="N42" s="185" t="s">
        <v>57</v>
      </c>
      <c r="O42" s="185" t="s">
        <v>1</v>
      </c>
      <c r="P42" s="185" t="s">
        <v>819</v>
      </c>
      <c r="Q42" s="185" t="s">
        <v>692</v>
      </c>
      <c r="R42" s="185" t="s">
        <v>163</v>
      </c>
      <c r="S42" s="185" t="s">
        <v>389</v>
      </c>
      <c r="U42" s="185" t="s">
        <v>147</v>
      </c>
      <c r="V42" s="197" t="s">
        <v>820</v>
      </c>
      <c r="W42" s="185" t="s">
        <v>863</v>
      </c>
      <c r="X42" s="185" t="s">
        <v>390</v>
      </c>
      <c r="Y42" s="197" t="s">
        <v>830</v>
      </c>
      <c r="Z42" s="197" t="s">
        <v>834</v>
      </c>
      <c r="AA42" s="197" t="s">
        <v>831</v>
      </c>
    </row>
    <row r="43" spans="1:27" hidden="1" x14ac:dyDescent="0.25">
      <c r="A43" s="200" t="s">
        <v>550</v>
      </c>
      <c r="B43" s="185" t="s">
        <v>304</v>
      </c>
      <c r="C43" s="185" t="s">
        <v>849</v>
      </c>
      <c r="D43" s="185">
        <v>207</v>
      </c>
      <c r="E43" s="185" t="s">
        <v>850</v>
      </c>
      <c r="F43" s="185" t="s">
        <v>335</v>
      </c>
      <c r="G43" s="185" t="s">
        <v>856</v>
      </c>
      <c r="H43" s="185" t="s">
        <v>416</v>
      </c>
      <c r="I43" s="193" t="s">
        <v>851</v>
      </c>
      <c r="J43" s="195">
        <v>0.36458333333333331</v>
      </c>
      <c r="K43" s="185" t="s">
        <v>14</v>
      </c>
      <c r="L43" s="185" t="s">
        <v>852</v>
      </c>
      <c r="M43" s="185" t="s">
        <v>855</v>
      </c>
      <c r="N43" s="185" t="s">
        <v>57</v>
      </c>
      <c r="O43" s="185" t="s">
        <v>0</v>
      </c>
      <c r="P43" s="185" t="s">
        <v>857</v>
      </c>
      <c r="Q43" s="185" t="s">
        <v>420</v>
      </c>
      <c r="R43" s="185" t="s">
        <v>49</v>
      </c>
      <c r="S43" s="185" t="s">
        <v>125</v>
      </c>
      <c r="T43" s="185" t="s">
        <v>858</v>
      </c>
      <c r="U43" s="185" t="s">
        <v>147</v>
      </c>
      <c r="W43" s="185" t="s">
        <v>859</v>
      </c>
      <c r="X43" s="185" t="s">
        <v>75</v>
      </c>
      <c r="Y43" s="197" t="s">
        <v>57</v>
      </c>
      <c r="Z43" s="197" t="s">
        <v>57</v>
      </c>
      <c r="AA43" s="197" t="s">
        <v>57</v>
      </c>
    </row>
    <row r="44" spans="1:27" hidden="1" x14ac:dyDescent="0.25">
      <c r="A44" s="200" t="s">
        <v>550</v>
      </c>
      <c r="B44" s="185" t="s">
        <v>304</v>
      </c>
      <c r="C44" s="185" t="s">
        <v>854</v>
      </c>
      <c r="D44" s="185">
        <v>3618</v>
      </c>
      <c r="E44" s="185" t="s">
        <v>130</v>
      </c>
      <c r="F44" s="185" t="s">
        <v>335</v>
      </c>
      <c r="G44" s="185" t="s">
        <v>856</v>
      </c>
      <c r="H44" s="185" t="s">
        <v>416</v>
      </c>
      <c r="I44" s="193" t="s">
        <v>851</v>
      </c>
      <c r="J44" s="195">
        <v>0.36458333333333331</v>
      </c>
      <c r="K44" s="185" t="s">
        <v>14</v>
      </c>
      <c r="L44" s="185" t="s">
        <v>852</v>
      </c>
      <c r="M44" s="185" t="s">
        <v>855</v>
      </c>
      <c r="N44" s="185" t="s">
        <v>860</v>
      </c>
      <c r="O44" s="185" t="s">
        <v>0</v>
      </c>
      <c r="P44" s="185" t="s">
        <v>857</v>
      </c>
      <c r="Q44" s="185" t="s">
        <v>420</v>
      </c>
      <c r="R44" s="185" t="s">
        <v>49</v>
      </c>
      <c r="S44" s="185" t="s">
        <v>743</v>
      </c>
      <c r="T44" s="185" t="s">
        <v>858</v>
      </c>
      <c r="U44" s="185" t="s">
        <v>147</v>
      </c>
      <c r="W44" s="185" t="s">
        <v>862</v>
      </c>
      <c r="X44" s="185" t="s">
        <v>744</v>
      </c>
      <c r="Y44" s="197" t="s">
        <v>57</v>
      </c>
      <c r="Z44" s="197" t="s">
        <v>57</v>
      </c>
      <c r="AA44" s="197" t="s">
        <v>57</v>
      </c>
    </row>
    <row r="45" spans="1:27" hidden="1" x14ac:dyDescent="0.25">
      <c r="A45" s="200" t="s">
        <v>550</v>
      </c>
      <c r="B45" s="185" t="s">
        <v>304</v>
      </c>
      <c r="C45" s="185" t="s">
        <v>869</v>
      </c>
      <c r="D45" s="185" t="s">
        <v>676</v>
      </c>
      <c r="E45" s="185" t="s">
        <v>682</v>
      </c>
      <c r="F45" s="185" t="s">
        <v>122</v>
      </c>
      <c r="G45" s="185" t="s">
        <v>876</v>
      </c>
      <c r="H45" s="185" t="s">
        <v>416</v>
      </c>
      <c r="I45" s="193" t="s">
        <v>861</v>
      </c>
      <c r="J45" s="195">
        <v>0.75</v>
      </c>
      <c r="K45" s="185" t="s">
        <v>15</v>
      </c>
      <c r="L45" s="185" t="s">
        <v>57</v>
      </c>
      <c r="M45" s="185" t="s">
        <v>57</v>
      </c>
      <c r="N45" s="185" t="s">
        <v>57</v>
      </c>
      <c r="O45" s="185" t="s">
        <v>693</v>
      </c>
      <c r="P45" s="185" t="s">
        <v>705</v>
      </c>
      <c r="Q45" s="185" t="s">
        <v>692</v>
      </c>
      <c r="R45" s="185" t="s">
        <v>91</v>
      </c>
      <c r="S45" s="185" t="s">
        <v>98</v>
      </c>
      <c r="T45" s="185" t="s">
        <v>697</v>
      </c>
      <c r="U45" s="185" t="s">
        <v>147</v>
      </c>
      <c r="W45" s="185" t="s">
        <v>57</v>
      </c>
      <c r="X45" s="185" t="s">
        <v>706</v>
      </c>
      <c r="Y45" s="197" t="s">
        <v>57</v>
      </c>
      <c r="Z45" s="197" t="s">
        <v>57</v>
      </c>
      <c r="AA45" s="197" t="s">
        <v>57</v>
      </c>
    </row>
    <row r="46" spans="1:27" hidden="1" x14ac:dyDescent="0.25">
      <c r="A46" s="200" t="s">
        <v>550</v>
      </c>
      <c r="B46" s="185" t="s">
        <v>304</v>
      </c>
      <c r="C46" s="185" t="s">
        <v>869</v>
      </c>
      <c r="D46" s="185" t="s">
        <v>676</v>
      </c>
      <c r="E46" s="185" t="s">
        <v>682</v>
      </c>
      <c r="F46" s="185" t="s">
        <v>122</v>
      </c>
      <c r="G46" s="185" t="s">
        <v>898</v>
      </c>
      <c r="H46" s="185" t="s">
        <v>416</v>
      </c>
      <c r="I46" s="193" t="s">
        <v>861</v>
      </c>
      <c r="J46" s="195">
        <v>0.75</v>
      </c>
      <c r="K46" s="185" t="s">
        <v>15</v>
      </c>
      <c r="L46" s="185" t="s">
        <v>57</v>
      </c>
      <c r="M46" s="185" t="s">
        <v>57</v>
      </c>
      <c r="N46" s="185" t="s">
        <v>57</v>
      </c>
      <c r="O46" s="185" t="s">
        <v>693</v>
      </c>
      <c r="P46" s="185" t="s">
        <v>705</v>
      </c>
      <c r="Q46" s="185" t="s">
        <v>692</v>
      </c>
      <c r="R46" s="185" t="s">
        <v>91</v>
      </c>
      <c r="S46" s="185" t="s">
        <v>98</v>
      </c>
      <c r="T46" s="185" t="s">
        <v>697</v>
      </c>
      <c r="U46" s="185" t="s">
        <v>147</v>
      </c>
      <c r="W46" s="185" t="s">
        <v>57</v>
      </c>
      <c r="X46" s="185" t="s">
        <v>706</v>
      </c>
      <c r="Y46" s="197" t="s">
        <v>57</v>
      </c>
      <c r="Z46" s="197" t="s">
        <v>57</v>
      </c>
      <c r="AA46" s="197" t="s">
        <v>57</v>
      </c>
    </row>
    <row r="47" spans="1:27" hidden="1" x14ac:dyDescent="0.25">
      <c r="A47" s="200" t="s">
        <v>550</v>
      </c>
      <c r="B47" s="185" t="s">
        <v>304</v>
      </c>
      <c r="C47" s="185" t="s">
        <v>869</v>
      </c>
      <c r="D47" s="185" t="s">
        <v>676</v>
      </c>
      <c r="E47" s="185" t="s">
        <v>682</v>
      </c>
      <c r="F47" s="185" t="s">
        <v>122</v>
      </c>
      <c r="G47" s="185" t="s">
        <v>877</v>
      </c>
      <c r="H47" s="185" t="s">
        <v>416</v>
      </c>
      <c r="I47" s="193" t="s">
        <v>861</v>
      </c>
      <c r="J47" s="195">
        <v>0.75</v>
      </c>
      <c r="K47" s="185" t="s">
        <v>15</v>
      </c>
      <c r="L47" s="185" t="s">
        <v>57</v>
      </c>
      <c r="M47" s="185" t="s">
        <v>57</v>
      </c>
      <c r="N47" s="185" t="s">
        <v>57</v>
      </c>
      <c r="O47" s="185" t="s">
        <v>693</v>
      </c>
      <c r="P47" s="185" t="s">
        <v>705</v>
      </c>
      <c r="Q47" s="185" t="s">
        <v>692</v>
      </c>
      <c r="R47" s="185" t="s">
        <v>91</v>
      </c>
      <c r="S47" s="185" t="s">
        <v>98</v>
      </c>
      <c r="T47" s="185" t="s">
        <v>697</v>
      </c>
      <c r="U47" s="185" t="s">
        <v>147</v>
      </c>
      <c r="W47" s="185" t="s">
        <v>57</v>
      </c>
      <c r="X47" s="185" t="s">
        <v>706</v>
      </c>
      <c r="Y47" s="197" t="s">
        <v>57</v>
      </c>
      <c r="Z47" s="197" t="s">
        <v>57</v>
      </c>
      <c r="AA47" s="197" t="s">
        <v>57</v>
      </c>
    </row>
    <row r="48" spans="1:27" ht="39" hidden="1" x14ac:dyDescent="0.25">
      <c r="A48" s="200" t="s">
        <v>550</v>
      </c>
      <c r="B48" s="185" t="s">
        <v>305</v>
      </c>
      <c r="C48" s="185" t="s">
        <v>871</v>
      </c>
      <c r="D48" s="185">
        <v>7849</v>
      </c>
      <c r="E48" s="185" t="s">
        <v>776</v>
      </c>
      <c r="F48" s="185" t="s">
        <v>203</v>
      </c>
      <c r="G48" s="185" t="s">
        <v>83</v>
      </c>
      <c r="H48" s="185" t="s">
        <v>872</v>
      </c>
      <c r="I48" s="193" t="s">
        <v>870</v>
      </c>
      <c r="J48" s="195">
        <v>0.40277777777777773</v>
      </c>
      <c r="K48" s="185" t="s">
        <v>14</v>
      </c>
      <c r="L48" s="185" t="s">
        <v>625</v>
      </c>
      <c r="M48" s="185" t="s">
        <v>780</v>
      </c>
      <c r="N48" s="185" t="s">
        <v>823</v>
      </c>
      <c r="O48" s="185" t="s">
        <v>53</v>
      </c>
      <c r="P48" s="185" t="s">
        <v>873</v>
      </c>
      <c r="Q48" s="185" t="s">
        <v>874</v>
      </c>
      <c r="R48" s="185" t="s">
        <v>118</v>
      </c>
      <c r="S48" s="185" t="s">
        <v>119</v>
      </c>
      <c r="T48" s="185" t="s">
        <v>822</v>
      </c>
      <c r="U48" s="185" t="s">
        <v>147</v>
      </c>
      <c r="V48" s="197" t="s">
        <v>875</v>
      </c>
      <c r="W48" s="185" t="s">
        <v>826</v>
      </c>
      <c r="X48" s="185" t="s">
        <v>72</v>
      </c>
      <c r="Y48" s="197" t="s">
        <v>886</v>
      </c>
      <c r="Z48" s="197" t="s">
        <v>887</v>
      </c>
      <c r="AA48" s="197" t="s">
        <v>888</v>
      </c>
    </row>
    <row r="49" spans="1:31" ht="26" hidden="1" x14ac:dyDescent="0.25">
      <c r="A49" s="200" t="s">
        <v>550</v>
      </c>
      <c r="B49" s="185" t="s">
        <v>304</v>
      </c>
      <c r="C49" s="185" t="s">
        <v>869</v>
      </c>
      <c r="D49" s="185" t="s">
        <v>676</v>
      </c>
      <c r="E49" s="185" t="s">
        <v>682</v>
      </c>
      <c r="F49" s="185" t="s">
        <v>122</v>
      </c>
      <c r="G49" s="185" t="s">
        <v>877</v>
      </c>
      <c r="H49" s="185" t="s">
        <v>416</v>
      </c>
      <c r="I49" s="193" t="s">
        <v>882</v>
      </c>
      <c r="J49" s="195">
        <v>0.57638888888888895</v>
      </c>
      <c r="K49" s="185" t="s">
        <v>14</v>
      </c>
      <c r="L49" s="185" t="s">
        <v>57</v>
      </c>
      <c r="M49" s="185" t="s">
        <v>57</v>
      </c>
      <c r="N49" s="185" t="s">
        <v>57</v>
      </c>
      <c r="O49" s="185" t="s">
        <v>693</v>
      </c>
      <c r="P49" s="185" t="s">
        <v>705</v>
      </c>
      <c r="Q49" s="185" t="s">
        <v>878</v>
      </c>
      <c r="R49" s="185" t="s">
        <v>91</v>
      </c>
      <c r="S49" s="185" t="s">
        <v>98</v>
      </c>
      <c r="T49" s="185" t="s">
        <v>697</v>
      </c>
      <c r="U49" s="185" t="s">
        <v>147</v>
      </c>
      <c r="V49" s="197" t="s">
        <v>906</v>
      </c>
      <c r="W49" s="185" t="s">
        <v>57</v>
      </c>
      <c r="X49" s="185" t="s">
        <v>706</v>
      </c>
      <c r="Y49" s="197" t="s">
        <v>57</v>
      </c>
      <c r="Z49" s="197" t="s">
        <v>57</v>
      </c>
      <c r="AA49" s="197" t="s">
        <v>57</v>
      </c>
    </row>
    <row r="50" spans="1:31" ht="26" hidden="1" x14ac:dyDescent="0.25">
      <c r="A50" s="200" t="s">
        <v>550</v>
      </c>
      <c r="B50" s="185" t="s">
        <v>304</v>
      </c>
      <c r="C50" s="185" t="s">
        <v>869</v>
      </c>
      <c r="D50" s="185" t="s">
        <v>676</v>
      </c>
      <c r="E50" s="185" t="s">
        <v>682</v>
      </c>
      <c r="F50" s="185" t="s">
        <v>122</v>
      </c>
      <c r="G50" s="185" t="s">
        <v>877</v>
      </c>
      <c r="H50" s="185" t="s">
        <v>416</v>
      </c>
      <c r="I50" s="193" t="s">
        <v>905</v>
      </c>
      <c r="J50" s="195">
        <v>0.56874999999999998</v>
      </c>
      <c r="K50" s="185" t="s">
        <v>14</v>
      </c>
      <c r="L50" s="185" t="s">
        <v>57</v>
      </c>
      <c r="M50" s="185" t="s">
        <v>57</v>
      </c>
      <c r="N50" s="185" t="s">
        <v>57</v>
      </c>
      <c r="O50" s="185" t="s">
        <v>693</v>
      </c>
      <c r="P50" s="185" t="s">
        <v>705</v>
      </c>
      <c r="Q50" s="185" t="s">
        <v>692</v>
      </c>
      <c r="R50" s="185" t="s">
        <v>91</v>
      </c>
      <c r="S50" s="185" t="s">
        <v>98</v>
      </c>
      <c r="T50" s="185" t="s">
        <v>697</v>
      </c>
      <c r="U50" s="185" t="s">
        <v>147</v>
      </c>
      <c r="V50" s="197" t="s">
        <v>906</v>
      </c>
      <c r="W50" s="185" t="s">
        <v>57</v>
      </c>
      <c r="X50" s="185" t="s">
        <v>706</v>
      </c>
      <c r="Y50" s="197" t="s">
        <v>57</v>
      </c>
      <c r="Z50" s="197" t="s">
        <v>57</v>
      </c>
      <c r="AA50" s="197" t="s">
        <v>57</v>
      </c>
    </row>
    <row r="51" spans="1:31" hidden="1" x14ac:dyDescent="0.25">
      <c r="A51" s="200" t="s">
        <v>550</v>
      </c>
      <c r="B51" s="185" t="s">
        <v>304</v>
      </c>
      <c r="C51" s="185" t="s">
        <v>869</v>
      </c>
      <c r="D51" s="185" t="s">
        <v>676</v>
      </c>
      <c r="E51" s="185" t="s">
        <v>682</v>
      </c>
      <c r="F51" s="185" t="s">
        <v>122</v>
      </c>
      <c r="G51" s="185" t="s">
        <v>895</v>
      </c>
      <c r="H51" s="185" t="s">
        <v>416</v>
      </c>
      <c r="I51" s="193" t="s">
        <v>883</v>
      </c>
      <c r="J51" s="195">
        <v>0.40972222222222227</v>
      </c>
      <c r="K51" s="185" t="s">
        <v>14</v>
      </c>
      <c r="L51" s="185" t="s">
        <v>57</v>
      </c>
      <c r="M51" s="185" t="s">
        <v>57</v>
      </c>
      <c r="N51" s="185" t="s">
        <v>57</v>
      </c>
      <c r="O51" s="185" t="s">
        <v>693</v>
      </c>
      <c r="P51" s="185" t="s">
        <v>919</v>
      </c>
      <c r="Q51" s="185" t="s">
        <v>465</v>
      </c>
      <c r="R51" s="185" t="s">
        <v>91</v>
      </c>
      <c r="S51" s="185" t="s">
        <v>98</v>
      </c>
      <c r="T51" s="185" t="s">
        <v>697</v>
      </c>
      <c r="U51" s="185" t="s">
        <v>147</v>
      </c>
      <c r="V51" s="197" t="s">
        <v>913</v>
      </c>
      <c r="W51" s="185" t="s">
        <v>57</v>
      </c>
      <c r="X51" s="185" t="s">
        <v>706</v>
      </c>
      <c r="Y51" s="197" t="s">
        <v>57</v>
      </c>
      <c r="Z51" s="197" t="s">
        <v>57</v>
      </c>
      <c r="AA51" s="197" t="s">
        <v>57</v>
      </c>
    </row>
    <row r="52" spans="1:31" s="368" customFormat="1" ht="52" hidden="1" x14ac:dyDescent="0.25">
      <c r="A52" s="367" t="s">
        <v>550</v>
      </c>
      <c r="B52" s="368" t="s">
        <v>304</v>
      </c>
      <c r="C52" s="368" t="s">
        <v>880</v>
      </c>
      <c r="D52" s="368">
        <v>8500</v>
      </c>
      <c r="E52" s="368" t="s">
        <v>881</v>
      </c>
      <c r="F52" s="368" t="s">
        <v>24</v>
      </c>
      <c r="G52" s="368" t="s">
        <v>449</v>
      </c>
      <c r="H52" s="368" t="s">
        <v>416</v>
      </c>
      <c r="I52" s="369" t="s">
        <v>883</v>
      </c>
      <c r="J52" s="370">
        <v>0.45833333333333331</v>
      </c>
      <c r="K52" s="368" t="s">
        <v>14</v>
      </c>
      <c r="L52" s="368" t="s">
        <v>474</v>
      </c>
      <c r="M52" s="368" t="s">
        <v>57</v>
      </c>
      <c r="N52" s="368" t="s">
        <v>473</v>
      </c>
      <c r="O52" s="368" t="s">
        <v>3</v>
      </c>
      <c r="P52" s="368" t="s">
        <v>884</v>
      </c>
      <c r="Q52" s="368" t="s">
        <v>885</v>
      </c>
      <c r="R52" s="368" t="s">
        <v>112</v>
      </c>
      <c r="S52" s="368" t="s">
        <v>139</v>
      </c>
      <c r="T52" s="368" t="s">
        <v>453</v>
      </c>
      <c r="U52" s="368" t="s">
        <v>147</v>
      </c>
      <c r="V52" s="371"/>
      <c r="W52" s="368" t="s">
        <v>889</v>
      </c>
      <c r="X52" s="368" t="s">
        <v>479</v>
      </c>
      <c r="Y52" s="371" t="s">
        <v>890</v>
      </c>
      <c r="Z52" s="371" t="s">
        <v>834</v>
      </c>
      <c r="AA52" s="371" t="s">
        <v>899</v>
      </c>
      <c r="AB52" s="371"/>
      <c r="AC52" s="371"/>
      <c r="AD52" s="371"/>
      <c r="AE52" s="371"/>
    </row>
    <row r="53" spans="1:31" hidden="1" x14ac:dyDescent="0.25">
      <c r="A53" s="200" t="s">
        <v>550</v>
      </c>
      <c r="B53" s="185" t="s">
        <v>304</v>
      </c>
      <c r="C53" s="185" t="s">
        <v>869</v>
      </c>
      <c r="D53" s="185" t="s">
        <v>676</v>
      </c>
      <c r="E53" s="185" t="s">
        <v>682</v>
      </c>
      <c r="F53" s="185" t="s">
        <v>122</v>
      </c>
      <c r="G53" s="185" t="s">
        <v>915</v>
      </c>
      <c r="H53" s="185" t="s">
        <v>416</v>
      </c>
      <c r="I53" s="193" t="s">
        <v>912</v>
      </c>
      <c r="J53" s="195">
        <v>0.62986111111111109</v>
      </c>
      <c r="K53" s="185" t="s">
        <v>14</v>
      </c>
      <c r="L53" s="185" t="s">
        <v>57</v>
      </c>
      <c r="M53" s="185" t="s">
        <v>57</v>
      </c>
      <c r="N53" s="185" t="s">
        <v>57</v>
      </c>
      <c r="O53" s="185" t="s">
        <v>693</v>
      </c>
      <c r="P53" s="185" t="s">
        <v>705</v>
      </c>
      <c r="Q53" s="185" t="s">
        <v>465</v>
      </c>
      <c r="R53" s="185" t="s">
        <v>91</v>
      </c>
      <c r="S53" s="185" t="s">
        <v>98</v>
      </c>
      <c r="T53" s="185" t="s">
        <v>697</v>
      </c>
      <c r="U53" s="185" t="s">
        <v>147</v>
      </c>
      <c r="V53" s="197" t="s">
        <v>914</v>
      </c>
      <c r="W53" s="185" t="s">
        <v>57</v>
      </c>
      <c r="X53" s="185" t="s">
        <v>706</v>
      </c>
      <c r="Y53" s="197" t="s">
        <v>57</v>
      </c>
      <c r="Z53" s="197" t="s">
        <v>57</v>
      </c>
      <c r="AA53" s="197" t="s">
        <v>57</v>
      </c>
    </row>
    <row r="54" spans="1:31" hidden="1" x14ac:dyDescent="0.25">
      <c r="A54" s="200" t="s">
        <v>550</v>
      </c>
      <c r="B54" s="185" t="s">
        <v>304</v>
      </c>
      <c r="C54" s="185" t="s">
        <v>869</v>
      </c>
      <c r="D54" s="185" t="s">
        <v>676</v>
      </c>
      <c r="E54" s="185" t="s">
        <v>682</v>
      </c>
      <c r="F54" s="185" t="s">
        <v>122</v>
      </c>
      <c r="G54" s="185" t="s">
        <v>1185</v>
      </c>
      <c r="H54" s="185" t="s">
        <v>416</v>
      </c>
      <c r="I54" s="193" t="s">
        <v>912</v>
      </c>
      <c r="J54" s="195">
        <v>0.73749999999999993</v>
      </c>
      <c r="K54" s="185" t="s">
        <v>15</v>
      </c>
      <c r="L54" s="185" t="s">
        <v>57</v>
      </c>
      <c r="M54" s="185" t="s">
        <v>57</v>
      </c>
      <c r="N54" s="185" t="s">
        <v>57</v>
      </c>
      <c r="O54" s="185" t="s">
        <v>693</v>
      </c>
      <c r="P54" s="185" t="s">
        <v>705</v>
      </c>
      <c r="Q54" s="185" t="s">
        <v>465</v>
      </c>
      <c r="R54" s="185" t="s">
        <v>91</v>
      </c>
      <c r="S54" s="185" t="s">
        <v>98</v>
      </c>
      <c r="T54" s="185" t="s">
        <v>697</v>
      </c>
      <c r="U54" s="185" t="s">
        <v>147</v>
      </c>
      <c r="V54" s="197" t="s">
        <v>1186</v>
      </c>
      <c r="W54" s="185" t="s">
        <v>57</v>
      </c>
      <c r="X54" s="185" t="s">
        <v>706</v>
      </c>
      <c r="Y54" s="197" t="s">
        <v>57</v>
      </c>
      <c r="Z54" s="197" t="s">
        <v>57</v>
      </c>
      <c r="AA54" s="197" t="s">
        <v>57</v>
      </c>
    </row>
    <row r="55" spans="1:31" ht="26" hidden="1" x14ac:dyDescent="0.25">
      <c r="A55" s="200" t="s">
        <v>551</v>
      </c>
      <c r="B55" s="185" t="s">
        <v>304</v>
      </c>
      <c r="C55" s="185" t="s">
        <v>869</v>
      </c>
      <c r="D55" s="185" t="s">
        <v>676</v>
      </c>
      <c r="E55" s="185" t="s">
        <v>682</v>
      </c>
      <c r="F55" s="185" t="s">
        <v>122</v>
      </c>
      <c r="G55" s="185" t="s">
        <v>678</v>
      </c>
      <c r="H55" s="185" t="s">
        <v>416</v>
      </c>
      <c r="I55" s="193" t="s">
        <v>1394</v>
      </c>
      <c r="J55" s="195">
        <v>0.88888888888888884</v>
      </c>
      <c r="K55" s="185" t="s">
        <v>15</v>
      </c>
      <c r="L55" s="185" t="s">
        <v>57</v>
      </c>
      <c r="M55" s="185" t="s">
        <v>57</v>
      </c>
      <c r="N55" s="185" t="s">
        <v>57</v>
      </c>
      <c r="O55" s="185" t="s">
        <v>693</v>
      </c>
      <c r="P55" s="185" t="s">
        <v>705</v>
      </c>
      <c r="Q55" s="185" t="s">
        <v>57</v>
      </c>
      <c r="R55" s="185" t="s">
        <v>91</v>
      </c>
      <c r="S55" s="185" t="s">
        <v>98</v>
      </c>
      <c r="T55" s="185" t="s">
        <v>697</v>
      </c>
      <c r="U55" s="185" t="s">
        <v>147</v>
      </c>
      <c r="V55" s="197" t="s">
        <v>1395</v>
      </c>
      <c r="W55" s="185" t="s">
        <v>57</v>
      </c>
      <c r="X55" s="185" t="s">
        <v>706</v>
      </c>
      <c r="Y55" s="197" t="s">
        <v>57</v>
      </c>
      <c r="Z55" s="197" t="s">
        <v>57</v>
      </c>
      <c r="AA55" s="197" t="s">
        <v>57</v>
      </c>
    </row>
    <row r="56" spans="1:31" hidden="1" x14ac:dyDescent="0.25">
      <c r="A56" s="200" t="s">
        <v>551</v>
      </c>
      <c r="B56" s="185" t="s">
        <v>304</v>
      </c>
      <c r="C56" s="185" t="s">
        <v>869</v>
      </c>
      <c r="D56" s="185" t="s">
        <v>676</v>
      </c>
      <c r="E56" s="185" t="s">
        <v>682</v>
      </c>
      <c r="F56" s="185" t="s">
        <v>122</v>
      </c>
      <c r="G56" s="185" t="s">
        <v>678</v>
      </c>
      <c r="H56" s="185" t="s">
        <v>416</v>
      </c>
      <c r="I56" s="193" t="s">
        <v>1397</v>
      </c>
      <c r="J56" s="195">
        <v>0.5229166666666667</v>
      </c>
      <c r="K56" s="185" t="s">
        <v>14</v>
      </c>
      <c r="L56" s="185" t="s">
        <v>57</v>
      </c>
      <c r="M56" s="185" t="s">
        <v>57</v>
      </c>
      <c r="N56" s="185" t="s">
        <v>57</v>
      </c>
      <c r="O56" s="185" t="s">
        <v>693</v>
      </c>
      <c r="P56" s="185" t="s">
        <v>705</v>
      </c>
      <c r="Q56" s="185" t="s">
        <v>109</v>
      </c>
      <c r="R56" s="185" t="s">
        <v>91</v>
      </c>
      <c r="S56" s="185" t="s">
        <v>98</v>
      </c>
      <c r="T56" s="185" t="s">
        <v>697</v>
      </c>
      <c r="U56" s="185" t="s">
        <v>147</v>
      </c>
      <c r="V56" s="197" t="s">
        <v>1398</v>
      </c>
      <c r="W56" s="185" t="s">
        <v>57</v>
      </c>
      <c r="X56" s="185" t="s">
        <v>706</v>
      </c>
      <c r="Y56" s="197" t="s">
        <v>57</v>
      </c>
      <c r="Z56" s="197" t="s">
        <v>57</v>
      </c>
      <c r="AA56" s="197" t="s">
        <v>57</v>
      </c>
    </row>
    <row r="57" spans="1:31" ht="26" hidden="1" x14ac:dyDescent="0.25">
      <c r="A57" s="200" t="s">
        <v>551</v>
      </c>
      <c r="B57" s="185" t="s">
        <v>304</v>
      </c>
      <c r="C57" s="185" t="s">
        <v>869</v>
      </c>
      <c r="D57" s="185" t="s">
        <v>676</v>
      </c>
      <c r="E57" s="185" t="s">
        <v>682</v>
      </c>
      <c r="F57" s="185" t="s">
        <v>122</v>
      </c>
      <c r="G57" s="185" t="s">
        <v>915</v>
      </c>
      <c r="H57" s="185" t="s">
        <v>416</v>
      </c>
      <c r="I57" s="193" t="s">
        <v>1401</v>
      </c>
      <c r="J57" s="195">
        <v>0.39652777777777781</v>
      </c>
      <c r="K57" s="185" t="s">
        <v>14</v>
      </c>
      <c r="L57" s="185" t="s">
        <v>57</v>
      </c>
      <c r="M57" s="185" t="s">
        <v>57</v>
      </c>
      <c r="N57" s="185" t="s">
        <v>57</v>
      </c>
      <c r="O57" s="185" t="s">
        <v>693</v>
      </c>
      <c r="P57" s="185" t="s">
        <v>705</v>
      </c>
      <c r="Q57" s="185" t="s">
        <v>662</v>
      </c>
      <c r="R57" s="185" t="s">
        <v>91</v>
      </c>
      <c r="S57" s="185" t="s">
        <v>98</v>
      </c>
      <c r="T57" s="185" t="s">
        <v>697</v>
      </c>
      <c r="U57" s="185" t="s">
        <v>147</v>
      </c>
      <c r="V57" s="197" t="s">
        <v>1402</v>
      </c>
      <c r="W57" s="185" t="s">
        <v>57</v>
      </c>
      <c r="X57" s="185" t="s">
        <v>706</v>
      </c>
      <c r="Y57" s="197" t="s">
        <v>57</v>
      </c>
      <c r="Z57" s="197" t="s">
        <v>57</v>
      </c>
      <c r="AA57" s="197" t="s">
        <v>57</v>
      </c>
    </row>
    <row r="58" spans="1:31" hidden="1" x14ac:dyDescent="0.25">
      <c r="A58" s="200" t="s">
        <v>551</v>
      </c>
      <c r="B58" s="185" t="s">
        <v>304</v>
      </c>
      <c r="C58" s="185" t="s">
        <v>869</v>
      </c>
      <c r="D58" s="185" t="s">
        <v>676</v>
      </c>
      <c r="E58" s="185" t="s">
        <v>682</v>
      </c>
      <c r="F58" s="185" t="s">
        <v>122</v>
      </c>
      <c r="G58" s="185" t="s">
        <v>1407</v>
      </c>
      <c r="H58" s="185" t="s">
        <v>416</v>
      </c>
      <c r="I58" s="193" t="s">
        <v>1408</v>
      </c>
      <c r="J58" s="195">
        <v>0.46180555555555558</v>
      </c>
      <c r="K58" s="185" t="s">
        <v>14</v>
      </c>
      <c r="L58" s="185" t="s">
        <v>57</v>
      </c>
      <c r="M58" s="185" t="s">
        <v>57</v>
      </c>
      <c r="N58" s="185" t="s">
        <v>57</v>
      </c>
      <c r="O58" s="185" t="s">
        <v>693</v>
      </c>
      <c r="P58" s="185" t="s">
        <v>705</v>
      </c>
      <c r="Q58" s="185" t="s">
        <v>662</v>
      </c>
      <c r="R58" s="185" t="s">
        <v>91</v>
      </c>
      <c r="S58" s="185" t="s">
        <v>98</v>
      </c>
      <c r="T58" s="185" t="s">
        <v>697</v>
      </c>
      <c r="U58" s="185" t="s">
        <v>147</v>
      </c>
      <c r="V58" s="197" t="s">
        <v>1409</v>
      </c>
      <c r="W58" s="185" t="s">
        <v>57</v>
      </c>
      <c r="X58" s="185" t="s">
        <v>706</v>
      </c>
      <c r="Y58" s="197" t="s">
        <v>57</v>
      </c>
      <c r="Z58" s="197" t="s">
        <v>57</v>
      </c>
      <c r="AA58" s="197" t="s">
        <v>57</v>
      </c>
    </row>
    <row r="59" spans="1:31" hidden="1" x14ac:dyDescent="0.25">
      <c r="A59" s="200" t="s">
        <v>551</v>
      </c>
      <c r="B59" s="185" t="s">
        <v>304</v>
      </c>
      <c r="C59" s="185" t="s">
        <v>869</v>
      </c>
      <c r="D59" s="185" t="s">
        <v>676</v>
      </c>
      <c r="E59" s="185" t="s">
        <v>682</v>
      </c>
      <c r="F59" s="185" t="s">
        <v>122</v>
      </c>
      <c r="G59" s="185" t="s">
        <v>1411</v>
      </c>
      <c r="H59" s="185" t="s">
        <v>416</v>
      </c>
      <c r="I59" s="193" t="s">
        <v>1412</v>
      </c>
      <c r="J59" s="195">
        <v>0.46666666666666662</v>
      </c>
      <c r="K59" s="185" t="s">
        <v>14</v>
      </c>
      <c r="L59" s="185" t="s">
        <v>57</v>
      </c>
      <c r="M59" s="185" t="s">
        <v>57</v>
      </c>
      <c r="N59" s="185" t="s">
        <v>57</v>
      </c>
      <c r="O59" s="185" t="s">
        <v>693</v>
      </c>
      <c r="P59" s="185" t="s">
        <v>705</v>
      </c>
      <c r="Q59" s="185" t="s">
        <v>692</v>
      </c>
      <c r="R59" s="185" t="s">
        <v>91</v>
      </c>
      <c r="S59" s="185" t="s">
        <v>98</v>
      </c>
      <c r="T59" s="185" t="s">
        <v>697</v>
      </c>
      <c r="U59" s="185" t="s">
        <v>147</v>
      </c>
      <c r="V59" s="197" t="s">
        <v>1413</v>
      </c>
      <c r="W59" s="185" t="s">
        <v>57</v>
      </c>
      <c r="X59" s="185" t="s">
        <v>706</v>
      </c>
      <c r="Y59" s="197" t="s">
        <v>57</v>
      </c>
      <c r="Z59" s="197" t="s">
        <v>57</v>
      </c>
      <c r="AA59" s="197" t="s">
        <v>57</v>
      </c>
    </row>
    <row r="60" spans="1:31" hidden="1" x14ac:dyDescent="0.25">
      <c r="A60" s="200" t="s">
        <v>551</v>
      </c>
      <c r="B60" s="185" t="s">
        <v>304</v>
      </c>
      <c r="C60" s="185" t="s">
        <v>869</v>
      </c>
      <c r="D60" s="185" t="s">
        <v>676</v>
      </c>
      <c r="E60" s="185" t="s">
        <v>682</v>
      </c>
      <c r="F60" s="185" t="s">
        <v>122</v>
      </c>
      <c r="G60" s="185" t="s">
        <v>1391</v>
      </c>
      <c r="H60" s="185" t="s">
        <v>416</v>
      </c>
      <c r="I60" s="193" t="s">
        <v>1392</v>
      </c>
      <c r="J60" s="195">
        <v>0.68888888888888899</v>
      </c>
      <c r="K60" s="185" t="s">
        <v>15</v>
      </c>
      <c r="L60" s="185" t="s">
        <v>57</v>
      </c>
      <c r="M60" s="185" t="s">
        <v>57</v>
      </c>
      <c r="N60" s="185" t="s">
        <v>57</v>
      </c>
      <c r="O60" s="185" t="s">
        <v>693</v>
      </c>
      <c r="P60" s="185" t="s">
        <v>705</v>
      </c>
      <c r="Q60" s="185" t="s">
        <v>57</v>
      </c>
      <c r="R60" s="185" t="s">
        <v>91</v>
      </c>
      <c r="S60" s="185" t="s">
        <v>98</v>
      </c>
      <c r="T60" s="185" t="s">
        <v>697</v>
      </c>
      <c r="U60" s="185" t="s">
        <v>147</v>
      </c>
      <c r="V60" s="197" t="s">
        <v>57</v>
      </c>
      <c r="W60" s="185" t="s">
        <v>57</v>
      </c>
      <c r="X60" s="185" t="s">
        <v>706</v>
      </c>
      <c r="Y60" s="197" t="s">
        <v>57</v>
      </c>
      <c r="Z60" s="197" t="s">
        <v>57</v>
      </c>
      <c r="AA60" s="197" t="s">
        <v>57</v>
      </c>
    </row>
    <row r="61" spans="1:31" hidden="1" x14ac:dyDescent="0.25">
      <c r="A61" s="200" t="s">
        <v>551</v>
      </c>
      <c r="B61" s="185" t="s">
        <v>304</v>
      </c>
      <c r="C61" s="185" t="s">
        <v>869</v>
      </c>
      <c r="D61" s="185" t="s">
        <v>676</v>
      </c>
      <c r="E61" s="185" t="s">
        <v>682</v>
      </c>
      <c r="F61" s="185" t="s">
        <v>122</v>
      </c>
      <c r="G61" s="185" t="s">
        <v>877</v>
      </c>
      <c r="H61" s="185" t="s">
        <v>416</v>
      </c>
      <c r="I61" s="193" t="s">
        <v>1392</v>
      </c>
      <c r="J61" s="195">
        <v>0.81111111111111101</v>
      </c>
      <c r="K61" s="185" t="s">
        <v>15</v>
      </c>
      <c r="L61" s="185" t="s">
        <v>57</v>
      </c>
      <c r="M61" s="185" t="s">
        <v>57</v>
      </c>
      <c r="N61" s="185" t="s">
        <v>57</v>
      </c>
      <c r="O61" s="185" t="s">
        <v>693</v>
      </c>
      <c r="P61" s="185" t="s">
        <v>705</v>
      </c>
      <c r="Q61" s="185" t="s">
        <v>57</v>
      </c>
      <c r="R61" s="185" t="s">
        <v>91</v>
      </c>
      <c r="S61" s="185" t="s">
        <v>98</v>
      </c>
      <c r="T61" s="185" t="s">
        <v>697</v>
      </c>
      <c r="U61" s="185" t="s">
        <v>147</v>
      </c>
      <c r="V61" s="197" t="s">
        <v>1417</v>
      </c>
      <c r="W61" s="185" t="s">
        <v>57</v>
      </c>
      <c r="X61" s="185" t="s">
        <v>706</v>
      </c>
      <c r="Y61" s="197" t="s">
        <v>57</v>
      </c>
      <c r="Z61" s="197" t="s">
        <v>57</v>
      </c>
      <c r="AA61" s="197" t="s">
        <v>57</v>
      </c>
    </row>
    <row r="62" spans="1:31" ht="26" hidden="1" x14ac:dyDescent="0.25">
      <c r="A62" s="200" t="s">
        <v>551</v>
      </c>
      <c r="B62" s="185" t="s">
        <v>304</v>
      </c>
      <c r="C62" s="185" t="s">
        <v>869</v>
      </c>
      <c r="D62" s="185" t="s">
        <v>676</v>
      </c>
      <c r="E62" s="185" t="s">
        <v>682</v>
      </c>
      <c r="F62" s="185" t="s">
        <v>122</v>
      </c>
      <c r="G62" s="185" t="s">
        <v>1421</v>
      </c>
      <c r="H62" s="185" t="s">
        <v>416</v>
      </c>
      <c r="I62" s="193" t="s">
        <v>1422</v>
      </c>
      <c r="J62" s="195">
        <v>0.70694444444444438</v>
      </c>
      <c r="K62" s="185" t="s">
        <v>15</v>
      </c>
      <c r="L62" s="185" t="s">
        <v>57</v>
      </c>
      <c r="M62" s="185" t="s">
        <v>57</v>
      </c>
      <c r="N62" s="185" t="s">
        <v>57</v>
      </c>
      <c r="O62" s="185" t="s">
        <v>693</v>
      </c>
      <c r="P62" s="185" t="s">
        <v>705</v>
      </c>
      <c r="Q62" s="185" t="s">
        <v>57</v>
      </c>
      <c r="R62" s="185" t="s">
        <v>91</v>
      </c>
      <c r="S62" s="185" t="s">
        <v>98</v>
      </c>
      <c r="T62" s="185" t="s">
        <v>697</v>
      </c>
      <c r="U62" s="185" t="s">
        <v>147</v>
      </c>
      <c r="V62" s="197" t="s">
        <v>1423</v>
      </c>
      <c r="W62" s="185" t="s">
        <v>57</v>
      </c>
      <c r="X62" s="185" t="s">
        <v>706</v>
      </c>
      <c r="Y62" s="197" t="s">
        <v>57</v>
      </c>
      <c r="Z62" s="197" t="s">
        <v>57</v>
      </c>
      <c r="AA62" s="197" t="s">
        <v>57</v>
      </c>
    </row>
    <row r="63" spans="1:31" ht="39" hidden="1" x14ac:dyDescent="0.25">
      <c r="A63" s="200" t="s">
        <v>551</v>
      </c>
      <c r="B63" s="185" t="s">
        <v>305</v>
      </c>
      <c r="C63" s="185" t="s">
        <v>1426</v>
      </c>
      <c r="D63" s="185">
        <v>9927</v>
      </c>
      <c r="E63" s="185" t="s">
        <v>1434</v>
      </c>
      <c r="F63" s="185" t="s">
        <v>203</v>
      </c>
      <c r="G63" s="185" t="s">
        <v>1438</v>
      </c>
      <c r="H63" s="185" t="s">
        <v>416</v>
      </c>
      <c r="I63" s="193">
        <v>46113</v>
      </c>
      <c r="J63" s="195">
        <v>0.2951388888888889</v>
      </c>
      <c r="K63" s="185" t="s">
        <v>14</v>
      </c>
      <c r="L63" s="185" t="s">
        <v>625</v>
      </c>
      <c r="M63" s="185" t="s">
        <v>1447</v>
      </c>
      <c r="N63" s="185" t="s">
        <v>1448</v>
      </c>
      <c r="O63" s="185" t="s">
        <v>53</v>
      </c>
      <c r="P63" s="197" t="s">
        <v>1449</v>
      </c>
      <c r="Q63" s="185" t="s">
        <v>1527</v>
      </c>
      <c r="R63" s="185" t="s">
        <v>118</v>
      </c>
      <c r="S63" s="185" t="s">
        <v>119</v>
      </c>
      <c r="T63" s="185" t="s">
        <v>1451</v>
      </c>
      <c r="U63" s="185" t="s">
        <v>147</v>
      </c>
      <c r="V63" s="197" t="s">
        <v>1436</v>
      </c>
      <c r="W63" s="185" t="s">
        <v>1537</v>
      </c>
      <c r="X63" s="185" t="s">
        <v>72</v>
      </c>
      <c r="Y63" s="197" t="s">
        <v>1452</v>
      </c>
      <c r="Z63" s="197" t="s">
        <v>1453</v>
      </c>
      <c r="AA63" s="197" t="s">
        <v>1454</v>
      </c>
    </row>
    <row r="64" spans="1:31" ht="26" hidden="1" x14ac:dyDescent="0.25">
      <c r="A64" s="200" t="s">
        <v>551</v>
      </c>
      <c r="B64" s="185" t="s">
        <v>305</v>
      </c>
      <c r="C64" s="185" t="s">
        <v>1427</v>
      </c>
      <c r="D64" s="185">
        <v>7241</v>
      </c>
      <c r="E64" s="185" t="s">
        <v>333</v>
      </c>
      <c r="F64" s="185" t="s">
        <v>203</v>
      </c>
      <c r="G64" s="185" t="s">
        <v>83</v>
      </c>
      <c r="H64" s="185" t="s">
        <v>46</v>
      </c>
      <c r="I64" s="193">
        <v>46116</v>
      </c>
      <c r="J64" s="195">
        <v>0.75</v>
      </c>
      <c r="K64" s="185" t="s">
        <v>15</v>
      </c>
      <c r="L64" s="185" t="s">
        <v>589</v>
      </c>
      <c r="M64" s="185" t="s">
        <v>1456</v>
      </c>
      <c r="N64" s="185" t="s">
        <v>1455</v>
      </c>
      <c r="O64" s="185" t="s">
        <v>53</v>
      </c>
      <c r="P64" s="185" t="s">
        <v>1457</v>
      </c>
      <c r="Q64" s="185" t="s">
        <v>1528</v>
      </c>
      <c r="R64" s="185" t="s">
        <v>54</v>
      </c>
      <c r="S64" s="185" t="s">
        <v>79</v>
      </c>
      <c r="T64" s="185" t="s">
        <v>506</v>
      </c>
      <c r="U64" s="185" t="s">
        <v>147</v>
      </c>
      <c r="V64" s="197" t="s">
        <v>1437</v>
      </c>
      <c r="W64" s="185" t="s">
        <v>1538</v>
      </c>
      <c r="X64" s="185" t="s">
        <v>381</v>
      </c>
      <c r="Y64" s="197" t="s">
        <v>1458</v>
      </c>
      <c r="Z64" s="197" t="s">
        <v>1459</v>
      </c>
      <c r="AA64" s="197" t="s">
        <v>1460</v>
      </c>
    </row>
    <row r="65" spans="1:31" hidden="1" x14ac:dyDescent="0.25">
      <c r="A65" s="200" t="s">
        <v>551</v>
      </c>
      <c r="B65" s="185" t="s">
        <v>305</v>
      </c>
      <c r="C65" s="185" t="s">
        <v>1428</v>
      </c>
      <c r="D65" s="185">
        <v>1133</v>
      </c>
      <c r="E65" s="185" t="s">
        <v>1435</v>
      </c>
      <c r="F65" s="185" t="s">
        <v>203</v>
      </c>
      <c r="G65" s="185" t="s">
        <v>23</v>
      </c>
      <c r="H65" s="185" t="s">
        <v>46</v>
      </c>
      <c r="I65" s="193">
        <v>46120</v>
      </c>
      <c r="J65" s="195">
        <v>0.3888888888888889</v>
      </c>
      <c r="K65" s="185" t="s">
        <v>14</v>
      </c>
      <c r="L65" s="185" t="s">
        <v>625</v>
      </c>
      <c r="M65" s="185" t="s">
        <v>780</v>
      </c>
      <c r="N65" s="185" t="s">
        <v>823</v>
      </c>
      <c r="O65" s="185" t="s">
        <v>53</v>
      </c>
      <c r="P65" s="185" t="s">
        <v>1461</v>
      </c>
      <c r="Q65" s="185" t="s">
        <v>1529</v>
      </c>
      <c r="R65" s="185" t="s">
        <v>118</v>
      </c>
      <c r="S65" s="185" t="s">
        <v>119</v>
      </c>
      <c r="T65" s="185" t="s">
        <v>822</v>
      </c>
      <c r="U65" s="185" t="s">
        <v>147</v>
      </c>
      <c r="V65" s="197" t="s">
        <v>1439</v>
      </c>
      <c r="W65" s="185" t="s">
        <v>826</v>
      </c>
      <c r="X65" s="185" t="s">
        <v>72</v>
      </c>
      <c r="Y65" s="197" t="s">
        <v>1462</v>
      </c>
      <c r="Z65" s="197" t="s">
        <v>1463</v>
      </c>
      <c r="AA65" s="197" t="s">
        <v>1459</v>
      </c>
    </row>
    <row r="66" spans="1:31" ht="26" hidden="1" x14ac:dyDescent="0.25">
      <c r="A66" s="200" t="s">
        <v>551</v>
      </c>
      <c r="B66" s="185" t="s">
        <v>305</v>
      </c>
      <c r="C66" s="185" t="s">
        <v>1429</v>
      </c>
      <c r="D66" s="185">
        <v>7081</v>
      </c>
      <c r="E66" s="185" t="s">
        <v>334</v>
      </c>
      <c r="F66" s="185" t="s">
        <v>86</v>
      </c>
      <c r="G66" s="185" t="s">
        <v>778</v>
      </c>
      <c r="H66" s="185" t="s">
        <v>1445</v>
      </c>
      <c r="I66" s="193">
        <v>46120</v>
      </c>
      <c r="J66" s="195">
        <v>0.66180555555555554</v>
      </c>
      <c r="K66" s="185" t="s">
        <v>15</v>
      </c>
      <c r="L66" s="185" t="s">
        <v>310</v>
      </c>
      <c r="M66" s="185" t="s">
        <v>365</v>
      </c>
      <c r="N66" s="185" t="s">
        <v>1464</v>
      </c>
      <c r="O66" s="185" t="s">
        <v>1</v>
      </c>
      <c r="P66" s="185" t="s">
        <v>1465</v>
      </c>
      <c r="Q66" s="185" t="s">
        <v>596</v>
      </c>
      <c r="R66" s="185" t="s">
        <v>54</v>
      </c>
      <c r="S66" s="185" t="s">
        <v>259</v>
      </c>
      <c r="T66" s="185" t="s">
        <v>321</v>
      </c>
      <c r="U66" s="185" t="s">
        <v>147</v>
      </c>
      <c r="V66" s="197" t="s">
        <v>1440</v>
      </c>
      <c r="W66" s="185" t="s">
        <v>1539</v>
      </c>
      <c r="X66" s="185" t="s">
        <v>376</v>
      </c>
      <c r="Y66" s="197" t="s">
        <v>1469</v>
      </c>
      <c r="Z66" s="197" t="s">
        <v>1470</v>
      </c>
      <c r="AA66" s="197" t="s">
        <v>831</v>
      </c>
    </row>
    <row r="67" spans="1:31" ht="26" hidden="1" x14ac:dyDescent="0.25">
      <c r="A67" s="200" t="s">
        <v>551</v>
      </c>
      <c r="B67" s="185" t="s">
        <v>305</v>
      </c>
      <c r="C67" s="185" t="s">
        <v>1430</v>
      </c>
      <c r="D67" s="185">
        <v>1942</v>
      </c>
      <c r="E67" s="185" t="s">
        <v>333</v>
      </c>
      <c r="F67" s="185" t="s">
        <v>335</v>
      </c>
      <c r="G67" s="185" t="s">
        <v>83</v>
      </c>
      <c r="H67" s="185" t="s">
        <v>46</v>
      </c>
      <c r="I67" s="193">
        <v>46124</v>
      </c>
      <c r="J67" s="195">
        <v>0.17361111111111113</v>
      </c>
      <c r="K67" s="185" t="s">
        <v>13</v>
      </c>
      <c r="L67" s="185" t="s">
        <v>589</v>
      </c>
      <c r="M67" s="185" t="s">
        <v>1456</v>
      </c>
      <c r="N67" s="185" t="s">
        <v>1466</v>
      </c>
      <c r="O67" s="185" t="s">
        <v>1</v>
      </c>
      <c r="P67" s="197" t="s">
        <v>1467</v>
      </c>
      <c r="Q67" s="185" t="s">
        <v>1468</v>
      </c>
      <c r="R67" s="185" t="s">
        <v>54</v>
      </c>
      <c r="S67" s="185" t="s">
        <v>79</v>
      </c>
      <c r="T67" s="185" t="s">
        <v>506</v>
      </c>
      <c r="U67" s="185" t="s">
        <v>147</v>
      </c>
      <c r="V67" s="197" t="s">
        <v>1441</v>
      </c>
      <c r="W67" s="185" t="s">
        <v>1540</v>
      </c>
      <c r="X67" s="185" t="s">
        <v>381</v>
      </c>
      <c r="Y67" s="197" t="s">
        <v>1471</v>
      </c>
      <c r="Z67" s="198" t="s">
        <v>1472</v>
      </c>
      <c r="AA67" s="197" t="s">
        <v>831</v>
      </c>
    </row>
    <row r="68" spans="1:31" hidden="1" x14ac:dyDescent="0.25">
      <c r="A68" s="200" t="s">
        <v>551</v>
      </c>
      <c r="B68" s="185" t="s">
        <v>305</v>
      </c>
      <c r="C68" s="185" t="s">
        <v>1431</v>
      </c>
      <c r="D68" s="185" t="s">
        <v>471</v>
      </c>
      <c r="E68" s="185" t="s">
        <v>1536</v>
      </c>
      <c r="F68" s="185" t="s">
        <v>335</v>
      </c>
      <c r="G68" s="185" t="s">
        <v>52</v>
      </c>
      <c r="H68" s="185" t="s">
        <v>1446</v>
      </c>
      <c r="I68" s="193">
        <v>46126</v>
      </c>
      <c r="J68" s="195">
        <v>0.44444444444444442</v>
      </c>
      <c r="K68" s="185" t="s">
        <v>14</v>
      </c>
      <c r="L68" s="185" t="s">
        <v>1473</v>
      </c>
      <c r="M68" s="185" t="s">
        <v>57</v>
      </c>
      <c r="N68" s="185" t="s">
        <v>2035</v>
      </c>
      <c r="O68" s="185" t="s">
        <v>1</v>
      </c>
      <c r="P68" s="185" t="s">
        <v>1474</v>
      </c>
      <c r="Q68" s="185" t="s">
        <v>1530</v>
      </c>
      <c r="R68" s="185" t="s">
        <v>166</v>
      </c>
      <c r="S68" s="185" t="s">
        <v>47</v>
      </c>
      <c r="T68" s="185" t="s">
        <v>279</v>
      </c>
      <c r="U68" s="185" t="s">
        <v>147</v>
      </c>
      <c r="V68" s="197" t="s">
        <v>1442</v>
      </c>
      <c r="W68" s="185" t="s">
        <v>188</v>
      </c>
      <c r="X68" s="185" t="s">
        <v>188</v>
      </c>
      <c r="Y68" s="197" t="s">
        <v>1521</v>
      </c>
      <c r="Z68" s="197" t="s">
        <v>57</v>
      </c>
      <c r="AA68" s="197" t="s">
        <v>57</v>
      </c>
    </row>
    <row r="69" spans="1:31" hidden="1" x14ac:dyDescent="0.25">
      <c r="A69" s="200" t="s">
        <v>551</v>
      </c>
      <c r="B69" s="185" t="s">
        <v>305</v>
      </c>
      <c r="C69" s="185" t="s">
        <v>1432</v>
      </c>
      <c r="D69" s="185">
        <v>8486</v>
      </c>
      <c r="E69" s="185" t="s">
        <v>33</v>
      </c>
      <c r="F69" s="185" t="s">
        <v>203</v>
      </c>
      <c r="G69" s="185" t="s">
        <v>83</v>
      </c>
      <c r="H69" s="185" t="s">
        <v>167</v>
      </c>
      <c r="I69" s="193">
        <v>46133</v>
      </c>
      <c r="J69" s="195">
        <v>0.42708333333333331</v>
      </c>
      <c r="K69" s="185" t="s">
        <v>14</v>
      </c>
      <c r="L69" s="185" t="s">
        <v>309</v>
      </c>
      <c r="M69" s="185" t="s">
        <v>308</v>
      </c>
      <c r="N69" s="185" t="s">
        <v>57</v>
      </c>
      <c r="O69" s="185" t="s">
        <v>53</v>
      </c>
      <c r="P69" s="185" t="s">
        <v>1475</v>
      </c>
      <c r="Q69" s="185" t="s">
        <v>1527</v>
      </c>
      <c r="R69" s="185" t="s">
        <v>54</v>
      </c>
      <c r="S69" s="185" t="s">
        <v>319</v>
      </c>
      <c r="T69" s="185" t="s">
        <v>283</v>
      </c>
      <c r="U69" s="185" t="s">
        <v>147</v>
      </c>
      <c r="V69" s="197" t="s">
        <v>1443</v>
      </c>
      <c r="W69" s="185" t="s">
        <v>1541</v>
      </c>
      <c r="X69" s="185" t="s">
        <v>371</v>
      </c>
      <c r="Y69" s="197" t="s">
        <v>842</v>
      </c>
      <c r="Z69" s="197" t="s">
        <v>1477</v>
      </c>
      <c r="AA69" s="198"/>
    </row>
    <row r="70" spans="1:31" ht="52" hidden="1" x14ac:dyDescent="0.25">
      <c r="A70" s="200" t="s">
        <v>551</v>
      </c>
      <c r="B70" s="185" t="s">
        <v>305</v>
      </c>
      <c r="C70" s="185" t="s">
        <v>1433</v>
      </c>
      <c r="D70" s="185">
        <v>1171</v>
      </c>
      <c r="E70" s="185" t="s">
        <v>18</v>
      </c>
      <c r="F70" s="185" t="s">
        <v>86</v>
      </c>
      <c r="G70" s="185" t="s">
        <v>83</v>
      </c>
      <c r="H70" s="185" t="s">
        <v>1445</v>
      </c>
      <c r="I70" s="193">
        <v>46134</v>
      </c>
      <c r="J70" s="195">
        <v>6.25E-2</v>
      </c>
      <c r="K70" s="185" t="s">
        <v>13</v>
      </c>
      <c r="L70" s="185" t="s">
        <v>307</v>
      </c>
      <c r="M70" s="185" t="s">
        <v>312</v>
      </c>
      <c r="N70" s="185" t="s">
        <v>1545</v>
      </c>
      <c r="O70" s="185" t="s">
        <v>1</v>
      </c>
      <c r="P70" s="185" t="s">
        <v>1476</v>
      </c>
      <c r="Q70" s="185" t="s">
        <v>1531</v>
      </c>
      <c r="R70" s="185" t="s">
        <v>54</v>
      </c>
      <c r="S70" s="185" t="s">
        <v>320</v>
      </c>
      <c r="T70" s="185" t="s">
        <v>289</v>
      </c>
      <c r="U70" s="185" t="s">
        <v>147</v>
      </c>
      <c r="V70" s="197" t="s">
        <v>1444</v>
      </c>
      <c r="W70" s="185" t="s">
        <v>1542</v>
      </c>
      <c r="X70" s="185" t="s">
        <v>373</v>
      </c>
      <c r="Y70" s="197" t="s">
        <v>1478</v>
      </c>
      <c r="Z70" s="197" t="s">
        <v>1479</v>
      </c>
      <c r="AA70" s="197" t="s">
        <v>1480</v>
      </c>
    </row>
    <row r="71" spans="1:31" ht="39" hidden="1" x14ac:dyDescent="0.25">
      <c r="A71" s="200" t="s">
        <v>551</v>
      </c>
      <c r="B71" s="185" t="s">
        <v>305</v>
      </c>
      <c r="C71" s="185" t="s">
        <v>1491</v>
      </c>
      <c r="D71" s="185">
        <v>7665</v>
      </c>
      <c r="E71" s="185" t="s">
        <v>333</v>
      </c>
      <c r="F71" s="185" t="s">
        <v>337</v>
      </c>
      <c r="G71" s="185" t="s">
        <v>1492</v>
      </c>
      <c r="H71" s="185" t="s">
        <v>46</v>
      </c>
      <c r="I71" s="193" t="s">
        <v>1397</v>
      </c>
      <c r="J71" s="195">
        <v>6.25E-2</v>
      </c>
      <c r="K71" s="185" t="s">
        <v>13</v>
      </c>
      <c r="L71" s="185" t="s">
        <v>589</v>
      </c>
      <c r="M71" s="185" t="s">
        <v>1456</v>
      </c>
      <c r="N71" s="185" t="s">
        <v>57</v>
      </c>
      <c r="O71" s="185" t="s">
        <v>1</v>
      </c>
      <c r="P71" s="185" t="s">
        <v>579</v>
      </c>
      <c r="Q71" s="185" t="s">
        <v>57</v>
      </c>
      <c r="R71" s="185" t="s">
        <v>54</v>
      </c>
      <c r="S71" s="185" t="s">
        <v>79</v>
      </c>
      <c r="T71" s="185" t="s">
        <v>506</v>
      </c>
      <c r="U71" s="185" t="s">
        <v>147</v>
      </c>
      <c r="V71" s="197" t="s">
        <v>1493</v>
      </c>
      <c r="W71" s="185" t="s">
        <v>1543</v>
      </c>
      <c r="X71" s="185" t="s">
        <v>381</v>
      </c>
      <c r="Y71" s="197" t="s">
        <v>1494</v>
      </c>
      <c r="Z71" s="197" t="s">
        <v>1495</v>
      </c>
      <c r="AA71" s="197" t="s">
        <v>831</v>
      </c>
      <c r="AB71" s="197" t="s">
        <v>1496</v>
      </c>
      <c r="AD71" s="197" t="s">
        <v>986</v>
      </c>
    </row>
    <row r="72" spans="1:31" ht="65" hidden="1" x14ac:dyDescent="0.25">
      <c r="A72" s="200" t="s">
        <v>551</v>
      </c>
      <c r="B72" s="185" t="s">
        <v>304</v>
      </c>
      <c r="C72" s="197" t="s">
        <v>1504</v>
      </c>
      <c r="D72" s="185" t="s">
        <v>1505</v>
      </c>
      <c r="E72" s="185" t="s">
        <v>130</v>
      </c>
      <c r="F72" s="185" t="s">
        <v>25</v>
      </c>
      <c r="G72" s="185" t="s">
        <v>659</v>
      </c>
      <c r="H72" s="185" t="s">
        <v>416</v>
      </c>
      <c r="I72" s="193" t="s">
        <v>1499</v>
      </c>
      <c r="J72" s="195">
        <v>0.4375</v>
      </c>
      <c r="K72" s="185" t="s">
        <v>14</v>
      </c>
      <c r="L72" s="185" t="s">
        <v>474</v>
      </c>
      <c r="M72" s="185" t="s">
        <v>763</v>
      </c>
      <c r="N72" s="185" t="s">
        <v>57</v>
      </c>
      <c r="O72" s="185" t="s">
        <v>0</v>
      </c>
      <c r="P72" s="185" t="s">
        <v>1500</v>
      </c>
      <c r="Q72" s="185" t="s">
        <v>662</v>
      </c>
      <c r="R72" s="185" t="s">
        <v>49</v>
      </c>
      <c r="S72" s="185" t="s">
        <v>743</v>
      </c>
      <c r="T72" s="185" t="s">
        <v>858</v>
      </c>
      <c r="U72" s="185" t="s">
        <v>147</v>
      </c>
      <c r="V72" s="197" t="str">
        <f>G72</f>
        <v>Crushing Area</v>
      </c>
      <c r="W72" s="185" t="s">
        <v>825</v>
      </c>
      <c r="X72" s="185" t="s">
        <v>744</v>
      </c>
      <c r="Y72" s="197" t="s">
        <v>57</v>
      </c>
      <c r="Z72" s="197" t="s">
        <v>57</v>
      </c>
      <c r="AA72" s="197" t="s">
        <v>57</v>
      </c>
      <c r="AB72" s="197" t="s">
        <v>942</v>
      </c>
      <c r="AC72" s="197" t="s">
        <v>1501</v>
      </c>
      <c r="AD72" s="197" t="s">
        <v>1502</v>
      </c>
      <c r="AE72" s="197" t="s">
        <v>1503</v>
      </c>
    </row>
    <row r="73" spans="1:31" ht="26" hidden="1" x14ac:dyDescent="0.25">
      <c r="A73" s="200" t="s">
        <v>551</v>
      </c>
      <c r="B73" s="185" t="s">
        <v>304</v>
      </c>
      <c r="C73" s="197" t="s">
        <v>1508</v>
      </c>
      <c r="D73" s="185" t="s">
        <v>492</v>
      </c>
      <c r="E73" s="185" t="s">
        <v>1509</v>
      </c>
      <c r="F73" s="197" t="s">
        <v>339</v>
      </c>
      <c r="G73" s="185" t="s">
        <v>108</v>
      </c>
      <c r="H73" s="185" t="s">
        <v>416</v>
      </c>
      <c r="I73" s="193" t="s">
        <v>1510</v>
      </c>
      <c r="J73" s="195">
        <v>2.0833333333333332E-2</v>
      </c>
      <c r="K73" s="185" t="s">
        <v>13</v>
      </c>
      <c r="L73" s="185" t="s">
        <v>500</v>
      </c>
      <c r="M73" s="185" t="s">
        <v>501</v>
      </c>
      <c r="N73" s="185" t="s">
        <v>1511</v>
      </c>
      <c r="O73" s="185" t="s">
        <v>12</v>
      </c>
      <c r="P73" s="185" t="s">
        <v>1512</v>
      </c>
      <c r="Q73" s="185" t="s">
        <v>109</v>
      </c>
      <c r="R73" s="185" t="s">
        <v>49</v>
      </c>
      <c r="S73" s="185" t="s">
        <v>391</v>
      </c>
      <c r="T73" s="185" t="s">
        <v>502</v>
      </c>
      <c r="U73" s="185" t="s">
        <v>147</v>
      </c>
      <c r="V73" s="197" t="str">
        <f>G73</f>
        <v>Lower Tram</v>
      </c>
      <c r="W73" s="185" t="s">
        <v>1560</v>
      </c>
      <c r="X73" s="185" t="s">
        <v>507</v>
      </c>
    </row>
    <row r="74" spans="1:31" hidden="1" x14ac:dyDescent="0.25">
      <c r="A74" s="200" t="s">
        <v>551</v>
      </c>
      <c r="B74" s="185" t="s">
        <v>304</v>
      </c>
      <c r="C74" s="185" t="s">
        <v>869</v>
      </c>
      <c r="D74" s="185" t="s">
        <v>676</v>
      </c>
      <c r="E74" s="185" t="s">
        <v>682</v>
      </c>
      <c r="F74" s="185" t="s">
        <v>122</v>
      </c>
      <c r="G74" s="185" t="s">
        <v>895</v>
      </c>
      <c r="H74" s="185" t="s">
        <v>416</v>
      </c>
      <c r="I74" s="193" t="s">
        <v>1510</v>
      </c>
      <c r="J74" s="195">
        <v>0.47638888888888892</v>
      </c>
      <c r="K74" s="185" t="s">
        <v>14</v>
      </c>
      <c r="L74" s="185" t="s">
        <v>57</v>
      </c>
      <c r="M74" s="185" t="s">
        <v>57</v>
      </c>
      <c r="N74" s="185" t="s">
        <v>57</v>
      </c>
      <c r="O74" s="185" t="s">
        <v>693</v>
      </c>
      <c r="P74" s="185" t="s">
        <v>705</v>
      </c>
      <c r="Q74" s="185" t="s">
        <v>57</v>
      </c>
      <c r="R74" s="185" t="s">
        <v>91</v>
      </c>
      <c r="S74" s="185" t="s">
        <v>98</v>
      </c>
      <c r="T74" s="185" t="s">
        <v>697</v>
      </c>
      <c r="U74" s="185" t="s">
        <v>147</v>
      </c>
      <c r="V74" s="197" t="s">
        <v>1514</v>
      </c>
      <c r="W74" s="185" t="s">
        <v>57</v>
      </c>
      <c r="X74" s="185" t="s">
        <v>706</v>
      </c>
      <c r="Y74" s="197" t="s">
        <v>57</v>
      </c>
      <c r="Z74" s="197" t="s">
        <v>57</v>
      </c>
      <c r="AA74" s="197" t="s">
        <v>57</v>
      </c>
    </row>
    <row r="75" spans="1:31" ht="26" hidden="1" x14ac:dyDescent="0.25">
      <c r="A75" s="200" t="s">
        <v>551</v>
      </c>
      <c r="B75" s="185" t="s">
        <v>304</v>
      </c>
      <c r="C75" s="185" t="s">
        <v>1532</v>
      </c>
      <c r="D75" s="185" t="s">
        <v>676</v>
      </c>
      <c r="E75" s="185" t="s">
        <v>1550</v>
      </c>
      <c r="F75" s="197" t="s">
        <v>1533</v>
      </c>
      <c r="G75" s="185" t="s">
        <v>393</v>
      </c>
      <c r="H75" s="185" t="s">
        <v>416</v>
      </c>
      <c r="I75" s="193" t="s">
        <v>1546</v>
      </c>
      <c r="J75" s="195">
        <v>0.46597222222222223</v>
      </c>
      <c r="K75" s="185" t="s">
        <v>14</v>
      </c>
      <c r="L75" s="185" t="s">
        <v>500</v>
      </c>
      <c r="M75" s="185" t="s">
        <v>1535</v>
      </c>
      <c r="N75" s="185" t="s">
        <v>1559</v>
      </c>
      <c r="O75" s="185" t="s">
        <v>693</v>
      </c>
      <c r="P75" s="185" t="s">
        <v>705</v>
      </c>
      <c r="Q75" s="185" t="s">
        <v>420</v>
      </c>
      <c r="R75" s="185" t="s">
        <v>49</v>
      </c>
      <c r="S75" s="185" t="s">
        <v>391</v>
      </c>
      <c r="T75" s="185" t="s">
        <v>393</v>
      </c>
      <c r="U75" s="185" t="s">
        <v>147</v>
      </c>
      <c r="V75" s="197" t="s">
        <v>1534</v>
      </c>
      <c r="W75" s="185" t="s">
        <v>1561</v>
      </c>
      <c r="X75" s="185" t="s">
        <v>444</v>
      </c>
      <c r="Y75" s="197" t="s">
        <v>57</v>
      </c>
      <c r="Z75" s="197" t="s">
        <v>57</v>
      </c>
      <c r="AA75" s="197" t="s">
        <v>57</v>
      </c>
    </row>
    <row r="76" spans="1:31" s="405" customFormat="1" ht="52" hidden="1" x14ac:dyDescent="0.25">
      <c r="A76" s="404" t="s">
        <v>551</v>
      </c>
      <c r="B76" s="405" t="s">
        <v>304</v>
      </c>
      <c r="C76" s="405" t="s">
        <v>1552</v>
      </c>
      <c r="D76" s="405">
        <v>9954</v>
      </c>
      <c r="E76" s="405" t="s">
        <v>130</v>
      </c>
      <c r="F76" s="405" t="s">
        <v>337</v>
      </c>
      <c r="G76" s="405" t="s">
        <v>856</v>
      </c>
      <c r="H76" s="405" t="s">
        <v>416</v>
      </c>
      <c r="I76" s="406" t="s">
        <v>1553</v>
      </c>
      <c r="J76" s="407">
        <v>0.44444444444444442</v>
      </c>
      <c r="K76" s="405" t="s">
        <v>14</v>
      </c>
      <c r="L76" s="405" t="s">
        <v>474</v>
      </c>
      <c r="M76" s="405" t="s">
        <v>763</v>
      </c>
      <c r="N76" s="405" t="s">
        <v>57</v>
      </c>
      <c r="O76" s="405" t="s">
        <v>2</v>
      </c>
      <c r="P76" s="405" t="s">
        <v>1554</v>
      </c>
      <c r="Q76" s="405" t="s">
        <v>465</v>
      </c>
      <c r="R76" s="405" t="s">
        <v>49</v>
      </c>
      <c r="S76" s="405" t="s">
        <v>743</v>
      </c>
      <c r="T76" s="405" t="s">
        <v>858</v>
      </c>
      <c r="U76" s="405" t="s">
        <v>147</v>
      </c>
      <c r="V76" s="408" t="str">
        <f>G76</f>
        <v>Boiler Room Extension</v>
      </c>
      <c r="W76" s="405" t="s">
        <v>825</v>
      </c>
      <c r="X76" s="405" t="s">
        <v>744</v>
      </c>
      <c r="Y76" s="408" t="s">
        <v>1555</v>
      </c>
      <c r="Z76" s="408" t="s">
        <v>1556</v>
      </c>
      <c r="AA76" s="408" t="s">
        <v>1557</v>
      </c>
      <c r="AB76" s="408" t="s">
        <v>1496</v>
      </c>
      <c r="AC76" s="408" t="s">
        <v>1558</v>
      </c>
      <c r="AD76" s="408"/>
      <c r="AE76" s="408"/>
    </row>
    <row r="77" spans="1:31" ht="26" hidden="1" x14ac:dyDescent="0.25">
      <c r="A77" s="200" t="s">
        <v>552</v>
      </c>
      <c r="B77" s="185" t="s">
        <v>304</v>
      </c>
      <c r="C77" s="185" t="s">
        <v>1723</v>
      </c>
      <c r="D77" s="185">
        <v>303</v>
      </c>
      <c r="E77" s="185" t="s">
        <v>881</v>
      </c>
      <c r="F77" s="185" t="s">
        <v>337</v>
      </c>
      <c r="G77" s="185" t="s">
        <v>678</v>
      </c>
      <c r="H77" s="185" t="s">
        <v>416</v>
      </c>
      <c r="I77" s="193" t="s">
        <v>1736</v>
      </c>
      <c r="J77" s="195">
        <v>0.55902777777777779</v>
      </c>
      <c r="K77" s="185" t="s">
        <v>14</v>
      </c>
      <c r="L77" s="185" t="s">
        <v>474</v>
      </c>
      <c r="M77" s="185" t="s">
        <v>1737</v>
      </c>
      <c r="N77" s="185" t="s">
        <v>57</v>
      </c>
      <c r="O77" s="185" t="s">
        <v>1</v>
      </c>
      <c r="P77" s="185" t="s">
        <v>1738</v>
      </c>
      <c r="Q77" s="185" t="s">
        <v>420</v>
      </c>
      <c r="R77" s="185" t="s">
        <v>49</v>
      </c>
      <c r="S77" s="185" t="s">
        <v>139</v>
      </c>
      <c r="T77" s="185" t="s">
        <v>480</v>
      </c>
      <c r="U77" s="185" t="s">
        <v>147</v>
      </c>
      <c r="V77" s="197" t="s">
        <v>1739</v>
      </c>
      <c r="W77" s="185" t="s">
        <v>1841</v>
      </c>
      <c r="X77" s="185" t="s">
        <v>1741</v>
      </c>
      <c r="Y77" s="197" t="s">
        <v>1744</v>
      </c>
      <c r="Z77" s="197" t="s">
        <v>1745</v>
      </c>
      <c r="AA77" s="197" t="s">
        <v>831</v>
      </c>
      <c r="AB77" s="197" t="s">
        <v>1753</v>
      </c>
      <c r="AC77" s="197" t="s">
        <v>1721</v>
      </c>
      <c r="AD77" s="197" t="s">
        <v>57</v>
      </c>
      <c r="AE77" s="197" t="s">
        <v>57</v>
      </c>
    </row>
    <row r="78" spans="1:31" s="405" customFormat="1" ht="52" hidden="1" x14ac:dyDescent="0.25">
      <c r="A78" s="404" t="s">
        <v>552</v>
      </c>
      <c r="B78" s="405" t="s">
        <v>304</v>
      </c>
      <c r="C78" s="405" t="s">
        <v>1727</v>
      </c>
      <c r="D78" s="405">
        <v>1095</v>
      </c>
      <c r="E78" s="405" t="s">
        <v>110</v>
      </c>
      <c r="F78" s="405" t="s">
        <v>25</v>
      </c>
      <c r="G78" s="405" t="s">
        <v>659</v>
      </c>
      <c r="H78" s="405" t="s">
        <v>416</v>
      </c>
      <c r="I78" s="406" t="s">
        <v>1747</v>
      </c>
      <c r="J78" s="407">
        <v>0.30902777777777779</v>
      </c>
      <c r="K78" s="405" t="s">
        <v>14</v>
      </c>
      <c r="L78" s="405" t="s">
        <v>500</v>
      </c>
      <c r="M78" s="405" t="s">
        <v>1796</v>
      </c>
      <c r="N78" s="405" t="s">
        <v>57</v>
      </c>
      <c r="O78" s="405" t="s">
        <v>2</v>
      </c>
      <c r="P78" s="405" t="s">
        <v>1748</v>
      </c>
      <c r="Q78" s="405" t="s">
        <v>420</v>
      </c>
      <c r="R78" s="405" t="s">
        <v>49</v>
      </c>
      <c r="S78" s="405" t="s">
        <v>391</v>
      </c>
      <c r="T78" s="405" t="s">
        <v>477</v>
      </c>
      <c r="U78" s="405" t="s">
        <v>147</v>
      </c>
      <c r="V78" s="408" t="s">
        <v>1749</v>
      </c>
      <c r="W78" s="405" t="s">
        <v>1797</v>
      </c>
      <c r="X78" s="405" t="s">
        <v>764</v>
      </c>
      <c r="Y78" s="408" t="s">
        <v>1750</v>
      </c>
      <c r="Z78" s="408" t="s">
        <v>1751</v>
      </c>
      <c r="AA78" s="408" t="s">
        <v>1752</v>
      </c>
      <c r="AB78" s="408" t="s">
        <v>1754</v>
      </c>
      <c r="AC78" s="408" t="s">
        <v>1721</v>
      </c>
      <c r="AD78" s="408" t="s">
        <v>1755</v>
      </c>
      <c r="AE78" s="408"/>
    </row>
    <row r="79" spans="1:31" ht="52" hidden="1" x14ac:dyDescent="0.25">
      <c r="A79" s="200" t="s">
        <v>552</v>
      </c>
      <c r="B79" s="185" t="s">
        <v>304</v>
      </c>
      <c r="C79" s="185" t="s">
        <v>1732</v>
      </c>
      <c r="D79" s="185">
        <v>8477</v>
      </c>
      <c r="E79" s="185" t="s">
        <v>1756</v>
      </c>
      <c r="F79" s="185" t="s">
        <v>345</v>
      </c>
      <c r="G79" s="185" t="s">
        <v>398</v>
      </c>
      <c r="H79" s="185" t="s">
        <v>416</v>
      </c>
      <c r="I79" s="193" t="s">
        <v>1757</v>
      </c>
      <c r="J79" s="195">
        <v>0.3611111111111111</v>
      </c>
      <c r="K79" s="185" t="s">
        <v>14</v>
      </c>
      <c r="L79" s="185" t="s">
        <v>417</v>
      </c>
      <c r="M79" s="185" t="s">
        <v>418</v>
      </c>
      <c r="N79" s="185" t="s">
        <v>1758</v>
      </c>
      <c r="O79" s="185" t="s">
        <v>1</v>
      </c>
      <c r="P79" s="185" t="s">
        <v>1759</v>
      </c>
      <c r="Q79" s="185" t="s">
        <v>465</v>
      </c>
      <c r="R79" s="185" t="s">
        <v>54</v>
      </c>
      <c r="S79" s="185" t="s">
        <v>179</v>
      </c>
      <c r="T79" s="185" t="s">
        <v>398</v>
      </c>
      <c r="U79" s="185" t="s">
        <v>147</v>
      </c>
      <c r="V79" s="197" t="str">
        <f>G79</f>
        <v>Machine Shop</v>
      </c>
      <c r="W79" s="185" t="s">
        <v>1760</v>
      </c>
      <c r="X79" s="185" t="s">
        <v>1842</v>
      </c>
      <c r="Y79" s="197" t="s">
        <v>1761</v>
      </c>
      <c r="Z79" s="197" t="s">
        <v>1762</v>
      </c>
      <c r="AA79" s="197" t="s">
        <v>1763</v>
      </c>
      <c r="AB79" s="419" t="s">
        <v>1764</v>
      </c>
      <c r="AC79" s="197" t="s">
        <v>1721</v>
      </c>
      <c r="AD79" s="197" t="s">
        <v>1765</v>
      </c>
      <c r="AE79" s="197" t="s">
        <v>1766</v>
      </c>
    </row>
    <row r="80" spans="1:31" ht="26" hidden="1" x14ac:dyDescent="0.25">
      <c r="A80" s="200" t="s">
        <v>552</v>
      </c>
      <c r="B80" s="185" t="s">
        <v>304</v>
      </c>
      <c r="C80" s="185" t="s">
        <v>869</v>
      </c>
      <c r="D80" s="185" t="s">
        <v>57</v>
      </c>
      <c r="E80" s="185" t="s">
        <v>57</v>
      </c>
      <c r="F80" s="185" t="s">
        <v>122</v>
      </c>
      <c r="G80" s="185" t="s">
        <v>1767</v>
      </c>
      <c r="H80" s="185" t="s">
        <v>416</v>
      </c>
      <c r="I80" s="193" t="s">
        <v>1768</v>
      </c>
      <c r="J80" s="195">
        <v>0.74583333333333324</v>
      </c>
      <c r="K80" s="185" t="s">
        <v>15</v>
      </c>
      <c r="L80" s="185" t="s">
        <v>57</v>
      </c>
      <c r="M80" s="185" t="s">
        <v>57</v>
      </c>
      <c r="N80" s="185" t="s">
        <v>57</v>
      </c>
      <c r="O80" s="185" t="s">
        <v>693</v>
      </c>
      <c r="P80" s="185" t="s">
        <v>705</v>
      </c>
      <c r="Q80" s="185" t="s">
        <v>57</v>
      </c>
      <c r="R80" s="185" t="s">
        <v>91</v>
      </c>
      <c r="S80" s="185" t="s">
        <v>98</v>
      </c>
      <c r="T80" s="185" t="s">
        <v>697</v>
      </c>
      <c r="U80" s="185" t="s">
        <v>147</v>
      </c>
      <c r="V80" s="197" t="s">
        <v>1769</v>
      </c>
      <c r="W80" s="185" t="s">
        <v>57</v>
      </c>
      <c r="X80" s="185" t="s">
        <v>706</v>
      </c>
      <c r="Y80" s="197" t="s">
        <v>57</v>
      </c>
      <c r="Z80" s="197" t="s">
        <v>57</v>
      </c>
      <c r="AA80" s="197" t="s">
        <v>57</v>
      </c>
    </row>
    <row r="81" spans="1:31" ht="26" hidden="1" x14ac:dyDescent="0.25">
      <c r="A81" s="200" t="s">
        <v>552</v>
      </c>
      <c r="B81" s="185" t="s">
        <v>304</v>
      </c>
      <c r="C81" s="185" t="s">
        <v>1773</v>
      </c>
      <c r="D81" s="185">
        <v>3717</v>
      </c>
      <c r="E81" s="185" t="s">
        <v>1774</v>
      </c>
      <c r="F81" s="185" t="s">
        <v>203</v>
      </c>
      <c r="G81" s="185" t="s">
        <v>1775</v>
      </c>
      <c r="H81" s="185" t="s">
        <v>416</v>
      </c>
      <c r="I81" s="193" t="s">
        <v>1776</v>
      </c>
      <c r="J81" s="195">
        <v>0.47916666666666669</v>
      </c>
      <c r="K81" s="185" t="s">
        <v>14</v>
      </c>
      <c r="L81" s="185" t="s">
        <v>417</v>
      </c>
      <c r="M81" s="185" t="s">
        <v>1777</v>
      </c>
      <c r="N81" s="185" t="s">
        <v>1778</v>
      </c>
      <c r="O81" s="185" t="s">
        <v>53</v>
      </c>
      <c r="P81" s="185" t="s">
        <v>1779</v>
      </c>
      <c r="Q81" s="185" t="s">
        <v>465</v>
      </c>
      <c r="R81" s="185" t="s">
        <v>54</v>
      </c>
      <c r="S81" s="185" t="s">
        <v>179</v>
      </c>
      <c r="T81" s="185" t="s">
        <v>403</v>
      </c>
      <c r="U81" s="185" t="s">
        <v>147</v>
      </c>
      <c r="V81" s="197" t="s">
        <v>1904</v>
      </c>
      <c r="W81" s="185" t="s">
        <v>1780</v>
      </c>
      <c r="X81" s="185" t="s">
        <v>1843</v>
      </c>
      <c r="Y81" s="197" t="s">
        <v>1905</v>
      </c>
      <c r="Z81" s="197" t="s">
        <v>1906</v>
      </c>
      <c r="AA81" s="197" t="s">
        <v>1907</v>
      </c>
      <c r="AB81" s="197" t="s">
        <v>1877</v>
      </c>
      <c r="AC81" s="197" t="s">
        <v>1043</v>
      </c>
      <c r="AD81" s="197" t="s">
        <v>983</v>
      </c>
      <c r="AE81" s="197" t="s">
        <v>57</v>
      </c>
    </row>
    <row r="82" spans="1:31" ht="39" hidden="1" x14ac:dyDescent="0.25">
      <c r="A82" s="200" t="s">
        <v>552</v>
      </c>
      <c r="B82" s="185" t="s">
        <v>304</v>
      </c>
      <c r="C82" s="185" t="s">
        <v>1729</v>
      </c>
      <c r="D82" s="185">
        <v>4095</v>
      </c>
      <c r="E82" s="185" t="s">
        <v>1781</v>
      </c>
      <c r="F82" s="185" t="s">
        <v>141</v>
      </c>
      <c r="G82" s="185" t="s">
        <v>1782</v>
      </c>
      <c r="H82" s="185" t="s">
        <v>416</v>
      </c>
      <c r="I82" s="193" t="s">
        <v>1783</v>
      </c>
      <c r="J82" s="195">
        <v>0.40625</v>
      </c>
      <c r="K82" s="185" t="s">
        <v>14</v>
      </c>
      <c r="L82" s="185" t="s">
        <v>500</v>
      </c>
      <c r="M82" s="185" t="s">
        <v>750</v>
      </c>
      <c r="N82" s="185" t="s">
        <v>1784</v>
      </c>
      <c r="O82" s="185" t="s">
        <v>1</v>
      </c>
      <c r="P82" s="197" t="s">
        <v>1785</v>
      </c>
      <c r="Q82" s="185" t="s">
        <v>346</v>
      </c>
      <c r="R82" s="185" t="s">
        <v>49</v>
      </c>
      <c r="S82" s="185" t="s">
        <v>391</v>
      </c>
      <c r="T82" s="185" t="s">
        <v>393</v>
      </c>
      <c r="U82" s="185" t="s">
        <v>147</v>
      </c>
      <c r="V82" s="197" t="s">
        <v>1786</v>
      </c>
      <c r="W82" s="185" t="s">
        <v>1787</v>
      </c>
      <c r="X82" s="185" t="s">
        <v>444</v>
      </c>
      <c r="Y82" s="197" t="s">
        <v>1788</v>
      </c>
      <c r="Z82" s="197" t="s">
        <v>1790</v>
      </c>
      <c r="AA82" s="197" t="s">
        <v>1791</v>
      </c>
      <c r="AB82" s="197" t="s">
        <v>1792</v>
      </c>
      <c r="AC82" s="197" t="s">
        <v>1079</v>
      </c>
      <c r="AD82" s="197" t="s">
        <v>1794</v>
      </c>
      <c r="AE82" s="197" t="s">
        <v>1793</v>
      </c>
    </row>
    <row r="83" spans="1:31" ht="39" hidden="1" x14ac:dyDescent="0.25">
      <c r="A83" s="200" t="s">
        <v>552</v>
      </c>
      <c r="B83" s="185" t="s">
        <v>304</v>
      </c>
      <c r="C83" s="185" t="s">
        <v>1730</v>
      </c>
      <c r="D83" s="185">
        <v>4135</v>
      </c>
      <c r="E83" s="185" t="s">
        <v>105</v>
      </c>
      <c r="F83" s="185" t="s">
        <v>141</v>
      </c>
      <c r="G83" s="185" t="s">
        <v>1782</v>
      </c>
      <c r="H83" s="185" t="s">
        <v>416</v>
      </c>
      <c r="I83" s="193" t="s">
        <v>1783</v>
      </c>
      <c r="J83" s="195">
        <v>0.40625</v>
      </c>
      <c r="K83" s="185" t="s">
        <v>14</v>
      </c>
      <c r="L83" s="185" t="s">
        <v>500</v>
      </c>
      <c r="M83" s="185" t="s">
        <v>750</v>
      </c>
      <c r="N83" s="185" t="s">
        <v>1784</v>
      </c>
      <c r="O83" s="185" t="s">
        <v>1</v>
      </c>
      <c r="P83" s="197" t="s">
        <v>1785</v>
      </c>
      <c r="Q83" s="185" t="s">
        <v>346</v>
      </c>
      <c r="R83" s="185" t="s">
        <v>49</v>
      </c>
      <c r="S83" s="185" t="s">
        <v>391</v>
      </c>
      <c r="T83" s="185" t="s">
        <v>477</v>
      </c>
      <c r="U83" s="185" t="s">
        <v>147</v>
      </c>
      <c r="V83" s="197" t="s">
        <v>1786</v>
      </c>
      <c r="W83" s="185" t="s">
        <v>1787</v>
      </c>
      <c r="X83" s="185" t="s">
        <v>764</v>
      </c>
      <c r="Y83" s="197" t="s">
        <v>1789</v>
      </c>
      <c r="Z83" s="197" t="s">
        <v>1790</v>
      </c>
      <c r="AA83" s="197" t="s">
        <v>1791</v>
      </c>
      <c r="AB83" s="197" t="s">
        <v>1792</v>
      </c>
      <c r="AC83" s="197" t="s">
        <v>1079</v>
      </c>
      <c r="AD83" s="197" t="s">
        <v>1794</v>
      </c>
      <c r="AE83" s="197" t="s">
        <v>1793</v>
      </c>
    </row>
    <row r="84" spans="1:31" ht="26" hidden="1" x14ac:dyDescent="0.25">
      <c r="A84" s="200" t="s">
        <v>552</v>
      </c>
      <c r="B84" s="185" t="s">
        <v>305</v>
      </c>
      <c r="C84" s="185" t="s">
        <v>1801</v>
      </c>
      <c r="D84" s="185">
        <v>8465</v>
      </c>
      <c r="E84" s="185" t="s">
        <v>33</v>
      </c>
      <c r="F84" s="185" t="s">
        <v>17</v>
      </c>
      <c r="G84" s="185" t="s">
        <v>23</v>
      </c>
      <c r="H84" s="185" t="s">
        <v>1806</v>
      </c>
      <c r="I84" s="193">
        <v>46150</v>
      </c>
      <c r="J84" s="195">
        <v>0.78125</v>
      </c>
      <c r="K84" s="185" t="s">
        <v>15</v>
      </c>
      <c r="L84" s="185" t="s">
        <v>309</v>
      </c>
      <c r="M84" s="185" t="s">
        <v>577</v>
      </c>
      <c r="N84" s="185" t="s">
        <v>572</v>
      </c>
      <c r="O84" s="185" t="s">
        <v>1</v>
      </c>
      <c r="P84" s="185" t="s">
        <v>1811</v>
      </c>
      <c r="Q84" s="185" t="s">
        <v>1817</v>
      </c>
      <c r="R84" s="185" t="s">
        <v>54</v>
      </c>
      <c r="S84" s="185" t="s">
        <v>319</v>
      </c>
      <c r="T84" s="185" t="s">
        <v>348</v>
      </c>
      <c r="U84" s="185" t="s">
        <v>232</v>
      </c>
      <c r="V84" s="197" t="s">
        <v>1845</v>
      </c>
      <c r="W84" s="185" t="s">
        <v>601</v>
      </c>
      <c r="X84" s="185" t="s">
        <v>370</v>
      </c>
      <c r="Y84" s="197" t="s">
        <v>1846</v>
      </c>
      <c r="Z84" s="197" t="s">
        <v>1847</v>
      </c>
      <c r="AA84" s="197" t="s">
        <v>1848</v>
      </c>
      <c r="AB84" s="197" t="s">
        <v>1849</v>
      </c>
      <c r="AC84" s="197" t="s">
        <v>1850</v>
      </c>
      <c r="AD84" s="197" t="s">
        <v>1502</v>
      </c>
      <c r="AE84" s="197" t="s">
        <v>1851</v>
      </c>
    </row>
    <row r="85" spans="1:31" ht="52" hidden="1" x14ac:dyDescent="0.25">
      <c r="A85" s="200" t="s">
        <v>552</v>
      </c>
      <c r="B85" s="185" t="s">
        <v>305</v>
      </c>
      <c r="C85" s="185" t="s">
        <v>1802</v>
      </c>
      <c r="D85" s="185">
        <v>8483</v>
      </c>
      <c r="E85" s="185" t="s">
        <v>33</v>
      </c>
      <c r="F85" s="185" t="s">
        <v>20</v>
      </c>
      <c r="G85" s="185" t="s">
        <v>356</v>
      </c>
      <c r="H85" s="185" t="s">
        <v>1445</v>
      </c>
      <c r="I85" s="193">
        <v>46151</v>
      </c>
      <c r="J85" s="195">
        <v>0.61527777777777781</v>
      </c>
      <c r="K85" s="185" t="s">
        <v>15</v>
      </c>
      <c r="L85" s="185" t="s">
        <v>307</v>
      </c>
      <c r="M85" s="185" t="s">
        <v>627</v>
      </c>
      <c r="N85" s="185" t="s">
        <v>1808</v>
      </c>
      <c r="O85" s="185" t="s">
        <v>1</v>
      </c>
      <c r="P85" s="185" t="s">
        <v>1812</v>
      </c>
      <c r="Q85" s="185" t="s">
        <v>1468</v>
      </c>
      <c r="R85" s="185" t="s">
        <v>54</v>
      </c>
      <c r="S85" s="185" t="s">
        <v>320</v>
      </c>
      <c r="T85" s="185" t="s">
        <v>349</v>
      </c>
      <c r="U85" s="185" t="s">
        <v>232</v>
      </c>
      <c r="V85" s="197" t="s">
        <v>1853</v>
      </c>
      <c r="W85" s="185" t="s">
        <v>1834</v>
      </c>
      <c r="X85" s="185" t="s">
        <v>374</v>
      </c>
      <c r="Y85" s="197" t="s">
        <v>1854</v>
      </c>
      <c r="Z85" s="197" t="s">
        <v>1855</v>
      </c>
      <c r="AA85" s="197" t="s">
        <v>1856</v>
      </c>
      <c r="AB85" s="197" t="s">
        <v>1857</v>
      </c>
      <c r="AC85" s="197" t="s">
        <v>1850</v>
      </c>
      <c r="AD85" s="197" t="s">
        <v>1502</v>
      </c>
      <c r="AE85" s="197" t="s">
        <v>1858</v>
      </c>
    </row>
    <row r="86" spans="1:31" ht="52" hidden="1" x14ac:dyDescent="0.25">
      <c r="A86" s="200" t="s">
        <v>552</v>
      </c>
      <c r="B86" s="185" t="s">
        <v>305</v>
      </c>
      <c r="C86" s="185" t="s">
        <v>1803</v>
      </c>
      <c r="D86" s="185">
        <v>9844</v>
      </c>
      <c r="E86" s="185" t="s">
        <v>247</v>
      </c>
      <c r="F86" s="185" t="s">
        <v>17</v>
      </c>
      <c r="G86" s="185" t="s">
        <v>23</v>
      </c>
      <c r="H86" s="185" t="s">
        <v>1445</v>
      </c>
      <c r="I86" s="193">
        <v>46155</v>
      </c>
      <c r="J86" s="195">
        <v>0.39583333333333331</v>
      </c>
      <c r="K86" s="185" t="s">
        <v>14</v>
      </c>
      <c r="L86" s="185" t="s">
        <v>1835</v>
      </c>
      <c r="M86" s="185" t="s">
        <v>1807</v>
      </c>
      <c r="N86" s="185" t="s">
        <v>1809</v>
      </c>
      <c r="O86" s="185" t="s">
        <v>1</v>
      </c>
      <c r="P86" s="185" t="s">
        <v>1813</v>
      </c>
      <c r="Q86" s="185" t="s">
        <v>1818</v>
      </c>
      <c r="R86" s="185" t="s">
        <v>118</v>
      </c>
      <c r="S86" s="185" t="s">
        <v>387</v>
      </c>
      <c r="T86" s="418"/>
      <c r="U86" s="185" t="s">
        <v>232</v>
      </c>
      <c r="V86" s="197" t="s">
        <v>1860</v>
      </c>
      <c r="W86" s="185" t="s">
        <v>1836</v>
      </c>
      <c r="X86" s="185" t="s">
        <v>73</v>
      </c>
      <c r="Y86" s="197" t="s">
        <v>1861</v>
      </c>
      <c r="Z86" s="197" t="s">
        <v>1862</v>
      </c>
      <c r="AA86" s="197" t="s">
        <v>1863</v>
      </c>
      <c r="AB86" s="197" t="s">
        <v>1864</v>
      </c>
      <c r="AC86" s="197" t="s">
        <v>1865</v>
      </c>
      <c r="AD86" s="197" t="s">
        <v>1866</v>
      </c>
      <c r="AE86" s="197" t="s">
        <v>1867</v>
      </c>
    </row>
    <row r="87" spans="1:31" s="405" customFormat="1" ht="39" hidden="1" x14ac:dyDescent="0.25">
      <c r="A87" s="404" t="s">
        <v>552</v>
      </c>
      <c r="B87" s="405" t="s">
        <v>305</v>
      </c>
      <c r="C87" s="405" t="s">
        <v>1733</v>
      </c>
      <c r="D87" s="405">
        <v>8787</v>
      </c>
      <c r="E87" s="405" t="s">
        <v>1804</v>
      </c>
      <c r="F87" s="405" t="s">
        <v>20</v>
      </c>
      <c r="G87" s="405" t="s">
        <v>142</v>
      </c>
      <c r="H87" s="405" t="s">
        <v>46</v>
      </c>
      <c r="I87" s="406">
        <v>46160</v>
      </c>
      <c r="J87" s="407">
        <v>0.41666666666666669</v>
      </c>
      <c r="K87" s="405" t="s">
        <v>14</v>
      </c>
      <c r="L87" s="405" t="s">
        <v>310</v>
      </c>
      <c r="M87" s="405" t="s">
        <v>57</v>
      </c>
      <c r="N87" s="405" t="s">
        <v>57</v>
      </c>
      <c r="O87" s="405" t="s">
        <v>2</v>
      </c>
      <c r="P87" s="405" t="s">
        <v>1814</v>
      </c>
      <c r="Q87" s="405" t="s">
        <v>1819</v>
      </c>
      <c r="R87" s="405" t="s">
        <v>54</v>
      </c>
      <c r="S87" s="405" t="s">
        <v>259</v>
      </c>
      <c r="T87" s="405" t="s">
        <v>321</v>
      </c>
      <c r="U87" s="405" t="s">
        <v>232</v>
      </c>
      <c r="V87" s="408" t="s">
        <v>1869</v>
      </c>
      <c r="W87" s="405" t="s">
        <v>1840</v>
      </c>
      <c r="X87" s="405" t="s">
        <v>376</v>
      </c>
      <c r="Y87" s="408" t="s">
        <v>1870</v>
      </c>
      <c r="Z87" s="408" t="s">
        <v>1871</v>
      </c>
      <c r="AA87" s="408" t="s">
        <v>1872</v>
      </c>
      <c r="AB87" s="408" t="s">
        <v>1873</v>
      </c>
      <c r="AC87" s="408" t="s">
        <v>1850</v>
      </c>
      <c r="AD87" s="408" t="s">
        <v>1502</v>
      </c>
      <c r="AE87" s="408" t="s">
        <v>1170</v>
      </c>
    </row>
    <row r="88" spans="1:31" ht="26" hidden="1" x14ac:dyDescent="0.25">
      <c r="A88" s="200" t="s">
        <v>552</v>
      </c>
      <c r="B88" s="185" t="s">
        <v>305</v>
      </c>
      <c r="C88" s="185" t="s">
        <v>1798</v>
      </c>
      <c r="D88" s="185">
        <v>8632</v>
      </c>
      <c r="E88" s="185" t="s">
        <v>1805</v>
      </c>
      <c r="F88" s="185" t="s">
        <v>203</v>
      </c>
      <c r="G88" s="185" t="s">
        <v>83</v>
      </c>
      <c r="H88" s="185" t="s">
        <v>46</v>
      </c>
      <c r="I88" s="193">
        <v>46160</v>
      </c>
      <c r="J88" s="195">
        <v>0.47916666666666669</v>
      </c>
      <c r="K88" s="185" t="s">
        <v>14</v>
      </c>
      <c r="L88" s="185" t="s">
        <v>589</v>
      </c>
      <c r="M88" s="185" t="s">
        <v>1456</v>
      </c>
      <c r="N88" s="185" t="s">
        <v>57</v>
      </c>
      <c r="O88" s="185" t="s">
        <v>53</v>
      </c>
      <c r="P88" s="185" t="s">
        <v>1815</v>
      </c>
      <c r="Q88" s="185" t="s">
        <v>1819</v>
      </c>
      <c r="R88" s="185" t="s">
        <v>54</v>
      </c>
      <c r="S88" s="185" t="s">
        <v>79</v>
      </c>
      <c r="T88" s="185" t="s">
        <v>506</v>
      </c>
      <c r="U88" s="185" t="s">
        <v>232</v>
      </c>
      <c r="V88" s="197" t="s">
        <v>1844</v>
      </c>
      <c r="W88" s="185" t="s">
        <v>1543</v>
      </c>
      <c r="X88" s="185" t="s">
        <v>381</v>
      </c>
      <c r="Y88" s="197" t="s">
        <v>1875</v>
      </c>
      <c r="Z88" s="197" t="s">
        <v>1459</v>
      </c>
      <c r="AA88" s="197" t="s">
        <v>1876</v>
      </c>
      <c r="AB88" s="197" t="s">
        <v>1877</v>
      </c>
      <c r="AC88" s="197" t="s">
        <v>1043</v>
      </c>
      <c r="AD88" s="197" t="s">
        <v>983</v>
      </c>
      <c r="AE88" s="197" t="s">
        <v>1851</v>
      </c>
    </row>
    <row r="89" spans="1:31" ht="39" hidden="1" x14ac:dyDescent="0.25">
      <c r="A89" s="200" t="s">
        <v>552</v>
      </c>
      <c r="B89" s="185" t="s">
        <v>305</v>
      </c>
      <c r="C89" s="185" t="s">
        <v>1799</v>
      </c>
      <c r="D89" s="185">
        <v>1425</v>
      </c>
      <c r="E89" s="185" t="s">
        <v>18</v>
      </c>
      <c r="F89" s="185" t="s">
        <v>86</v>
      </c>
      <c r="G89" s="185" t="s">
        <v>23</v>
      </c>
      <c r="H89" s="185" t="s">
        <v>585</v>
      </c>
      <c r="I89" s="193">
        <v>46160</v>
      </c>
      <c r="J89" s="195">
        <v>0.64583333333333337</v>
      </c>
      <c r="K89" s="185" t="s">
        <v>14</v>
      </c>
      <c r="L89" s="185" t="s">
        <v>309</v>
      </c>
      <c r="M89" s="185" t="s">
        <v>577</v>
      </c>
      <c r="N89" s="185" t="s">
        <v>572</v>
      </c>
      <c r="O89" s="185" t="s">
        <v>1</v>
      </c>
      <c r="P89" s="185" t="s">
        <v>1816</v>
      </c>
      <c r="Q89" s="185" t="s">
        <v>1819</v>
      </c>
      <c r="R89" s="185" t="s">
        <v>54</v>
      </c>
      <c r="S89" s="185" t="s">
        <v>319</v>
      </c>
      <c r="T89" s="185" t="s">
        <v>348</v>
      </c>
      <c r="U89" s="185" t="s">
        <v>232</v>
      </c>
      <c r="V89" s="197" t="s">
        <v>1879</v>
      </c>
      <c r="W89" s="185" t="s">
        <v>601</v>
      </c>
      <c r="X89" s="185" t="s">
        <v>370</v>
      </c>
      <c r="Y89" s="197" t="s">
        <v>1880</v>
      </c>
      <c r="Z89" s="197" t="s">
        <v>1884</v>
      </c>
      <c r="AA89" s="197" t="s">
        <v>1881</v>
      </c>
      <c r="AB89" s="197" t="s">
        <v>1877</v>
      </c>
      <c r="AC89" s="197" t="s">
        <v>1850</v>
      </c>
      <c r="AD89" s="197" t="s">
        <v>986</v>
      </c>
      <c r="AE89" s="197" t="s">
        <v>1851</v>
      </c>
    </row>
    <row r="90" spans="1:31" ht="39" hidden="1" x14ac:dyDescent="0.25">
      <c r="A90" s="200" t="s">
        <v>552</v>
      </c>
      <c r="B90" s="185" t="s">
        <v>305</v>
      </c>
      <c r="C90" s="185" t="s">
        <v>1800</v>
      </c>
      <c r="D90" s="185">
        <v>1207</v>
      </c>
      <c r="E90" s="185" t="s">
        <v>410</v>
      </c>
      <c r="F90" s="185" t="s">
        <v>86</v>
      </c>
      <c r="G90" s="185" t="s">
        <v>23</v>
      </c>
      <c r="H90" s="185" t="s">
        <v>585</v>
      </c>
      <c r="I90" s="193">
        <v>46160</v>
      </c>
      <c r="J90" s="195">
        <v>0.8125</v>
      </c>
      <c r="K90" s="185" t="s">
        <v>15</v>
      </c>
      <c r="L90" s="185" t="s">
        <v>309</v>
      </c>
      <c r="M90" s="185" t="s">
        <v>577</v>
      </c>
      <c r="N90" s="185" t="s">
        <v>1810</v>
      </c>
      <c r="O90" s="185" t="s">
        <v>1</v>
      </c>
      <c r="P90" s="185" t="s">
        <v>1816</v>
      </c>
      <c r="Q90" s="185" t="s">
        <v>1819</v>
      </c>
      <c r="R90" s="185" t="s">
        <v>54</v>
      </c>
      <c r="S90" s="185" t="s">
        <v>319</v>
      </c>
      <c r="T90" s="185" t="s">
        <v>348</v>
      </c>
      <c r="U90" s="185" t="s">
        <v>232</v>
      </c>
      <c r="V90" s="197" t="s">
        <v>1879</v>
      </c>
      <c r="W90" s="185" t="s">
        <v>1837</v>
      </c>
      <c r="X90" s="185" t="s">
        <v>370</v>
      </c>
      <c r="Y90" s="197" t="s">
        <v>1883</v>
      </c>
      <c r="Z90" s="197" t="s">
        <v>1885</v>
      </c>
      <c r="AA90" s="197" t="s">
        <v>1881</v>
      </c>
      <c r="AB90" s="197" t="s">
        <v>1877</v>
      </c>
      <c r="AC90" s="197" t="s">
        <v>1850</v>
      </c>
      <c r="AD90" s="197" t="s">
        <v>986</v>
      </c>
      <c r="AE90" s="197" t="s">
        <v>1851</v>
      </c>
    </row>
    <row r="91" spans="1:31" s="405" customFormat="1" hidden="1" x14ac:dyDescent="0.25">
      <c r="A91" s="404" t="s">
        <v>552</v>
      </c>
      <c r="B91" s="405" t="s">
        <v>304</v>
      </c>
      <c r="C91" s="405" t="s">
        <v>1731</v>
      </c>
      <c r="D91" s="405">
        <v>7023</v>
      </c>
      <c r="E91" s="405" t="s">
        <v>1827</v>
      </c>
      <c r="F91" s="405" t="s">
        <v>336</v>
      </c>
      <c r="G91" s="405" t="s">
        <v>1828</v>
      </c>
      <c r="H91" s="405" t="s">
        <v>416</v>
      </c>
      <c r="I91" s="406" t="s">
        <v>1829</v>
      </c>
      <c r="J91" s="407">
        <v>0.4236111111111111</v>
      </c>
      <c r="K91" s="405" t="s">
        <v>14</v>
      </c>
      <c r="L91" s="405" t="s">
        <v>500</v>
      </c>
      <c r="M91" s="405" t="s">
        <v>501</v>
      </c>
      <c r="N91" s="405" t="s">
        <v>1830</v>
      </c>
      <c r="O91" s="405" t="s">
        <v>2</v>
      </c>
      <c r="P91" s="405" t="s">
        <v>1831</v>
      </c>
      <c r="Q91" s="405" t="s">
        <v>420</v>
      </c>
      <c r="R91" s="405" t="s">
        <v>49</v>
      </c>
      <c r="S91" s="405" t="s">
        <v>391</v>
      </c>
      <c r="T91" s="405" t="s">
        <v>502</v>
      </c>
      <c r="U91" s="405" t="s">
        <v>147</v>
      </c>
      <c r="V91" s="408" t="s">
        <v>1886</v>
      </c>
      <c r="W91" s="405" t="s">
        <v>1838</v>
      </c>
      <c r="X91" s="405" t="s">
        <v>507</v>
      </c>
      <c r="Y91" s="408"/>
      <c r="Z91" s="408"/>
      <c r="AA91" s="408"/>
      <c r="AB91" s="408"/>
      <c r="AC91" s="408"/>
      <c r="AD91" s="408"/>
      <c r="AE91" s="408"/>
    </row>
    <row r="92" spans="1:31" ht="26" hidden="1" x14ac:dyDescent="0.25">
      <c r="A92" s="200" t="s">
        <v>552</v>
      </c>
      <c r="B92" s="185" t="s">
        <v>304</v>
      </c>
      <c r="C92" s="185" t="s">
        <v>1887</v>
      </c>
      <c r="D92" s="185">
        <v>8354</v>
      </c>
      <c r="E92" s="185" t="s">
        <v>1888</v>
      </c>
      <c r="F92" s="185" t="s">
        <v>337</v>
      </c>
      <c r="G92" s="185" t="s">
        <v>1889</v>
      </c>
      <c r="H92" s="185" t="s">
        <v>416</v>
      </c>
      <c r="I92" s="193" t="s">
        <v>1890</v>
      </c>
      <c r="J92" s="195">
        <v>0.28819444444444448</v>
      </c>
      <c r="K92" s="185" t="s">
        <v>13</v>
      </c>
      <c r="L92" s="185" t="s">
        <v>1891</v>
      </c>
      <c r="M92" s="185" t="s">
        <v>418</v>
      </c>
      <c r="N92" s="185" t="s">
        <v>57</v>
      </c>
      <c r="O92" s="185" t="s">
        <v>1</v>
      </c>
      <c r="P92" s="185" t="s">
        <v>1892</v>
      </c>
      <c r="Q92" s="185" t="s">
        <v>420</v>
      </c>
      <c r="R92" s="185" t="s">
        <v>54</v>
      </c>
      <c r="S92" s="185" t="s">
        <v>179</v>
      </c>
      <c r="T92" s="185" t="s">
        <v>398</v>
      </c>
      <c r="U92" s="185" t="s">
        <v>147</v>
      </c>
      <c r="V92" s="197" t="s">
        <v>1893</v>
      </c>
      <c r="W92" s="185" t="s">
        <v>1894</v>
      </c>
      <c r="X92" s="185" t="s">
        <v>1842</v>
      </c>
      <c r="Y92" s="197" t="s">
        <v>1895</v>
      </c>
      <c r="Z92" s="197" t="s">
        <v>1896</v>
      </c>
      <c r="AA92" s="197" t="s">
        <v>1897</v>
      </c>
      <c r="AB92" s="197" t="s">
        <v>57</v>
      </c>
      <c r="AC92" s="197" t="s">
        <v>57</v>
      </c>
      <c r="AD92" s="197" t="s">
        <v>1898</v>
      </c>
      <c r="AE92" s="197" t="s">
        <v>1899</v>
      </c>
    </row>
    <row r="93" spans="1:31" ht="26" hidden="1" x14ac:dyDescent="0.25">
      <c r="A93" s="200" t="s">
        <v>553</v>
      </c>
      <c r="B93" s="185" t="s">
        <v>305</v>
      </c>
      <c r="C93" s="185" t="s">
        <v>1916</v>
      </c>
      <c r="D93" s="185" t="s">
        <v>1914</v>
      </c>
      <c r="E93" s="185" t="s">
        <v>1915</v>
      </c>
      <c r="F93" s="185" t="s">
        <v>203</v>
      </c>
      <c r="G93" s="185" t="s">
        <v>1917</v>
      </c>
      <c r="H93" s="185" t="s">
        <v>1445</v>
      </c>
      <c r="I93" s="193" t="s">
        <v>1918</v>
      </c>
      <c r="J93" s="195">
        <v>0.44444444444444442</v>
      </c>
      <c r="K93" s="185" t="s">
        <v>14</v>
      </c>
      <c r="L93" s="185" t="s">
        <v>1919</v>
      </c>
      <c r="M93" s="185" t="s">
        <v>1920</v>
      </c>
      <c r="N93" s="185" t="s">
        <v>1921</v>
      </c>
      <c r="O93" s="185" t="s">
        <v>53</v>
      </c>
      <c r="P93" s="185" t="s">
        <v>1922</v>
      </c>
      <c r="Q93" s="185" t="s">
        <v>1923</v>
      </c>
      <c r="R93" s="185" t="s">
        <v>91</v>
      </c>
      <c r="S93" s="185" t="s">
        <v>456</v>
      </c>
      <c r="T93" s="185" t="s">
        <v>1924</v>
      </c>
      <c r="U93" s="185" t="s">
        <v>232</v>
      </c>
      <c r="V93" s="197" t="s">
        <v>1925</v>
      </c>
      <c r="W93" s="185" t="s">
        <v>1926</v>
      </c>
      <c r="X93" s="185" t="s">
        <v>1927</v>
      </c>
      <c r="Y93" s="422"/>
      <c r="Z93" s="422"/>
      <c r="AA93" s="422"/>
      <c r="AB93" s="197" t="s">
        <v>1849</v>
      </c>
      <c r="AC93" s="422"/>
      <c r="AD93" s="197" t="s">
        <v>1928</v>
      </c>
      <c r="AE93" s="422"/>
    </row>
    <row r="94" spans="1:31" ht="39" hidden="1" x14ac:dyDescent="0.25">
      <c r="A94" s="200" t="s">
        <v>553</v>
      </c>
      <c r="B94" s="185" t="s">
        <v>305</v>
      </c>
      <c r="C94" s="185" t="s">
        <v>1726</v>
      </c>
      <c r="D94" s="185">
        <v>818</v>
      </c>
      <c r="E94" s="185" t="s">
        <v>18</v>
      </c>
      <c r="F94" s="185" t="s">
        <v>336</v>
      </c>
      <c r="G94" s="185" t="s">
        <v>23</v>
      </c>
      <c r="H94" s="185" t="s">
        <v>1806</v>
      </c>
      <c r="I94" s="193">
        <v>46186</v>
      </c>
      <c r="J94" s="195">
        <v>1.3888888888888888E-2</v>
      </c>
      <c r="K94" s="185" t="s">
        <v>13</v>
      </c>
      <c r="L94" s="185" t="s">
        <v>309</v>
      </c>
      <c r="M94" s="185" t="s">
        <v>577</v>
      </c>
      <c r="N94" s="185" t="s">
        <v>628</v>
      </c>
      <c r="O94" s="185" t="s">
        <v>1</v>
      </c>
      <c r="P94" s="185" t="s">
        <v>1475</v>
      </c>
      <c r="Q94" s="185" t="s">
        <v>1468</v>
      </c>
      <c r="R94" s="185" t="s">
        <v>54</v>
      </c>
      <c r="S94" s="185" t="s">
        <v>319</v>
      </c>
      <c r="T94" s="185" t="s">
        <v>348</v>
      </c>
      <c r="U94" s="185" t="s">
        <v>232</v>
      </c>
      <c r="V94" s="197" t="s">
        <v>1934</v>
      </c>
      <c r="W94" s="185" t="s">
        <v>645</v>
      </c>
      <c r="X94" s="185" t="s">
        <v>370</v>
      </c>
      <c r="Y94" s="197" t="s">
        <v>1939</v>
      </c>
      <c r="Z94" s="197" t="s">
        <v>1940</v>
      </c>
      <c r="AA94" s="197" t="s">
        <v>831</v>
      </c>
      <c r="AB94" s="197" t="s">
        <v>1849</v>
      </c>
      <c r="AC94" s="422"/>
      <c r="AD94" s="197" t="s">
        <v>1937</v>
      </c>
      <c r="AE94" s="422"/>
    </row>
    <row r="95" spans="1:31" ht="26" hidden="1" x14ac:dyDescent="0.25">
      <c r="A95" s="200" t="s">
        <v>553</v>
      </c>
      <c r="B95" s="185" t="s">
        <v>305</v>
      </c>
      <c r="C95" s="185" t="s">
        <v>1929</v>
      </c>
      <c r="D95" s="185">
        <v>8473</v>
      </c>
      <c r="E95" s="185" t="s">
        <v>33</v>
      </c>
      <c r="F95" s="197" t="s">
        <v>1999</v>
      </c>
      <c r="G95" s="185" t="s">
        <v>23</v>
      </c>
      <c r="H95" s="185" t="s">
        <v>585</v>
      </c>
      <c r="I95" s="193">
        <v>46189</v>
      </c>
      <c r="J95" s="195">
        <v>0.37847222222222227</v>
      </c>
      <c r="K95" s="185" t="s">
        <v>14</v>
      </c>
      <c r="L95" s="185" t="s">
        <v>309</v>
      </c>
      <c r="M95" s="185" t="s">
        <v>577</v>
      </c>
      <c r="N95" s="185" t="s">
        <v>57</v>
      </c>
      <c r="O95" s="185" t="s">
        <v>1</v>
      </c>
      <c r="P95" s="197" t="s">
        <v>1989</v>
      </c>
      <c r="Q95" s="185" t="s">
        <v>1933</v>
      </c>
      <c r="R95" s="185" t="s">
        <v>54</v>
      </c>
      <c r="S95" s="185" t="s">
        <v>319</v>
      </c>
      <c r="T95" s="185" t="s">
        <v>348</v>
      </c>
      <c r="U95" s="185" t="s">
        <v>232</v>
      </c>
      <c r="V95" s="197" t="s">
        <v>1935</v>
      </c>
      <c r="W95" s="185" t="s">
        <v>2002</v>
      </c>
      <c r="X95" s="185" t="s">
        <v>370</v>
      </c>
      <c r="Y95" s="197" t="s">
        <v>1941</v>
      </c>
      <c r="Z95" s="197" t="s">
        <v>1942</v>
      </c>
      <c r="AA95" s="197" t="s">
        <v>1943</v>
      </c>
      <c r="AB95" s="197" t="s">
        <v>1864</v>
      </c>
      <c r="AC95" s="422"/>
      <c r="AD95" s="197" t="s">
        <v>1937</v>
      </c>
      <c r="AE95" s="422"/>
    </row>
    <row r="96" spans="1:31" ht="26" hidden="1" x14ac:dyDescent="0.25">
      <c r="A96" s="200" t="s">
        <v>553</v>
      </c>
      <c r="B96" s="185" t="s">
        <v>305</v>
      </c>
      <c r="C96" s="185" t="s">
        <v>1930</v>
      </c>
      <c r="D96" s="185">
        <v>7235</v>
      </c>
      <c r="E96" s="185" t="s">
        <v>172</v>
      </c>
      <c r="F96" s="185" t="s">
        <v>141</v>
      </c>
      <c r="G96" s="185" t="s">
        <v>142</v>
      </c>
      <c r="H96" s="185" t="s">
        <v>1445</v>
      </c>
      <c r="I96" s="193">
        <v>46193</v>
      </c>
      <c r="J96" s="195">
        <v>0.14583333333333334</v>
      </c>
      <c r="K96" s="185" t="s">
        <v>13</v>
      </c>
      <c r="L96" s="185" t="s">
        <v>310</v>
      </c>
      <c r="M96" s="185" t="s">
        <v>365</v>
      </c>
      <c r="N96" s="185" t="s">
        <v>1931</v>
      </c>
      <c r="O96" s="185" t="s">
        <v>1</v>
      </c>
      <c r="P96" s="185" t="s">
        <v>1932</v>
      </c>
      <c r="Q96" s="185" t="s">
        <v>1818</v>
      </c>
      <c r="R96" s="185" t="s">
        <v>54</v>
      </c>
      <c r="S96" s="185" t="s">
        <v>259</v>
      </c>
      <c r="T96" s="185" t="s">
        <v>321</v>
      </c>
      <c r="U96" s="185" t="s">
        <v>232</v>
      </c>
      <c r="V96" s="197" t="s">
        <v>1936</v>
      </c>
      <c r="W96" s="185" t="s">
        <v>2003</v>
      </c>
      <c r="X96" s="185" t="s">
        <v>376</v>
      </c>
      <c r="Y96" s="197" t="s">
        <v>1944</v>
      </c>
      <c r="Z96" s="197" t="s">
        <v>1945</v>
      </c>
      <c r="AA96" s="197" t="s">
        <v>1459</v>
      </c>
      <c r="AB96" s="197" t="s">
        <v>1849</v>
      </c>
      <c r="AC96" s="422"/>
      <c r="AD96" s="197" t="s">
        <v>1938</v>
      </c>
      <c r="AE96" s="422"/>
    </row>
    <row r="97" spans="1:31" ht="26" hidden="1" x14ac:dyDescent="0.25">
      <c r="A97" s="200" t="s">
        <v>553</v>
      </c>
      <c r="B97" s="185" t="s">
        <v>304</v>
      </c>
      <c r="C97" s="185" t="s">
        <v>1725</v>
      </c>
      <c r="D97" s="185">
        <v>301</v>
      </c>
      <c r="E97" s="185" t="s">
        <v>1948</v>
      </c>
      <c r="F97" s="185" t="s">
        <v>335</v>
      </c>
      <c r="G97" s="185" t="s">
        <v>181</v>
      </c>
      <c r="H97" s="185" t="s">
        <v>46</v>
      </c>
      <c r="I97" s="193">
        <v>46181</v>
      </c>
      <c r="J97" s="195">
        <v>0</v>
      </c>
      <c r="K97" s="185" t="s">
        <v>13</v>
      </c>
      <c r="L97" s="185" t="s">
        <v>589</v>
      </c>
      <c r="M97" s="185" t="s">
        <v>1987</v>
      </c>
      <c r="N97" s="185" t="s">
        <v>1808</v>
      </c>
      <c r="O97" s="185" t="s">
        <v>1</v>
      </c>
      <c r="P97" s="185" t="s">
        <v>1960</v>
      </c>
      <c r="Q97" s="185" t="s">
        <v>692</v>
      </c>
      <c r="R97" s="185" t="s">
        <v>54</v>
      </c>
      <c r="S97" s="185" t="s">
        <v>79</v>
      </c>
      <c r="T97" s="185" t="s">
        <v>327</v>
      </c>
      <c r="U97" s="185" t="s">
        <v>346</v>
      </c>
      <c r="V97" s="197" t="s">
        <v>181</v>
      </c>
      <c r="W97" s="185" t="s">
        <v>1990</v>
      </c>
      <c r="X97" s="185" t="s">
        <v>382</v>
      </c>
      <c r="Y97" s="197" t="s">
        <v>1966</v>
      </c>
      <c r="Z97" s="197" t="s">
        <v>1968</v>
      </c>
      <c r="AA97" s="197" t="s">
        <v>831</v>
      </c>
      <c r="AB97" s="197" t="s">
        <v>1864</v>
      </c>
      <c r="AC97" s="197" t="s">
        <v>1079</v>
      </c>
      <c r="AD97" s="197" t="s">
        <v>1502</v>
      </c>
      <c r="AE97" s="197" t="s">
        <v>1851</v>
      </c>
    </row>
    <row r="98" spans="1:31" ht="26" hidden="1" x14ac:dyDescent="0.25">
      <c r="A98" s="200" t="s">
        <v>553</v>
      </c>
      <c r="B98" s="185" t="s">
        <v>304</v>
      </c>
      <c r="C98" s="185" t="s">
        <v>1735</v>
      </c>
      <c r="D98" s="185">
        <v>9580</v>
      </c>
      <c r="E98" s="185" t="s">
        <v>130</v>
      </c>
      <c r="F98" s="185" t="s">
        <v>335</v>
      </c>
      <c r="G98" s="185" t="s">
        <v>1952</v>
      </c>
      <c r="H98" s="185" t="s">
        <v>416</v>
      </c>
      <c r="I98" s="193">
        <v>46182</v>
      </c>
      <c r="J98" s="195">
        <v>0.70833333333333337</v>
      </c>
      <c r="K98" s="185" t="s">
        <v>15</v>
      </c>
      <c r="L98" s="185" t="s">
        <v>852</v>
      </c>
      <c r="M98" s="185" t="s">
        <v>1988</v>
      </c>
      <c r="N98" s="185" t="s">
        <v>1957</v>
      </c>
      <c r="O98" s="185" t="s">
        <v>1</v>
      </c>
      <c r="P98" s="185" t="s">
        <v>1961</v>
      </c>
      <c r="Q98" s="185" t="s">
        <v>109</v>
      </c>
      <c r="R98" s="185" t="s">
        <v>49</v>
      </c>
      <c r="S98" s="185" t="s">
        <v>125</v>
      </c>
      <c r="T98" s="185" t="s">
        <v>392</v>
      </c>
      <c r="U98" s="185" t="s">
        <v>346</v>
      </c>
      <c r="V98" s="197" t="s">
        <v>1964</v>
      </c>
      <c r="W98" s="185" t="s">
        <v>1991</v>
      </c>
      <c r="X98" s="185" t="s">
        <v>443</v>
      </c>
      <c r="Y98" s="197" t="s">
        <v>1966</v>
      </c>
      <c r="Z98" s="197" t="s">
        <v>1969</v>
      </c>
      <c r="AA98" s="197" t="s">
        <v>831</v>
      </c>
      <c r="AB98" s="197" t="s">
        <v>1864</v>
      </c>
      <c r="AD98" s="197" t="s">
        <v>1243</v>
      </c>
    </row>
    <row r="99" spans="1:31" ht="26" hidden="1" x14ac:dyDescent="0.25">
      <c r="A99" s="200" t="s">
        <v>553</v>
      </c>
      <c r="B99" s="185" t="s">
        <v>304</v>
      </c>
      <c r="C99" s="185" t="s">
        <v>1946</v>
      </c>
      <c r="D99" s="185">
        <v>3107</v>
      </c>
      <c r="E99" s="185" t="s">
        <v>1950</v>
      </c>
      <c r="F99" s="185" t="s">
        <v>141</v>
      </c>
      <c r="G99" s="185" t="s">
        <v>1954</v>
      </c>
      <c r="H99" s="185" t="s">
        <v>416</v>
      </c>
      <c r="I99" s="193">
        <v>46203</v>
      </c>
      <c r="J99" s="195">
        <v>0.4375</v>
      </c>
      <c r="K99" s="185" t="s">
        <v>14</v>
      </c>
      <c r="L99" s="185" t="s">
        <v>1955</v>
      </c>
      <c r="M99" s="185" t="s">
        <v>1983</v>
      </c>
      <c r="N99" s="185" t="s">
        <v>1959</v>
      </c>
      <c r="O99" s="185" t="s">
        <v>1</v>
      </c>
      <c r="P99" s="185" t="s">
        <v>1962</v>
      </c>
      <c r="Q99" s="185" t="s">
        <v>346</v>
      </c>
      <c r="R99" s="185" t="s">
        <v>112</v>
      </c>
      <c r="S99" s="185" t="s">
        <v>113</v>
      </c>
      <c r="T99" s="185" t="s">
        <v>399</v>
      </c>
      <c r="U99" s="185" t="s">
        <v>346</v>
      </c>
      <c r="V99" s="197" t="s">
        <v>1965</v>
      </c>
      <c r="W99" s="185" t="s">
        <v>1992</v>
      </c>
      <c r="X99" s="185" t="s">
        <v>2004</v>
      </c>
      <c r="Y99" s="197" t="s">
        <v>1967</v>
      </c>
      <c r="Z99" s="197" t="s">
        <v>1970</v>
      </c>
      <c r="AA99" s="197" t="s">
        <v>831</v>
      </c>
      <c r="AB99" s="197" t="s">
        <v>57</v>
      </c>
      <c r="AC99" s="197" t="s">
        <v>57</v>
      </c>
      <c r="AD99" s="197" t="s">
        <v>1971</v>
      </c>
      <c r="AE99" s="197" t="s">
        <v>57</v>
      </c>
    </row>
    <row r="100" spans="1:31" hidden="1" x14ac:dyDescent="0.25">
      <c r="A100" s="200" t="s">
        <v>553</v>
      </c>
      <c r="B100" s="185" t="s">
        <v>304</v>
      </c>
      <c r="C100" s="185" t="s">
        <v>1947</v>
      </c>
      <c r="D100" s="185">
        <v>8667</v>
      </c>
      <c r="E100" s="185" t="s">
        <v>1951</v>
      </c>
      <c r="F100" s="185" t="s">
        <v>25</v>
      </c>
      <c r="G100" s="185" t="s">
        <v>1828</v>
      </c>
      <c r="H100" s="185" t="s">
        <v>416</v>
      </c>
      <c r="I100" s="193">
        <v>46203</v>
      </c>
      <c r="J100" s="195">
        <v>0.54166666666666663</v>
      </c>
      <c r="K100" s="185" t="s">
        <v>14</v>
      </c>
      <c r="L100" s="185" t="s">
        <v>1891</v>
      </c>
      <c r="M100" s="185" t="s">
        <v>1777</v>
      </c>
      <c r="N100" s="185" t="s">
        <v>1778</v>
      </c>
      <c r="O100" s="185" t="s">
        <v>0</v>
      </c>
      <c r="P100" s="185" t="s">
        <v>1963</v>
      </c>
      <c r="Q100" s="185" t="s">
        <v>346</v>
      </c>
      <c r="R100" s="185" t="s">
        <v>112</v>
      </c>
      <c r="S100" s="185" t="s">
        <v>179</v>
      </c>
      <c r="T100" s="185" t="s">
        <v>403</v>
      </c>
      <c r="U100" s="185" t="s">
        <v>346</v>
      </c>
      <c r="V100" s="197" t="s">
        <v>1828</v>
      </c>
      <c r="W100" s="185" t="s">
        <v>1780</v>
      </c>
      <c r="X100" s="185" t="s">
        <v>2011</v>
      </c>
      <c r="Y100" s="197" t="s">
        <v>57</v>
      </c>
      <c r="Z100" s="197" t="s">
        <v>57</v>
      </c>
      <c r="AA100" s="197" t="s">
        <v>57</v>
      </c>
      <c r="AB100" s="422" t="s">
        <v>57</v>
      </c>
      <c r="AC100" s="422" t="s">
        <v>1079</v>
      </c>
      <c r="AD100" s="422" t="s">
        <v>57</v>
      </c>
      <c r="AE100" s="422" t="s">
        <v>57</v>
      </c>
    </row>
    <row r="101" spans="1:31" ht="26" hidden="1" x14ac:dyDescent="0.25">
      <c r="A101" s="200" t="s">
        <v>553</v>
      </c>
      <c r="B101" s="185" t="s">
        <v>304</v>
      </c>
      <c r="C101" s="185" t="s">
        <v>869</v>
      </c>
      <c r="D101" s="185" t="s">
        <v>676</v>
      </c>
      <c r="E101" s="185" t="s">
        <v>682</v>
      </c>
      <c r="F101" s="185" t="s">
        <v>122</v>
      </c>
      <c r="G101" s="185" t="s">
        <v>1994</v>
      </c>
      <c r="H101" s="185" t="s">
        <v>416</v>
      </c>
      <c r="I101" s="193" t="s">
        <v>1995</v>
      </c>
      <c r="J101" s="195">
        <v>0.55555555555555558</v>
      </c>
      <c r="K101" s="185" t="s">
        <v>14</v>
      </c>
      <c r="L101" s="185" t="s">
        <v>57</v>
      </c>
      <c r="M101" s="185" t="s">
        <v>57</v>
      </c>
      <c r="N101" s="185" t="s">
        <v>57</v>
      </c>
      <c r="O101" s="185" t="s">
        <v>693</v>
      </c>
      <c r="P101" s="185" t="s">
        <v>705</v>
      </c>
      <c r="Q101" s="185" t="s">
        <v>346</v>
      </c>
      <c r="R101" s="185" t="s">
        <v>91</v>
      </c>
      <c r="S101" s="185" t="s">
        <v>98</v>
      </c>
      <c r="T101" s="185" t="s">
        <v>697</v>
      </c>
      <c r="U101" s="185" t="s">
        <v>147</v>
      </c>
      <c r="V101" s="197" t="s">
        <v>1996</v>
      </c>
      <c r="W101" s="185" t="s">
        <v>57</v>
      </c>
      <c r="X101" s="185" t="s">
        <v>706</v>
      </c>
      <c r="Y101" s="197" t="s">
        <v>57</v>
      </c>
      <c r="Z101" s="197" t="s">
        <v>57</v>
      </c>
      <c r="AA101" s="197" t="s">
        <v>57</v>
      </c>
      <c r="AB101" s="197" t="s">
        <v>57</v>
      </c>
      <c r="AC101" s="197" t="s">
        <v>57</v>
      </c>
      <c r="AD101" s="197" t="s">
        <v>1928</v>
      </c>
      <c r="AE101" s="197" t="s">
        <v>57</v>
      </c>
    </row>
    <row r="102" spans="1:31" ht="39" hidden="1" x14ac:dyDescent="0.25">
      <c r="A102" s="200" t="s">
        <v>554</v>
      </c>
      <c r="B102" s="185" t="s">
        <v>305</v>
      </c>
      <c r="C102" s="185" t="s">
        <v>1728</v>
      </c>
      <c r="D102" s="185">
        <v>1622</v>
      </c>
      <c r="E102" s="185" t="s">
        <v>18</v>
      </c>
      <c r="F102" s="185" t="s">
        <v>2001</v>
      </c>
      <c r="G102" s="185" t="s">
        <v>89</v>
      </c>
      <c r="H102" s="185" t="s">
        <v>46</v>
      </c>
      <c r="I102" s="193">
        <v>46204</v>
      </c>
      <c r="J102" s="195">
        <v>0.92361111111111116</v>
      </c>
      <c r="K102" s="185" t="s">
        <v>15</v>
      </c>
      <c r="L102" s="185" t="s">
        <v>309</v>
      </c>
      <c r="M102" s="185" t="s">
        <v>308</v>
      </c>
      <c r="N102" s="185" t="s">
        <v>316</v>
      </c>
      <c r="O102" s="185" t="s">
        <v>53</v>
      </c>
      <c r="P102" s="185" t="s">
        <v>2041</v>
      </c>
      <c r="Q102" s="185" t="s">
        <v>2050</v>
      </c>
      <c r="R102" s="185" t="s">
        <v>54</v>
      </c>
      <c r="S102" s="185" t="s">
        <v>319</v>
      </c>
      <c r="T102" s="185" t="s">
        <v>283</v>
      </c>
      <c r="U102" s="185" t="s">
        <v>232</v>
      </c>
      <c r="V102" s="197" t="s">
        <v>2055</v>
      </c>
      <c r="W102" s="185" t="s">
        <v>358</v>
      </c>
      <c r="X102" s="185" t="s">
        <v>371</v>
      </c>
      <c r="Y102" s="197" t="s">
        <v>2065</v>
      </c>
      <c r="Z102" s="197" t="s">
        <v>2066</v>
      </c>
      <c r="AA102" s="197" t="s">
        <v>2067</v>
      </c>
      <c r="AB102" s="197" t="s">
        <v>2084</v>
      </c>
      <c r="AC102" s="197" t="s">
        <v>1043</v>
      </c>
      <c r="AD102" s="197" t="s">
        <v>1928</v>
      </c>
    </row>
    <row r="103" spans="1:31" ht="39" hidden="1" x14ac:dyDescent="0.25">
      <c r="A103" s="200" t="s">
        <v>554</v>
      </c>
      <c r="B103" s="185" t="s">
        <v>305</v>
      </c>
      <c r="C103" s="185" t="s">
        <v>2017</v>
      </c>
      <c r="D103" s="185">
        <v>7873</v>
      </c>
      <c r="E103" s="185" t="s">
        <v>18</v>
      </c>
      <c r="F103" s="185" t="s">
        <v>335</v>
      </c>
      <c r="G103" s="185" t="s">
        <v>83</v>
      </c>
      <c r="H103" s="185" t="s">
        <v>2032</v>
      </c>
      <c r="I103" s="193">
        <v>46208</v>
      </c>
      <c r="J103" s="195">
        <v>0.5</v>
      </c>
      <c r="K103" s="185" t="s">
        <v>13</v>
      </c>
      <c r="L103" s="185" t="s">
        <v>309</v>
      </c>
      <c r="M103" s="185" t="s">
        <v>577</v>
      </c>
      <c r="N103" s="185" t="s">
        <v>1810</v>
      </c>
      <c r="O103" s="185" t="s">
        <v>1</v>
      </c>
      <c r="P103" s="185" t="s">
        <v>2042</v>
      </c>
      <c r="Q103" s="185" t="s">
        <v>232</v>
      </c>
      <c r="R103" s="185" t="s">
        <v>54</v>
      </c>
      <c r="S103" s="185" t="s">
        <v>319</v>
      </c>
      <c r="T103" s="185" t="s">
        <v>348</v>
      </c>
      <c r="U103" s="185" t="s">
        <v>232</v>
      </c>
      <c r="V103" s="197" t="s">
        <v>2056</v>
      </c>
      <c r="W103" s="185" t="s">
        <v>1837</v>
      </c>
      <c r="X103" s="185" t="s">
        <v>370</v>
      </c>
      <c r="Y103" s="197" t="s">
        <v>2068</v>
      </c>
      <c r="Z103" s="197" t="s">
        <v>2069</v>
      </c>
      <c r="AA103" s="197" t="s">
        <v>2070</v>
      </c>
      <c r="AB103" s="197" t="s">
        <v>2084</v>
      </c>
      <c r="AD103" s="197" t="s">
        <v>979</v>
      </c>
    </row>
    <row r="104" spans="1:31" ht="26" hidden="1" x14ac:dyDescent="0.25">
      <c r="A104" s="200" t="s">
        <v>554</v>
      </c>
      <c r="B104" s="185" t="s">
        <v>305</v>
      </c>
      <c r="C104" s="185" t="s">
        <v>1734</v>
      </c>
      <c r="D104" s="185">
        <v>9554</v>
      </c>
      <c r="E104" s="185" t="s">
        <v>33</v>
      </c>
      <c r="F104" s="185" t="s">
        <v>24</v>
      </c>
      <c r="G104" s="185" t="s">
        <v>23</v>
      </c>
      <c r="H104" s="185" t="s">
        <v>2031</v>
      </c>
      <c r="I104" s="193">
        <v>46210</v>
      </c>
      <c r="J104" s="195">
        <v>0.47916666666666669</v>
      </c>
      <c r="K104" s="185" t="s">
        <v>14</v>
      </c>
      <c r="L104" s="185" t="s">
        <v>309</v>
      </c>
      <c r="M104" s="185" t="s">
        <v>577</v>
      </c>
      <c r="N104" s="185" t="s">
        <v>57</v>
      </c>
      <c r="O104" s="185" t="s">
        <v>1</v>
      </c>
      <c r="P104" s="185" t="s">
        <v>2043</v>
      </c>
      <c r="Q104" s="185" t="s">
        <v>2050</v>
      </c>
      <c r="R104" s="185" t="s">
        <v>54</v>
      </c>
      <c r="S104" s="185" t="s">
        <v>319</v>
      </c>
      <c r="T104" s="185" t="s">
        <v>348</v>
      </c>
      <c r="U104" s="185" t="s">
        <v>232</v>
      </c>
      <c r="V104" s="197" t="s">
        <v>2057</v>
      </c>
      <c r="W104" s="185" t="s">
        <v>2002</v>
      </c>
      <c r="X104" s="185" t="s">
        <v>370</v>
      </c>
      <c r="Y104" s="197" t="s">
        <v>2071</v>
      </c>
      <c r="Z104" s="197" t="s">
        <v>2072</v>
      </c>
      <c r="AA104" s="197" t="s">
        <v>2067</v>
      </c>
      <c r="AB104" s="197" t="s">
        <v>2084</v>
      </c>
      <c r="AD104" s="197" t="s">
        <v>2085</v>
      </c>
    </row>
    <row r="105" spans="1:31" ht="26" hidden="1" x14ac:dyDescent="0.25">
      <c r="A105" s="200" t="s">
        <v>554</v>
      </c>
      <c r="B105" s="185" t="s">
        <v>305</v>
      </c>
      <c r="C105" s="185" t="s">
        <v>2018</v>
      </c>
      <c r="D105" s="185">
        <v>7140</v>
      </c>
      <c r="E105" s="185" t="s">
        <v>41</v>
      </c>
      <c r="F105" s="185" t="s">
        <v>336</v>
      </c>
      <c r="G105" s="185" t="s">
        <v>83</v>
      </c>
      <c r="H105" s="185" t="s">
        <v>46</v>
      </c>
      <c r="I105" s="193">
        <v>46211</v>
      </c>
      <c r="J105" s="195">
        <v>0.75</v>
      </c>
      <c r="K105" s="185" t="s">
        <v>15</v>
      </c>
      <c r="L105" s="185" t="s">
        <v>589</v>
      </c>
      <c r="M105" s="185" t="s">
        <v>1456</v>
      </c>
      <c r="N105" s="185" t="s">
        <v>57</v>
      </c>
      <c r="O105" s="185" t="s">
        <v>1</v>
      </c>
      <c r="P105" s="185" t="s">
        <v>2044</v>
      </c>
      <c r="Q105" s="185" t="s">
        <v>57</v>
      </c>
      <c r="R105" s="185" t="s">
        <v>54</v>
      </c>
      <c r="S105" s="185" t="s">
        <v>79</v>
      </c>
      <c r="T105" s="185" t="s">
        <v>506</v>
      </c>
      <c r="U105" s="185" t="s">
        <v>232</v>
      </c>
      <c r="V105" s="197" t="s">
        <v>2058</v>
      </c>
      <c r="W105" s="185" t="s">
        <v>1543</v>
      </c>
      <c r="X105" s="185" t="s">
        <v>381</v>
      </c>
      <c r="Y105" s="197" t="s">
        <v>520</v>
      </c>
      <c r="Z105" s="197" t="s">
        <v>2073</v>
      </c>
      <c r="AA105" s="197" t="s">
        <v>2074</v>
      </c>
      <c r="AB105" s="197" t="s">
        <v>1864</v>
      </c>
      <c r="AD105" s="197" t="s">
        <v>2085</v>
      </c>
    </row>
    <row r="106" spans="1:31" ht="26" hidden="1" x14ac:dyDescent="0.25">
      <c r="A106" s="200" t="s">
        <v>554</v>
      </c>
      <c r="B106" s="185" t="s">
        <v>305</v>
      </c>
      <c r="C106" s="185" t="s">
        <v>2019</v>
      </c>
      <c r="D106" s="185" t="s">
        <v>2023</v>
      </c>
      <c r="E106" s="185" t="s">
        <v>1536</v>
      </c>
      <c r="F106" s="185" t="s">
        <v>2028</v>
      </c>
      <c r="G106" s="185" t="s">
        <v>52</v>
      </c>
      <c r="H106" s="185" t="s">
        <v>2031</v>
      </c>
      <c r="I106" s="193">
        <v>46216</v>
      </c>
      <c r="J106" s="195">
        <v>0.13541666666666666</v>
      </c>
      <c r="K106" s="185" t="s">
        <v>13</v>
      </c>
      <c r="L106" s="185" t="s">
        <v>2036</v>
      </c>
      <c r="M106" s="185" t="s">
        <v>57</v>
      </c>
      <c r="N106" s="185" t="s">
        <v>2035</v>
      </c>
      <c r="O106" s="185" t="s">
        <v>1</v>
      </c>
      <c r="P106" s="185" t="s">
        <v>2045</v>
      </c>
      <c r="Q106" s="185" t="s">
        <v>2051</v>
      </c>
      <c r="R106" s="185" t="s">
        <v>54</v>
      </c>
      <c r="S106" s="185" t="s">
        <v>47</v>
      </c>
      <c r="T106" s="185" t="s">
        <v>166</v>
      </c>
      <c r="U106" s="185" t="s">
        <v>232</v>
      </c>
      <c r="V106" s="197" t="s">
        <v>2059</v>
      </c>
      <c r="W106" s="185" t="s">
        <v>188</v>
      </c>
      <c r="X106" s="185" t="s">
        <v>188</v>
      </c>
      <c r="AB106" s="197" t="s">
        <v>942</v>
      </c>
      <c r="AD106" s="197" t="s">
        <v>2086</v>
      </c>
    </row>
    <row r="107" spans="1:31" ht="26" hidden="1" x14ac:dyDescent="0.25">
      <c r="A107" s="200" t="s">
        <v>554</v>
      </c>
      <c r="B107" s="185" t="s">
        <v>305</v>
      </c>
      <c r="C107" s="185" t="s">
        <v>2020</v>
      </c>
      <c r="D107" s="185" t="s">
        <v>2024</v>
      </c>
      <c r="E107" s="185" t="s">
        <v>1536</v>
      </c>
      <c r="F107" s="185" t="s">
        <v>2028</v>
      </c>
      <c r="G107" s="185" t="s">
        <v>52</v>
      </c>
      <c r="H107" s="185" t="s">
        <v>2031</v>
      </c>
      <c r="I107" s="193">
        <v>46216</v>
      </c>
      <c r="J107" s="195">
        <v>0.13541666666666666</v>
      </c>
      <c r="K107" s="185" t="s">
        <v>13</v>
      </c>
      <c r="L107" s="185" t="s">
        <v>2036</v>
      </c>
      <c r="M107" s="185" t="s">
        <v>57</v>
      </c>
      <c r="N107" s="185" t="s">
        <v>2035</v>
      </c>
      <c r="O107" s="185" t="s">
        <v>1</v>
      </c>
      <c r="P107" s="185" t="s">
        <v>2045</v>
      </c>
      <c r="Q107" s="185" t="s">
        <v>2051</v>
      </c>
      <c r="R107" s="185" t="s">
        <v>54</v>
      </c>
      <c r="S107" s="185" t="s">
        <v>47</v>
      </c>
      <c r="T107" s="185" t="s">
        <v>166</v>
      </c>
      <c r="U107" s="185" t="s">
        <v>232</v>
      </c>
      <c r="V107" s="197" t="s">
        <v>2059</v>
      </c>
      <c r="W107" s="185" t="s">
        <v>188</v>
      </c>
      <c r="X107" s="185" t="s">
        <v>188</v>
      </c>
      <c r="AB107" s="197" t="s">
        <v>942</v>
      </c>
      <c r="AD107" s="197" t="s">
        <v>2086</v>
      </c>
    </row>
    <row r="108" spans="1:31" ht="26" hidden="1" x14ac:dyDescent="0.25">
      <c r="A108" s="200" t="s">
        <v>554</v>
      </c>
      <c r="B108" s="185" t="s">
        <v>305</v>
      </c>
      <c r="C108" s="185" t="s">
        <v>2021</v>
      </c>
      <c r="D108" s="185" t="s">
        <v>2025</v>
      </c>
      <c r="E108" s="185" t="s">
        <v>1536</v>
      </c>
      <c r="F108" s="185" t="s">
        <v>2028</v>
      </c>
      <c r="G108" s="185" t="s">
        <v>52</v>
      </c>
      <c r="H108" s="185" t="s">
        <v>2031</v>
      </c>
      <c r="I108" s="193">
        <v>46216</v>
      </c>
      <c r="J108" s="195">
        <v>0.13541666666666666</v>
      </c>
      <c r="K108" s="185" t="s">
        <v>13</v>
      </c>
      <c r="L108" s="185" t="s">
        <v>2036</v>
      </c>
      <c r="M108" s="185" t="s">
        <v>57</v>
      </c>
      <c r="N108" s="185" t="s">
        <v>2035</v>
      </c>
      <c r="O108" s="185" t="s">
        <v>1</v>
      </c>
      <c r="P108" s="185" t="s">
        <v>2045</v>
      </c>
      <c r="Q108" s="185" t="s">
        <v>2051</v>
      </c>
      <c r="R108" s="185" t="s">
        <v>54</v>
      </c>
      <c r="S108" s="185" t="s">
        <v>47</v>
      </c>
      <c r="T108" s="185" t="s">
        <v>166</v>
      </c>
      <c r="U108" s="185" t="s">
        <v>232</v>
      </c>
      <c r="V108" s="197" t="s">
        <v>2059</v>
      </c>
      <c r="W108" s="185" t="s">
        <v>188</v>
      </c>
      <c r="X108" s="185" t="s">
        <v>188</v>
      </c>
      <c r="AB108" s="197" t="s">
        <v>942</v>
      </c>
      <c r="AD108" s="197" t="s">
        <v>2086</v>
      </c>
    </row>
    <row r="109" spans="1:31" ht="26" hidden="1" x14ac:dyDescent="0.25">
      <c r="A109" s="200" t="s">
        <v>554</v>
      </c>
      <c r="B109" s="185" t="s">
        <v>305</v>
      </c>
      <c r="C109" s="185" t="s">
        <v>1724</v>
      </c>
      <c r="D109" s="185">
        <v>286</v>
      </c>
      <c r="E109" s="185" t="s">
        <v>2026</v>
      </c>
      <c r="F109" s="185" t="s">
        <v>203</v>
      </c>
      <c r="G109" s="185" t="s">
        <v>83</v>
      </c>
      <c r="H109" s="185" t="s">
        <v>46</v>
      </c>
      <c r="I109" s="193">
        <v>46216</v>
      </c>
      <c r="J109" s="195">
        <v>0.54861111111111105</v>
      </c>
      <c r="K109" s="185" t="s">
        <v>14</v>
      </c>
      <c r="L109" s="185" t="s">
        <v>309</v>
      </c>
      <c r="M109" s="185" t="s">
        <v>577</v>
      </c>
      <c r="N109" s="185" t="s">
        <v>57</v>
      </c>
      <c r="O109" s="185" t="s">
        <v>53</v>
      </c>
      <c r="P109" s="185" t="s">
        <v>2046</v>
      </c>
      <c r="Q109" s="185" t="s">
        <v>232</v>
      </c>
      <c r="R109" s="185" t="s">
        <v>54</v>
      </c>
      <c r="S109" s="185" t="s">
        <v>319</v>
      </c>
      <c r="T109" s="185" t="s">
        <v>348</v>
      </c>
      <c r="U109" s="185" t="s">
        <v>232</v>
      </c>
      <c r="V109" s="197" t="s">
        <v>2062</v>
      </c>
      <c r="W109" s="185" t="s">
        <v>2002</v>
      </c>
      <c r="X109" s="185" t="s">
        <v>370</v>
      </c>
      <c r="Y109" s="197" t="s">
        <v>2075</v>
      </c>
      <c r="Z109" s="197" t="s">
        <v>2076</v>
      </c>
      <c r="AA109" s="197" t="s">
        <v>2077</v>
      </c>
      <c r="AB109" s="197" t="s">
        <v>2084</v>
      </c>
    </row>
    <row r="110" spans="1:31" hidden="1" x14ac:dyDescent="0.25">
      <c r="A110" s="200" t="s">
        <v>554</v>
      </c>
      <c r="B110" s="185" t="s">
        <v>305</v>
      </c>
      <c r="C110" s="185" t="s">
        <v>2166</v>
      </c>
      <c r="D110" s="185">
        <v>348</v>
      </c>
      <c r="E110" s="185" t="s">
        <v>169</v>
      </c>
      <c r="F110" s="185" t="s">
        <v>138</v>
      </c>
      <c r="G110" s="185" t="s">
        <v>83</v>
      </c>
      <c r="H110" s="185" t="s">
        <v>2033</v>
      </c>
      <c r="I110" s="193">
        <v>46220</v>
      </c>
      <c r="J110" s="195">
        <v>0.63541666666666663</v>
      </c>
      <c r="K110" s="185" t="s">
        <v>15</v>
      </c>
      <c r="L110" s="185" t="s">
        <v>1955</v>
      </c>
      <c r="M110" s="185" t="s">
        <v>1777</v>
      </c>
      <c r="N110" s="185" t="s">
        <v>2037</v>
      </c>
      <c r="O110" s="185" t="s">
        <v>12</v>
      </c>
      <c r="P110" s="185" t="s">
        <v>2047</v>
      </c>
      <c r="Q110" s="185" t="s">
        <v>2112</v>
      </c>
      <c r="R110" s="185" t="s">
        <v>112</v>
      </c>
      <c r="S110" s="185" t="s">
        <v>179</v>
      </c>
      <c r="T110" s="185" t="s">
        <v>403</v>
      </c>
      <c r="U110" s="185" t="s">
        <v>789</v>
      </c>
      <c r="V110" s="197" t="s">
        <v>2060</v>
      </c>
      <c r="W110" s="185" t="s">
        <v>2063</v>
      </c>
      <c r="X110" s="185" t="s">
        <v>2011</v>
      </c>
      <c r="Y110" s="197" t="s">
        <v>57</v>
      </c>
      <c r="Z110" s="197" t="s">
        <v>57</v>
      </c>
      <c r="AA110" s="197" t="s">
        <v>57</v>
      </c>
      <c r="AD110" s="197" t="s">
        <v>2087</v>
      </c>
    </row>
    <row r="111" spans="1:31" ht="39" hidden="1" x14ac:dyDescent="0.25">
      <c r="A111" s="200" t="s">
        <v>554</v>
      </c>
      <c r="B111" s="185" t="s">
        <v>305</v>
      </c>
      <c r="C111" s="185" t="s">
        <v>2022</v>
      </c>
      <c r="D111" s="185">
        <v>8648</v>
      </c>
      <c r="E111" s="185" t="s">
        <v>33</v>
      </c>
      <c r="F111" s="185" t="s">
        <v>24</v>
      </c>
      <c r="G111" s="185" t="s">
        <v>2029</v>
      </c>
      <c r="H111" s="185" t="s">
        <v>2031</v>
      </c>
      <c r="I111" s="193">
        <v>46224</v>
      </c>
      <c r="J111" s="195">
        <v>0.41666666666666669</v>
      </c>
      <c r="K111" s="185" t="s">
        <v>14</v>
      </c>
      <c r="L111" s="185" t="s">
        <v>309</v>
      </c>
      <c r="M111" s="185" t="s">
        <v>315</v>
      </c>
      <c r="N111" s="185" t="s">
        <v>2038</v>
      </c>
      <c r="O111" s="185" t="s">
        <v>1</v>
      </c>
      <c r="P111" s="185" t="s">
        <v>2048</v>
      </c>
      <c r="Q111" s="185" t="s">
        <v>2052</v>
      </c>
      <c r="R111" s="185" t="s">
        <v>54</v>
      </c>
      <c r="S111" s="185" t="s">
        <v>320</v>
      </c>
      <c r="T111" s="185" t="s">
        <v>279</v>
      </c>
      <c r="U111" s="185" t="s">
        <v>48</v>
      </c>
      <c r="V111" s="197" t="s">
        <v>2061</v>
      </c>
      <c r="W111" s="185" t="s">
        <v>2064</v>
      </c>
      <c r="X111" s="185" t="s">
        <v>375</v>
      </c>
      <c r="Y111" s="197" t="s">
        <v>2078</v>
      </c>
      <c r="Z111" s="197" t="s">
        <v>2079</v>
      </c>
      <c r="AA111" s="197" t="s">
        <v>2080</v>
      </c>
      <c r="AD111" s="197" t="s">
        <v>2085</v>
      </c>
    </row>
    <row r="112" spans="1:31" ht="26" hidden="1" x14ac:dyDescent="0.25">
      <c r="A112" s="200" t="s">
        <v>554</v>
      </c>
      <c r="B112" s="185" t="s">
        <v>305</v>
      </c>
      <c r="C112" s="185" t="s">
        <v>2027</v>
      </c>
      <c r="D112" s="185">
        <v>7693</v>
      </c>
      <c r="E112" s="185" t="s">
        <v>777</v>
      </c>
      <c r="F112" s="185" t="s">
        <v>345</v>
      </c>
      <c r="G112" s="185" t="s">
        <v>2030</v>
      </c>
      <c r="H112" s="185" t="s">
        <v>2034</v>
      </c>
      <c r="I112" s="193">
        <v>46225</v>
      </c>
      <c r="J112" s="195">
        <v>0.875</v>
      </c>
      <c r="K112" s="185" t="s">
        <v>15</v>
      </c>
      <c r="L112" s="185" t="s">
        <v>589</v>
      </c>
      <c r="M112" s="185" t="s">
        <v>782</v>
      </c>
      <c r="N112" s="185" t="s">
        <v>57</v>
      </c>
      <c r="O112" s="185" t="s">
        <v>1</v>
      </c>
      <c r="P112" s="185" t="s">
        <v>2049</v>
      </c>
      <c r="Q112" s="185" t="s">
        <v>2053</v>
      </c>
      <c r="R112" s="185" t="s">
        <v>54</v>
      </c>
      <c r="S112" s="185" t="s">
        <v>79</v>
      </c>
      <c r="T112" s="185" t="s">
        <v>505</v>
      </c>
      <c r="U112" s="185" t="s">
        <v>2054</v>
      </c>
      <c r="V112" s="197" t="s">
        <v>2030</v>
      </c>
      <c r="W112" s="185" t="s">
        <v>2169</v>
      </c>
      <c r="X112" s="185" t="s">
        <v>380</v>
      </c>
      <c r="Y112" s="197" t="s">
        <v>2081</v>
      </c>
      <c r="Z112" s="197" t="s">
        <v>2082</v>
      </c>
      <c r="AA112" s="197" t="s">
        <v>2083</v>
      </c>
      <c r="AD112" s="197" t="s">
        <v>2088</v>
      </c>
    </row>
    <row r="113" spans="1:31" hidden="1" x14ac:dyDescent="0.25">
      <c r="A113" s="200" t="s">
        <v>554</v>
      </c>
      <c r="B113" s="185" t="s">
        <v>305</v>
      </c>
      <c r="C113" s="185" t="s">
        <v>2039</v>
      </c>
      <c r="D113" s="185" t="s">
        <v>492</v>
      </c>
      <c r="E113" s="185" t="s">
        <v>57</v>
      </c>
      <c r="F113" s="185" t="s">
        <v>2001</v>
      </c>
      <c r="G113" s="185" t="s">
        <v>2168</v>
      </c>
      <c r="H113" s="185" t="s">
        <v>416</v>
      </c>
      <c r="I113" s="193" t="s">
        <v>2108</v>
      </c>
      <c r="J113" s="195" t="s">
        <v>57</v>
      </c>
      <c r="K113" s="185" t="s">
        <v>14</v>
      </c>
      <c r="L113" s="185" t="s">
        <v>2109</v>
      </c>
      <c r="M113" s="185" t="s">
        <v>2111</v>
      </c>
      <c r="N113" s="185" t="s">
        <v>57</v>
      </c>
      <c r="O113" s="185" t="s">
        <v>12</v>
      </c>
      <c r="P113" s="185" t="s">
        <v>2110</v>
      </c>
      <c r="R113" s="185" t="s">
        <v>177</v>
      </c>
      <c r="S113" s="185" t="s">
        <v>177</v>
      </c>
      <c r="W113" s="185" t="s">
        <v>2160</v>
      </c>
      <c r="X113" s="185" t="s">
        <v>2158</v>
      </c>
    </row>
    <row r="114" spans="1:31" hidden="1" x14ac:dyDescent="0.25">
      <c r="A114" s="200" t="s">
        <v>554</v>
      </c>
      <c r="B114" s="185" t="s">
        <v>304</v>
      </c>
      <c r="C114" s="185" t="s">
        <v>2104</v>
      </c>
      <c r="D114" s="185" t="s">
        <v>492</v>
      </c>
      <c r="E114" s="185" t="s">
        <v>57</v>
      </c>
      <c r="F114" s="185" t="s">
        <v>42</v>
      </c>
      <c r="G114" s="185" t="s">
        <v>2115</v>
      </c>
      <c r="H114" s="185" t="s">
        <v>416</v>
      </c>
      <c r="I114" s="193">
        <v>46207</v>
      </c>
      <c r="J114" s="195">
        <v>0.44375000000000003</v>
      </c>
      <c r="K114" s="185" t="s">
        <v>14</v>
      </c>
      <c r="L114" s="185" t="s">
        <v>1955</v>
      </c>
      <c r="M114" s="185" t="s">
        <v>1983</v>
      </c>
      <c r="N114" s="185" t="s">
        <v>57</v>
      </c>
      <c r="O114" s="185" t="s">
        <v>12</v>
      </c>
      <c r="P114" s="185" t="s">
        <v>2121</v>
      </c>
      <c r="Q114" s="185" t="s">
        <v>2125</v>
      </c>
      <c r="R114" s="185" t="s">
        <v>112</v>
      </c>
      <c r="S114" s="185" t="s">
        <v>113</v>
      </c>
      <c r="T114" s="185" t="s">
        <v>400</v>
      </c>
      <c r="U114" s="185" t="s">
        <v>147</v>
      </c>
      <c r="V114" s="197" t="s">
        <v>2115</v>
      </c>
      <c r="W114" s="185" t="s">
        <v>2161</v>
      </c>
      <c r="X114" s="185" t="s">
        <v>2006</v>
      </c>
      <c r="AD114" s="197" t="s">
        <v>2146</v>
      </c>
    </row>
    <row r="115" spans="1:31" ht="26" hidden="1" x14ac:dyDescent="0.25">
      <c r="A115" s="200" t="s">
        <v>554</v>
      </c>
      <c r="B115" s="185" t="s">
        <v>304</v>
      </c>
      <c r="C115" s="185" t="s">
        <v>2105</v>
      </c>
      <c r="D115" s="185">
        <v>9041</v>
      </c>
      <c r="E115" s="185" t="s">
        <v>2113</v>
      </c>
      <c r="F115" s="185" t="s">
        <v>335</v>
      </c>
      <c r="G115" s="185" t="s">
        <v>2116</v>
      </c>
      <c r="H115" s="185" t="s">
        <v>416</v>
      </c>
      <c r="I115" s="193">
        <v>46211</v>
      </c>
      <c r="J115" s="195">
        <v>0.46875</v>
      </c>
      <c r="K115" s="185" t="s">
        <v>14</v>
      </c>
      <c r="L115" s="185" t="s">
        <v>500</v>
      </c>
      <c r="M115" s="185" t="s">
        <v>57</v>
      </c>
      <c r="N115" s="185" t="s">
        <v>2149</v>
      </c>
      <c r="O115" s="185" t="s">
        <v>1</v>
      </c>
      <c r="P115" s="185" t="s">
        <v>2122</v>
      </c>
      <c r="Q115" s="185" t="s">
        <v>109</v>
      </c>
      <c r="R115" s="185" t="s">
        <v>49</v>
      </c>
      <c r="S115" s="185" t="s">
        <v>391</v>
      </c>
      <c r="T115" s="185" t="s">
        <v>477</v>
      </c>
      <c r="U115" s="185" t="s">
        <v>232</v>
      </c>
      <c r="V115" s="197" t="s">
        <v>2134</v>
      </c>
      <c r="W115" s="185" t="s">
        <v>2162</v>
      </c>
      <c r="X115" s="185" t="s">
        <v>764</v>
      </c>
      <c r="Y115" s="197" t="s">
        <v>2135</v>
      </c>
      <c r="Z115" s="197" t="s">
        <v>2136</v>
      </c>
      <c r="AA115" s="197" t="s">
        <v>2137</v>
      </c>
      <c r="AB115" s="197" t="s">
        <v>2144</v>
      </c>
      <c r="AD115" s="197" t="s">
        <v>1938</v>
      </c>
    </row>
    <row r="116" spans="1:31" ht="26" hidden="1" x14ac:dyDescent="0.25">
      <c r="A116" s="200" t="s">
        <v>554</v>
      </c>
      <c r="B116" s="185" t="s">
        <v>304</v>
      </c>
      <c r="C116" s="185" t="s">
        <v>2106</v>
      </c>
      <c r="D116" s="185">
        <v>9788</v>
      </c>
      <c r="E116" s="185" t="s">
        <v>110</v>
      </c>
      <c r="F116" s="185" t="s">
        <v>345</v>
      </c>
      <c r="G116" s="185" t="s">
        <v>2117</v>
      </c>
      <c r="H116" s="185" t="s">
        <v>416</v>
      </c>
      <c r="I116" s="193">
        <v>46220</v>
      </c>
      <c r="J116" s="195">
        <v>0.5625</v>
      </c>
      <c r="K116" s="185" t="s">
        <v>14</v>
      </c>
      <c r="L116" s="185" t="s">
        <v>500</v>
      </c>
      <c r="M116" s="185" t="s">
        <v>57</v>
      </c>
      <c r="N116" s="185" t="s">
        <v>2150</v>
      </c>
      <c r="O116" s="185" t="s">
        <v>1</v>
      </c>
      <c r="P116" s="185" t="s">
        <v>2123</v>
      </c>
      <c r="Q116" s="185" t="s">
        <v>2126</v>
      </c>
      <c r="R116" s="185" t="s">
        <v>49</v>
      </c>
      <c r="S116" s="185" t="s">
        <v>391</v>
      </c>
      <c r="T116" s="185" t="s">
        <v>393</v>
      </c>
      <c r="U116" s="185" t="s">
        <v>232</v>
      </c>
      <c r="V116" s="197" t="s">
        <v>2156</v>
      </c>
      <c r="W116" s="185" t="s">
        <v>2163</v>
      </c>
      <c r="X116" s="185" t="s">
        <v>444</v>
      </c>
      <c r="Y116" s="197" t="s">
        <v>2138</v>
      </c>
      <c r="Z116" s="197" t="s">
        <v>2139</v>
      </c>
      <c r="AA116" s="197" t="s">
        <v>2140</v>
      </c>
      <c r="AB116" s="197" t="s">
        <v>2144</v>
      </c>
      <c r="AD116" s="197" t="s">
        <v>2148</v>
      </c>
    </row>
    <row r="117" spans="1:31" ht="39" hidden="1" x14ac:dyDescent="0.25">
      <c r="A117" s="200" t="s">
        <v>554</v>
      </c>
      <c r="B117" s="185" t="s">
        <v>304</v>
      </c>
      <c r="C117" s="185" t="s">
        <v>2107</v>
      </c>
      <c r="D117" s="185">
        <v>7037</v>
      </c>
      <c r="E117" s="185" t="s">
        <v>2114</v>
      </c>
      <c r="F117" s="185" t="s">
        <v>24</v>
      </c>
      <c r="G117" s="185" t="s">
        <v>2118</v>
      </c>
      <c r="H117" s="185" t="s">
        <v>416</v>
      </c>
      <c r="I117" s="193">
        <v>46230</v>
      </c>
      <c r="J117" s="195">
        <v>8.3333333333333329E-2</v>
      </c>
      <c r="K117" s="185" t="s">
        <v>13</v>
      </c>
      <c r="L117" s="185" t="s">
        <v>2119</v>
      </c>
      <c r="M117" s="185" t="s">
        <v>2120</v>
      </c>
      <c r="N117" s="185" t="s">
        <v>57</v>
      </c>
      <c r="O117" s="185" t="s">
        <v>1</v>
      </c>
      <c r="P117" s="185" t="s">
        <v>2124</v>
      </c>
      <c r="Q117" s="185" t="s">
        <v>346</v>
      </c>
      <c r="R117" s="185" t="s">
        <v>91</v>
      </c>
      <c r="S117" s="185" t="s">
        <v>457</v>
      </c>
      <c r="T117" s="185" t="s">
        <v>2128</v>
      </c>
      <c r="U117" s="185" t="s">
        <v>232</v>
      </c>
      <c r="V117" s="197" t="s">
        <v>2157</v>
      </c>
      <c r="W117" s="185" t="s">
        <v>2164</v>
      </c>
      <c r="X117" s="185" t="s">
        <v>2159</v>
      </c>
      <c r="Y117" s="197" t="s">
        <v>2141</v>
      </c>
      <c r="Z117" s="197" t="s">
        <v>2142</v>
      </c>
      <c r="AA117" s="197" t="s">
        <v>2143</v>
      </c>
      <c r="AB117" s="197" t="s">
        <v>2145</v>
      </c>
      <c r="AD117" s="197" t="s">
        <v>2147</v>
      </c>
    </row>
    <row r="118" spans="1:31" ht="26" x14ac:dyDescent="0.25">
      <c r="A118" s="200" t="s">
        <v>555</v>
      </c>
      <c r="B118" s="185" t="s">
        <v>304</v>
      </c>
      <c r="C118" s="185" t="s">
        <v>459</v>
      </c>
      <c r="D118" s="185">
        <v>9386</v>
      </c>
      <c r="E118" s="185" t="s">
        <v>460</v>
      </c>
      <c r="F118" s="185" t="s">
        <v>345</v>
      </c>
      <c r="G118" s="185" t="s">
        <v>389</v>
      </c>
      <c r="H118" s="185" t="s">
        <v>416</v>
      </c>
      <c r="I118" s="193">
        <v>46238</v>
      </c>
      <c r="J118" s="195">
        <v>0.4375</v>
      </c>
      <c r="K118" s="185" t="s">
        <v>14</v>
      </c>
      <c r="L118" s="185" t="s">
        <v>461</v>
      </c>
      <c r="M118" s="185" t="s">
        <v>57</v>
      </c>
      <c r="N118" s="185" t="s">
        <v>463</v>
      </c>
      <c r="O118" s="185" t="s">
        <v>1</v>
      </c>
      <c r="P118" s="185" t="s">
        <v>2200</v>
      </c>
      <c r="Q118" s="185" t="s">
        <v>2206</v>
      </c>
      <c r="R118" s="185" t="s">
        <v>429</v>
      </c>
      <c r="S118" s="185" t="s">
        <v>431</v>
      </c>
      <c r="T118" s="185" t="s">
        <v>437</v>
      </c>
      <c r="U118" s="185" t="s">
        <v>2214</v>
      </c>
      <c r="V118" s="197" t="s">
        <v>2216</v>
      </c>
      <c r="W118" s="185" t="s">
        <v>2348</v>
      </c>
      <c r="X118" s="185" t="s">
        <v>467</v>
      </c>
      <c r="Y118" s="197" t="s">
        <v>2235</v>
      </c>
      <c r="Z118" s="197" t="s">
        <v>2240</v>
      </c>
      <c r="AA118" s="197" t="s">
        <v>2244</v>
      </c>
      <c r="AB118" s="197" t="s">
        <v>2246</v>
      </c>
      <c r="AC118" s="197" t="s">
        <v>2248</v>
      </c>
      <c r="AD118" s="197" t="s">
        <v>1938</v>
      </c>
      <c r="AE118" s="197" t="s">
        <v>1243</v>
      </c>
    </row>
    <row r="119" spans="1:31" ht="26" x14ac:dyDescent="0.25">
      <c r="A119" s="200" t="s">
        <v>555</v>
      </c>
      <c r="B119" s="185" t="s">
        <v>304</v>
      </c>
      <c r="C119" s="185" t="s">
        <v>2187</v>
      </c>
      <c r="D119" s="185">
        <v>8684</v>
      </c>
      <c r="E119" s="185" t="s">
        <v>881</v>
      </c>
      <c r="F119" s="185" t="s">
        <v>141</v>
      </c>
      <c r="G119" s="185" t="s">
        <v>449</v>
      </c>
      <c r="H119" s="185" t="s">
        <v>416</v>
      </c>
      <c r="I119" s="193">
        <v>46239</v>
      </c>
      <c r="J119" s="195">
        <v>0.34722222222222227</v>
      </c>
      <c r="K119" s="185" t="s">
        <v>14</v>
      </c>
      <c r="L119" s="185" t="s">
        <v>474</v>
      </c>
      <c r="M119" s="185" t="s">
        <v>473</v>
      </c>
      <c r="N119" s="185" t="s">
        <v>57</v>
      </c>
      <c r="O119" s="185" t="s">
        <v>1</v>
      </c>
      <c r="P119" s="185" t="s">
        <v>2201</v>
      </c>
      <c r="Q119" s="185" t="s">
        <v>2207</v>
      </c>
      <c r="R119" s="185" t="s">
        <v>112</v>
      </c>
      <c r="S119" s="185" t="s">
        <v>139</v>
      </c>
      <c r="T119" s="185" t="s">
        <v>453</v>
      </c>
      <c r="U119" s="185" t="s">
        <v>2214</v>
      </c>
      <c r="V119" s="197" t="s">
        <v>449</v>
      </c>
      <c r="W119" s="185" t="s">
        <v>2327</v>
      </c>
      <c r="X119" s="185" t="s">
        <v>479</v>
      </c>
      <c r="Y119" s="197" t="s">
        <v>2236</v>
      </c>
      <c r="Z119" s="197" t="s">
        <v>2241</v>
      </c>
      <c r="AA119" s="197" t="s">
        <v>2143</v>
      </c>
      <c r="AB119" s="197" t="s">
        <v>2246</v>
      </c>
      <c r="AC119" s="197" t="s">
        <v>2248</v>
      </c>
      <c r="AD119" s="197" t="s">
        <v>1938</v>
      </c>
      <c r="AE119" s="197" t="s">
        <v>1243</v>
      </c>
    </row>
    <row r="120" spans="1:31" ht="26" x14ac:dyDescent="0.25">
      <c r="A120" s="200" t="s">
        <v>555</v>
      </c>
      <c r="B120" s="185" t="s">
        <v>304</v>
      </c>
      <c r="C120" s="185" t="s">
        <v>2188</v>
      </c>
      <c r="D120" s="185">
        <v>9873</v>
      </c>
      <c r="E120" s="185" t="s">
        <v>2113</v>
      </c>
      <c r="F120" s="185" t="s">
        <v>1999</v>
      </c>
      <c r="G120" s="185" t="s">
        <v>659</v>
      </c>
      <c r="H120" s="185" t="s">
        <v>416</v>
      </c>
      <c r="I120" s="193">
        <v>46245</v>
      </c>
      <c r="J120" s="195">
        <v>0.375</v>
      </c>
      <c r="K120" s="185" t="s">
        <v>14</v>
      </c>
      <c r="L120" s="185" t="s">
        <v>500</v>
      </c>
      <c r="M120" s="185" t="s">
        <v>750</v>
      </c>
      <c r="N120" s="185" t="s">
        <v>1958</v>
      </c>
      <c r="O120" s="185" t="s">
        <v>1</v>
      </c>
      <c r="P120" s="185" t="s">
        <v>2202</v>
      </c>
      <c r="Q120" s="185" t="s">
        <v>2208</v>
      </c>
      <c r="R120" s="185" t="s">
        <v>49</v>
      </c>
      <c r="S120" s="185" t="s">
        <v>391</v>
      </c>
      <c r="T120" s="185" t="s">
        <v>477</v>
      </c>
      <c r="U120" s="185" t="s">
        <v>2214</v>
      </c>
      <c r="V120" s="197" t="s">
        <v>2217</v>
      </c>
      <c r="W120" s="185" t="s">
        <v>765</v>
      </c>
      <c r="X120" s="185" t="s">
        <v>764</v>
      </c>
      <c r="Y120" s="197" t="s">
        <v>2237</v>
      </c>
      <c r="Z120" s="197" t="s">
        <v>2241</v>
      </c>
      <c r="AA120" s="197" t="s">
        <v>2143</v>
      </c>
      <c r="AB120" s="197" t="s">
        <v>2246</v>
      </c>
      <c r="AC120" s="197" t="s">
        <v>2248</v>
      </c>
      <c r="AD120" s="197" t="s">
        <v>1938</v>
      </c>
      <c r="AE120" s="197" t="s">
        <v>1243</v>
      </c>
    </row>
    <row r="121" spans="1:31" ht="26" x14ac:dyDescent="0.25">
      <c r="A121" s="200" t="s">
        <v>555</v>
      </c>
      <c r="B121" s="185" t="s">
        <v>304</v>
      </c>
      <c r="C121" s="185" t="s">
        <v>2189</v>
      </c>
      <c r="D121" s="185">
        <v>3017</v>
      </c>
      <c r="E121" s="185" t="s">
        <v>813</v>
      </c>
      <c r="F121" s="185" t="s">
        <v>335</v>
      </c>
      <c r="G121" s="185" t="s">
        <v>389</v>
      </c>
      <c r="H121" s="185" t="s">
        <v>416</v>
      </c>
      <c r="I121" s="193">
        <v>46247</v>
      </c>
      <c r="J121" s="195">
        <v>0.375</v>
      </c>
      <c r="K121" s="185" t="s">
        <v>14</v>
      </c>
      <c r="L121" s="185" t="s">
        <v>817</v>
      </c>
      <c r="M121" s="185" t="s">
        <v>818</v>
      </c>
      <c r="N121" s="185" t="s">
        <v>2199</v>
      </c>
      <c r="O121" s="185" t="s">
        <v>1</v>
      </c>
      <c r="P121" s="185" t="s">
        <v>2203</v>
      </c>
      <c r="Q121" s="185" t="s">
        <v>2208</v>
      </c>
      <c r="R121" s="185" t="s">
        <v>163</v>
      </c>
      <c r="S121" s="185" t="s">
        <v>389</v>
      </c>
      <c r="U121" s="185" t="s">
        <v>2214</v>
      </c>
      <c r="V121" s="197" t="s">
        <v>2218</v>
      </c>
      <c r="W121" s="185" t="s">
        <v>2328</v>
      </c>
      <c r="X121" s="185" t="s">
        <v>2234</v>
      </c>
      <c r="Y121" s="197" t="s">
        <v>2238</v>
      </c>
      <c r="Z121" s="197" t="s">
        <v>2242</v>
      </c>
      <c r="AA121" s="197" t="s">
        <v>2245</v>
      </c>
      <c r="AB121" s="197" t="s">
        <v>1849</v>
      </c>
      <c r="AC121" s="197" t="s">
        <v>2248</v>
      </c>
      <c r="AD121" s="197" t="s">
        <v>2247</v>
      </c>
      <c r="AE121" s="197" t="s">
        <v>2251</v>
      </c>
    </row>
    <row r="122" spans="1:31" ht="26" x14ac:dyDescent="0.25">
      <c r="A122" s="200" t="s">
        <v>555</v>
      </c>
      <c r="B122" s="185" t="s">
        <v>304</v>
      </c>
      <c r="C122" s="185" t="s">
        <v>2190</v>
      </c>
      <c r="D122" s="185">
        <v>8360</v>
      </c>
      <c r="E122" s="185" t="s">
        <v>134</v>
      </c>
      <c r="F122" s="185" t="s">
        <v>42</v>
      </c>
      <c r="G122" s="185" t="s">
        <v>2194</v>
      </c>
      <c r="H122" s="185" t="s">
        <v>416</v>
      </c>
      <c r="I122" s="193">
        <v>46257</v>
      </c>
      <c r="J122" s="195">
        <v>4.8611111111111112E-2</v>
      </c>
      <c r="K122" s="185" t="s">
        <v>13</v>
      </c>
      <c r="L122" s="185" t="s">
        <v>2197</v>
      </c>
      <c r="M122" s="185" t="s">
        <v>57</v>
      </c>
      <c r="N122" s="185" t="s">
        <v>2198</v>
      </c>
      <c r="O122" s="185" t="s">
        <v>12</v>
      </c>
      <c r="P122" s="185" t="s">
        <v>2204</v>
      </c>
      <c r="Q122" s="185" t="s">
        <v>692</v>
      </c>
      <c r="R122" s="185" t="s">
        <v>163</v>
      </c>
      <c r="S122" s="185" t="s">
        <v>136</v>
      </c>
      <c r="T122" s="185" t="s">
        <v>2213</v>
      </c>
      <c r="U122" s="185" t="s">
        <v>2214</v>
      </c>
      <c r="V122" s="197" t="s">
        <v>2219</v>
      </c>
      <c r="W122" s="185" t="s">
        <v>2329</v>
      </c>
      <c r="X122" s="185" t="s">
        <v>2231</v>
      </c>
      <c r="Y122" s="197" t="s">
        <v>57</v>
      </c>
      <c r="Z122" s="197" t="s">
        <v>57</v>
      </c>
      <c r="AA122" s="197" t="s">
        <v>57</v>
      </c>
      <c r="AB122" s="197" t="s">
        <v>965</v>
      </c>
      <c r="AC122" s="197" t="s">
        <v>2250</v>
      </c>
      <c r="AD122" s="197" t="s">
        <v>2247</v>
      </c>
      <c r="AE122" s="197" t="s">
        <v>2251</v>
      </c>
    </row>
    <row r="123" spans="1:31" ht="26" x14ac:dyDescent="0.25">
      <c r="A123" s="200" t="s">
        <v>555</v>
      </c>
      <c r="B123" s="185" t="s">
        <v>304</v>
      </c>
      <c r="C123" s="185" t="s">
        <v>2191</v>
      </c>
      <c r="D123" s="185">
        <v>8809</v>
      </c>
      <c r="E123" s="185" t="s">
        <v>881</v>
      </c>
      <c r="F123" s="185" t="s">
        <v>345</v>
      </c>
      <c r="G123" s="185" t="s">
        <v>2029</v>
      </c>
      <c r="H123" s="185" t="s">
        <v>416</v>
      </c>
      <c r="I123" s="193">
        <v>46258</v>
      </c>
      <c r="J123" s="195">
        <v>0.625</v>
      </c>
      <c r="K123" s="185" t="s">
        <v>14</v>
      </c>
      <c r="L123" s="185" t="s">
        <v>474</v>
      </c>
      <c r="M123" s="185" t="s">
        <v>1737</v>
      </c>
      <c r="N123" s="185" t="s">
        <v>57</v>
      </c>
      <c r="O123" s="185" t="s">
        <v>1</v>
      </c>
      <c r="P123" s="185" t="s">
        <v>2205</v>
      </c>
      <c r="Q123" s="185" t="s">
        <v>2209</v>
      </c>
      <c r="R123" s="185" t="s">
        <v>112</v>
      </c>
      <c r="S123" s="185" t="s">
        <v>139</v>
      </c>
      <c r="T123" s="185" t="s">
        <v>450</v>
      </c>
      <c r="U123" s="185" t="s">
        <v>2214</v>
      </c>
      <c r="V123" s="197" t="s">
        <v>2220</v>
      </c>
      <c r="W123" s="185" t="s">
        <v>2330</v>
      </c>
      <c r="X123" s="185" t="s">
        <v>2225</v>
      </c>
      <c r="Y123" s="197" t="s">
        <v>2239</v>
      </c>
      <c r="Z123" s="197" t="s">
        <v>2243</v>
      </c>
      <c r="AA123" s="197" t="s">
        <v>1872</v>
      </c>
      <c r="AB123" s="197" t="s">
        <v>1849</v>
      </c>
      <c r="AC123" s="197" t="s">
        <v>2250</v>
      </c>
    </row>
    <row r="124" spans="1:31" ht="26" x14ac:dyDescent="0.25">
      <c r="A124" s="200" t="s">
        <v>555</v>
      </c>
      <c r="B124" s="185" t="s">
        <v>305</v>
      </c>
      <c r="C124" s="185" t="s">
        <v>2258</v>
      </c>
      <c r="D124" s="185">
        <v>8441</v>
      </c>
      <c r="E124" s="185" t="s">
        <v>33</v>
      </c>
      <c r="F124" s="185" t="s">
        <v>203</v>
      </c>
      <c r="G124" s="185" t="s">
        <v>1438</v>
      </c>
      <c r="H124" s="185" t="s">
        <v>416</v>
      </c>
      <c r="I124" s="193">
        <v>46237</v>
      </c>
      <c r="J124" s="195">
        <v>0.44444444444444442</v>
      </c>
      <c r="K124" s="185" t="s">
        <v>14</v>
      </c>
      <c r="L124" s="185" t="s">
        <v>307</v>
      </c>
      <c r="N124" s="185" t="s">
        <v>2271</v>
      </c>
      <c r="O124" s="185" t="s">
        <v>53</v>
      </c>
      <c r="P124" s="185" t="s">
        <v>57</v>
      </c>
      <c r="Q124" s="185" t="s">
        <v>2051</v>
      </c>
      <c r="R124" s="185" t="s">
        <v>54</v>
      </c>
      <c r="S124" s="185" t="s">
        <v>320</v>
      </c>
      <c r="T124" s="185" t="s">
        <v>349</v>
      </c>
      <c r="U124" s="185" t="s">
        <v>2054</v>
      </c>
      <c r="V124" s="197" t="s">
        <v>2285</v>
      </c>
      <c r="W124" s="185" t="s">
        <v>2331</v>
      </c>
      <c r="X124" s="185" t="s">
        <v>374</v>
      </c>
      <c r="Y124" s="197" t="s">
        <v>2304</v>
      </c>
      <c r="Z124" s="197" t="s">
        <v>2305</v>
      </c>
      <c r="AA124" s="197" t="s">
        <v>2306</v>
      </c>
    </row>
    <row r="125" spans="1:31" ht="39" x14ac:dyDescent="0.25">
      <c r="A125" s="200" t="s">
        <v>555</v>
      </c>
      <c r="B125" s="185" t="s">
        <v>305</v>
      </c>
      <c r="C125" s="185" t="s">
        <v>2259</v>
      </c>
      <c r="D125" s="185">
        <v>9861</v>
      </c>
      <c r="E125" s="185" t="s">
        <v>172</v>
      </c>
      <c r="F125" s="185" t="s">
        <v>2028</v>
      </c>
      <c r="G125" s="185" t="s">
        <v>142</v>
      </c>
      <c r="H125" s="185" t="s">
        <v>46</v>
      </c>
      <c r="I125" s="193">
        <v>46237</v>
      </c>
      <c r="J125" s="195">
        <v>0.8125</v>
      </c>
      <c r="K125" s="185" t="s">
        <v>15</v>
      </c>
      <c r="L125" s="185" t="s">
        <v>310</v>
      </c>
      <c r="N125" s="185" t="s">
        <v>2272</v>
      </c>
      <c r="O125" s="185" t="s">
        <v>1</v>
      </c>
      <c r="P125" s="185" t="s">
        <v>2275</v>
      </c>
      <c r="Q125" s="185" t="s">
        <v>596</v>
      </c>
      <c r="R125" s="185" t="s">
        <v>54</v>
      </c>
      <c r="S125" s="185" t="s">
        <v>259</v>
      </c>
      <c r="T125" s="185" t="s">
        <v>321</v>
      </c>
      <c r="U125" s="185" t="s">
        <v>2054</v>
      </c>
      <c r="V125" s="197" t="s">
        <v>2286</v>
      </c>
      <c r="W125" s="185" t="s">
        <v>2332</v>
      </c>
      <c r="X125" s="185" t="s">
        <v>376</v>
      </c>
      <c r="Y125" s="197" t="s">
        <v>2307</v>
      </c>
      <c r="Z125" s="197" t="s">
        <v>2308</v>
      </c>
      <c r="AA125" s="197" t="s">
        <v>2137</v>
      </c>
      <c r="AB125" s="197" t="s">
        <v>2297</v>
      </c>
    </row>
    <row r="126" spans="1:31" ht="26" x14ac:dyDescent="0.25">
      <c r="A126" s="200" t="s">
        <v>555</v>
      </c>
      <c r="B126" s="185" t="s">
        <v>305</v>
      </c>
      <c r="C126" s="185" t="s">
        <v>2260</v>
      </c>
      <c r="D126" s="185">
        <v>8747</v>
      </c>
      <c r="E126" s="185" t="s">
        <v>33</v>
      </c>
      <c r="F126" s="185" t="s">
        <v>337</v>
      </c>
      <c r="G126" s="185" t="s">
        <v>23</v>
      </c>
      <c r="H126" s="185" t="s">
        <v>1446</v>
      </c>
      <c r="I126" s="193">
        <v>46244</v>
      </c>
      <c r="J126" s="195">
        <v>0.14583333333333334</v>
      </c>
      <c r="K126" s="185" t="s">
        <v>13</v>
      </c>
      <c r="L126" s="185" t="s">
        <v>309</v>
      </c>
      <c r="M126" s="185" t="s">
        <v>577</v>
      </c>
      <c r="N126" s="185" t="s">
        <v>572</v>
      </c>
      <c r="O126" s="185" t="s">
        <v>1</v>
      </c>
      <c r="P126" s="185" t="s">
        <v>2276</v>
      </c>
      <c r="Q126" s="185" t="s">
        <v>2280</v>
      </c>
      <c r="R126" s="185" t="s">
        <v>54</v>
      </c>
      <c r="S126" s="185" t="s">
        <v>319</v>
      </c>
      <c r="T126" s="185" t="s">
        <v>348</v>
      </c>
      <c r="U126" s="185" t="s">
        <v>2054</v>
      </c>
      <c r="V126" s="197" t="s">
        <v>2287</v>
      </c>
      <c r="W126" s="185" t="s">
        <v>601</v>
      </c>
      <c r="X126" s="185" t="s">
        <v>370</v>
      </c>
      <c r="Y126" s="197" t="s">
        <v>2309</v>
      </c>
      <c r="Z126" s="197" t="s">
        <v>2310</v>
      </c>
      <c r="AA126" s="197" t="s">
        <v>2311</v>
      </c>
      <c r="AB126" s="197" t="s">
        <v>1849</v>
      </c>
      <c r="AC126" s="197" t="s">
        <v>2248</v>
      </c>
      <c r="AE126" s="197" t="s">
        <v>2251</v>
      </c>
    </row>
    <row r="127" spans="1:31" ht="26" x14ac:dyDescent="0.25">
      <c r="A127" s="200" t="s">
        <v>555</v>
      </c>
      <c r="B127" s="185" t="s">
        <v>305</v>
      </c>
      <c r="C127" s="185" t="s">
        <v>2261</v>
      </c>
      <c r="D127" s="185">
        <v>9727</v>
      </c>
      <c r="E127" s="185" t="s">
        <v>33</v>
      </c>
      <c r="F127" s="185" t="s">
        <v>2000</v>
      </c>
      <c r="G127" s="185" t="s">
        <v>89</v>
      </c>
      <c r="H127" s="185" t="s">
        <v>46</v>
      </c>
      <c r="I127" s="193">
        <v>46244</v>
      </c>
      <c r="J127" s="195">
        <v>0.41666666666666669</v>
      </c>
      <c r="K127" s="185" t="s">
        <v>14</v>
      </c>
      <c r="L127" s="185" t="s">
        <v>309</v>
      </c>
      <c r="M127" s="185" t="s">
        <v>577</v>
      </c>
      <c r="N127" s="185" t="s">
        <v>628</v>
      </c>
      <c r="O127" s="185" t="s">
        <v>1</v>
      </c>
      <c r="P127" s="185" t="s">
        <v>2277</v>
      </c>
      <c r="Q127" s="185" t="s">
        <v>2281</v>
      </c>
      <c r="R127" s="185" t="s">
        <v>54</v>
      </c>
      <c r="S127" s="185" t="s">
        <v>319</v>
      </c>
      <c r="T127" s="185" t="s">
        <v>348</v>
      </c>
      <c r="U127" s="185" t="s">
        <v>2054</v>
      </c>
      <c r="V127" s="197" t="s">
        <v>2288</v>
      </c>
      <c r="W127" s="185" t="s">
        <v>645</v>
      </c>
      <c r="X127" s="185" t="s">
        <v>370</v>
      </c>
      <c r="Y127" s="197" t="s">
        <v>2312</v>
      </c>
      <c r="Z127" s="197" t="s">
        <v>2313</v>
      </c>
      <c r="AA127" s="197" t="s">
        <v>2314</v>
      </c>
      <c r="AB127" s="197" t="s">
        <v>1864</v>
      </c>
      <c r="AC127" s="197" t="s">
        <v>2249</v>
      </c>
      <c r="AD127" s="197" t="s">
        <v>2247</v>
      </c>
      <c r="AE127" s="197" t="s">
        <v>2251</v>
      </c>
    </row>
    <row r="128" spans="1:31" ht="26" x14ac:dyDescent="0.25">
      <c r="A128" s="200" t="s">
        <v>555</v>
      </c>
      <c r="B128" s="185" t="s">
        <v>305</v>
      </c>
      <c r="C128" s="185" t="s">
        <v>2262</v>
      </c>
      <c r="D128" s="185">
        <v>8481</v>
      </c>
      <c r="E128" s="185" t="s">
        <v>33</v>
      </c>
      <c r="F128" s="185" t="s">
        <v>203</v>
      </c>
      <c r="G128" s="185" t="s">
        <v>23</v>
      </c>
      <c r="H128" s="185" t="s">
        <v>2032</v>
      </c>
      <c r="I128" s="193">
        <v>46245</v>
      </c>
      <c r="J128" s="195">
        <v>0.47916666666666669</v>
      </c>
      <c r="K128" s="185" t="s">
        <v>14</v>
      </c>
      <c r="L128" s="185" t="s">
        <v>307</v>
      </c>
      <c r="M128" s="185" t="s">
        <v>315</v>
      </c>
      <c r="N128" s="185" t="s">
        <v>2273</v>
      </c>
      <c r="O128" s="185" t="s">
        <v>53</v>
      </c>
      <c r="P128" s="185" t="s">
        <v>2277</v>
      </c>
      <c r="R128" s="185" t="s">
        <v>54</v>
      </c>
      <c r="S128" s="185" t="s">
        <v>320</v>
      </c>
      <c r="T128" s="185" t="s">
        <v>279</v>
      </c>
      <c r="U128" s="185" t="s">
        <v>2054</v>
      </c>
      <c r="V128" s="197" t="s">
        <v>2289</v>
      </c>
      <c r="W128" s="185" t="s">
        <v>2333</v>
      </c>
      <c r="X128" s="185" t="s">
        <v>375</v>
      </c>
      <c r="Y128" s="197" t="s">
        <v>2315</v>
      </c>
      <c r="Z128" s="197" t="s">
        <v>2316</v>
      </c>
      <c r="AA128" s="197" t="s">
        <v>2317</v>
      </c>
      <c r="AB128" s="197" t="s">
        <v>1849</v>
      </c>
      <c r="AC128" s="197" t="s">
        <v>2249</v>
      </c>
      <c r="AD128" s="197" t="s">
        <v>1928</v>
      </c>
      <c r="AE128" s="197" t="s">
        <v>2301</v>
      </c>
    </row>
    <row r="129" spans="1:31" ht="26" x14ac:dyDescent="0.25">
      <c r="A129" s="200" t="s">
        <v>555</v>
      </c>
      <c r="B129" s="185" t="s">
        <v>305</v>
      </c>
      <c r="C129" s="185" t="s">
        <v>2263</v>
      </c>
      <c r="D129" s="185">
        <v>139</v>
      </c>
      <c r="E129" s="185" t="s">
        <v>57</v>
      </c>
      <c r="F129" s="185" t="s">
        <v>42</v>
      </c>
      <c r="G129" s="185" t="s">
        <v>90</v>
      </c>
      <c r="H129" s="185" t="s">
        <v>2270</v>
      </c>
      <c r="I129" s="193">
        <v>46252</v>
      </c>
      <c r="J129" s="195">
        <v>0.47916666666666669</v>
      </c>
      <c r="K129" s="185" t="s">
        <v>14</v>
      </c>
      <c r="L129" s="185" t="s">
        <v>307</v>
      </c>
      <c r="M129" s="185" t="s">
        <v>627</v>
      </c>
      <c r="N129" s="185" t="s">
        <v>1808</v>
      </c>
      <c r="O129" s="185" t="s">
        <v>12</v>
      </c>
      <c r="P129" s="185" t="s">
        <v>1816</v>
      </c>
      <c r="Q129" s="185" t="s">
        <v>48</v>
      </c>
      <c r="R129" s="185" t="s">
        <v>54</v>
      </c>
      <c r="S129" s="185" t="s">
        <v>320</v>
      </c>
      <c r="T129" s="185" t="s">
        <v>349</v>
      </c>
      <c r="U129" s="185" t="s">
        <v>2054</v>
      </c>
      <c r="V129" s="197" t="s">
        <v>2290</v>
      </c>
      <c r="W129" s="185" t="s">
        <v>1834</v>
      </c>
      <c r="X129" s="185" t="s">
        <v>374</v>
      </c>
      <c r="Y129" s="197" t="s">
        <v>57</v>
      </c>
      <c r="Z129" s="197" t="s">
        <v>57</v>
      </c>
      <c r="AA129" s="197" t="s">
        <v>57</v>
      </c>
      <c r="AB129" s="197" t="s">
        <v>2295</v>
      </c>
      <c r="AC129" s="197" t="s">
        <v>2300</v>
      </c>
      <c r="AD129" s="197" t="s">
        <v>2299</v>
      </c>
      <c r="AE129" s="197" t="s">
        <v>2303</v>
      </c>
    </row>
    <row r="130" spans="1:31" ht="26" x14ac:dyDescent="0.25">
      <c r="A130" s="200" t="s">
        <v>555</v>
      </c>
      <c r="B130" s="185" t="s">
        <v>305</v>
      </c>
      <c r="C130" s="185" t="s">
        <v>2264</v>
      </c>
      <c r="D130" s="185">
        <v>7171</v>
      </c>
      <c r="E130" s="185" t="s">
        <v>2268</v>
      </c>
      <c r="F130" s="185" t="s">
        <v>203</v>
      </c>
      <c r="G130" s="185" t="s">
        <v>1438</v>
      </c>
      <c r="H130" s="185" t="s">
        <v>416</v>
      </c>
      <c r="I130" s="193">
        <v>46254</v>
      </c>
      <c r="J130" s="195">
        <v>0.13541666666666666</v>
      </c>
      <c r="K130" s="185" t="s">
        <v>13</v>
      </c>
      <c r="L130" s="185" t="s">
        <v>57</v>
      </c>
      <c r="M130" s="185" t="s">
        <v>2037</v>
      </c>
      <c r="N130" s="185" t="s">
        <v>57</v>
      </c>
      <c r="O130" s="185" t="s">
        <v>53</v>
      </c>
      <c r="P130" s="185" t="s">
        <v>2278</v>
      </c>
      <c r="Q130" s="185" t="s">
        <v>2281</v>
      </c>
      <c r="R130" s="185" t="s">
        <v>54</v>
      </c>
      <c r="S130" s="185" t="s">
        <v>156</v>
      </c>
      <c r="T130" s="185" t="s">
        <v>2284</v>
      </c>
      <c r="U130" s="185" t="s">
        <v>2054</v>
      </c>
      <c r="V130" s="197" t="s">
        <v>2291</v>
      </c>
      <c r="W130" s="185" t="s">
        <v>2335</v>
      </c>
      <c r="X130" s="185" t="s">
        <v>441</v>
      </c>
      <c r="Y130" s="197" t="s">
        <v>2318</v>
      </c>
      <c r="Z130" s="197" t="s">
        <v>2319</v>
      </c>
      <c r="AA130" s="197" t="s">
        <v>2320</v>
      </c>
      <c r="AC130" s="197" t="s">
        <v>2249</v>
      </c>
    </row>
    <row r="131" spans="1:31" ht="26" x14ac:dyDescent="0.25">
      <c r="A131" s="200" t="s">
        <v>555</v>
      </c>
      <c r="B131" s="185" t="s">
        <v>305</v>
      </c>
      <c r="C131" s="185" t="s">
        <v>2265</v>
      </c>
      <c r="D131" s="185">
        <v>9554</v>
      </c>
      <c r="E131" s="185" t="s">
        <v>33</v>
      </c>
      <c r="F131" s="185" t="s">
        <v>86</v>
      </c>
      <c r="G131" s="185" t="s">
        <v>2269</v>
      </c>
      <c r="H131" s="185" t="s">
        <v>1806</v>
      </c>
      <c r="I131" s="193">
        <v>46255</v>
      </c>
      <c r="J131" s="195">
        <v>0.78472222222222221</v>
      </c>
      <c r="K131" s="185" t="s">
        <v>15</v>
      </c>
      <c r="L131" s="185" t="s">
        <v>309</v>
      </c>
      <c r="M131" s="185" t="s">
        <v>577</v>
      </c>
      <c r="N131" s="185" t="s">
        <v>628</v>
      </c>
      <c r="O131" s="185" t="s">
        <v>1</v>
      </c>
      <c r="P131" s="185" t="s">
        <v>2277</v>
      </c>
      <c r="Q131" s="185" t="s">
        <v>2282</v>
      </c>
      <c r="R131" s="185" t="s">
        <v>54</v>
      </c>
      <c r="S131" s="185" t="s">
        <v>319</v>
      </c>
      <c r="T131" s="185" t="s">
        <v>348</v>
      </c>
      <c r="U131" s="185" t="s">
        <v>2054</v>
      </c>
      <c r="V131" s="197" t="s">
        <v>2292</v>
      </c>
      <c r="W131" s="185" t="s">
        <v>645</v>
      </c>
      <c r="X131" s="185" t="s">
        <v>370</v>
      </c>
      <c r="Y131" s="197" t="s">
        <v>2321</v>
      </c>
      <c r="Z131" s="197" t="s">
        <v>2322</v>
      </c>
      <c r="AA131" s="197" t="s">
        <v>831</v>
      </c>
      <c r="AB131" s="197" t="s">
        <v>2296</v>
      </c>
      <c r="AC131" s="197" t="s">
        <v>2250</v>
      </c>
      <c r="AD131" s="197" t="s">
        <v>2148</v>
      </c>
      <c r="AE131" s="197" t="s">
        <v>2302</v>
      </c>
    </row>
    <row r="132" spans="1:31" ht="26" x14ac:dyDescent="0.25">
      <c r="A132" s="200" t="s">
        <v>555</v>
      </c>
      <c r="B132" s="185" t="s">
        <v>305</v>
      </c>
      <c r="C132" s="185" t="s">
        <v>2266</v>
      </c>
      <c r="D132" s="185">
        <v>7629</v>
      </c>
      <c r="E132" s="185" t="s">
        <v>410</v>
      </c>
      <c r="F132" s="185" t="s">
        <v>86</v>
      </c>
      <c r="G132" s="185" t="s">
        <v>2269</v>
      </c>
      <c r="H132" s="185" t="s">
        <v>624</v>
      </c>
      <c r="I132" s="193">
        <v>46256</v>
      </c>
      <c r="J132" s="195">
        <v>0.40625</v>
      </c>
      <c r="K132" s="185" t="s">
        <v>14</v>
      </c>
      <c r="L132" s="185" t="s">
        <v>307</v>
      </c>
      <c r="M132" s="185" t="s">
        <v>315</v>
      </c>
      <c r="N132" s="185" t="s">
        <v>2274</v>
      </c>
      <c r="O132" s="185" t="s">
        <v>1</v>
      </c>
      <c r="P132" s="185" t="s">
        <v>1816</v>
      </c>
      <c r="Q132" s="185" t="s">
        <v>2283</v>
      </c>
      <c r="R132" s="185" t="s">
        <v>54</v>
      </c>
      <c r="S132" s="185" t="s">
        <v>320</v>
      </c>
      <c r="T132" s="185" t="s">
        <v>279</v>
      </c>
      <c r="U132" s="185" t="s">
        <v>2054</v>
      </c>
      <c r="V132" s="197" t="s">
        <v>2293</v>
      </c>
      <c r="W132" s="185" t="s">
        <v>2334</v>
      </c>
      <c r="X132" s="185" t="s">
        <v>375</v>
      </c>
      <c r="Y132" s="197" t="s">
        <v>2323</v>
      </c>
      <c r="Z132" s="197" t="s">
        <v>2324</v>
      </c>
      <c r="AA132" s="197" t="s">
        <v>831</v>
      </c>
      <c r="AB132" s="197" t="s">
        <v>1849</v>
      </c>
      <c r="AC132" s="197" t="s">
        <v>2248</v>
      </c>
      <c r="AD132" s="197" t="s">
        <v>2148</v>
      </c>
      <c r="AE132" s="197" t="s">
        <v>2301</v>
      </c>
    </row>
    <row r="133" spans="1:31" ht="39" x14ac:dyDescent="0.25">
      <c r="A133" s="200" t="s">
        <v>555</v>
      </c>
      <c r="B133" s="185" t="s">
        <v>305</v>
      </c>
      <c r="C133" s="185" t="s">
        <v>2267</v>
      </c>
      <c r="D133" s="185">
        <v>1046</v>
      </c>
      <c r="E133" s="185" t="s">
        <v>33</v>
      </c>
      <c r="F133" s="185" t="s">
        <v>335</v>
      </c>
      <c r="G133" s="185" t="s">
        <v>285</v>
      </c>
      <c r="H133" s="185" t="s">
        <v>152</v>
      </c>
      <c r="I133" s="193">
        <v>46257</v>
      </c>
      <c r="J133" s="195">
        <v>0.84722222222222221</v>
      </c>
      <c r="K133" s="185" t="s">
        <v>15</v>
      </c>
      <c r="L133" s="185" t="s">
        <v>309</v>
      </c>
      <c r="M133" s="185" t="s">
        <v>315</v>
      </c>
      <c r="N133" s="185" t="s">
        <v>591</v>
      </c>
      <c r="O133" s="185" t="s">
        <v>1</v>
      </c>
      <c r="P133" s="185" t="s">
        <v>2279</v>
      </c>
      <c r="Q133" s="185" t="s">
        <v>596</v>
      </c>
      <c r="R133" s="185" t="s">
        <v>54</v>
      </c>
      <c r="S133" s="185" t="s">
        <v>319</v>
      </c>
      <c r="T133" s="185" t="s">
        <v>283</v>
      </c>
      <c r="U133" s="185" t="s">
        <v>2054</v>
      </c>
      <c r="V133" s="197" t="s">
        <v>2294</v>
      </c>
      <c r="W133" s="185" t="s">
        <v>2336</v>
      </c>
      <c r="X133" s="185" t="s">
        <v>370</v>
      </c>
      <c r="Y133" s="197" t="s">
        <v>2326</v>
      </c>
      <c r="Z133" s="197" t="s">
        <v>2325</v>
      </c>
      <c r="AA133" s="197" t="s">
        <v>1791</v>
      </c>
      <c r="AB133" s="197" t="s">
        <v>2298</v>
      </c>
      <c r="AC133" s="197" t="s">
        <v>2248</v>
      </c>
      <c r="AE133" s="197" t="s">
        <v>2301</v>
      </c>
    </row>
  </sheetData>
  <autoFilter ref="A1:AE133" xr:uid="{13723521-D9C4-4EB8-B4B7-93AB3FAE7D91}">
    <filterColumn colId="0">
      <filters>
        <filter val="AUGUST, 2026"/>
      </filters>
    </filterColumn>
  </autoFilter>
  <dataConsolidate/>
  <phoneticPr fontId="19" type="noConversion"/>
  <conditionalFormatting sqref="O1:O1048576">
    <cfRule type="cellIs" dxfId="572" priority="4" operator="equal">
      <formula>"NLTA"</formula>
    </cfRule>
    <cfRule type="containsText" dxfId="571" priority="5" stopIfTrue="1" operator="containsText" text="LTA-NF">
      <formula>NOT(ISERROR(SEARCH("LTA-NF",O1)))</formula>
    </cfRule>
    <cfRule type="containsText" dxfId="570" priority="7" operator="containsText" text="LTA-F">
      <formula>NOT(ISERROR(SEARCH("LTA-F",O1)))</formula>
    </cfRule>
  </conditionalFormatting>
  <conditionalFormatting sqref="N69:N70">
    <cfRule type="cellIs" dxfId="569" priority="1" operator="equal">
      <formula>"NLTA"</formula>
    </cfRule>
    <cfRule type="containsText" dxfId="568" priority="2" stopIfTrue="1" operator="containsText" text="LTA-NF">
      <formula>NOT(ISERROR(SEARCH("LTA-NF",N69)))</formula>
    </cfRule>
    <cfRule type="containsText" dxfId="567" priority="3" operator="containsText" text="LTA-F">
      <formula>NOT(ISERROR(SEARCH("LTA-F",N69)))</formula>
    </cfRule>
  </conditionalFormatting>
  <pageMargins left="0.7" right="0.7" top="0.75" bottom="0.75" header="0.3" footer="0.3"/>
  <pageSetup paperSize="9" orientation="portrait" horizontalDpi="360" verticalDpi="360" r:id="rId1"/>
  <extLst>
    <ext xmlns:x14="http://schemas.microsoft.com/office/spreadsheetml/2009/9/main" uri="{CCE6A557-97BC-4b89-ADB6-D9C93CAAB3DF}">
      <x14:dataValidations xmlns:xm="http://schemas.microsoft.com/office/excel/2006/main" count="28">
        <x14:dataValidation type="list" allowBlank="1" showInputMessage="1" showErrorMessage="1" xr:uid="{1D4DDC99-B3EF-40E8-AB0B-35EC13A2EC28}">
          <x14:formula1>
            <xm:f>DataReferences!$J$2:$J$8</xm:f>
          </x14:formula1>
          <xm:sqref>O2:O11 O33 O15:O25</xm:sqref>
        </x14:dataValidation>
        <x14:dataValidation type="list" allowBlank="1" showInputMessage="1" showErrorMessage="1" xr:uid="{B5759289-F30A-4EC5-965B-15B706E9B3B7}">
          <x14:formula1>
            <xm:f>DataReferences!$J$2:$J$9</xm:f>
          </x14:formula1>
          <xm:sqref>O12:O14 O26:O32 O34:O1048576</xm:sqref>
        </x14:dataValidation>
        <x14:dataValidation type="list" allowBlank="1" showInputMessage="1" showErrorMessage="1" xr:uid="{C11BF1F3-DB40-4BB1-8903-4D0914EB01BD}">
          <x14:formula1>
            <xm:f>DataReferences!$F$2:$F$4</xm:f>
          </x14:formula1>
          <xm:sqref>K28:K29 K31:K1048576</xm:sqref>
        </x14:dataValidation>
        <x14:dataValidation type="list" allowBlank="1" showInputMessage="1" showErrorMessage="1" xr:uid="{E7B95AC3-7894-4A57-8B6A-CECE614A2A3F}">
          <x14:formula1>
            <xm:f>DataReferences!#REF!</xm:f>
          </x14:formula1>
          <xm:sqref>G2:G32</xm:sqref>
        </x14:dataValidation>
        <x14:dataValidation type="list" allowBlank="1" showInputMessage="1" showErrorMessage="1" xr:uid="{E88CFD68-022C-4682-8E65-BB8F30BF01A6}">
          <x14:formula1>
            <xm:f>DataReferences!$K$2:$K$23</xm:f>
          </x14:formula1>
          <xm:sqref>F2:F14</xm:sqref>
        </x14:dataValidation>
        <x14:dataValidation type="list" allowBlank="1" showInputMessage="1" showErrorMessage="1" xr:uid="{7E224EF6-D648-4CA8-994D-F69063DF6FC6}">
          <x14:formula1>
            <xm:f>DataReferences!$K$2:$K$24</xm:f>
          </x14:formula1>
          <xm:sqref>F15:F26 F28:F74 F76:F113 F115:F1048576</xm:sqref>
        </x14:dataValidation>
        <x14:dataValidation type="list" allowBlank="1" showInputMessage="1" showErrorMessage="1" xr:uid="{9B805127-4F72-44D3-8A0A-373B8B774C56}">
          <x14:formula1>
            <xm:f>DataReferences!$K$2:$K$25</xm:f>
          </x14:formula1>
          <xm:sqref>F27</xm:sqref>
        </x14:dataValidation>
        <x14:dataValidation type="list" allowBlank="1" showInputMessage="1" showErrorMessage="1" xr:uid="{C4B69821-39A5-4676-8696-66849F4699CB}">
          <x14:formula1>
            <xm:f>DataReferences!$K$2:$K$26</xm:f>
          </x14:formula1>
          <xm:sqref>F75</xm:sqref>
        </x14:dataValidation>
        <x14:dataValidation type="list" allowBlank="1" showInputMessage="1" showErrorMessage="1" xr:uid="{C2186504-D0F4-410D-82BB-15961DFC509F}">
          <x14:formula1>
            <xm:f>DataReferences!$C$3:$C$46</xm:f>
          </x14:formula1>
          <xm:sqref>E2:E13 E16:E26 E28:E31 E34:E35 E45:E47</xm:sqref>
        </x14:dataValidation>
        <x14:dataValidation type="list" allowBlank="1" showInputMessage="1" showErrorMessage="1" xr:uid="{EC716F33-EB37-4EE7-8831-3D005C1B5910}">
          <x14:formula1>
            <xm:f>DataReferences!$K$2:$K$28</xm:f>
          </x14:formula1>
          <xm:sqref>F114</xm:sqref>
        </x14:dataValidation>
        <x14:dataValidation type="list" allowBlank="1" showInputMessage="1" showErrorMessage="1" xr:uid="{A85B79AE-AFB7-46F9-B25B-5320570EDBBE}">
          <x14:formula1>
            <xm:f>DataReferences!$G$3:$G$25</xm:f>
          </x14:formula1>
          <xm:sqref>L2:L11 L15:L25</xm:sqref>
        </x14:dataValidation>
        <x14:dataValidation type="list" allowBlank="1" showInputMessage="1" showErrorMessage="1" xr:uid="{6DCAFEEE-EF45-468D-BF62-BEF94635F831}">
          <x14:formula1>
            <xm:f>DataReferences!$E$9:$E$18</xm:f>
          </x14:formula1>
          <xm:sqref>H2:H7 H23:H24</xm:sqref>
        </x14:dataValidation>
        <x14:dataValidation type="list" allowBlank="1" showInputMessage="1" showErrorMessage="1" xr:uid="{57588B54-EEDE-4C11-A3CA-4511AAFF02CB}">
          <x14:formula1>
            <xm:f>DataReferences!$H$3:$H$35</xm:f>
          </x14:formula1>
          <xm:sqref>M2:M11</xm:sqref>
        </x14:dataValidation>
        <x14:dataValidation type="list" allowBlank="1" showInputMessage="1" showErrorMessage="1" xr:uid="{5D0A4D75-DA86-4967-8D21-E190B0F75BB3}">
          <x14:formula1>
            <xm:f>DataReferences!$I$3:$I$44</xm:f>
          </x14:formula1>
          <xm:sqref>N2:N7 N9:N11</xm:sqref>
        </x14:dataValidation>
        <x14:dataValidation type="list" allowBlank="1" showInputMessage="1" showErrorMessage="1" xr:uid="{262E44D6-8F3A-4DAB-A928-339065B31A5D}">
          <x14:formula1>
            <xm:f>DataReferences!$E:$E</xm:f>
          </x14:formula1>
          <xm:sqref>H8:H22 H25:H1048576</xm:sqref>
        </x14:dataValidation>
        <x14:dataValidation type="list" allowBlank="1" showInputMessage="1" showErrorMessage="1" xr:uid="{B3E7061F-7142-4D40-9C2A-DEE6EA1D1EF3}">
          <x14:formula1>
            <xm:f>DataReferences!$I:$I</xm:f>
          </x14:formula1>
          <xm:sqref>N8 L130 N12:N1048576</xm:sqref>
        </x14:dataValidation>
        <x14:dataValidation type="list" allowBlank="1" showInputMessage="1" showErrorMessage="1" xr:uid="{4456138F-3421-4624-B344-B5B7F56D3C37}">
          <x14:formula1>
            <xm:f>DataReferences!$G:$G</xm:f>
          </x14:formula1>
          <xm:sqref>L12:L14 L131:L1048576 L26:L129</xm:sqref>
        </x14:dataValidation>
        <x14:dataValidation type="list" allowBlank="1" showInputMessage="1" showErrorMessage="1" xr:uid="{9C5DE1C8-F713-42FC-97ED-6068E2F8CD01}">
          <x14:formula1>
            <xm:f>DataReferences!$L:$L</xm:f>
          </x14:formula1>
          <xm:sqref>R2:R30 R48 R52 R32:R33 R36:R44 R63:R73 R75:R79 R81:R1048576</xm:sqref>
        </x14:dataValidation>
        <x14:dataValidation type="list" allowBlank="1" showInputMessage="1" showErrorMessage="1" xr:uid="{EFD66CE6-96C7-442F-878E-54F0614C7F24}">
          <x14:formula1>
            <xm:f>DataReferences!$M:$M</xm:f>
          </x14:formula1>
          <xm:sqref>S2:S32 S34:S1048576</xm:sqref>
        </x14:dataValidation>
        <x14:dataValidation type="list" allowBlank="1" showInputMessage="1" showErrorMessage="1" xr:uid="{DFB3E588-32A7-4355-A378-73B905312A00}">
          <x14:formula1>
            <xm:f>DataReferences!$N:$N</xm:f>
          </x14:formula1>
          <xm:sqref>T2:T32 T34:T1048576</xm:sqref>
        </x14:dataValidation>
        <x14:dataValidation type="list" allowBlank="1" showInputMessage="1" showErrorMessage="1" xr:uid="{CC3E9EDF-280C-481E-A7D6-9B8E6C6230D2}">
          <x14:formula1>
            <xm:f>DataReferences!$F:$F</xm:f>
          </x14:formula1>
          <xm:sqref>K2:K27 K30</xm:sqref>
        </x14:dataValidation>
        <x14:dataValidation type="list" allowBlank="1" showInputMessage="1" showErrorMessage="1" xr:uid="{D7A78034-6B4A-458C-9C48-EFB7243240C4}">
          <x14:formula1>
            <xm:f>DataReferences!$C:$C</xm:f>
          </x14:formula1>
          <xm:sqref>E27 E32:E33 E14:E15 E36:E44 E48:E1048576</xm:sqref>
        </x14:dataValidation>
        <x14:dataValidation type="list" allowBlank="1" showInputMessage="1" showErrorMessage="1" xr:uid="{B1713242-CAE1-4455-878E-134BC5673E4D}">
          <x14:formula1>
            <xm:f>DataReferences!$O:$O</xm:f>
          </x14:formula1>
          <xm:sqref>X2:X105 X109:X1048576</xm:sqref>
        </x14:dataValidation>
        <x14:dataValidation type="list" allowBlank="1" showInputMessage="1" showErrorMessage="1" xr:uid="{5FA9130C-9B26-44DD-B650-B6A0FFBB2152}">
          <x14:formula1>
            <xm:f>DataReferences!$B$2:$B$3</xm:f>
          </x14:formula1>
          <xm:sqref>B2:B1048576</xm:sqref>
        </x14:dataValidation>
        <x14:dataValidation type="list" allowBlank="1" showInputMessage="1" showErrorMessage="1" xr:uid="{195B78FD-B331-462E-8CA4-A3883C2AFF2B}">
          <x14:formula1>
            <xm:f>DataReferences!$A$1:$A$13</xm:f>
          </x14:formula1>
          <xm:sqref>A2:A1048576</xm:sqref>
        </x14:dataValidation>
        <x14:dataValidation type="list" allowBlank="1" showInputMessage="1" showErrorMessage="1" xr:uid="{8D4A7551-5126-42F4-860F-21A9E7CCA359}">
          <x14:formula1>
            <xm:f>DataReferences!$H:$H</xm:f>
          </x14:formula1>
          <xm:sqref>M12:M1048576</xm:sqref>
        </x14:dataValidation>
        <x14:dataValidation type="list" allowBlank="1" showInputMessage="1" showErrorMessage="1" xr:uid="{1D771963-D75F-4E8E-8A58-E3194357E8E4}">
          <x14:formula1>
            <xm:f>DataReferences!$P:$P</xm:f>
          </x14:formula1>
          <xm:sqref>U2:U1048576</xm:sqref>
        </x14:dataValidation>
        <x14:dataValidation type="list" allowBlank="1" showInputMessage="1" showErrorMessage="1" xr:uid="{1623CAD1-F11E-4B33-BB29-815F1657B307}">
          <x14:formula1>
            <xm:f>DataReferences!$D:$D</xm:f>
          </x14:formula1>
          <xm:sqref>G33:G1048576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5B573-C0F1-4822-8F2C-3487C6AFCE1E}">
  <sheetPr>
    <tabColor rgb="FF92D050"/>
  </sheetPr>
  <dimension ref="A1:B392"/>
  <sheetViews>
    <sheetView workbookViewId="0"/>
  </sheetViews>
  <sheetFormatPr defaultRowHeight="16" x14ac:dyDescent="0.25"/>
  <cols>
    <col min="1" max="1" width="36.26953125" style="196" customWidth="1"/>
    <col min="2" max="2" width="190.453125" style="196" customWidth="1"/>
    <col min="3" max="16384" width="8.7265625" style="196"/>
  </cols>
  <sheetData>
    <row r="1" spans="1:2" ht="16.5" thickBot="1" x14ac:dyDescent="0.3">
      <c r="A1" s="266" t="s">
        <v>16</v>
      </c>
      <c r="B1" s="267">
        <v>46023</v>
      </c>
    </row>
    <row r="2" spans="1:2" ht="16.5" hidden="1" customHeight="1" thickBot="1" x14ac:dyDescent="0.3">
      <c r="A2" s="293" t="str">
        <f>input!$C$2</f>
        <v>RYAN DAVE MAWI-IT</v>
      </c>
      <c r="B2" s="558" t="s">
        <v>351</v>
      </c>
    </row>
    <row r="3" spans="1:2" ht="16.5" hidden="1" thickBot="1" x14ac:dyDescent="0.3">
      <c r="A3" s="294" t="s">
        <v>53</v>
      </c>
      <c r="B3" s="559"/>
    </row>
    <row r="4" spans="1:2" ht="16.5" hidden="1" thickBot="1" x14ac:dyDescent="0.3">
      <c r="A4" s="295" t="s">
        <v>328</v>
      </c>
      <c r="B4" s="560"/>
    </row>
    <row r="5" spans="1:2" ht="16.5" hidden="1" customHeight="1" thickBot="1" x14ac:dyDescent="0.3">
      <c r="A5" s="293" t="str">
        <f>input!$C$3</f>
        <v>JOEY A. LASSIN</v>
      </c>
      <c r="B5" s="558" t="s">
        <v>352</v>
      </c>
    </row>
    <row r="6" spans="1:2" ht="16.5" hidden="1" customHeight="1" thickBot="1" x14ac:dyDescent="0.3">
      <c r="A6" s="294" t="s">
        <v>1</v>
      </c>
      <c r="B6" s="559"/>
    </row>
    <row r="7" spans="1:2" ht="16.5" hidden="1" customHeight="1" thickBot="1" x14ac:dyDescent="0.3">
      <c r="A7" s="295" t="s">
        <v>329</v>
      </c>
      <c r="B7" s="560"/>
    </row>
    <row r="8" spans="1:2" ht="16.5" hidden="1" thickBot="1" x14ac:dyDescent="0.3">
      <c r="A8" s="293" t="str">
        <f>input!$C$4</f>
        <v>MANUEL D. BALAIS</v>
      </c>
      <c r="B8" s="561" t="s">
        <v>354</v>
      </c>
    </row>
    <row r="9" spans="1:2" ht="16.5" hidden="1" thickBot="1" x14ac:dyDescent="0.3">
      <c r="A9" s="294" t="s">
        <v>1</v>
      </c>
      <c r="B9" s="562"/>
    </row>
    <row r="10" spans="1:2" ht="16.5" hidden="1" thickBot="1" x14ac:dyDescent="0.3">
      <c r="A10" s="295" t="s">
        <v>330</v>
      </c>
      <c r="B10" s="563"/>
    </row>
    <row r="11" spans="1:2" ht="16.5" hidden="1" thickBot="1" x14ac:dyDescent="0.3">
      <c r="A11" s="293" t="str">
        <f>input!$C$5</f>
        <v>WILBUR D. AWIS</v>
      </c>
      <c r="B11" s="561" t="s">
        <v>353</v>
      </c>
    </row>
    <row r="12" spans="1:2" ht="16.5" hidden="1" thickBot="1" x14ac:dyDescent="0.3">
      <c r="A12" s="294" t="s">
        <v>53</v>
      </c>
      <c r="B12" s="562"/>
    </row>
    <row r="13" spans="1:2" ht="16.5" hidden="1" thickBot="1" x14ac:dyDescent="0.3">
      <c r="A13" s="295" t="s">
        <v>328</v>
      </c>
      <c r="B13" s="563"/>
    </row>
    <row r="14" spans="1:2" ht="16.5" hidden="1" customHeight="1" thickBot="1" x14ac:dyDescent="0.3">
      <c r="A14" s="293" t="str">
        <f>input!$C$6</f>
        <v xml:space="preserve">DUMAGUING M. LIBAN	</v>
      </c>
      <c r="B14" s="561" t="s">
        <v>332</v>
      </c>
    </row>
    <row r="15" spans="1:2" ht="16.5" hidden="1" customHeight="1" thickBot="1" x14ac:dyDescent="0.3">
      <c r="A15" s="294" t="s">
        <v>6</v>
      </c>
      <c r="B15" s="562"/>
    </row>
    <row r="16" spans="1:2" ht="16.5" hidden="1" customHeight="1" thickBot="1" x14ac:dyDescent="0.3">
      <c r="A16" s="295" t="s">
        <v>331</v>
      </c>
      <c r="B16" s="563"/>
    </row>
    <row r="17" spans="1:2" ht="16.5" hidden="1" customHeight="1" thickBot="1" x14ac:dyDescent="0.3">
      <c r="A17" s="293" t="str">
        <f>input!$C$7</f>
        <v>GLENN MARK B. LABOTAN</v>
      </c>
      <c r="B17" s="561" t="s">
        <v>509</v>
      </c>
    </row>
    <row r="18" spans="1:2" ht="16.5" hidden="1" customHeight="1" thickBot="1" x14ac:dyDescent="0.3">
      <c r="A18" s="294" t="s">
        <v>2</v>
      </c>
      <c r="B18" s="564"/>
    </row>
    <row r="19" spans="1:2" ht="16.5" hidden="1" customHeight="1" thickBot="1" x14ac:dyDescent="0.3">
      <c r="A19" s="295" t="s">
        <v>488</v>
      </c>
      <c r="B19" s="565"/>
    </row>
    <row r="20" spans="1:2" ht="16.5" hidden="1" customHeight="1" thickBot="1" x14ac:dyDescent="0.3">
      <c r="A20" s="293" t="str">
        <f>input!$C$8</f>
        <v>BINSON I. ZAPARITA</v>
      </c>
      <c r="B20" s="561" t="s">
        <v>510</v>
      </c>
    </row>
    <row r="21" spans="1:2" ht="16.5" hidden="1" customHeight="1" thickBot="1" x14ac:dyDescent="0.3">
      <c r="A21" s="271" t="str">
        <f>input!O8</f>
        <v>FAC</v>
      </c>
      <c r="B21" s="562"/>
    </row>
    <row r="22" spans="1:2" ht="16.5" hidden="1" customHeight="1" thickBot="1" x14ac:dyDescent="0.3">
      <c r="A22" s="272" t="s">
        <v>398</v>
      </c>
      <c r="B22" s="563"/>
    </row>
    <row r="23" spans="1:2" ht="16.5" hidden="1" customHeight="1" thickBot="1" x14ac:dyDescent="0.3">
      <c r="A23" s="270" t="str">
        <f>input!C9</f>
        <v>ROWELL C. DELA CRUZ</v>
      </c>
      <c r="B23" s="561" t="s">
        <v>511</v>
      </c>
    </row>
    <row r="24" spans="1:2" ht="16.5" hidden="1" customHeight="1" thickBot="1" x14ac:dyDescent="0.3">
      <c r="A24" s="271" t="str">
        <f>input!O9</f>
        <v>FAC</v>
      </c>
      <c r="B24" s="562"/>
    </row>
    <row r="25" spans="1:2" ht="16.5" hidden="1" customHeight="1" thickBot="1" x14ac:dyDescent="0.3">
      <c r="A25" s="272" t="s">
        <v>414</v>
      </c>
      <c r="B25" s="563"/>
    </row>
    <row r="26" spans="1:2" ht="16.5" hidden="1" customHeight="1" thickBot="1" x14ac:dyDescent="0.3">
      <c r="A26" s="270" t="str">
        <f>input!C10</f>
        <v>JOHN REY BAGUIYAC</v>
      </c>
      <c r="B26" s="561" t="s">
        <v>512</v>
      </c>
    </row>
    <row r="27" spans="1:2" ht="16.5" hidden="1" customHeight="1" thickBot="1" x14ac:dyDescent="0.3">
      <c r="A27" s="271" t="str">
        <f>input!O10</f>
        <v>FAC</v>
      </c>
      <c r="B27" s="562"/>
    </row>
    <row r="28" spans="1:2" ht="16.5" hidden="1" customHeight="1" thickBot="1" x14ac:dyDescent="0.3">
      <c r="A28" s="272" t="str">
        <f>input!V10</f>
        <v>Proposed Hemodialysis Station</v>
      </c>
      <c r="B28" s="563"/>
    </row>
    <row r="29" spans="1:2" ht="16.5" hidden="1" thickBot="1" x14ac:dyDescent="0.3">
      <c r="A29" s="270" t="str">
        <f>input!C11</f>
        <v>FUSE CUT-OFF SWITCH</v>
      </c>
      <c r="B29" s="561" t="s">
        <v>513</v>
      </c>
    </row>
    <row r="30" spans="1:2" ht="16.5" hidden="1" thickBot="1" x14ac:dyDescent="0.3">
      <c r="A30" s="271" t="str">
        <f>input!O11</f>
        <v>PD</v>
      </c>
      <c r="B30" s="562"/>
    </row>
    <row r="31" spans="1:2" ht="16.5" hidden="1" thickBot="1" x14ac:dyDescent="0.3">
      <c r="A31" s="272" t="str">
        <f>input!V11</f>
        <v>300 KVA Substation</v>
      </c>
      <c r="B31" s="563"/>
    </row>
    <row r="32" spans="1:2" ht="16.5" hidden="1" customHeight="1" thickBot="1" x14ac:dyDescent="0.3">
      <c r="A32" s="270" t="str">
        <f>input!C12</f>
        <v>PINE TREES</v>
      </c>
      <c r="B32" s="561" t="s">
        <v>685</v>
      </c>
    </row>
    <row r="33" spans="1:2" ht="16.5" hidden="1" customHeight="1" thickBot="1" x14ac:dyDescent="0.3">
      <c r="A33" s="271" t="str">
        <f>input!O12</f>
        <v>EI</v>
      </c>
      <c r="B33" s="562"/>
    </row>
    <row r="34" spans="1:2" ht="16.5" hidden="1" customHeight="1" thickBot="1" x14ac:dyDescent="0.3">
      <c r="A34" s="272" t="str">
        <f>input!G12</f>
        <v>Buaki, Sapid</v>
      </c>
      <c r="B34" s="563"/>
    </row>
    <row r="35" spans="1:2" ht="16.5" hidden="1" customHeight="1" thickBot="1" x14ac:dyDescent="0.3">
      <c r="A35" s="270" t="str">
        <f>input!C13</f>
        <v>BURNT GARBAGE</v>
      </c>
      <c r="B35" s="561" t="s">
        <v>680</v>
      </c>
    </row>
    <row r="36" spans="1:2" ht="16.5" hidden="1" customHeight="1" thickBot="1" x14ac:dyDescent="0.3">
      <c r="A36" s="271" t="str">
        <f>input!O13</f>
        <v>EI</v>
      </c>
      <c r="B36" s="562"/>
    </row>
    <row r="37" spans="1:2" ht="16.5" hidden="1" customHeight="1" thickBot="1" x14ac:dyDescent="0.3">
      <c r="A37" s="272" t="str">
        <f>input!G13</f>
        <v>Golf Course, Sapid</v>
      </c>
      <c r="B37" s="563"/>
    </row>
    <row r="38" spans="1:2" ht="16.5" hidden="1" customHeight="1" thickBot="1" x14ac:dyDescent="0.3">
      <c r="A38" s="270" t="str">
        <f>input!C14</f>
        <v>VOLVO TRUCK</v>
      </c>
      <c r="B38" s="561" t="s">
        <v>690</v>
      </c>
    </row>
    <row r="39" spans="1:2" ht="16.5" hidden="1" customHeight="1" thickBot="1" x14ac:dyDescent="0.3">
      <c r="A39" s="271" t="str">
        <f>input!O14</f>
        <v>EI</v>
      </c>
      <c r="B39" s="562"/>
    </row>
    <row r="40" spans="1:2" ht="16.5" hidden="1" customHeight="1" thickBot="1" x14ac:dyDescent="0.3">
      <c r="A40" s="272" t="str">
        <f>input!G14</f>
        <v>Tubo, Sapid</v>
      </c>
      <c r="B40" s="563"/>
    </row>
    <row r="41" spans="1:2" ht="16.5" thickBot="1" x14ac:dyDescent="0.3">
      <c r="A41" s="268" t="s">
        <v>16</v>
      </c>
      <c r="B41" s="269">
        <v>46054</v>
      </c>
    </row>
    <row r="42" spans="1:2" ht="16.5" hidden="1" customHeight="1" thickBot="1" x14ac:dyDescent="0.3">
      <c r="A42" s="270" t="s">
        <v>562</v>
      </c>
      <c r="B42" s="555" t="s">
        <v>564</v>
      </c>
    </row>
    <row r="43" spans="1:2" ht="16.5" hidden="1" customHeight="1" thickBot="1" x14ac:dyDescent="0.3">
      <c r="A43" s="271" t="s">
        <v>569</v>
      </c>
      <c r="B43" s="556"/>
    </row>
    <row r="44" spans="1:2" ht="16.5" hidden="1" customHeight="1" thickBot="1" x14ac:dyDescent="0.3">
      <c r="A44" s="272" t="s">
        <v>563</v>
      </c>
      <c r="B44" s="557"/>
    </row>
    <row r="45" spans="1:2" ht="16.5" hidden="1" customHeight="1" thickBot="1" x14ac:dyDescent="0.3">
      <c r="A45" s="270" t="s">
        <v>607</v>
      </c>
      <c r="B45" s="555" t="s">
        <v>609</v>
      </c>
    </row>
    <row r="46" spans="1:2" ht="16.5" hidden="1" customHeight="1" thickBot="1" x14ac:dyDescent="0.3">
      <c r="A46" s="271" t="s">
        <v>2</v>
      </c>
      <c r="B46" s="556"/>
    </row>
    <row r="47" spans="1:2" ht="16.5" hidden="1" customHeight="1" thickBot="1" x14ac:dyDescent="0.3">
      <c r="A47" s="272" t="s">
        <v>608</v>
      </c>
      <c r="B47" s="557"/>
    </row>
    <row r="48" spans="1:2" ht="16.5" hidden="1" thickBot="1" x14ac:dyDescent="0.3">
      <c r="A48" s="270" t="s">
        <v>567</v>
      </c>
      <c r="B48" s="555" t="s">
        <v>566</v>
      </c>
    </row>
    <row r="49" spans="1:2" ht="16.5" hidden="1" thickBot="1" x14ac:dyDescent="0.3">
      <c r="A49" s="271" t="s">
        <v>570</v>
      </c>
      <c r="B49" s="556"/>
    </row>
    <row r="50" spans="1:2" ht="16.5" hidden="1" thickBot="1" x14ac:dyDescent="0.3">
      <c r="A50" s="272" t="s">
        <v>568</v>
      </c>
      <c r="B50" s="557"/>
    </row>
    <row r="51" spans="1:2" ht="16.5" hidden="1" customHeight="1" thickBot="1" x14ac:dyDescent="0.3">
      <c r="A51" s="270" t="s">
        <v>610</v>
      </c>
      <c r="B51" s="555" t="s">
        <v>611</v>
      </c>
    </row>
    <row r="52" spans="1:2" ht="16.5" hidden="1" customHeight="1" thickBot="1" x14ac:dyDescent="0.3">
      <c r="A52" s="271" t="s">
        <v>53</v>
      </c>
      <c r="B52" s="556"/>
    </row>
    <row r="53" spans="1:2" ht="16.5" hidden="1" customHeight="1" thickBot="1" x14ac:dyDescent="0.3">
      <c r="A53" s="272" t="s">
        <v>568</v>
      </c>
      <c r="B53" s="557"/>
    </row>
    <row r="54" spans="1:2" ht="16.5" hidden="1" customHeight="1" thickBot="1" x14ac:dyDescent="0.3">
      <c r="A54" s="270" t="s">
        <v>612</v>
      </c>
      <c r="B54" s="555" t="s">
        <v>614</v>
      </c>
    </row>
    <row r="55" spans="1:2" ht="16.5" hidden="1" customHeight="1" thickBot="1" x14ac:dyDescent="0.3">
      <c r="A55" s="271" t="s">
        <v>53</v>
      </c>
      <c r="B55" s="556"/>
    </row>
    <row r="56" spans="1:2" ht="16.5" hidden="1" customHeight="1" thickBot="1" x14ac:dyDescent="0.3">
      <c r="A56" s="272" t="s">
        <v>613</v>
      </c>
      <c r="B56" s="557"/>
    </row>
    <row r="57" spans="1:2" ht="16.5" hidden="1" thickBot="1" x14ac:dyDescent="0.3">
      <c r="A57" s="270" t="s">
        <v>615</v>
      </c>
      <c r="B57" s="555" t="s">
        <v>616</v>
      </c>
    </row>
    <row r="58" spans="1:2" ht="16.5" hidden="1" thickBot="1" x14ac:dyDescent="0.3">
      <c r="A58" s="271" t="s">
        <v>1</v>
      </c>
      <c r="B58" s="556"/>
    </row>
    <row r="59" spans="1:2" ht="16.5" hidden="1" thickBot="1" x14ac:dyDescent="0.3">
      <c r="A59" s="272" t="s">
        <v>599</v>
      </c>
      <c r="B59" s="557"/>
    </row>
    <row r="60" spans="1:2" ht="16.5" hidden="1" thickBot="1" x14ac:dyDescent="0.3">
      <c r="A60" s="270" t="s">
        <v>652</v>
      </c>
      <c r="B60" s="555" t="s">
        <v>667</v>
      </c>
    </row>
    <row r="61" spans="1:2" ht="16.5" hidden="1" thickBot="1" x14ac:dyDescent="0.3">
      <c r="A61" s="271" t="s">
        <v>1</v>
      </c>
      <c r="B61" s="556"/>
    </row>
    <row r="62" spans="1:2" ht="16.5" hidden="1" thickBot="1" x14ac:dyDescent="0.3">
      <c r="A62" s="272" t="s">
        <v>649</v>
      </c>
      <c r="B62" s="557"/>
    </row>
    <row r="63" spans="1:2" ht="16.5" hidden="1" thickBot="1" x14ac:dyDescent="0.3">
      <c r="A63" s="270" t="s">
        <v>653</v>
      </c>
      <c r="B63" s="555" t="s">
        <v>668</v>
      </c>
    </row>
    <row r="64" spans="1:2" ht="16.5" hidden="1" thickBot="1" x14ac:dyDescent="0.3">
      <c r="A64" s="271" t="s">
        <v>1</v>
      </c>
      <c r="B64" s="556"/>
    </row>
    <row r="65" spans="1:2" ht="16.5" hidden="1" thickBot="1" x14ac:dyDescent="0.3">
      <c r="A65" s="272" t="s">
        <v>650</v>
      </c>
      <c r="B65" s="557"/>
    </row>
    <row r="66" spans="1:2" ht="16.5" hidden="1" thickBot="1" x14ac:dyDescent="0.3">
      <c r="A66" s="270" t="s">
        <v>654</v>
      </c>
      <c r="B66" s="555" t="s">
        <v>669</v>
      </c>
    </row>
    <row r="67" spans="1:2" ht="16.5" hidden="1" thickBot="1" x14ac:dyDescent="0.3">
      <c r="A67" s="271" t="s">
        <v>2</v>
      </c>
      <c r="B67" s="556"/>
    </row>
    <row r="68" spans="1:2" ht="16.5" hidden="1" thickBot="1" x14ac:dyDescent="0.3">
      <c r="A68" s="272" t="s">
        <v>651</v>
      </c>
      <c r="B68" s="557"/>
    </row>
    <row r="69" spans="1:2" ht="16.5" hidden="1" thickBot="1" x14ac:dyDescent="0.3">
      <c r="A69" s="270" t="s">
        <v>655</v>
      </c>
      <c r="B69" s="555" t="s">
        <v>670</v>
      </c>
    </row>
    <row r="70" spans="1:2" ht="16.5" hidden="1" thickBot="1" x14ac:dyDescent="0.3">
      <c r="A70" s="271" t="s">
        <v>1</v>
      </c>
      <c r="B70" s="556"/>
    </row>
    <row r="71" spans="1:2" ht="16.5" hidden="1" thickBot="1" x14ac:dyDescent="0.3">
      <c r="A71" s="272" t="s">
        <v>656</v>
      </c>
      <c r="B71" s="557"/>
    </row>
    <row r="72" spans="1:2" ht="16.5" hidden="1" thickBot="1" x14ac:dyDescent="0.3">
      <c r="A72" s="270" t="s">
        <v>671</v>
      </c>
      <c r="B72" s="555" t="s">
        <v>673</v>
      </c>
    </row>
    <row r="73" spans="1:2" ht="16.5" hidden="1" thickBot="1" x14ac:dyDescent="0.3">
      <c r="A73" s="271" t="s">
        <v>0</v>
      </c>
      <c r="B73" s="556"/>
    </row>
    <row r="74" spans="1:2" ht="16.5" hidden="1" thickBot="1" x14ac:dyDescent="0.3">
      <c r="A74" s="272" t="s">
        <v>674</v>
      </c>
      <c r="B74" s="557"/>
    </row>
    <row r="75" spans="1:2" ht="16.5" hidden="1" customHeight="1" thickBot="1" x14ac:dyDescent="0.3">
      <c r="A75" s="270" t="s">
        <v>698</v>
      </c>
      <c r="B75" s="555" t="s">
        <v>695</v>
      </c>
    </row>
    <row r="76" spans="1:2" ht="16.5" hidden="1" customHeight="1" thickBot="1" x14ac:dyDescent="0.3">
      <c r="A76" s="271" t="s">
        <v>693</v>
      </c>
      <c r="B76" s="556"/>
    </row>
    <row r="77" spans="1:2" ht="16.5" hidden="1" customHeight="1" thickBot="1" x14ac:dyDescent="0.3">
      <c r="A77" s="272" t="s">
        <v>694</v>
      </c>
      <c r="B77" s="557"/>
    </row>
    <row r="78" spans="1:2" ht="16.5" hidden="1" customHeight="1" thickBot="1" x14ac:dyDescent="0.3">
      <c r="A78" s="270" t="s">
        <v>699</v>
      </c>
      <c r="B78" s="555" t="s">
        <v>701</v>
      </c>
    </row>
    <row r="79" spans="1:2" ht="16.5" hidden="1" customHeight="1" thickBot="1" x14ac:dyDescent="0.3">
      <c r="A79" s="271" t="s">
        <v>693</v>
      </c>
      <c r="B79" s="556"/>
    </row>
    <row r="80" spans="1:2" ht="16.5" hidden="1" customHeight="1" thickBot="1" x14ac:dyDescent="0.3">
      <c r="A80" s="272" t="s">
        <v>700</v>
      </c>
      <c r="B80" s="557"/>
    </row>
    <row r="81" spans="1:2" ht="16.5" hidden="1" thickBot="1" x14ac:dyDescent="0.3">
      <c r="A81" s="270" t="s">
        <v>708</v>
      </c>
      <c r="B81" s="555" t="s">
        <v>707</v>
      </c>
    </row>
    <row r="82" spans="1:2" ht="16.5" hidden="1" thickBot="1" x14ac:dyDescent="0.3">
      <c r="A82" s="271" t="s">
        <v>693</v>
      </c>
      <c r="B82" s="556"/>
    </row>
    <row r="83" spans="1:2" ht="16.5" hidden="1" thickBot="1" x14ac:dyDescent="0.3">
      <c r="A83" s="272" t="s">
        <v>678</v>
      </c>
      <c r="B83" s="557"/>
    </row>
    <row r="84" spans="1:2" ht="16.5" hidden="1" thickBot="1" x14ac:dyDescent="0.3">
      <c r="A84" s="270" t="s">
        <v>708</v>
      </c>
      <c r="B84" s="555" t="s">
        <v>709</v>
      </c>
    </row>
    <row r="85" spans="1:2" ht="16.5" hidden="1" thickBot="1" x14ac:dyDescent="0.3">
      <c r="A85" s="271" t="s">
        <v>693</v>
      </c>
      <c r="B85" s="556"/>
    </row>
    <row r="86" spans="1:2" ht="16.5" hidden="1" thickBot="1" x14ac:dyDescent="0.3">
      <c r="A86" s="272" t="s">
        <v>710</v>
      </c>
      <c r="B86" s="557"/>
    </row>
    <row r="87" spans="1:2" ht="16.5" hidden="1" thickBot="1" x14ac:dyDescent="0.3">
      <c r="A87" s="270" t="s">
        <v>718</v>
      </c>
      <c r="B87" s="555" t="s">
        <v>719</v>
      </c>
    </row>
    <row r="88" spans="1:2" ht="16.5" hidden="1" thickBot="1" x14ac:dyDescent="0.3">
      <c r="A88" s="271" t="s">
        <v>693</v>
      </c>
      <c r="B88" s="556"/>
    </row>
    <row r="89" spans="1:2" ht="16.5" hidden="1" thickBot="1" x14ac:dyDescent="0.3">
      <c r="A89" s="272" t="s">
        <v>717</v>
      </c>
      <c r="B89" s="557"/>
    </row>
    <row r="90" spans="1:2" ht="16.5" thickBot="1" x14ac:dyDescent="0.3">
      <c r="A90" s="268" t="s">
        <v>16</v>
      </c>
      <c r="B90" s="269">
        <v>46082</v>
      </c>
    </row>
    <row r="91" spans="1:2" ht="16.5" hidden="1" customHeight="1" thickBot="1" x14ac:dyDescent="0.3">
      <c r="A91" s="270" t="s">
        <v>711</v>
      </c>
      <c r="B91" s="555" t="s">
        <v>756</v>
      </c>
    </row>
    <row r="92" spans="1:2" ht="16.5" hidden="1" customHeight="1" thickBot="1" x14ac:dyDescent="0.3">
      <c r="A92" s="271" t="s">
        <v>693</v>
      </c>
      <c r="B92" s="556"/>
    </row>
    <row r="93" spans="1:2" ht="16.5" hidden="1" customHeight="1" thickBot="1" x14ac:dyDescent="0.3">
      <c r="A93" s="272" t="s">
        <v>678</v>
      </c>
      <c r="B93" s="557"/>
    </row>
    <row r="94" spans="1:2" ht="16.5" hidden="1" customHeight="1" thickBot="1" x14ac:dyDescent="0.3">
      <c r="A94" s="270" t="s">
        <v>754</v>
      </c>
      <c r="B94" s="555" t="s">
        <v>757</v>
      </c>
    </row>
    <row r="95" spans="1:2" ht="16.5" hidden="1" customHeight="1" thickBot="1" x14ac:dyDescent="0.3">
      <c r="A95" s="271" t="s">
        <v>755</v>
      </c>
      <c r="B95" s="556"/>
    </row>
    <row r="96" spans="1:2" ht="16.5" hidden="1" customHeight="1" thickBot="1" x14ac:dyDescent="0.3">
      <c r="A96" s="272" t="s">
        <v>700</v>
      </c>
      <c r="B96" s="557"/>
    </row>
    <row r="97" spans="1:2" ht="16.5" hidden="1" customHeight="1" thickBot="1" x14ac:dyDescent="0.3">
      <c r="A97" s="270" t="s">
        <v>747</v>
      </c>
      <c r="B97" s="555" t="s">
        <v>753</v>
      </c>
    </row>
    <row r="98" spans="1:2" ht="16.5" hidden="1" customHeight="1" thickBot="1" x14ac:dyDescent="0.3">
      <c r="A98" s="271" t="s">
        <v>12</v>
      </c>
      <c r="B98" s="556"/>
    </row>
    <row r="99" spans="1:2" ht="16.5" hidden="1" customHeight="1" thickBot="1" x14ac:dyDescent="0.3">
      <c r="A99" s="272" t="s">
        <v>116</v>
      </c>
      <c r="B99" s="557"/>
    </row>
    <row r="100" spans="1:2" ht="16.5" hidden="1" customHeight="1" thickBot="1" x14ac:dyDescent="0.3">
      <c r="A100" s="270" t="s">
        <v>711</v>
      </c>
      <c r="B100" s="555" t="s">
        <v>759</v>
      </c>
    </row>
    <row r="101" spans="1:2" ht="16.5" hidden="1" customHeight="1" thickBot="1" x14ac:dyDescent="0.3">
      <c r="A101" s="271" t="s">
        <v>693</v>
      </c>
      <c r="B101" s="556"/>
    </row>
    <row r="102" spans="1:2" ht="16.5" hidden="1" customHeight="1" thickBot="1" x14ac:dyDescent="0.3">
      <c r="A102" s="272" t="s">
        <v>758</v>
      </c>
      <c r="B102" s="557"/>
    </row>
    <row r="103" spans="1:2" ht="16.5" hidden="1" thickBot="1" x14ac:dyDescent="0.3">
      <c r="A103" s="270" t="s">
        <v>797</v>
      </c>
      <c r="B103" s="555" t="s">
        <v>799</v>
      </c>
    </row>
    <row r="104" spans="1:2" ht="16.5" hidden="1" thickBot="1" x14ac:dyDescent="0.3">
      <c r="A104" s="271" t="s">
        <v>53</v>
      </c>
      <c r="B104" s="556"/>
    </row>
    <row r="105" spans="1:2" ht="16.5" hidden="1" thickBot="1" x14ac:dyDescent="0.3">
      <c r="A105" s="272" t="s">
        <v>798</v>
      </c>
      <c r="B105" s="557"/>
    </row>
    <row r="106" spans="1:2" ht="16.5" hidden="1" thickBot="1" x14ac:dyDescent="0.3">
      <c r="A106" s="270" t="s">
        <v>800</v>
      </c>
      <c r="B106" s="555" t="s">
        <v>805</v>
      </c>
    </row>
    <row r="107" spans="1:2" ht="16.5" hidden="1" thickBot="1" x14ac:dyDescent="0.3">
      <c r="A107" s="271" t="str">
        <f>input!O37</f>
        <v>OI</v>
      </c>
      <c r="B107" s="556"/>
    </row>
    <row r="108" spans="1:2" ht="16.5" hidden="1" thickBot="1" x14ac:dyDescent="0.3">
      <c r="A108" s="272" t="str">
        <f>input!V37</f>
        <v>256 RB Access</v>
      </c>
      <c r="B108" s="557"/>
    </row>
    <row r="109" spans="1:2" ht="16.5" hidden="1" thickBot="1" x14ac:dyDescent="0.3">
      <c r="A109" s="270" t="s">
        <v>801</v>
      </c>
      <c r="B109" s="555" t="s">
        <v>806</v>
      </c>
    </row>
    <row r="110" spans="1:2" ht="16.5" hidden="1" thickBot="1" x14ac:dyDescent="0.3">
      <c r="A110" s="271" t="str">
        <f>input!O38</f>
        <v>FAC</v>
      </c>
      <c r="B110" s="556"/>
    </row>
    <row r="111" spans="1:2" ht="16.5" hidden="1" thickBot="1" x14ac:dyDescent="0.3">
      <c r="A111" s="272" t="str">
        <f>input!V38</f>
        <v>249 Rock Drill Shop</v>
      </c>
      <c r="B111" s="557"/>
    </row>
    <row r="112" spans="1:2" ht="16.5" hidden="1" thickBot="1" x14ac:dyDescent="0.3">
      <c r="A112" s="270" t="s">
        <v>802</v>
      </c>
      <c r="B112" s="555" t="s">
        <v>807</v>
      </c>
    </row>
    <row r="113" spans="1:2" ht="16.5" hidden="1" thickBot="1" x14ac:dyDescent="0.3">
      <c r="A113" s="271" t="str">
        <f>input!O39</f>
        <v>FAC</v>
      </c>
      <c r="B113" s="556"/>
    </row>
    <row r="114" spans="1:2" ht="16.5" hidden="1" thickBot="1" x14ac:dyDescent="0.3">
      <c r="A114" s="272" t="str">
        <f>input!V39</f>
        <v>320 XCE</v>
      </c>
      <c r="B114" s="557"/>
    </row>
    <row r="115" spans="1:2" ht="16.5" hidden="1" thickBot="1" x14ac:dyDescent="0.3">
      <c r="A115" s="270" t="s">
        <v>803</v>
      </c>
      <c r="B115" s="555" t="s">
        <v>808</v>
      </c>
    </row>
    <row r="116" spans="1:2" ht="16.5" hidden="1" thickBot="1" x14ac:dyDescent="0.3">
      <c r="A116" s="271" t="str">
        <f>input!O40</f>
        <v>OI</v>
      </c>
      <c r="B116" s="556"/>
    </row>
    <row r="117" spans="1:2" ht="16.5" hidden="1" thickBot="1" x14ac:dyDescent="0.3">
      <c r="A117" s="272" t="str">
        <f>input!V40</f>
        <v xml:space="preserve">Change Room, Tubo </v>
      </c>
      <c r="B117" s="557"/>
    </row>
    <row r="118" spans="1:2" ht="16.5" hidden="1" thickBot="1" x14ac:dyDescent="0.3">
      <c r="A118" s="270" t="s">
        <v>804</v>
      </c>
      <c r="B118" s="555" t="s">
        <v>809</v>
      </c>
    </row>
    <row r="119" spans="1:2" ht="16.5" hidden="1" thickBot="1" x14ac:dyDescent="0.3">
      <c r="A119" s="271" t="str">
        <f>input!O41</f>
        <v>FAC</v>
      </c>
      <c r="B119" s="556"/>
    </row>
    <row r="120" spans="1:2" ht="16.5" hidden="1" thickBot="1" x14ac:dyDescent="0.3">
      <c r="A120" s="272" t="str">
        <f>input!V41</f>
        <v>Nayak Adit Portal</v>
      </c>
      <c r="B120" s="557"/>
    </row>
    <row r="121" spans="1:2" ht="16.5" hidden="1" thickBot="1" x14ac:dyDescent="0.3">
      <c r="A121" s="270" t="s">
        <v>814</v>
      </c>
      <c r="B121" s="555" t="s">
        <v>815</v>
      </c>
    </row>
    <row r="122" spans="1:2" ht="16.5" hidden="1" thickBot="1" x14ac:dyDescent="0.3">
      <c r="A122" s="271" t="str">
        <f>input!O42</f>
        <v>FAC</v>
      </c>
      <c r="B122" s="556"/>
    </row>
    <row r="123" spans="1:2" ht="16.5" hidden="1" thickBot="1" x14ac:dyDescent="0.3">
      <c r="A123" s="272" t="str">
        <f>input!V42</f>
        <v>Bonanza Quarry</v>
      </c>
      <c r="B123" s="557"/>
    </row>
    <row r="124" spans="1:2" ht="16.5" hidden="1" thickBot="1" x14ac:dyDescent="0.3">
      <c r="A124" s="270" t="s">
        <v>866</v>
      </c>
      <c r="B124" s="555" t="s">
        <v>865</v>
      </c>
    </row>
    <row r="125" spans="1:2" ht="16.5" hidden="1" thickBot="1" x14ac:dyDescent="0.3">
      <c r="A125" s="271" t="s">
        <v>0</v>
      </c>
      <c r="B125" s="556"/>
    </row>
    <row r="126" spans="1:2" ht="16.5" hidden="1" thickBot="1" x14ac:dyDescent="0.3">
      <c r="A126" s="272" t="s">
        <v>856</v>
      </c>
      <c r="B126" s="557"/>
    </row>
    <row r="127" spans="1:2" ht="16.5" hidden="1" customHeight="1" thickBot="1" x14ac:dyDescent="0.3">
      <c r="A127" s="270" t="s">
        <v>711</v>
      </c>
      <c r="B127" s="555" t="s">
        <v>868</v>
      </c>
    </row>
    <row r="128" spans="1:2" ht="16.5" hidden="1" customHeight="1" thickBot="1" x14ac:dyDescent="0.3">
      <c r="A128" s="271" t="s">
        <v>693</v>
      </c>
      <c r="B128" s="556"/>
    </row>
    <row r="129" spans="1:2" ht="16.5" hidden="1" customHeight="1" thickBot="1" x14ac:dyDescent="0.3">
      <c r="A129" s="272" t="s">
        <v>867</v>
      </c>
      <c r="B129" s="557"/>
    </row>
    <row r="130" spans="1:2" ht="16.5" hidden="1" customHeight="1" thickBot="1" x14ac:dyDescent="0.3">
      <c r="A130" s="270" t="s">
        <v>891</v>
      </c>
      <c r="B130" s="555" t="s">
        <v>893</v>
      </c>
    </row>
    <row r="131" spans="1:2" ht="16.5" hidden="1" customHeight="1" thickBot="1" x14ac:dyDescent="0.3">
      <c r="A131" s="271" t="s">
        <v>53</v>
      </c>
      <c r="B131" s="556"/>
    </row>
    <row r="132" spans="1:2" ht="16.5" hidden="1" customHeight="1" thickBot="1" x14ac:dyDescent="0.3">
      <c r="A132" s="272" t="s">
        <v>892</v>
      </c>
      <c r="B132" s="557"/>
    </row>
    <row r="133" spans="1:2" ht="16.5" hidden="1" customHeight="1" thickBot="1" x14ac:dyDescent="0.3">
      <c r="A133" s="270" t="s">
        <v>682</v>
      </c>
      <c r="B133" s="555" t="s">
        <v>902</v>
      </c>
    </row>
    <row r="134" spans="1:2" ht="16.5" hidden="1" customHeight="1" thickBot="1" x14ac:dyDescent="0.3">
      <c r="A134" s="271" t="s">
        <v>693</v>
      </c>
      <c r="B134" s="556"/>
    </row>
    <row r="135" spans="1:2" ht="16.5" hidden="1" customHeight="1" thickBot="1" x14ac:dyDescent="0.3">
      <c r="A135" s="272" t="s">
        <v>904</v>
      </c>
      <c r="B135" s="557"/>
    </row>
    <row r="136" spans="1:2" ht="16.5" hidden="1" customHeight="1" thickBot="1" x14ac:dyDescent="0.3">
      <c r="A136" s="270" t="s">
        <v>879</v>
      </c>
      <c r="B136" s="555" t="s">
        <v>894</v>
      </c>
    </row>
    <row r="137" spans="1:2" ht="16.5" hidden="1" customHeight="1" thickBot="1" x14ac:dyDescent="0.3">
      <c r="A137" s="271" t="s">
        <v>2</v>
      </c>
      <c r="B137" s="556"/>
    </row>
    <row r="138" spans="1:2" ht="16.5" hidden="1" customHeight="1" thickBot="1" x14ac:dyDescent="0.3">
      <c r="A138" s="272" t="s">
        <v>449</v>
      </c>
      <c r="B138" s="557"/>
    </row>
    <row r="139" spans="1:2" ht="16.5" hidden="1" thickBot="1" x14ac:dyDescent="0.3">
      <c r="A139" s="270" t="s">
        <v>682</v>
      </c>
      <c r="B139" s="555" t="s">
        <v>909</v>
      </c>
    </row>
    <row r="140" spans="1:2" ht="16.5" hidden="1" thickBot="1" x14ac:dyDescent="0.3">
      <c r="A140" s="271" t="s">
        <v>693</v>
      </c>
      <c r="B140" s="556"/>
    </row>
    <row r="141" spans="1:2" ht="16.5" hidden="1" thickBot="1" x14ac:dyDescent="0.3">
      <c r="A141" s="272" t="s">
        <v>904</v>
      </c>
      <c r="B141" s="557"/>
    </row>
    <row r="142" spans="1:2" ht="16.5" hidden="1" thickBot="1" x14ac:dyDescent="0.3">
      <c r="A142" s="270" t="s">
        <v>682</v>
      </c>
      <c r="B142" s="555" t="s">
        <v>910</v>
      </c>
    </row>
    <row r="143" spans="1:2" ht="16.5" hidden="1" thickBot="1" x14ac:dyDescent="0.3">
      <c r="A143" s="271" t="s">
        <v>693</v>
      </c>
      <c r="B143" s="556"/>
    </row>
    <row r="144" spans="1:2" ht="16.5" hidden="1" thickBot="1" x14ac:dyDescent="0.3">
      <c r="A144" s="272" t="s">
        <v>896</v>
      </c>
      <c r="B144" s="557"/>
    </row>
    <row r="145" spans="1:2" ht="16.5" hidden="1" customHeight="1" thickBot="1" x14ac:dyDescent="0.3">
      <c r="A145" s="270" t="s">
        <v>682</v>
      </c>
      <c r="B145" s="555" t="s">
        <v>916</v>
      </c>
    </row>
    <row r="146" spans="1:2" ht="16.5" hidden="1" customHeight="1" thickBot="1" x14ac:dyDescent="0.3">
      <c r="A146" s="271" t="s">
        <v>693</v>
      </c>
      <c r="B146" s="556"/>
    </row>
    <row r="147" spans="1:2" ht="16.5" hidden="1" customHeight="1" thickBot="1" x14ac:dyDescent="0.3">
      <c r="A147" s="272" t="s">
        <v>915</v>
      </c>
      <c r="B147" s="557"/>
    </row>
    <row r="148" spans="1:2" ht="16.5" hidden="1" customHeight="1" thickBot="1" x14ac:dyDescent="0.3">
      <c r="A148" s="270" t="s">
        <v>682</v>
      </c>
      <c r="B148" s="555" t="s">
        <v>1181</v>
      </c>
    </row>
    <row r="149" spans="1:2" ht="16.5" hidden="1" customHeight="1" thickBot="1" x14ac:dyDescent="0.3">
      <c r="A149" s="271" t="s">
        <v>693</v>
      </c>
      <c r="B149" s="556"/>
    </row>
    <row r="150" spans="1:2" ht="16.5" hidden="1" customHeight="1" thickBot="1" x14ac:dyDescent="0.3">
      <c r="A150" s="272" t="s">
        <v>1180</v>
      </c>
      <c r="B150" s="557"/>
    </row>
    <row r="151" spans="1:2" ht="16.5" thickBot="1" x14ac:dyDescent="0.3">
      <c r="A151" s="268" t="s">
        <v>16</v>
      </c>
      <c r="B151" s="269">
        <v>46113</v>
      </c>
    </row>
    <row r="152" spans="1:2" ht="16.5" hidden="1" customHeight="1" thickBot="1" x14ac:dyDescent="0.3">
      <c r="A152" s="270" t="s">
        <v>682</v>
      </c>
      <c r="B152" s="555" t="s">
        <v>1399</v>
      </c>
    </row>
    <row r="153" spans="1:2" ht="16.5" hidden="1" customHeight="1" thickBot="1" x14ac:dyDescent="0.3">
      <c r="A153" s="271" t="s">
        <v>693</v>
      </c>
      <c r="B153" s="556"/>
    </row>
    <row r="154" spans="1:2" ht="16.5" hidden="1" customHeight="1" thickBot="1" x14ac:dyDescent="0.3">
      <c r="A154" s="272" t="str">
        <f>input!V55</f>
        <v>Beside Golf Club Hanging Bridge</v>
      </c>
      <c r="B154" s="557"/>
    </row>
    <row r="155" spans="1:2" ht="16.5" hidden="1" customHeight="1" thickBot="1" x14ac:dyDescent="0.3">
      <c r="A155" s="270" t="s">
        <v>682</v>
      </c>
      <c r="B155" s="555" t="s">
        <v>1400</v>
      </c>
    </row>
    <row r="156" spans="1:2" ht="16.5" hidden="1" customHeight="1" thickBot="1" x14ac:dyDescent="0.3">
      <c r="A156" s="271" t="s">
        <v>693</v>
      </c>
      <c r="B156" s="556"/>
    </row>
    <row r="157" spans="1:2" ht="16.5" hidden="1" customHeight="1" thickBot="1" x14ac:dyDescent="0.3">
      <c r="A157" s="272" t="str">
        <f>input!V56</f>
        <v>Beside Golf Club</v>
      </c>
      <c r="B157" s="557"/>
    </row>
    <row r="158" spans="1:2" ht="16.5" hidden="1" customHeight="1" thickBot="1" x14ac:dyDescent="0.3">
      <c r="A158" s="270" t="s">
        <v>682</v>
      </c>
      <c r="B158" s="555" t="s">
        <v>1403</v>
      </c>
    </row>
    <row r="159" spans="1:2" ht="16.5" hidden="1" customHeight="1" thickBot="1" x14ac:dyDescent="0.3">
      <c r="A159" s="271" t="s">
        <v>693</v>
      </c>
      <c r="B159" s="556"/>
    </row>
    <row r="160" spans="1:2" ht="32.5" hidden="1" customHeight="1" thickBot="1" x14ac:dyDescent="0.3">
      <c r="A160" s="378" t="s">
        <v>1402</v>
      </c>
      <c r="B160" s="557"/>
    </row>
    <row r="161" spans="1:2" ht="16.5" hidden="1" customHeight="1" thickBot="1" x14ac:dyDescent="0.3">
      <c r="A161" s="270" t="str">
        <f>input!E58</f>
        <v>Forest Fire</v>
      </c>
      <c r="B161" s="555" t="s">
        <v>1410</v>
      </c>
    </row>
    <row r="162" spans="1:2" ht="16.5" hidden="1" customHeight="1" thickBot="1" x14ac:dyDescent="0.3">
      <c r="A162" s="271" t="str">
        <f>input!O58</f>
        <v>EI</v>
      </c>
      <c r="B162" s="556"/>
    </row>
    <row r="163" spans="1:2" ht="16.5" hidden="1" customHeight="1" thickBot="1" x14ac:dyDescent="0.3">
      <c r="A163" s="272" t="str">
        <f>input!V58</f>
        <v>Temporary Storage Area</v>
      </c>
      <c r="B163" s="557"/>
    </row>
    <row r="164" spans="1:2" ht="16.5" hidden="1" customHeight="1" thickBot="1" x14ac:dyDescent="0.3">
      <c r="A164" s="270" t="str">
        <f>input!C59</f>
        <v>FOREST FIRE</v>
      </c>
      <c r="B164" s="555" t="s">
        <v>1415</v>
      </c>
    </row>
    <row r="165" spans="1:2" ht="16.5" hidden="1" customHeight="1" thickBot="1" x14ac:dyDescent="0.3">
      <c r="A165" s="271" t="str">
        <f>input!O59</f>
        <v>EI</v>
      </c>
      <c r="B165" s="556"/>
    </row>
    <row r="166" spans="1:2" ht="16.5" hidden="1" customHeight="1" thickBot="1" x14ac:dyDescent="0.3">
      <c r="A166" s="272" t="str">
        <f>input!V59</f>
        <v>Near Tank 10</v>
      </c>
      <c r="B166" s="557"/>
    </row>
    <row r="167" spans="1:2" ht="16.5" hidden="1" customHeight="1" thickBot="1" x14ac:dyDescent="0.3">
      <c r="A167" s="270" t="s">
        <v>682</v>
      </c>
      <c r="B167" s="555" t="s">
        <v>1393</v>
      </c>
    </row>
    <row r="168" spans="1:2" ht="16.5" hidden="1" customHeight="1" thickBot="1" x14ac:dyDescent="0.3">
      <c r="A168" s="271" t="s">
        <v>693</v>
      </c>
      <c r="B168" s="556"/>
    </row>
    <row r="169" spans="1:2" ht="16.5" hidden="1" customHeight="1" thickBot="1" x14ac:dyDescent="0.3">
      <c r="A169" s="272" t="s">
        <v>1391</v>
      </c>
      <c r="B169" s="557"/>
    </row>
    <row r="170" spans="1:2" ht="16.5" hidden="1" customHeight="1" thickBot="1" x14ac:dyDescent="0.3">
      <c r="A170" s="270" t="str">
        <f>input!C61</f>
        <v>FOREST FIRE</v>
      </c>
      <c r="B170" s="555" t="s">
        <v>1418</v>
      </c>
    </row>
    <row r="171" spans="1:2" ht="16.5" hidden="1" customHeight="1" thickBot="1" x14ac:dyDescent="0.3">
      <c r="A171" s="271" t="str">
        <f>input!O61</f>
        <v>EI</v>
      </c>
      <c r="B171" s="556"/>
    </row>
    <row r="172" spans="1:2" ht="16.5" hidden="1" customHeight="1" thickBot="1" x14ac:dyDescent="0.3">
      <c r="A172" s="272" t="str">
        <f>input!V61</f>
        <v>Old Crusher, Golf Course</v>
      </c>
      <c r="B172" s="557"/>
    </row>
    <row r="173" spans="1:2" ht="16.5" hidden="1" customHeight="1" thickBot="1" x14ac:dyDescent="0.3">
      <c r="A173" s="270" t="str">
        <f>input!C62</f>
        <v>FOREST FIRE</v>
      </c>
      <c r="B173" s="555" t="s">
        <v>1424</v>
      </c>
    </row>
    <row r="174" spans="1:2" ht="16.5" hidden="1" customHeight="1" thickBot="1" x14ac:dyDescent="0.3">
      <c r="A174" s="271" t="str">
        <f>input!O62</f>
        <v>EI</v>
      </c>
      <c r="B174" s="556"/>
    </row>
    <row r="175" spans="1:2" ht="16.5" hidden="1" customHeight="1" thickBot="1" x14ac:dyDescent="0.3">
      <c r="A175" s="272" t="str">
        <f>input!V62</f>
        <v>Gate 1 Shortcut to Casubigan, Marivic</v>
      </c>
      <c r="B175" s="557"/>
    </row>
    <row r="176" spans="1:2" ht="16.5" hidden="1" customHeight="1" thickBot="1" x14ac:dyDescent="0.3">
      <c r="A176" s="270" t="str">
        <f>input!C63</f>
        <v>LUCKY F. GERONILLA</v>
      </c>
      <c r="B176" s="555" t="s">
        <v>1481</v>
      </c>
    </row>
    <row r="177" spans="1:2" ht="16.5" hidden="1" customHeight="1" thickBot="1" x14ac:dyDescent="0.3">
      <c r="A177" s="271" t="str">
        <f>input!O63</f>
        <v>OI</v>
      </c>
      <c r="B177" s="556"/>
    </row>
    <row r="178" spans="1:2" ht="16.5" hidden="1" customHeight="1" thickBot="1" x14ac:dyDescent="0.3">
      <c r="A178" s="272" t="str">
        <f>input!V63</f>
        <v>In front of Mine Office</v>
      </c>
      <c r="B178" s="557"/>
    </row>
    <row r="179" spans="1:2" ht="16.5" hidden="1" customHeight="1" thickBot="1" x14ac:dyDescent="0.3">
      <c r="A179" s="270" t="str">
        <f>input!C64</f>
        <v>RUBEN C. MIANA</v>
      </c>
      <c r="B179" s="555" t="s">
        <v>1483</v>
      </c>
    </row>
    <row r="180" spans="1:2" ht="16.5" hidden="1" customHeight="1" thickBot="1" x14ac:dyDescent="0.3">
      <c r="A180" s="271" t="str">
        <f>input!O64</f>
        <v>OI</v>
      </c>
      <c r="B180" s="556"/>
    </row>
    <row r="181" spans="1:2" ht="16.5" hidden="1" customHeight="1" thickBot="1" x14ac:dyDescent="0.3">
      <c r="A181" s="272" t="str">
        <f>input!V64</f>
        <v>6KB 900L Mainline</v>
      </c>
      <c r="B181" s="557"/>
    </row>
    <row r="182" spans="1:2" ht="16.5" hidden="1" customHeight="1" thickBot="1" x14ac:dyDescent="0.3">
      <c r="A182" s="270" t="str">
        <f>input!C65</f>
        <v>BAGNI G. DOMONGIT</v>
      </c>
      <c r="B182" s="555" t="s">
        <v>1484</v>
      </c>
    </row>
    <row r="183" spans="1:2" ht="16.5" hidden="1" customHeight="1" thickBot="1" x14ac:dyDescent="0.3">
      <c r="A183" s="271" t="str">
        <f>input!O65</f>
        <v>OI</v>
      </c>
      <c r="B183" s="556"/>
    </row>
    <row r="184" spans="1:2" ht="16.5" hidden="1" customHeight="1" thickBot="1" x14ac:dyDescent="0.3">
      <c r="A184" s="272" t="str">
        <f>input!V65</f>
        <v>249 Area</v>
      </c>
      <c r="B184" s="557"/>
    </row>
    <row r="185" spans="1:2" ht="16.5" hidden="1" customHeight="1" thickBot="1" x14ac:dyDescent="0.3">
      <c r="A185" s="270" t="str">
        <f>input!C66</f>
        <v>GASPAR T. BANGGUIYAO JR.</v>
      </c>
      <c r="B185" s="555" t="s">
        <v>1485</v>
      </c>
    </row>
    <row r="186" spans="1:2" ht="16.5" hidden="1" customHeight="1" thickBot="1" x14ac:dyDescent="0.3">
      <c r="A186" s="271" t="str">
        <f>input!O66</f>
        <v>FAC</v>
      </c>
      <c r="B186" s="556"/>
    </row>
    <row r="187" spans="1:2" ht="16.5" hidden="1" customHeight="1" thickBot="1" x14ac:dyDescent="0.3">
      <c r="A187" s="272" t="str">
        <f>input!V66</f>
        <v>1150 Rock Drill Shop</v>
      </c>
      <c r="B187" s="557"/>
    </row>
    <row r="188" spans="1:2" ht="16.5" hidden="1" customHeight="1" thickBot="1" x14ac:dyDescent="0.3">
      <c r="A188" s="270" t="str">
        <f>input!C67</f>
        <v>FELIPE A. DIWAG</v>
      </c>
      <c r="B188" s="555" t="s">
        <v>1486</v>
      </c>
    </row>
    <row r="189" spans="1:2" ht="16.5" hidden="1" customHeight="1" thickBot="1" x14ac:dyDescent="0.3">
      <c r="A189" s="271" t="str">
        <f>input!O67</f>
        <v>FAC</v>
      </c>
      <c r="B189" s="556"/>
    </row>
    <row r="190" spans="1:2" ht="16.5" hidden="1" customHeight="1" thickBot="1" x14ac:dyDescent="0.3">
      <c r="A190" s="272" t="str">
        <f>input!V67</f>
        <v xml:space="preserve">745 Tubo switch point </v>
      </c>
      <c r="B190" s="557"/>
    </row>
    <row r="191" spans="1:2" ht="16.5" hidden="1" customHeight="1" thickBot="1" x14ac:dyDescent="0.3">
      <c r="A191" s="270" t="str">
        <f>input!C68</f>
        <v>LEONITO PEROLINO</v>
      </c>
      <c r="B191" s="555" t="s">
        <v>1487</v>
      </c>
    </row>
    <row r="192" spans="1:2" ht="16.5" hidden="1" customHeight="1" thickBot="1" x14ac:dyDescent="0.3">
      <c r="A192" s="271" t="str">
        <f>input!O68</f>
        <v>FAC</v>
      </c>
      <c r="B192" s="556"/>
    </row>
    <row r="193" spans="1:2" ht="16.5" hidden="1" customHeight="1" thickBot="1" x14ac:dyDescent="0.3">
      <c r="A193" s="272" t="str">
        <f>input!V68</f>
        <v>800 ME-2 CUDDY</v>
      </c>
      <c r="B193" s="557"/>
    </row>
    <row r="194" spans="1:2" ht="16.5" hidden="1" customHeight="1" thickBot="1" x14ac:dyDescent="0.3">
      <c r="A194" s="270" t="str">
        <f>input!C69</f>
        <v>JERON P. MEDRANO</v>
      </c>
      <c r="B194" s="555" t="s">
        <v>1488</v>
      </c>
    </row>
    <row r="195" spans="1:2" ht="16.5" hidden="1" customHeight="1" thickBot="1" x14ac:dyDescent="0.3">
      <c r="A195" s="271" t="str">
        <f>input!O69</f>
        <v>OI</v>
      </c>
      <c r="B195" s="556"/>
    </row>
    <row r="196" spans="1:2" ht="16.5" hidden="1" customHeight="1" thickBot="1" x14ac:dyDescent="0.3">
      <c r="A196" s="272" t="str">
        <f>input!V69</f>
        <v>24048 Access</v>
      </c>
      <c r="B196" s="557"/>
    </row>
    <row r="197" spans="1:2" ht="16.5" hidden="1" customHeight="1" thickBot="1" x14ac:dyDescent="0.3">
      <c r="A197" s="270" t="str">
        <f>input!C70</f>
        <v>JOSEPH A. BANTIYAG</v>
      </c>
      <c r="B197" s="555" t="s">
        <v>1489</v>
      </c>
    </row>
    <row r="198" spans="1:2" ht="16.5" hidden="1" customHeight="1" thickBot="1" x14ac:dyDescent="0.3">
      <c r="A198" s="271" t="str">
        <f>input!O70</f>
        <v>FAC</v>
      </c>
      <c r="B198" s="556"/>
    </row>
    <row r="199" spans="1:2" ht="16.5" hidden="1" customHeight="1" thickBot="1" x14ac:dyDescent="0.3">
      <c r="A199" s="272" t="str">
        <f>input!V70</f>
        <v>320 B Ramp 1150L</v>
      </c>
      <c r="B199" s="557"/>
    </row>
    <row r="200" spans="1:2" ht="16.5" hidden="1" customHeight="1" thickBot="1" x14ac:dyDescent="0.3">
      <c r="A200" s="270" t="str">
        <f>input!C71</f>
        <v>EDWARD P. DAPIDAP</v>
      </c>
      <c r="B200" s="555" t="s">
        <v>1497</v>
      </c>
    </row>
    <row r="201" spans="1:2" ht="16.5" hidden="1" customHeight="1" thickBot="1" x14ac:dyDescent="0.3">
      <c r="A201" s="271" t="str">
        <f>input!O71</f>
        <v>FAC</v>
      </c>
      <c r="B201" s="556"/>
    </row>
    <row r="202" spans="1:2" ht="16.5" hidden="1" customHeight="1" thickBot="1" x14ac:dyDescent="0.3">
      <c r="A202" s="272" t="str">
        <f>input!V71</f>
        <v>Tubo, Old Traffic Area</v>
      </c>
      <c r="B202" s="557"/>
    </row>
    <row r="203" spans="1:2" ht="32.5" hidden="1" customHeight="1" thickBot="1" x14ac:dyDescent="0.3">
      <c r="A203" s="381" t="str">
        <f>input!C72</f>
        <v>JOHN WAYNE L. TUDLONG; JAY-AR B. BANASAN</v>
      </c>
      <c r="B203" s="555" t="s">
        <v>1506</v>
      </c>
    </row>
    <row r="204" spans="1:2" ht="16.5" hidden="1" customHeight="1" thickBot="1" x14ac:dyDescent="0.3">
      <c r="A204" s="271" t="str">
        <f>input!O72</f>
        <v>NM</v>
      </c>
      <c r="B204" s="556"/>
    </row>
    <row r="205" spans="1:2" ht="16.5" hidden="1" customHeight="1" thickBot="1" x14ac:dyDescent="0.3">
      <c r="A205" s="272" t="str">
        <f>input!V72</f>
        <v>Crushing Area</v>
      </c>
      <c r="B205" s="557"/>
    </row>
    <row r="206" spans="1:2" ht="32.5" hidden="1" customHeight="1" thickBot="1" x14ac:dyDescent="0.3">
      <c r="A206" s="381" t="str">
        <f>input!C73</f>
        <v>HOLDING MOTOR OF THE P&amp;H CRANE #1</v>
      </c>
      <c r="B206" s="555" t="s">
        <v>1513</v>
      </c>
    </row>
    <row r="207" spans="1:2" ht="16.5" hidden="1" customHeight="1" thickBot="1" x14ac:dyDescent="0.3">
      <c r="A207" s="271" t="str">
        <f>input!O73</f>
        <v>PD</v>
      </c>
      <c r="B207" s="556"/>
    </row>
    <row r="208" spans="1:2" ht="16.5" hidden="1" customHeight="1" thickBot="1" x14ac:dyDescent="0.3">
      <c r="A208" s="272" t="str">
        <f>input!V73</f>
        <v>Lower Tram</v>
      </c>
      <c r="B208" s="557"/>
    </row>
    <row r="209" spans="1:2" ht="16.5" hidden="1" customHeight="1" thickBot="1" x14ac:dyDescent="0.3">
      <c r="A209" s="381" t="str">
        <f>input!C74</f>
        <v>FOREST FIRE</v>
      </c>
      <c r="B209" s="555" t="s">
        <v>1515</v>
      </c>
    </row>
    <row r="210" spans="1:2" ht="16.5" hidden="1" customHeight="1" thickBot="1" x14ac:dyDescent="0.3">
      <c r="A210" s="271" t="str">
        <f>input!O74</f>
        <v>EI</v>
      </c>
      <c r="B210" s="556"/>
    </row>
    <row r="211" spans="1:2" ht="16.5" hidden="1" customHeight="1" thickBot="1" x14ac:dyDescent="0.3">
      <c r="A211" s="272" t="str">
        <f>input!V74</f>
        <v>Panad, Near Rotunda</v>
      </c>
      <c r="B211" s="557"/>
    </row>
    <row r="212" spans="1:2" ht="16.5" hidden="1" customHeight="1" thickBot="1" x14ac:dyDescent="0.3">
      <c r="A212" s="381" t="str">
        <f>input!C75</f>
        <v>SLURRY SPILL</v>
      </c>
      <c r="B212" s="555" t="s">
        <v>1547</v>
      </c>
    </row>
    <row r="213" spans="1:2" ht="16.5" hidden="1" customHeight="1" thickBot="1" x14ac:dyDescent="0.3">
      <c r="A213" s="271" t="str">
        <f>input!O75</f>
        <v>EI</v>
      </c>
      <c r="B213" s="556"/>
    </row>
    <row r="214" spans="1:2" ht="16.5" hidden="1" customHeight="1" thickBot="1" x14ac:dyDescent="0.3">
      <c r="A214" s="272" t="str">
        <f>input!V75</f>
        <v>Leach Tank Area</v>
      </c>
      <c r="B214" s="557"/>
    </row>
    <row r="215" spans="1:2" ht="16.5" hidden="1" thickBot="1" x14ac:dyDescent="0.3">
      <c r="A215" s="381" t="str">
        <f>input!C76</f>
        <v>SANDY A. SAD-AYAN</v>
      </c>
      <c r="B215" s="555" t="s">
        <v>1562</v>
      </c>
    </row>
    <row r="216" spans="1:2" ht="16.5" hidden="1" thickBot="1" x14ac:dyDescent="0.3">
      <c r="A216" s="271" t="str">
        <f>input!O76</f>
        <v>LTA-NF</v>
      </c>
      <c r="B216" s="556"/>
    </row>
    <row r="217" spans="1:2" ht="16.5" hidden="1" thickBot="1" x14ac:dyDescent="0.3">
      <c r="A217" s="272" t="str">
        <f>input!V76</f>
        <v>Boiler Room Extension</v>
      </c>
      <c r="B217" s="557"/>
    </row>
    <row r="218" spans="1:2" ht="16.5" thickBot="1" x14ac:dyDescent="0.3">
      <c r="A218" s="268" t="s">
        <v>16</v>
      </c>
      <c r="B218" s="269">
        <v>46143</v>
      </c>
    </row>
    <row r="219" spans="1:2" ht="16.5" hidden="1" thickBot="1" x14ac:dyDescent="0.3">
      <c r="A219" s="381" t="str">
        <f>input!C77</f>
        <v>LUMADAO, JUNE MARK S.</v>
      </c>
      <c r="B219" s="555" t="s">
        <v>1746</v>
      </c>
    </row>
    <row r="220" spans="1:2" ht="16.5" hidden="1" thickBot="1" x14ac:dyDescent="0.3">
      <c r="A220" s="271" t="str">
        <f>input!O77</f>
        <v>FAC</v>
      </c>
      <c r="B220" s="556"/>
    </row>
    <row r="221" spans="1:2" ht="16.5" hidden="1" thickBot="1" x14ac:dyDescent="0.3">
      <c r="A221" s="272" t="str">
        <f>input!V77</f>
        <v>Golf Course Road</v>
      </c>
      <c r="B221" s="557"/>
    </row>
    <row r="222" spans="1:2" ht="16.5" hidden="1" thickBot="1" x14ac:dyDescent="0.3">
      <c r="A222" s="381" t="str">
        <f>input!C78</f>
        <v>SACPA, JEROUS CAD-AN</v>
      </c>
      <c r="B222" s="555" t="s">
        <v>1770</v>
      </c>
    </row>
    <row r="223" spans="1:2" ht="16.5" hidden="1" thickBot="1" x14ac:dyDescent="0.3">
      <c r="A223" s="271" t="str">
        <f>input!O78</f>
        <v>LTA-NF</v>
      </c>
      <c r="B223" s="556"/>
    </row>
    <row r="224" spans="1:2" ht="16.5" hidden="1" thickBot="1" x14ac:dyDescent="0.3">
      <c r="A224" s="272" t="str">
        <f>input!V78</f>
        <v>Mill Crushing Conveyor 5A</v>
      </c>
      <c r="B224" s="557"/>
    </row>
    <row r="225" spans="1:2" ht="16.5" hidden="1" customHeight="1" thickBot="1" x14ac:dyDescent="0.3">
      <c r="A225" s="381" t="str">
        <f>input!C79</f>
        <v>BAUTISTA, LEO V. II</v>
      </c>
      <c r="B225" s="555" t="s">
        <v>1771</v>
      </c>
    </row>
    <row r="226" spans="1:2" ht="16.5" hidden="1" customHeight="1" thickBot="1" x14ac:dyDescent="0.3">
      <c r="A226" s="271" t="str">
        <f>input!O79</f>
        <v>FAC</v>
      </c>
      <c r="B226" s="556"/>
    </row>
    <row r="227" spans="1:2" ht="16.5" hidden="1" customHeight="1" thickBot="1" x14ac:dyDescent="0.3">
      <c r="A227" s="272" t="str">
        <f>input!V79</f>
        <v>Machine Shop</v>
      </c>
      <c r="B227" s="557"/>
    </row>
    <row r="228" spans="1:2" ht="16.5" hidden="1" thickBot="1" x14ac:dyDescent="0.3">
      <c r="A228" s="381" t="str">
        <f>input!C80</f>
        <v>FOREST FIRE</v>
      </c>
      <c r="B228" s="555" t="s">
        <v>1772</v>
      </c>
    </row>
    <row r="229" spans="1:2" ht="16.5" hidden="1" thickBot="1" x14ac:dyDescent="0.3">
      <c r="A229" s="271" t="str">
        <f>input!O80</f>
        <v>EI</v>
      </c>
      <c r="B229" s="556"/>
    </row>
    <row r="230" spans="1:2" ht="16.5" hidden="1" thickBot="1" x14ac:dyDescent="0.3">
      <c r="A230" s="272" t="str">
        <f>input!V80</f>
        <v>Pukitan, Below Tamayo residence</v>
      </c>
      <c r="B230" s="557"/>
    </row>
    <row r="231" spans="1:2" ht="16.5" hidden="1" customHeight="1" thickBot="1" x14ac:dyDescent="0.3">
      <c r="A231" s="381" t="str">
        <f>input!C81</f>
        <v>REX KEVIN B. DAO-AS</v>
      </c>
      <c r="B231" s="555" t="s">
        <v>1833</v>
      </c>
    </row>
    <row r="232" spans="1:2" ht="16.5" hidden="1" customHeight="1" thickBot="1" x14ac:dyDescent="0.3">
      <c r="A232" s="271" t="str">
        <f>input!O81</f>
        <v>OI</v>
      </c>
      <c r="B232" s="556"/>
    </row>
    <row r="233" spans="1:2" ht="16.5" hidden="1" customHeight="1" thickBot="1" x14ac:dyDescent="0.3">
      <c r="A233" s="272" t="str">
        <f>input!V81</f>
        <v>Bontoc Roadway</v>
      </c>
      <c r="B233" s="557"/>
    </row>
    <row r="234" spans="1:2" ht="16.5" hidden="1" customHeight="1" thickBot="1" x14ac:dyDescent="0.3">
      <c r="A234" s="381" t="str">
        <f>input!C82</f>
        <v>CATBAGAN, NARRY D.</v>
      </c>
      <c r="B234" s="555" t="s">
        <v>1795</v>
      </c>
    </row>
    <row r="235" spans="1:2" ht="16.5" hidden="1" customHeight="1" thickBot="1" x14ac:dyDescent="0.3">
      <c r="A235" s="271" t="str">
        <f>input!O82</f>
        <v>FAC</v>
      </c>
      <c r="B235" s="556"/>
    </row>
    <row r="236" spans="1:2" ht="16.5" hidden="1" customHeight="1" thickBot="1" x14ac:dyDescent="0.3">
      <c r="A236" s="272" t="str">
        <f>input!V82</f>
        <v>Barren pump area</v>
      </c>
      <c r="B236" s="556"/>
    </row>
    <row r="237" spans="1:2" ht="16.5" hidden="1" customHeight="1" thickBot="1" x14ac:dyDescent="0.3">
      <c r="A237" s="381" t="str">
        <f>input!C83</f>
        <v>GISGISWANG, RUEL R.</v>
      </c>
      <c r="B237" s="556"/>
    </row>
    <row r="238" spans="1:2" ht="16.5" hidden="1" customHeight="1" thickBot="1" x14ac:dyDescent="0.3">
      <c r="A238" s="271" t="str">
        <f>input!O83</f>
        <v>FAC</v>
      </c>
      <c r="B238" s="556"/>
    </row>
    <row r="239" spans="1:2" ht="16.5" hidden="1" customHeight="1" thickBot="1" x14ac:dyDescent="0.3">
      <c r="A239" s="272" t="str">
        <f>input!V83</f>
        <v>Barren pump area</v>
      </c>
      <c r="B239" s="557"/>
    </row>
    <row r="240" spans="1:2" ht="16.5" hidden="1" customHeight="1" thickBot="1" x14ac:dyDescent="0.3">
      <c r="A240" s="381" t="str">
        <f>input!C84</f>
        <v>BADOL, EUSEBIO G.</v>
      </c>
      <c r="B240" s="555" t="s">
        <v>1820</v>
      </c>
    </row>
    <row r="241" spans="1:2" ht="16.5" hidden="1" customHeight="1" thickBot="1" x14ac:dyDescent="0.3">
      <c r="A241" s="271" t="str">
        <f>input!O84</f>
        <v>FAC</v>
      </c>
      <c r="B241" s="556"/>
    </row>
    <row r="242" spans="1:2" ht="16.5" hidden="1" customHeight="1" thickBot="1" x14ac:dyDescent="0.3">
      <c r="A242" s="272" t="str">
        <f>input!V88</f>
        <v>Carmen Mainline</v>
      </c>
      <c r="B242" s="557"/>
    </row>
    <row r="243" spans="1:2" ht="16.5" hidden="1" thickBot="1" x14ac:dyDescent="0.3">
      <c r="A243" s="381" t="str">
        <f>input!C85</f>
        <v>OSSOG, ANDRE MARK A.</v>
      </c>
      <c r="B243" s="555" t="s">
        <v>1821</v>
      </c>
    </row>
    <row r="244" spans="1:2" ht="16.5" hidden="1" thickBot="1" x14ac:dyDescent="0.3">
      <c r="A244" s="271" t="str">
        <f>input!O85</f>
        <v>FAC</v>
      </c>
      <c r="B244" s="556"/>
    </row>
    <row r="245" spans="1:2" ht="16.5" hidden="1" thickBot="1" x14ac:dyDescent="0.3">
      <c r="A245" s="272" t="str">
        <f>input!V85</f>
        <v>1150 Shaft Station</v>
      </c>
      <c r="B245" s="557"/>
    </row>
    <row r="246" spans="1:2" ht="16.5" hidden="1" customHeight="1" thickBot="1" x14ac:dyDescent="0.3">
      <c r="A246" s="381" t="str">
        <f>input!C86</f>
        <v>GUMAAD, EDMUND T.</v>
      </c>
      <c r="B246" s="555" t="s">
        <v>1822</v>
      </c>
    </row>
    <row r="247" spans="1:2" ht="16.5" hidden="1" customHeight="1" thickBot="1" x14ac:dyDescent="0.3">
      <c r="A247" s="271" t="str">
        <f>input!O86</f>
        <v>FAC</v>
      </c>
      <c r="B247" s="556"/>
    </row>
    <row r="248" spans="1:2" ht="16.5" hidden="1" customHeight="1" thickBot="1" x14ac:dyDescent="0.3">
      <c r="A248" s="272" t="str">
        <f>input!V86</f>
        <v>1081 A32N, Sect. 4, Teresa</v>
      </c>
      <c r="B248" s="557"/>
    </row>
    <row r="249" spans="1:2" ht="16.5" hidden="1" customHeight="1" thickBot="1" x14ac:dyDescent="0.3">
      <c r="A249" s="381" t="str">
        <f>input!C87</f>
        <v>REFUGIA, JOHN PAULINE M.</v>
      </c>
      <c r="B249" s="555" t="s">
        <v>1823</v>
      </c>
    </row>
    <row r="250" spans="1:2" ht="16.5" hidden="1" customHeight="1" thickBot="1" x14ac:dyDescent="0.3">
      <c r="A250" s="271" t="str">
        <f>input!O87</f>
        <v>LTA-NF</v>
      </c>
      <c r="B250" s="556"/>
    </row>
    <row r="251" spans="1:2" ht="16.5" hidden="1" customHeight="1" thickBot="1" x14ac:dyDescent="0.3">
      <c r="A251" s="272" t="str">
        <f>input!V87</f>
        <v>249 Repair Bay</v>
      </c>
      <c r="B251" s="557"/>
    </row>
    <row r="252" spans="1:2" ht="16.5" hidden="1" customHeight="1" thickBot="1" x14ac:dyDescent="0.3">
      <c r="A252" s="381" t="str">
        <f>input!C88</f>
        <v>SORIANO W. PALAT</v>
      </c>
      <c r="B252" s="555" t="s">
        <v>1824</v>
      </c>
    </row>
    <row r="253" spans="1:2" ht="16.5" hidden="1" customHeight="1" thickBot="1" x14ac:dyDescent="0.3">
      <c r="A253" s="271" t="str">
        <f>input!O88</f>
        <v>OI</v>
      </c>
      <c r="B253" s="556"/>
    </row>
    <row r="254" spans="1:2" ht="16.5" hidden="1" customHeight="1" thickBot="1" x14ac:dyDescent="0.3">
      <c r="A254" s="272" t="str">
        <f>input!V88</f>
        <v>Carmen Mainline</v>
      </c>
      <c r="B254" s="557"/>
    </row>
    <row r="255" spans="1:2" ht="16.5" hidden="1" thickBot="1" x14ac:dyDescent="0.3">
      <c r="A255" s="381" t="str">
        <f>input!C89</f>
        <v>RAUL S. GALDOC</v>
      </c>
      <c r="B255" s="555" t="s">
        <v>1825</v>
      </c>
    </row>
    <row r="256" spans="1:2" ht="16.5" hidden="1" thickBot="1" x14ac:dyDescent="0.3">
      <c r="A256" s="271" t="str">
        <f>input!O89</f>
        <v>FAC</v>
      </c>
      <c r="B256" s="556"/>
    </row>
    <row r="257" spans="1:2" ht="16.5" hidden="1" thickBot="1" x14ac:dyDescent="0.3">
      <c r="A257" s="272" t="str">
        <f>input!V89</f>
        <v>2490 8M1</v>
      </c>
      <c r="B257" s="557"/>
    </row>
    <row r="258" spans="1:2" ht="16.5" hidden="1" thickBot="1" x14ac:dyDescent="0.3">
      <c r="A258" s="381" t="str">
        <f>input!C90</f>
        <v>JORDAN JAMES W. BAGUISTA</v>
      </c>
      <c r="B258" s="555" t="s">
        <v>1826</v>
      </c>
    </row>
    <row r="259" spans="1:2" ht="16.5" hidden="1" thickBot="1" x14ac:dyDescent="0.3">
      <c r="A259" s="271" t="str">
        <f>input!O90</f>
        <v>FAC</v>
      </c>
      <c r="B259" s="556"/>
    </row>
    <row r="260" spans="1:2" ht="16.5" hidden="1" thickBot="1" x14ac:dyDescent="0.3">
      <c r="A260" s="272" t="str">
        <f>input!V90</f>
        <v>2490 8M1</v>
      </c>
      <c r="B260" s="557"/>
    </row>
    <row r="261" spans="1:2" ht="16.5" hidden="1" customHeight="1" thickBot="1" x14ac:dyDescent="0.3">
      <c r="A261" s="381" t="str">
        <f>input!C91</f>
        <v>SUNI, RONALD S.</v>
      </c>
      <c r="B261" s="555" t="s">
        <v>1832</v>
      </c>
    </row>
    <row r="262" spans="1:2" ht="16.5" hidden="1" customHeight="1" thickBot="1" x14ac:dyDescent="0.3">
      <c r="A262" s="271" t="str">
        <f>input!O91</f>
        <v>LTA-NF</v>
      </c>
      <c r="B262" s="556"/>
    </row>
    <row r="263" spans="1:2" ht="16.5" hidden="1" customHeight="1" thickBot="1" x14ac:dyDescent="0.3">
      <c r="A263" s="272" t="str">
        <f>input!V91</f>
        <v>Upper Tram Slusher Bin</v>
      </c>
      <c r="B263" s="557"/>
    </row>
    <row r="264" spans="1:2" ht="16.5" hidden="1" thickBot="1" x14ac:dyDescent="0.3">
      <c r="A264" s="381" t="str">
        <f>input!C92</f>
        <v>RUFINO, ALVIN</v>
      </c>
      <c r="B264" s="555" t="s">
        <v>1900</v>
      </c>
    </row>
    <row r="265" spans="1:2" ht="16.5" hidden="1" thickBot="1" x14ac:dyDescent="0.3">
      <c r="A265" s="271" t="str">
        <f>input!O92</f>
        <v>FAC</v>
      </c>
      <c r="B265" s="556"/>
    </row>
    <row r="266" spans="1:2" ht="16.5" hidden="1" thickBot="1" x14ac:dyDescent="0.3">
      <c r="A266" s="272" t="str">
        <f>input!V92</f>
        <v>Guiwe, Poblacion Mankayan</v>
      </c>
      <c r="B266" s="557"/>
    </row>
    <row r="267" spans="1:2" ht="16.5" thickBot="1" x14ac:dyDescent="0.3">
      <c r="A267" s="268" t="s">
        <v>16</v>
      </c>
      <c r="B267" s="269">
        <v>46174</v>
      </c>
    </row>
    <row r="268" spans="1:2" ht="38.5" hidden="1" customHeight="1" x14ac:dyDescent="0.25">
      <c r="A268" s="381" t="str">
        <f>input!C93</f>
        <v>LUMASOK, JOHANNAH SHAYNE T.</v>
      </c>
      <c r="B268" s="555" t="s">
        <v>1974</v>
      </c>
    </row>
    <row r="269" spans="1:2" ht="38.5" hidden="1" customHeight="1" x14ac:dyDescent="0.25">
      <c r="A269" s="271" t="str">
        <f>input!O93</f>
        <v>OI</v>
      </c>
      <c r="B269" s="556"/>
    </row>
    <row r="270" spans="1:2" ht="38.5" hidden="1" customHeight="1" thickBot="1" x14ac:dyDescent="0.3">
      <c r="A270" s="272" t="str">
        <f>input!V93</f>
        <v>1150L Hoist Room</v>
      </c>
      <c r="B270" s="557"/>
    </row>
    <row r="271" spans="1:2" ht="27" hidden="1" customHeight="1" x14ac:dyDescent="0.25">
      <c r="A271" s="381" t="str">
        <f>input!C94</f>
        <v>GAMMONG, ROLLY B.</v>
      </c>
      <c r="B271" s="555" t="s">
        <v>1972</v>
      </c>
    </row>
    <row r="272" spans="1:2" ht="27" hidden="1" customHeight="1" x14ac:dyDescent="0.25">
      <c r="A272" s="271" t="str">
        <f>input!O94</f>
        <v>FAC</v>
      </c>
      <c r="B272" s="556"/>
    </row>
    <row r="273" spans="1:2" ht="27" hidden="1" customHeight="1" thickBot="1" x14ac:dyDescent="0.3">
      <c r="A273" s="272" t="str">
        <f>input!V94</f>
        <v>2487 8M2</v>
      </c>
      <c r="B273" s="557"/>
    </row>
    <row r="274" spans="1:2" ht="36" hidden="1" customHeight="1" x14ac:dyDescent="0.25">
      <c r="A274" s="381" t="str">
        <f>input!C95</f>
        <v>LUGAO, KYLE RUSSEL T</v>
      </c>
      <c r="B274" s="555" t="s">
        <v>1973</v>
      </c>
    </row>
    <row r="275" spans="1:2" ht="36" hidden="1" customHeight="1" x14ac:dyDescent="0.25">
      <c r="A275" s="271" t="str">
        <f>input!O95</f>
        <v>FAC</v>
      </c>
      <c r="B275" s="556"/>
    </row>
    <row r="276" spans="1:2" ht="36" hidden="1" customHeight="1" thickBot="1" x14ac:dyDescent="0.3">
      <c r="A276" s="272" t="str">
        <f>input!V95</f>
        <v xml:space="preserve">2490 8M2 </v>
      </c>
      <c r="B276" s="557"/>
    </row>
    <row r="277" spans="1:2" ht="20.5" hidden="1" customHeight="1" x14ac:dyDescent="0.25">
      <c r="A277" s="381" t="str">
        <f>input!C96</f>
        <v xml:space="preserve">OMERAG, FRIELAND F. </v>
      </c>
      <c r="B277" s="555" t="s">
        <v>1975</v>
      </c>
    </row>
    <row r="278" spans="1:2" ht="20.5" hidden="1" customHeight="1" x14ac:dyDescent="0.25">
      <c r="A278" s="271" t="str">
        <f>input!O96</f>
        <v>FAC</v>
      </c>
      <c r="B278" s="556"/>
    </row>
    <row r="279" spans="1:2" ht="20.5" hidden="1" customHeight="1" thickBot="1" x14ac:dyDescent="0.3">
      <c r="A279" s="272" t="str">
        <f>input!V96</f>
        <v>1150L Repair Bay</v>
      </c>
      <c r="B279" s="557"/>
    </row>
    <row r="280" spans="1:2" ht="39" hidden="1" customHeight="1" x14ac:dyDescent="0.25">
      <c r="A280" s="381" t="str">
        <f>input!C97</f>
        <v>ESCAYO, BENCIO W.</v>
      </c>
      <c r="B280" s="555" t="s">
        <v>1976</v>
      </c>
    </row>
    <row r="281" spans="1:2" ht="39" hidden="1" customHeight="1" x14ac:dyDescent="0.25">
      <c r="A281" s="271" t="str">
        <f>input!O97</f>
        <v>FAC</v>
      </c>
      <c r="B281" s="556"/>
    </row>
    <row r="282" spans="1:2" ht="39" hidden="1" customHeight="1" thickBot="1" x14ac:dyDescent="0.3">
      <c r="A282" s="272" t="str">
        <f>input!V97</f>
        <v>UG Crusher</v>
      </c>
      <c r="B282" s="557"/>
    </row>
    <row r="283" spans="1:2" ht="21.5" hidden="1" customHeight="1" x14ac:dyDescent="0.25">
      <c r="A283" s="381" t="str">
        <f>input!C98</f>
        <v>GALAO, MARK ANTHONY J.</v>
      </c>
      <c r="B283" s="555" t="s">
        <v>1977</v>
      </c>
    </row>
    <row r="284" spans="1:2" ht="21.5" hidden="1" customHeight="1" x14ac:dyDescent="0.25">
      <c r="A284" s="271" t="str">
        <f>input!O98</f>
        <v>FAC</v>
      </c>
      <c r="B284" s="556"/>
    </row>
    <row r="285" spans="1:2" ht="21.5" hidden="1" customHeight="1" thickBot="1" x14ac:dyDescent="0.3">
      <c r="A285" s="272" t="str">
        <f>input!V98</f>
        <v>Elution Column 1 3rd Floor</v>
      </c>
      <c r="B285" s="557"/>
    </row>
    <row r="286" spans="1:2" ht="29.5" hidden="1" customHeight="1" x14ac:dyDescent="0.25">
      <c r="A286" s="381" t="str">
        <f>input!C99</f>
        <v>WALLIS, MAYNARD</v>
      </c>
      <c r="B286" s="555" t="s">
        <v>1978</v>
      </c>
    </row>
    <row r="287" spans="1:2" ht="29.5" hidden="1" customHeight="1" x14ac:dyDescent="0.25">
      <c r="A287" s="271" t="str">
        <f>input!O99</f>
        <v>FAC</v>
      </c>
      <c r="B287" s="556"/>
    </row>
    <row r="288" spans="1:2" ht="29.5" hidden="1" customHeight="1" thickBot="1" x14ac:dyDescent="0.3">
      <c r="A288" s="272" t="str">
        <f>input!V99</f>
        <v>St. Albans Church</v>
      </c>
      <c r="B288" s="557"/>
    </row>
    <row r="289" spans="1:2" ht="31.5" hidden="1" customHeight="1" x14ac:dyDescent="0.25">
      <c r="A289" s="381" t="str">
        <f>input!C100</f>
        <v>DAO-WOK, KELVIN</v>
      </c>
      <c r="B289" s="555" t="s">
        <v>1979</v>
      </c>
    </row>
    <row r="290" spans="1:2" ht="31.5" hidden="1" customHeight="1" x14ac:dyDescent="0.25">
      <c r="A290" s="271" t="str">
        <f>input!O100</f>
        <v>NM</v>
      </c>
      <c r="B290" s="556"/>
    </row>
    <row r="291" spans="1:2" ht="31.5" hidden="1" customHeight="1" thickBot="1" x14ac:dyDescent="0.3">
      <c r="A291" s="272" t="str">
        <f>input!V100</f>
        <v>Upper Tram</v>
      </c>
      <c r="B291" s="557"/>
    </row>
    <row r="292" spans="1:2" ht="47.5" hidden="1" customHeight="1" x14ac:dyDescent="0.25">
      <c r="A292" s="381" t="str">
        <f>input!C101</f>
        <v>FOREST FIRE</v>
      </c>
      <c r="B292" s="555" t="s">
        <v>1997</v>
      </c>
    </row>
    <row r="293" spans="1:2" ht="47.5" hidden="1" customHeight="1" x14ac:dyDescent="0.25">
      <c r="A293" s="271" t="str">
        <f>input!O101</f>
        <v>EI</v>
      </c>
      <c r="B293" s="556"/>
    </row>
    <row r="294" spans="1:2" ht="47.5" hidden="1" customHeight="1" thickBot="1" x14ac:dyDescent="0.3">
      <c r="A294" s="272" t="str">
        <f>input!V101</f>
        <v>Along Marivic Road</v>
      </c>
      <c r="B294" s="557"/>
    </row>
    <row r="295" spans="1:2" ht="16.5" thickBot="1" x14ac:dyDescent="0.3">
      <c r="A295" s="268" t="s">
        <v>16</v>
      </c>
      <c r="B295" s="269">
        <v>46204</v>
      </c>
    </row>
    <row r="296" spans="1:2" ht="23.5" hidden="1" customHeight="1" x14ac:dyDescent="0.25">
      <c r="A296" s="381" t="str">
        <f>input!C102</f>
        <v>FERNANDEZ, CURY-JACOB M.</v>
      </c>
      <c r="B296" s="555" t="s">
        <v>2089</v>
      </c>
    </row>
    <row r="297" spans="1:2" ht="23.5" hidden="1" customHeight="1" x14ac:dyDescent="0.25">
      <c r="A297" s="271" t="str">
        <f>input!O102</f>
        <v>OI</v>
      </c>
      <c r="B297" s="556"/>
    </row>
    <row r="298" spans="1:2" ht="23.5" hidden="1" customHeight="1" thickBot="1" x14ac:dyDescent="0.3">
      <c r="A298" s="272" t="str">
        <f>input!V102</f>
        <v>195 Loading Bay</v>
      </c>
      <c r="B298" s="557"/>
    </row>
    <row r="299" spans="1:2" hidden="1" x14ac:dyDescent="0.25">
      <c r="A299" s="381" t="str">
        <f>input!C103</f>
        <v xml:space="preserve">PATINDO, DARWIN L. </v>
      </c>
      <c r="B299" s="555" t="s">
        <v>2090</v>
      </c>
    </row>
    <row r="300" spans="1:2" hidden="1" x14ac:dyDescent="0.25">
      <c r="A300" s="271" t="str">
        <f>input!O103</f>
        <v>FAC</v>
      </c>
      <c r="B300" s="556"/>
    </row>
    <row r="301" spans="1:2" ht="16.5" hidden="1" thickBot="1" x14ac:dyDescent="0.3">
      <c r="A301" s="272" t="str">
        <f>input!V103</f>
        <v>260 I Decline</v>
      </c>
      <c r="B301" s="557"/>
    </row>
    <row r="302" spans="1:2" hidden="1" x14ac:dyDescent="0.25">
      <c r="A302" s="381" t="str">
        <f>input!C104</f>
        <v>DAYAWON, MARK SHINK T.</v>
      </c>
      <c r="B302" s="555" t="s">
        <v>2091</v>
      </c>
    </row>
    <row r="303" spans="1:2" hidden="1" x14ac:dyDescent="0.25">
      <c r="A303" s="271" t="str">
        <f>input!O104</f>
        <v>FAC</v>
      </c>
      <c r="B303" s="556"/>
    </row>
    <row r="304" spans="1:2" ht="16.5" hidden="1" thickBot="1" x14ac:dyDescent="0.3">
      <c r="A304" s="272" t="str">
        <f>input!V104</f>
        <v>24055 8M3</v>
      </c>
      <c r="B304" s="557"/>
    </row>
    <row r="305" spans="1:2" hidden="1" x14ac:dyDescent="0.25">
      <c r="A305" s="381" t="str">
        <f>input!C105</f>
        <v xml:space="preserve">BUSELEY, ISRAEL M. </v>
      </c>
      <c r="B305" s="555" t="s">
        <v>2092</v>
      </c>
    </row>
    <row r="306" spans="1:2" hidden="1" x14ac:dyDescent="0.25">
      <c r="A306" s="271" t="str">
        <f>input!O105</f>
        <v>FAC</v>
      </c>
      <c r="B306" s="556"/>
    </row>
    <row r="307" spans="1:2" ht="16.5" hidden="1" thickBot="1" x14ac:dyDescent="0.3">
      <c r="A307" s="272" t="str">
        <f>input!V105</f>
        <v>Rock Pass 195</v>
      </c>
      <c r="B307" s="557"/>
    </row>
    <row r="308" spans="1:2" ht="16" hidden="1" customHeight="1" x14ac:dyDescent="0.25">
      <c r="A308" s="381" t="str">
        <f>input!C106</f>
        <v xml:space="preserve">PEROLINO, LEONITO A. </v>
      </c>
      <c r="B308" s="555" t="s">
        <v>2094</v>
      </c>
    </row>
    <row r="309" spans="1:2" hidden="1" x14ac:dyDescent="0.25">
      <c r="A309" s="271" t="str">
        <f>input!O106</f>
        <v>FAC</v>
      </c>
      <c r="B309" s="556"/>
    </row>
    <row r="310" spans="1:2" ht="16.5" hidden="1" thickBot="1" x14ac:dyDescent="0.3">
      <c r="A310" s="272" t="str">
        <f>input!V106</f>
        <v>310 I CUDDY</v>
      </c>
      <c r="B310" s="556"/>
    </row>
    <row r="311" spans="1:2" hidden="1" x14ac:dyDescent="0.25">
      <c r="A311" s="381" t="str">
        <f>input!C107</f>
        <v xml:space="preserve">PABLO, SATURNINO D. </v>
      </c>
      <c r="B311" s="556"/>
    </row>
    <row r="312" spans="1:2" hidden="1" x14ac:dyDescent="0.25">
      <c r="A312" s="271" t="str">
        <f>input!O107</f>
        <v>FAC</v>
      </c>
      <c r="B312" s="556"/>
    </row>
    <row r="313" spans="1:2" ht="16.5" hidden="1" thickBot="1" x14ac:dyDescent="0.3">
      <c r="A313" s="272" t="str">
        <f>input!V107</f>
        <v>310 I CUDDY</v>
      </c>
      <c r="B313" s="556"/>
    </row>
    <row r="314" spans="1:2" hidden="1" x14ac:dyDescent="0.25">
      <c r="A314" s="381" t="str">
        <f>input!C108</f>
        <v xml:space="preserve">BANSON, JEFFERSON, B. </v>
      </c>
      <c r="B314" s="556"/>
    </row>
    <row r="315" spans="1:2" hidden="1" x14ac:dyDescent="0.25">
      <c r="A315" s="271" t="str">
        <f>input!O108</f>
        <v>FAC</v>
      </c>
      <c r="B315" s="556"/>
    </row>
    <row r="316" spans="1:2" ht="16.5" hidden="1" thickBot="1" x14ac:dyDescent="0.3">
      <c r="A316" s="272" t="str">
        <f>input!V108</f>
        <v>310 I CUDDY</v>
      </c>
      <c r="B316" s="557"/>
    </row>
    <row r="317" spans="1:2" ht="27.5" hidden="1" customHeight="1" x14ac:dyDescent="0.25">
      <c r="A317" s="381" t="str">
        <f>input!C109</f>
        <v>GAO-AY, DIMAS S.</v>
      </c>
      <c r="B317" s="555" t="s">
        <v>2095</v>
      </c>
    </row>
    <row r="318" spans="1:2" ht="27.5" hidden="1" customHeight="1" x14ac:dyDescent="0.25">
      <c r="A318" s="271" t="str">
        <f>input!O109</f>
        <v>OI</v>
      </c>
      <c r="B318" s="556"/>
    </row>
    <row r="319" spans="1:2" ht="27.5" hidden="1" customHeight="1" thickBot="1" x14ac:dyDescent="0.3">
      <c r="A319" s="272" t="str">
        <f>input!V109</f>
        <v>249 Mainline</v>
      </c>
      <c r="B319" s="557"/>
    </row>
    <row r="320" spans="1:2" hidden="1" x14ac:dyDescent="0.25">
      <c r="A320" s="381" t="str">
        <f>input!C110</f>
        <v>KALALAW TRUCK</v>
      </c>
      <c r="B320" s="555" t="s">
        <v>2096</v>
      </c>
    </row>
    <row r="321" spans="1:2" hidden="1" x14ac:dyDescent="0.25">
      <c r="A321" s="271" t="str">
        <f>input!O110</f>
        <v>PD</v>
      </c>
      <c r="B321" s="556"/>
    </row>
    <row r="322" spans="1:2" ht="16.5" hidden="1" thickBot="1" x14ac:dyDescent="0.3">
      <c r="A322" s="272" t="str">
        <f>input!V110</f>
        <v>Adit 1 XC 3</v>
      </c>
      <c r="B322" s="557"/>
    </row>
    <row r="323" spans="1:2" hidden="1" x14ac:dyDescent="0.25">
      <c r="A323" s="381" t="str">
        <f>input!C111</f>
        <v xml:space="preserve">MENDOZA, REGIE B. </v>
      </c>
      <c r="B323" s="555" t="s">
        <v>2097</v>
      </c>
    </row>
    <row r="324" spans="1:2" hidden="1" x14ac:dyDescent="0.25">
      <c r="A324" s="271" t="str">
        <f>input!O111</f>
        <v>FAC</v>
      </c>
      <c r="B324" s="556"/>
    </row>
    <row r="325" spans="1:2" ht="16.5" hidden="1" thickBot="1" x14ac:dyDescent="0.3">
      <c r="A325" s="272" t="str">
        <f>input!V111</f>
        <v>123 F30S</v>
      </c>
      <c r="B325" s="557"/>
    </row>
    <row r="326" spans="1:2" hidden="1" x14ac:dyDescent="0.25">
      <c r="A326" s="381" t="str">
        <f>input!C112</f>
        <v xml:space="preserve">AMBUGAWON, MARVIN A. </v>
      </c>
      <c r="B326" s="555" t="s">
        <v>2098</v>
      </c>
    </row>
    <row r="327" spans="1:2" hidden="1" x14ac:dyDescent="0.25">
      <c r="A327" s="271" t="str">
        <f>input!O112</f>
        <v>FAC</v>
      </c>
      <c r="B327" s="556"/>
    </row>
    <row r="328" spans="1:2" ht="16.5" hidden="1" thickBot="1" x14ac:dyDescent="0.3">
      <c r="A328" s="272" t="str">
        <f>input!V112</f>
        <v>670L Dewatering</v>
      </c>
      <c r="B328" s="557"/>
    </row>
    <row r="329" spans="1:2" ht="32" hidden="1" x14ac:dyDescent="0.25">
      <c r="A329" s="381" t="str">
        <f>input!C113</f>
        <v>DEVIGYRO HQ MID CENTRALIZER</v>
      </c>
      <c r="B329" s="555" t="s">
        <v>2152</v>
      </c>
    </row>
    <row r="330" spans="1:2" hidden="1" x14ac:dyDescent="0.25">
      <c r="A330" s="271" t="str">
        <f>input!O113</f>
        <v>PD</v>
      </c>
      <c r="B330" s="556"/>
    </row>
    <row r="331" spans="1:2" hidden="1" x14ac:dyDescent="0.25">
      <c r="A331" s="272">
        <f>input!V113</f>
        <v>0</v>
      </c>
      <c r="B331" s="557"/>
    </row>
    <row r="332" spans="1:2" hidden="1" x14ac:dyDescent="0.25">
      <c r="A332" s="381" t="str">
        <f>input!C114</f>
        <v>IMD CONTRACTORS SWITHCH</v>
      </c>
      <c r="B332" s="555" t="s">
        <v>2151</v>
      </c>
    </row>
    <row r="333" spans="1:2" hidden="1" x14ac:dyDescent="0.25">
      <c r="A333" s="271" t="str">
        <f>input!O114</f>
        <v>PD</v>
      </c>
      <c r="B333" s="556"/>
    </row>
    <row r="334" spans="1:2" ht="16.5" hidden="1" thickBot="1" x14ac:dyDescent="0.3">
      <c r="A334" s="272" t="str">
        <f>input!V114</f>
        <v>IMD Substation</v>
      </c>
      <c r="B334" s="557"/>
    </row>
    <row r="335" spans="1:2" ht="24" hidden="1" customHeight="1" x14ac:dyDescent="0.25">
      <c r="A335" s="381" t="str">
        <f>input!C115</f>
        <v>DION CLINTON S. DACANAY</v>
      </c>
      <c r="B335" s="555" t="s">
        <v>2153</v>
      </c>
    </row>
    <row r="336" spans="1:2" ht="24" hidden="1" customHeight="1" x14ac:dyDescent="0.25">
      <c r="A336" s="271" t="str">
        <f>input!O115</f>
        <v>FAC</v>
      </c>
      <c r="B336" s="556"/>
    </row>
    <row r="337" spans="1:2" ht="24" hidden="1" customHeight="1" thickBot="1" x14ac:dyDescent="0.3">
      <c r="A337" s="272" t="str">
        <f>input!V115</f>
        <v>Cone Crusher Conveyor Feed #1 - Transfer Chute</v>
      </c>
      <c r="B337" s="557"/>
    </row>
    <row r="338" spans="1:2" ht="29.5" hidden="1" customHeight="1" x14ac:dyDescent="0.25">
      <c r="A338" s="381" t="str">
        <f>input!C116</f>
        <v>JERRY CROSS N. GONZALES</v>
      </c>
      <c r="B338" s="555" t="s">
        <v>2154</v>
      </c>
    </row>
    <row r="339" spans="1:2" ht="29.5" hidden="1" customHeight="1" x14ac:dyDescent="0.25">
      <c r="A339" s="271" t="str">
        <f>input!O116</f>
        <v>FAC</v>
      </c>
      <c r="B339" s="556"/>
    </row>
    <row r="340" spans="1:2" ht="29.5" hidden="1" customHeight="1" thickBot="1" x14ac:dyDescent="0.3">
      <c r="A340" s="272" t="str">
        <f>input!V116</f>
        <v>CIP-ILR</v>
      </c>
      <c r="B340" s="557"/>
    </row>
    <row r="341" spans="1:2" ht="22.5" hidden="1" customHeight="1" x14ac:dyDescent="0.25">
      <c r="A341" s="381" t="str">
        <f>input!C117</f>
        <v>PAUL B. DAMOSLOG</v>
      </c>
      <c r="B341" s="555" t="s">
        <v>2155</v>
      </c>
    </row>
    <row r="342" spans="1:2" ht="22.5" hidden="1" customHeight="1" x14ac:dyDescent="0.25">
      <c r="A342" s="271" t="str">
        <f>input!O117</f>
        <v>FAC</v>
      </c>
      <c r="B342" s="556"/>
    </row>
    <row r="343" spans="1:2" ht="22.5" hidden="1" customHeight="1" thickBot="1" x14ac:dyDescent="0.3">
      <c r="A343" s="272" t="str">
        <f>input!V117</f>
        <v>Patient Room</v>
      </c>
      <c r="B343" s="557"/>
    </row>
    <row r="344" spans="1:2" ht="16.5" thickBot="1" x14ac:dyDescent="0.3">
      <c r="A344" s="268" t="s">
        <v>16</v>
      </c>
      <c r="B344" s="269">
        <v>46235</v>
      </c>
    </row>
    <row r="345" spans="1:2" ht="22.5" customHeight="1" x14ac:dyDescent="0.25">
      <c r="A345" s="381" t="str">
        <f>input!C118</f>
        <v>ROWELL C. DELA CRUZ</v>
      </c>
      <c r="B345" s="555" t="s">
        <v>2253</v>
      </c>
    </row>
    <row r="346" spans="1:2" ht="22.5" customHeight="1" x14ac:dyDescent="0.25">
      <c r="A346" s="271" t="str">
        <f>input!F118</f>
        <v>Eye Contact with Foreign Object</v>
      </c>
      <c r="B346" s="556"/>
    </row>
    <row r="347" spans="1:2" ht="22.5" customHeight="1" thickBot="1" x14ac:dyDescent="0.3">
      <c r="A347" s="272" t="s">
        <v>2252</v>
      </c>
      <c r="B347" s="557"/>
    </row>
    <row r="348" spans="1:2" ht="22.5" customHeight="1" x14ac:dyDescent="0.25">
      <c r="A348" s="381" t="str">
        <f>input!C119</f>
        <v>JUNJUN PATTONDOC</v>
      </c>
      <c r="B348" s="555" t="s">
        <v>2337</v>
      </c>
    </row>
    <row r="349" spans="1:2" ht="22.5" customHeight="1" x14ac:dyDescent="0.25">
      <c r="A349" s="271" t="str">
        <f>input!F119</f>
        <v>Contact with Object</v>
      </c>
      <c r="B349" s="556"/>
    </row>
    <row r="350" spans="1:2" ht="22.5" customHeight="1" thickBot="1" x14ac:dyDescent="0.3">
      <c r="A350" s="272" t="s">
        <v>449</v>
      </c>
      <c r="B350" s="557"/>
    </row>
    <row r="351" spans="1:2" ht="22.5" customHeight="1" x14ac:dyDescent="0.25">
      <c r="A351" s="381" t="str">
        <f>input!C120</f>
        <v>HARLEM B. BALONG</v>
      </c>
      <c r="B351" s="555" t="s">
        <v>2255</v>
      </c>
    </row>
    <row r="352" spans="1:2" ht="22.5" customHeight="1" x14ac:dyDescent="0.25">
      <c r="A352" s="271" t="str">
        <f>input!F120</f>
        <v>Over-Exertion in Lifting Objects</v>
      </c>
      <c r="B352" s="556"/>
    </row>
    <row r="353" spans="1:2" ht="22.5" customHeight="1" thickBot="1" x14ac:dyDescent="0.3">
      <c r="A353" s="272" t="s">
        <v>2217</v>
      </c>
      <c r="B353" s="557"/>
    </row>
    <row r="354" spans="1:2" ht="22.5" customHeight="1" x14ac:dyDescent="0.25">
      <c r="A354" s="381" t="str">
        <f>input!C121</f>
        <v>AGOSTO P. MIGUEL</v>
      </c>
      <c r="B354" s="555" t="s">
        <v>2254</v>
      </c>
    </row>
    <row r="355" spans="1:2" ht="22.5" customHeight="1" x14ac:dyDescent="0.25">
      <c r="A355" s="271" t="str">
        <f>input!F121</f>
        <v>Struck by Object</v>
      </c>
      <c r="B355" s="556"/>
    </row>
    <row r="356" spans="1:2" ht="22.5" customHeight="1" thickBot="1" x14ac:dyDescent="0.3">
      <c r="A356" s="272" t="s">
        <v>2218</v>
      </c>
      <c r="B356" s="557"/>
    </row>
    <row r="357" spans="1:2" ht="22.5" customHeight="1" x14ac:dyDescent="0.25">
      <c r="A357" s="381" t="str">
        <f>input!C122</f>
        <v>VERONICA T. VELASCO</v>
      </c>
      <c r="B357" s="555" t="s">
        <v>2256</v>
      </c>
    </row>
    <row r="358" spans="1:2" ht="22.5" customHeight="1" x14ac:dyDescent="0.25">
      <c r="A358" s="271" t="str">
        <f>input!F122</f>
        <v>Property Damage</v>
      </c>
      <c r="B358" s="556"/>
    </row>
    <row r="359" spans="1:2" ht="22.5" customHeight="1" thickBot="1" x14ac:dyDescent="0.3">
      <c r="A359" s="272" t="s">
        <v>2219</v>
      </c>
      <c r="B359" s="557"/>
    </row>
    <row r="360" spans="1:2" ht="22.5" customHeight="1" x14ac:dyDescent="0.25">
      <c r="A360" s="381" t="str">
        <f>input!C123</f>
        <v>DESMOND D. BAYANGAN</v>
      </c>
      <c r="B360" s="555" t="s">
        <v>2257</v>
      </c>
    </row>
    <row r="361" spans="1:2" ht="22.5" customHeight="1" x14ac:dyDescent="0.25">
      <c r="A361" s="271" t="str">
        <f>input!F123</f>
        <v>Eye Contact with Foreign Object</v>
      </c>
      <c r="B361" s="556"/>
    </row>
    <row r="362" spans="1:2" ht="22.5" customHeight="1" thickBot="1" x14ac:dyDescent="0.3">
      <c r="A362" s="272" t="s">
        <v>2220</v>
      </c>
      <c r="B362" s="557"/>
    </row>
    <row r="363" spans="1:2" ht="22.5" customHeight="1" x14ac:dyDescent="0.25">
      <c r="A363" s="381" t="str">
        <f>input!C124</f>
        <v xml:space="preserve">JOLIVER T. CABRADILLA </v>
      </c>
      <c r="B363" s="555" t="s">
        <v>2338</v>
      </c>
    </row>
    <row r="364" spans="1:2" ht="22.5" customHeight="1" x14ac:dyDescent="0.25">
      <c r="A364" s="271" t="str">
        <f>input!F124</f>
        <v>Occupational Illness / Pain</v>
      </c>
      <c r="B364" s="556"/>
    </row>
    <row r="365" spans="1:2" ht="22.5" customHeight="1" thickBot="1" x14ac:dyDescent="0.3">
      <c r="A365" s="272" t="str">
        <f>input!V124</f>
        <v>Nayak Safety Office</v>
      </c>
      <c r="B365" s="557"/>
    </row>
    <row r="366" spans="1:2" ht="22.5" customHeight="1" x14ac:dyDescent="0.25">
      <c r="A366" s="381" t="str">
        <f>input!C125</f>
        <v>JOHN REY T. SABIO</v>
      </c>
      <c r="B366" s="555" t="s">
        <v>2339</v>
      </c>
    </row>
    <row r="367" spans="1:2" ht="22.5" customHeight="1" x14ac:dyDescent="0.25">
      <c r="A367" s="271" t="str">
        <f>input!F125</f>
        <v>Struck by Flying Object</v>
      </c>
      <c r="B367" s="556"/>
    </row>
    <row r="368" spans="1:2" ht="22.5" customHeight="1" thickBot="1" x14ac:dyDescent="0.3">
      <c r="A368" s="272" t="str">
        <f>input!V125</f>
        <v>RP 22 REPAIR BAY</v>
      </c>
      <c r="B368" s="557"/>
    </row>
    <row r="369" spans="1:2" ht="22.5" customHeight="1" x14ac:dyDescent="0.25">
      <c r="A369" s="381" t="str">
        <f>input!C126</f>
        <v>SHEMRAN A. KIWANG</v>
      </c>
      <c r="B369" s="555" t="s">
        <v>2340</v>
      </c>
    </row>
    <row r="370" spans="1:2" ht="22.5" customHeight="1" x14ac:dyDescent="0.25">
      <c r="A370" s="271" t="str">
        <f>input!F126</f>
        <v>Fall on Same Level</v>
      </c>
      <c r="B370" s="556"/>
    </row>
    <row r="371" spans="1:2" ht="22.5" customHeight="1" thickBot="1" x14ac:dyDescent="0.3">
      <c r="A371" s="272" t="str">
        <f>input!V126</f>
        <v>24913 8L3</v>
      </c>
      <c r="B371" s="557"/>
    </row>
    <row r="372" spans="1:2" ht="22.5" customHeight="1" x14ac:dyDescent="0.25">
      <c r="A372" s="381" t="str">
        <f>input!C127</f>
        <v>SALDY A. DALUG</v>
      </c>
      <c r="B372" s="555" t="s">
        <v>2341</v>
      </c>
    </row>
    <row r="373" spans="1:2" ht="22.5" customHeight="1" x14ac:dyDescent="0.25">
      <c r="A373" s="271" t="str">
        <f>input!F127</f>
        <v>Over-Exertion in Pushing / Pulling Objects</v>
      </c>
      <c r="B373" s="556"/>
    </row>
    <row r="374" spans="1:2" ht="22.5" customHeight="1" thickBot="1" x14ac:dyDescent="0.3">
      <c r="A374" s="272" t="str">
        <f>input!V127</f>
        <v>250 J LPT Loading Bay</v>
      </c>
      <c r="B374" s="557"/>
    </row>
    <row r="375" spans="1:2" ht="22.5" customHeight="1" x14ac:dyDescent="0.25">
      <c r="A375" s="381" t="str">
        <f>input!C128</f>
        <v>LUNES D. MUSLING</v>
      </c>
      <c r="B375" s="555" t="s">
        <v>2342</v>
      </c>
    </row>
    <row r="376" spans="1:2" ht="22.5" customHeight="1" x14ac:dyDescent="0.25">
      <c r="A376" s="271" t="str">
        <f>input!F128</f>
        <v>Occupational Illness / Pain</v>
      </c>
      <c r="B376" s="556"/>
    </row>
    <row r="377" spans="1:2" ht="22.5" customHeight="1" thickBot="1" x14ac:dyDescent="0.3">
      <c r="A377" s="272" t="str">
        <f>input!V128</f>
        <v>12502 C31N</v>
      </c>
      <c r="B377" s="557"/>
    </row>
    <row r="378" spans="1:2" ht="22.5" customHeight="1" x14ac:dyDescent="0.25">
      <c r="A378" s="381" t="str">
        <f>input!C129</f>
        <v>LHD 139</v>
      </c>
      <c r="B378" s="555" t="s">
        <v>2343</v>
      </c>
    </row>
    <row r="379" spans="1:2" ht="22.5" customHeight="1" x14ac:dyDescent="0.25">
      <c r="A379" s="271" t="str">
        <f>input!F129</f>
        <v>Property Damage</v>
      </c>
      <c r="B379" s="556"/>
    </row>
    <row r="380" spans="1:2" ht="22.5" customHeight="1" thickBot="1" x14ac:dyDescent="0.3">
      <c r="A380" s="272" t="str">
        <f>input!V129</f>
        <v>Transfer Chute</v>
      </c>
      <c r="B380" s="557"/>
    </row>
    <row r="381" spans="1:2" ht="22.5" customHeight="1" x14ac:dyDescent="0.25">
      <c r="A381" s="381" t="str">
        <f>input!C130</f>
        <v>DIOSDADO A. COPE JR.</v>
      </c>
      <c r="B381" s="555" t="s">
        <v>2344</v>
      </c>
    </row>
    <row r="382" spans="1:2" ht="22.5" customHeight="1" x14ac:dyDescent="0.25">
      <c r="A382" s="271" t="str">
        <f>input!F130</f>
        <v>Occupational Illness / Pain</v>
      </c>
      <c r="B382" s="556"/>
    </row>
    <row r="383" spans="1:2" ht="22.5" customHeight="1" thickBot="1" x14ac:dyDescent="0.3">
      <c r="A383" s="272" t="str">
        <f>input!V130</f>
        <v>Mine Office</v>
      </c>
      <c r="B383" s="557"/>
    </row>
    <row r="384" spans="1:2" ht="22.5" customHeight="1" x14ac:dyDescent="0.25">
      <c r="A384" s="381" t="str">
        <f>input!C131</f>
        <v>MARK SHINK T. DAYAWON</v>
      </c>
      <c r="B384" s="555" t="s">
        <v>2345</v>
      </c>
    </row>
    <row r="385" spans="1:2" ht="22.5" customHeight="1" x14ac:dyDescent="0.25">
      <c r="A385" s="271" t="str">
        <f>input!F131</f>
        <v>Struck by Falling Rock</v>
      </c>
      <c r="B385" s="556"/>
    </row>
    <row r="386" spans="1:2" ht="22.5" customHeight="1" thickBot="1" x14ac:dyDescent="0.3">
      <c r="A386" s="272" t="str">
        <f>input!V131</f>
        <v>248 8M1</v>
      </c>
      <c r="B386" s="557"/>
    </row>
    <row r="387" spans="1:2" ht="22.5" customHeight="1" x14ac:dyDescent="0.25">
      <c r="A387" s="381" t="str">
        <f>input!C132</f>
        <v>GILBERT C. FACSOY</v>
      </c>
      <c r="B387" s="555" t="s">
        <v>2346</v>
      </c>
    </row>
    <row r="388" spans="1:2" ht="22.5" customHeight="1" x14ac:dyDescent="0.25">
      <c r="A388" s="271" t="str">
        <f>input!F132</f>
        <v>Struck by Falling Rock</v>
      </c>
      <c r="B388" s="556"/>
    </row>
    <row r="389" spans="1:2" ht="22.5" customHeight="1" thickBot="1" x14ac:dyDescent="0.3">
      <c r="A389" s="272" t="str">
        <f>input!V132</f>
        <v>1254 G31N</v>
      </c>
      <c r="B389" s="557"/>
    </row>
    <row r="390" spans="1:2" ht="22.5" customHeight="1" x14ac:dyDescent="0.25">
      <c r="A390" s="381" t="str">
        <f>input!C133</f>
        <v>BANGUIYAO, DIONISIO</v>
      </c>
      <c r="B390" s="555" t="s">
        <v>2347</v>
      </c>
    </row>
    <row r="391" spans="1:2" ht="22.5" customHeight="1" x14ac:dyDescent="0.25">
      <c r="A391" s="271" t="str">
        <f>input!F133</f>
        <v>Struck by Object</v>
      </c>
      <c r="B391" s="556"/>
    </row>
    <row r="392" spans="1:2" ht="22.5" customHeight="1" thickBot="1" x14ac:dyDescent="0.3">
      <c r="A392" s="272" t="str">
        <f>input!V133</f>
        <v>207K Ramp</v>
      </c>
      <c r="B392" s="557"/>
    </row>
  </sheetData>
  <mergeCells count="125">
    <mergeCell ref="B338:B340"/>
    <mergeCell ref="B341:B343"/>
    <mergeCell ref="B323:B325"/>
    <mergeCell ref="B326:B328"/>
    <mergeCell ref="B329:B331"/>
    <mergeCell ref="B332:B334"/>
    <mergeCell ref="B335:B337"/>
    <mergeCell ref="B317:B319"/>
    <mergeCell ref="B320:B322"/>
    <mergeCell ref="B308:B316"/>
    <mergeCell ref="B296:B298"/>
    <mergeCell ref="B299:B301"/>
    <mergeCell ref="B302:B304"/>
    <mergeCell ref="B305:B307"/>
    <mergeCell ref="B292:B294"/>
    <mergeCell ref="B283:B285"/>
    <mergeCell ref="B286:B288"/>
    <mergeCell ref="B289:B291"/>
    <mergeCell ref="B268:B270"/>
    <mergeCell ref="B271:B273"/>
    <mergeCell ref="B274:B276"/>
    <mergeCell ref="B277:B279"/>
    <mergeCell ref="B280:B282"/>
    <mergeCell ref="B139:B141"/>
    <mergeCell ref="B133:B135"/>
    <mergeCell ref="B142:B144"/>
    <mergeCell ref="B261:B263"/>
    <mergeCell ref="B264:B266"/>
    <mergeCell ref="B212:B214"/>
    <mergeCell ref="B215:B217"/>
    <mergeCell ref="B206:B208"/>
    <mergeCell ref="B209:B211"/>
    <mergeCell ref="B234:B239"/>
    <mergeCell ref="B240:B242"/>
    <mergeCell ref="B243:B245"/>
    <mergeCell ref="B219:B221"/>
    <mergeCell ref="B222:B224"/>
    <mergeCell ref="B225:B227"/>
    <mergeCell ref="B228:B230"/>
    <mergeCell ref="B197:B199"/>
    <mergeCell ref="B176:B178"/>
    <mergeCell ref="B179:B181"/>
    <mergeCell ref="B72:B74"/>
    <mergeCell ref="B2:B4"/>
    <mergeCell ref="B5:B7"/>
    <mergeCell ref="B8:B10"/>
    <mergeCell ref="B11:B13"/>
    <mergeCell ref="B29:B31"/>
    <mergeCell ref="B17:B19"/>
    <mergeCell ref="B20:B22"/>
    <mergeCell ref="B23:B25"/>
    <mergeCell ref="B26:B28"/>
    <mergeCell ref="B54:B56"/>
    <mergeCell ref="B66:B68"/>
    <mergeCell ref="B69:B71"/>
    <mergeCell ref="B60:B62"/>
    <mergeCell ref="B63:B65"/>
    <mergeCell ref="B57:B59"/>
    <mergeCell ref="B14:B16"/>
    <mergeCell ref="B42:B44"/>
    <mergeCell ref="B45:B47"/>
    <mergeCell ref="B48:B50"/>
    <mergeCell ref="B51:B53"/>
    <mergeCell ref="B35:B37"/>
    <mergeCell ref="B38:B40"/>
    <mergeCell ref="B32:B34"/>
    <mergeCell ref="B75:B77"/>
    <mergeCell ref="B78:B80"/>
    <mergeCell ref="B81:B83"/>
    <mergeCell ref="B84:B86"/>
    <mergeCell ref="B87:B89"/>
    <mergeCell ref="B97:B99"/>
    <mergeCell ref="B100:B102"/>
    <mergeCell ref="B103:B105"/>
    <mergeCell ref="B91:B93"/>
    <mergeCell ref="B94:B96"/>
    <mergeCell ref="B173:B175"/>
    <mergeCell ref="B170:B172"/>
    <mergeCell ref="B164:B166"/>
    <mergeCell ref="B191:B193"/>
    <mergeCell ref="B194:B196"/>
    <mergeCell ref="B167:B169"/>
    <mergeCell ref="B106:B108"/>
    <mergeCell ref="B109:B111"/>
    <mergeCell ref="B161:B163"/>
    <mergeCell ref="B152:B154"/>
    <mergeCell ref="B155:B157"/>
    <mergeCell ref="B158:B160"/>
    <mergeCell ref="B127:B129"/>
    <mergeCell ref="B148:B150"/>
    <mergeCell ref="B121:B123"/>
    <mergeCell ref="B124:B126"/>
    <mergeCell ref="B112:B114"/>
    <mergeCell ref="B115:B117"/>
    <mergeCell ref="B118:B120"/>
    <mergeCell ref="B145:B147"/>
    <mergeCell ref="B130:B132"/>
    <mergeCell ref="B136:B138"/>
    <mergeCell ref="B252:B254"/>
    <mergeCell ref="B255:B257"/>
    <mergeCell ref="B258:B260"/>
    <mergeCell ref="B200:B202"/>
    <mergeCell ref="B203:B205"/>
    <mergeCell ref="B231:B233"/>
    <mergeCell ref="B246:B248"/>
    <mergeCell ref="B249:B251"/>
    <mergeCell ref="B182:B184"/>
    <mergeCell ref="B185:B187"/>
    <mergeCell ref="B188:B190"/>
    <mergeCell ref="B369:B371"/>
    <mergeCell ref="B372:B374"/>
    <mergeCell ref="B375:B377"/>
    <mergeCell ref="B378:B380"/>
    <mergeCell ref="B381:B383"/>
    <mergeCell ref="B384:B386"/>
    <mergeCell ref="B387:B389"/>
    <mergeCell ref="B390:B392"/>
    <mergeCell ref="B345:B347"/>
    <mergeCell ref="B348:B350"/>
    <mergeCell ref="B351:B353"/>
    <mergeCell ref="B354:B356"/>
    <mergeCell ref="B357:B359"/>
    <mergeCell ref="B360:B362"/>
    <mergeCell ref="B363:B365"/>
    <mergeCell ref="B366:B368"/>
  </mergeCells>
  <pageMargins left="0.70866141732283472" right="0.70866141732283472" top="0.74803149606299213" bottom="0.74803149606299213" header="0.31496062992125984" footer="0.31496062992125984"/>
  <pageSetup paperSize="14" scale="66" orientation="landscape" r:id="rId1"/>
  <rowBreaks count="1" manualBreakCount="1">
    <brk id="282" max="1"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DB0DE-53BD-47BB-A9AB-866EB44DB510}">
  <sheetPr>
    <pageSetUpPr fitToPage="1"/>
  </sheetPr>
  <dimension ref="A1:AZ130"/>
  <sheetViews>
    <sheetView workbookViewId="0"/>
  </sheetViews>
  <sheetFormatPr defaultColWidth="9" defaultRowHeight="60" x14ac:dyDescent="0.25"/>
  <cols>
    <col min="1" max="1" width="61.90625" style="209" customWidth="1"/>
    <col min="2" max="2" width="69.54296875" style="209" bestFit="1" customWidth="1"/>
    <col min="3" max="3" width="46.54296875" style="209" customWidth="1"/>
    <col min="4" max="4" width="50.08984375" style="209" customWidth="1"/>
    <col min="5" max="5" width="149.1796875" style="265" bestFit="1" customWidth="1"/>
    <col min="6" max="7" width="50.08984375" style="265" customWidth="1"/>
    <col min="8" max="8" width="67" style="265" customWidth="1"/>
    <col min="9" max="9" width="50.08984375" style="209" customWidth="1"/>
    <col min="10" max="10" width="56.453125" style="209" bestFit="1" customWidth="1"/>
    <col min="11" max="11" width="56.453125" style="209" customWidth="1"/>
    <col min="12" max="13" width="50.08984375" style="209" customWidth="1"/>
    <col min="14" max="14" width="41" style="209" bestFit="1" customWidth="1"/>
    <col min="15" max="15" width="92.453125" style="209" bestFit="1" customWidth="1"/>
    <col min="16" max="16" width="119.1796875" style="209" bestFit="1" customWidth="1"/>
    <col min="17" max="17" width="131" style="209" bestFit="1" customWidth="1"/>
    <col min="18" max="18" width="65.54296875" style="209" customWidth="1"/>
    <col min="19" max="19" width="174.6328125" style="209" bestFit="1" customWidth="1"/>
    <col min="20" max="21" width="50.26953125" style="209" customWidth="1"/>
    <col min="22" max="22" width="65.54296875" style="209" customWidth="1"/>
    <col min="23" max="24" width="65.54296875" style="265" customWidth="1"/>
    <col min="25" max="25" width="109.54296875" style="265" customWidth="1"/>
    <col min="26" max="26" width="65.54296875" style="209" customWidth="1"/>
    <col min="27" max="36" width="9" style="209"/>
    <col min="37" max="37" width="8.7265625" style="209" customWidth="1"/>
    <col min="38" max="16384" width="9" style="209"/>
  </cols>
  <sheetData>
    <row r="1" spans="2:26" x14ac:dyDescent="0.25">
      <c r="B1" s="597" t="s">
        <v>539</v>
      </c>
      <c r="C1" s="598"/>
      <c r="D1" s="598"/>
      <c r="E1" s="598"/>
      <c r="F1" s="598"/>
      <c r="G1" s="598"/>
      <c r="H1" s="598"/>
      <c r="I1" s="598"/>
      <c r="J1" s="598"/>
      <c r="K1" s="598"/>
      <c r="L1" s="598"/>
      <c r="M1" s="598"/>
      <c r="N1" s="598"/>
      <c r="O1" s="598"/>
      <c r="P1" s="598"/>
      <c r="Q1" s="598"/>
      <c r="R1" s="598"/>
      <c r="S1" s="598"/>
      <c r="T1" s="598"/>
      <c r="U1" s="598"/>
      <c r="V1" s="598"/>
      <c r="W1" s="598"/>
      <c r="X1" s="598"/>
      <c r="Y1" s="598"/>
      <c r="Z1" s="599"/>
    </row>
    <row r="2" spans="2:26" ht="60.5" thickBot="1" x14ac:dyDescent="0.3">
      <c r="B2" s="594" t="s">
        <v>540</v>
      </c>
      <c r="C2" s="595"/>
      <c r="D2" s="595"/>
      <c r="E2" s="595"/>
      <c r="F2" s="595"/>
      <c r="G2" s="595"/>
      <c r="H2" s="595"/>
      <c r="I2" s="595"/>
      <c r="J2" s="595"/>
      <c r="K2" s="595"/>
      <c r="L2" s="595"/>
      <c r="M2" s="595"/>
      <c r="N2" s="595"/>
      <c r="O2" s="595"/>
      <c r="P2" s="595"/>
      <c r="Q2" s="595"/>
      <c r="R2" s="595"/>
      <c r="S2" s="595"/>
      <c r="T2" s="595"/>
      <c r="U2" s="595"/>
      <c r="V2" s="595"/>
      <c r="W2" s="595"/>
      <c r="X2" s="595"/>
      <c r="Y2" s="595"/>
      <c r="Z2" s="596"/>
    </row>
    <row r="3" spans="2:26" s="210" customFormat="1" ht="84.5" customHeight="1" x14ac:dyDescent="0.25">
      <c r="B3" s="601" t="s">
        <v>38</v>
      </c>
      <c r="C3" s="602"/>
      <c r="D3" s="593" t="s">
        <v>39</v>
      </c>
      <c r="E3" s="593" t="s">
        <v>32</v>
      </c>
      <c r="F3" s="603" t="s">
        <v>11</v>
      </c>
      <c r="G3" s="602"/>
      <c r="H3" s="593" t="s">
        <v>59</v>
      </c>
      <c r="I3" s="593" t="s">
        <v>21</v>
      </c>
      <c r="J3" s="727" t="s">
        <v>9</v>
      </c>
      <c r="K3" s="728"/>
      <c r="L3" s="603" t="s">
        <v>8</v>
      </c>
      <c r="M3" s="602"/>
      <c r="N3" s="602" t="s">
        <v>7</v>
      </c>
      <c r="O3" s="593" t="s">
        <v>36</v>
      </c>
      <c r="P3" s="593" t="s">
        <v>37</v>
      </c>
      <c r="Q3" s="593" t="s">
        <v>45</v>
      </c>
      <c r="R3" s="593" t="s">
        <v>10</v>
      </c>
      <c r="S3" s="593" t="s">
        <v>62</v>
      </c>
      <c r="T3" s="603" t="s">
        <v>35</v>
      </c>
      <c r="U3" s="602"/>
      <c r="V3" s="603" t="s">
        <v>60</v>
      </c>
      <c r="W3" s="727" t="s">
        <v>61</v>
      </c>
      <c r="X3" s="728"/>
      <c r="Y3" s="593" t="s">
        <v>63</v>
      </c>
      <c r="Z3" s="604" t="s">
        <v>43</v>
      </c>
    </row>
    <row r="4" spans="2:26" s="210" customFormat="1" ht="84.5" customHeight="1" x14ac:dyDescent="0.25">
      <c r="B4" s="601"/>
      <c r="C4" s="602"/>
      <c r="D4" s="593"/>
      <c r="E4" s="593"/>
      <c r="F4" s="603"/>
      <c r="G4" s="602"/>
      <c r="H4" s="593"/>
      <c r="I4" s="593"/>
      <c r="J4" s="729"/>
      <c r="K4" s="730"/>
      <c r="L4" s="603"/>
      <c r="M4" s="602"/>
      <c r="N4" s="602"/>
      <c r="O4" s="593"/>
      <c r="P4" s="593"/>
      <c r="Q4" s="593"/>
      <c r="R4" s="593"/>
      <c r="S4" s="593"/>
      <c r="T4" s="603"/>
      <c r="U4" s="602"/>
      <c r="V4" s="603"/>
      <c r="W4" s="729"/>
      <c r="X4" s="730"/>
      <c r="Y4" s="593"/>
      <c r="Z4" s="604"/>
    </row>
    <row r="5" spans="2:26" x14ac:dyDescent="0.25">
      <c r="B5" s="609" t="s">
        <v>26</v>
      </c>
      <c r="C5" s="610"/>
      <c r="D5" s="610"/>
      <c r="E5" s="610"/>
      <c r="F5" s="610"/>
      <c r="G5" s="610"/>
      <c r="H5" s="610"/>
      <c r="I5" s="610"/>
      <c r="J5" s="610"/>
      <c r="K5" s="610"/>
      <c r="L5" s="610"/>
      <c r="M5" s="610"/>
      <c r="N5" s="610"/>
      <c r="O5" s="610"/>
      <c r="P5" s="610"/>
      <c r="Q5" s="610"/>
      <c r="R5" s="610"/>
      <c r="S5" s="610"/>
      <c r="T5" s="610"/>
      <c r="U5" s="610"/>
      <c r="V5" s="610"/>
      <c r="W5" s="610"/>
      <c r="X5" s="610"/>
      <c r="Y5" s="610"/>
      <c r="Z5" s="611"/>
    </row>
    <row r="6" spans="2:26" s="211" customFormat="1" ht="122" x14ac:dyDescent="0.25">
      <c r="B6" s="588" t="str">
        <f>input!C2</f>
        <v>RYAN DAVE MAWI-IT</v>
      </c>
      <c r="C6" s="589"/>
      <c r="D6" s="201">
        <f>input!D2</f>
        <v>8471</v>
      </c>
      <c r="E6" s="201" t="str">
        <f>input!E2</f>
        <v>Assistant Miner</v>
      </c>
      <c r="F6" s="584" t="str">
        <f>input!F2</f>
        <v>Occupational Illness / Pain</v>
      </c>
      <c r="G6" s="585"/>
      <c r="H6" s="208" t="str">
        <f>input!G2</f>
        <v>Shaft Station / Resting Area</v>
      </c>
      <c r="I6" s="201" t="str">
        <f>input!H2</f>
        <v>900L</v>
      </c>
      <c r="J6" s="735">
        <f>input!I2</f>
        <v>46032</v>
      </c>
      <c r="K6" s="736"/>
      <c r="L6" s="576">
        <f>input!J2</f>
        <v>0.97916666666666663</v>
      </c>
      <c r="M6" s="577"/>
      <c r="N6" s="202" t="str">
        <f>input!K2</f>
        <v>Second</v>
      </c>
      <c r="O6" s="203" t="str">
        <f>input!L2</f>
        <v>Hilbert G. Andong</v>
      </c>
      <c r="P6" s="203" t="str">
        <f>input!M2</f>
        <v>Reynaldo P. Kiking</v>
      </c>
      <c r="Q6" s="203" t="str">
        <f>input!N2</f>
        <v>Stephen Adams D. Mamanteo</v>
      </c>
      <c r="R6" s="204" t="str">
        <f>input!O2</f>
        <v>OI</v>
      </c>
      <c r="S6" s="204" t="str">
        <f>input!P2</f>
        <v>Cleaning of canal.</v>
      </c>
      <c r="T6" s="578" t="str">
        <f>input!Q2</f>
        <v>WDL / MAT</v>
      </c>
      <c r="U6" s="579"/>
      <c r="V6" s="201" t="str">
        <f>input!R2</f>
        <v>MOG</v>
      </c>
      <c r="W6" s="584" t="str">
        <f>input!S2</f>
        <v>Dept. 2</v>
      </c>
      <c r="X6" s="585"/>
      <c r="Y6" s="201" t="str">
        <f>input!T2</f>
        <v>Section 6</v>
      </c>
      <c r="Z6" s="205" t="str">
        <f>input!U2</f>
        <v>MAT</v>
      </c>
    </row>
    <row r="7" spans="2:26" s="211" customFormat="1" ht="61" x14ac:dyDescent="0.25">
      <c r="B7" s="588" t="str">
        <f>input!C3</f>
        <v>JOEY A. LASSIN</v>
      </c>
      <c r="C7" s="589"/>
      <c r="D7" s="201">
        <f>input!D3</f>
        <v>9728</v>
      </c>
      <c r="E7" s="201" t="str">
        <f>input!E3</f>
        <v>Assistant Miner</v>
      </c>
      <c r="F7" s="584" t="str">
        <f>input!F3</f>
        <v>Struck by Falling Rock</v>
      </c>
      <c r="G7" s="585"/>
      <c r="H7" s="208" t="str">
        <f>input!G3</f>
        <v>Stope</v>
      </c>
      <c r="I7" s="201" t="str">
        <f>input!H3</f>
        <v>970L</v>
      </c>
      <c r="J7" s="735">
        <f>input!I3</f>
        <v>46038</v>
      </c>
      <c r="K7" s="736"/>
      <c r="L7" s="576">
        <f>input!J3</f>
        <v>0.97916666666666663</v>
      </c>
      <c r="M7" s="577"/>
      <c r="N7" s="202" t="str">
        <f>input!K3</f>
        <v>Second</v>
      </c>
      <c r="O7" s="203" t="str">
        <f>input!L3</f>
        <v>Venancio A. Bad-ay</v>
      </c>
      <c r="P7" s="203" t="str">
        <f>input!M3</f>
        <v>Mariel T. Ayong</v>
      </c>
      <c r="Q7" s="203" t="str">
        <f>input!N3</f>
        <v>Leonard K. Fawayan</v>
      </c>
      <c r="R7" s="204" t="str">
        <f>input!O3</f>
        <v>FAC</v>
      </c>
      <c r="S7" s="204" t="str">
        <f>input!P3</f>
        <v>Rock Bolting</v>
      </c>
      <c r="T7" s="578" t="str">
        <f>input!Q3</f>
        <v>JAW / EAR / MAT / AOV</v>
      </c>
      <c r="U7" s="579"/>
      <c r="V7" s="201" t="str">
        <f>input!R3</f>
        <v>MOG</v>
      </c>
      <c r="W7" s="584" t="str">
        <f>input!S3</f>
        <v>Dept. 1</v>
      </c>
      <c r="X7" s="585"/>
      <c r="Y7" s="201" t="str">
        <f>input!T3</f>
        <v>Section 2</v>
      </c>
      <c r="Z7" s="205" t="str">
        <f>input!U3</f>
        <v>MAT</v>
      </c>
    </row>
    <row r="8" spans="2:26" s="211" customFormat="1" ht="61" x14ac:dyDescent="0.25">
      <c r="B8" s="588" t="str">
        <f>input!C4</f>
        <v>MANUEL D. BALAIS</v>
      </c>
      <c r="C8" s="589"/>
      <c r="D8" s="201">
        <f>input!D4</f>
        <v>1209</v>
      </c>
      <c r="E8" s="201" t="str">
        <f>input!E4</f>
        <v>Shiftboss</v>
      </c>
      <c r="F8" s="584" t="str">
        <f>input!F4</f>
        <v>Foreign Object in the Eye/s</v>
      </c>
      <c r="G8" s="585"/>
      <c r="H8" s="208" t="str">
        <f>input!G4</f>
        <v>Ramp</v>
      </c>
      <c r="I8" s="201" t="str">
        <f>input!H4</f>
        <v>1100L</v>
      </c>
      <c r="J8" s="735">
        <f>input!I4</f>
        <v>46046</v>
      </c>
      <c r="K8" s="736"/>
      <c r="L8" s="576">
        <f>input!J4</f>
        <v>0.125</v>
      </c>
      <c r="M8" s="577"/>
      <c r="N8" s="202" t="str">
        <f>input!K4</f>
        <v>First</v>
      </c>
      <c r="O8" s="203" t="str">
        <f>input!L4</f>
        <v>Hilbert G. Andong</v>
      </c>
      <c r="P8" s="203" t="str">
        <f>input!M4</f>
        <v>Allab B. Lal-wet</v>
      </c>
      <c r="Q8" s="203" t="str">
        <f>input!N4</f>
        <v>Dummory Joseff Febrei O. Estepa</v>
      </c>
      <c r="R8" s="204" t="str">
        <f>input!O4</f>
        <v>FAC</v>
      </c>
      <c r="S8" s="204" t="str">
        <f>input!P4</f>
        <v>Operating the breaker</v>
      </c>
      <c r="T8" s="578" t="str">
        <f>input!Q4</f>
        <v>WLT / SUU / FPP</v>
      </c>
      <c r="U8" s="579"/>
      <c r="V8" s="201" t="str">
        <f>input!R4</f>
        <v>MOG</v>
      </c>
      <c r="W8" s="584" t="str">
        <f>input!S4</f>
        <v>Dept. 2</v>
      </c>
      <c r="X8" s="585"/>
      <c r="Y8" s="201" t="str">
        <f>input!T4</f>
        <v>Section 4</v>
      </c>
      <c r="Z8" s="205" t="str">
        <f>input!U4</f>
        <v>MAT</v>
      </c>
    </row>
    <row r="9" spans="2:26" s="211" customFormat="1" ht="122" x14ac:dyDescent="0.25">
      <c r="B9" s="588" t="str">
        <f>input!C5</f>
        <v>WILBUR D. AWIS</v>
      </c>
      <c r="C9" s="589"/>
      <c r="D9" s="201">
        <f>input!D5</f>
        <v>9940</v>
      </c>
      <c r="E9" s="201" t="str">
        <f>input!E5</f>
        <v>Maintenance Man (MMME)</v>
      </c>
      <c r="F9" s="584" t="str">
        <f>input!F5</f>
        <v>Occupational Illness / Pain</v>
      </c>
      <c r="G9" s="585"/>
      <c r="H9" s="208" t="str">
        <f>input!G5</f>
        <v>Shaft Station / Resting Area</v>
      </c>
      <c r="I9" s="201" t="str">
        <f>input!H5</f>
        <v>900L</v>
      </c>
      <c r="J9" s="735">
        <f>input!I5</f>
        <v>46047</v>
      </c>
      <c r="K9" s="736"/>
      <c r="L9" s="576">
        <f>input!J5</f>
        <v>0.29166666666666669</v>
      </c>
      <c r="M9" s="577"/>
      <c r="N9" s="202" t="str">
        <f>input!K5</f>
        <v>Second</v>
      </c>
      <c r="O9" s="203" t="str">
        <f>input!L5</f>
        <v>Fernando A. Bustillo Jr.</v>
      </c>
      <c r="P9" s="203" t="str">
        <f>input!M5</f>
        <v>Alfon B. Yodong</v>
      </c>
      <c r="Q9" s="203" t="str">
        <f>input!N5</f>
        <v>John Pauline M. Refugia</v>
      </c>
      <c r="R9" s="204" t="str">
        <f>input!O5</f>
        <v>OI</v>
      </c>
      <c r="S9" s="204" t="str">
        <f>input!P5</f>
        <v>Preparing for task</v>
      </c>
      <c r="T9" s="578" t="str">
        <f>input!Q5</f>
        <v>SUU</v>
      </c>
      <c r="U9" s="579"/>
      <c r="V9" s="201" t="str">
        <f>input!R5</f>
        <v>MOG</v>
      </c>
      <c r="W9" s="584" t="str">
        <f>input!S5</f>
        <v>MMME</v>
      </c>
      <c r="X9" s="585"/>
      <c r="Y9" s="201" t="str">
        <f>input!T5</f>
        <v>Mobile</v>
      </c>
      <c r="Z9" s="205" t="str">
        <f>input!U5</f>
        <v>MAT</v>
      </c>
    </row>
    <row r="10" spans="2:26" s="211" customFormat="1" ht="61" x14ac:dyDescent="0.25">
      <c r="B10" s="588" t="str">
        <f>input!C6</f>
        <v xml:space="preserve">DUMAGUING M. LIBAN	</v>
      </c>
      <c r="C10" s="589"/>
      <c r="D10" s="201">
        <f>input!D6</f>
        <v>1336</v>
      </c>
      <c r="E10" s="201" t="str">
        <f>input!E6</f>
        <v>LHD Optr</v>
      </c>
      <c r="F10" s="584" t="str">
        <f>input!F6</f>
        <v>Caught in Between</v>
      </c>
      <c r="G10" s="585"/>
      <c r="H10" s="208" t="str">
        <f>input!G6</f>
        <v>Ramp</v>
      </c>
      <c r="I10" s="201" t="str">
        <f>input!H6</f>
        <v>1000L</v>
      </c>
      <c r="J10" s="735">
        <f>input!I6</f>
        <v>46048</v>
      </c>
      <c r="K10" s="736"/>
      <c r="L10" s="576">
        <f>input!J6</f>
        <v>0.8125</v>
      </c>
      <c r="M10" s="577"/>
      <c r="N10" s="202" t="str">
        <f>input!K6</f>
        <v>Third</v>
      </c>
      <c r="O10" s="203" t="str">
        <f>input!L6</f>
        <v>Venancio A. Bad-ay</v>
      </c>
      <c r="P10" s="203" t="str">
        <f>input!M6</f>
        <v>June O. Golocan</v>
      </c>
      <c r="Q10" s="203" t="str">
        <f>input!N6</f>
        <v>Danilo M. Galande</v>
      </c>
      <c r="R10" s="204" t="str">
        <f>input!O6</f>
        <v>LTA-F</v>
      </c>
      <c r="S10" s="204" t="str">
        <f>input!P6</f>
        <v>Descending towards 900L</v>
      </c>
      <c r="T10" s="578" t="str">
        <f>input!Q6</f>
        <v>WLT / EAR</v>
      </c>
      <c r="U10" s="579"/>
      <c r="V10" s="201" t="str">
        <f>input!R6</f>
        <v>MOG</v>
      </c>
      <c r="W10" s="584" t="str">
        <f>input!S6</f>
        <v>Dept. 1</v>
      </c>
      <c r="X10" s="585"/>
      <c r="Y10" s="201" t="str">
        <f>input!T6</f>
        <v>Section 3</v>
      </c>
      <c r="Z10" s="205" t="str">
        <f>input!U6</f>
        <v>MAT</v>
      </c>
    </row>
    <row r="11" spans="2:26" s="211" customFormat="1" ht="122" x14ac:dyDescent="0.25">
      <c r="B11" s="588" t="str">
        <f>input!C7</f>
        <v>GLENN MARK B. LABOTAN</v>
      </c>
      <c r="C11" s="589"/>
      <c r="D11" s="201">
        <f>input!D7</f>
        <v>9346</v>
      </c>
      <c r="E11" s="201" t="str">
        <f>input!E7</f>
        <v>UG Senior Warehouseman</v>
      </c>
      <c r="F11" s="584" t="str">
        <f>input!F7</f>
        <v>Caught in Between</v>
      </c>
      <c r="G11" s="585"/>
      <c r="H11" s="208" t="str">
        <f>input!G7</f>
        <v>Fuel Storage Area</v>
      </c>
      <c r="I11" s="201" t="str">
        <f>input!H7</f>
        <v>900L</v>
      </c>
      <c r="J11" s="735">
        <f>input!I7</f>
        <v>46052</v>
      </c>
      <c r="K11" s="736"/>
      <c r="L11" s="576">
        <f>input!J7</f>
        <v>0.40625</v>
      </c>
      <c r="M11" s="577"/>
      <c r="N11" s="202" t="str">
        <f>input!K7</f>
        <v>Second</v>
      </c>
      <c r="O11" s="203" t="str">
        <f>input!L7</f>
        <v>Fe Marie W. Mates</v>
      </c>
      <c r="P11" s="203" t="str">
        <f>input!M7</f>
        <v>Samson A. Fotyong</v>
      </c>
      <c r="Q11" s="203" t="str">
        <f>input!N7</f>
        <v>Marvin B. Caligner</v>
      </c>
      <c r="R11" s="204" t="str">
        <f>input!O7</f>
        <v>LTA-NF</v>
      </c>
      <c r="S11" s="204" t="str">
        <f>input!P7</f>
        <v>Unloading fuel oil drum</v>
      </c>
      <c r="T11" s="578" t="str">
        <f>input!Q7</f>
        <v>MAT / AOV</v>
      </c>
      <c r="U11" s="579"/>
      <c r="V11" s="201" t="str">
        <f>input!R7</f>
        <v>FSG</v>
      </c>
      <c r="W11" s="584" t="str">
        <f>input!S7</f>
        <v>IMD</v>
      </c>
      <c r="X11" s="585"/>
      <c r="Y11" s="201" t="str">
        <f>input!T7</f>
        <v>Underground Warehouse</v>
      </c>
      <c r="Z11" s="205" t="str">
        <f>input!U7</f>
        <v>KTA</v>
      </c>
    </row>
    <row r="12" spans="2:26" x14ac:dyDescent="0.25">
      <c r="B12" s="590" t="s">
        <v>51</v>
      </c>
      <c r="C12" s="591"/>
      <c r="D12" s="591"/>
      <c r="E12" s="591"/>
      <c r="F12" s="591"/>
      <c r="G12" s="591"/>
      <c r="H12" s="591"/>
      <c r="I12" s="591"/>
      <c r="J12" s="591"/>
      <c r="K12" s="591"/>
      <c r="L12" s="591"/>
      <c r="M12" s="591"/>
      <c r="N12" s="591"/>
      <c r="O12" s="591"/>
      <c r="P12" s="591"/>
      <c r="Q12" s="591"/>
      <c r="R12" s="591"/>
      <c r="S12" s="591"/>
      <c r="T12" s="591"/>
      <c r="U12" s="591"/>
      <c r="V12" s="591"/>
      <c r="W12" s="591"/>
      <c r="X12" s="591"/>
      <c r="Y12" s="591"/>
      <c r="Z12" s="592"/>
    </row>
    <row r="13" spans="2:26" ht="61" x14ac:dyDescent="0.25">
      <c r="B13" s="580" t="str">
        <f>input!C8</f>
        <v>BINSON I. ZAPARITA</v>
      </c>
      <c r="C13" s="581"/>
      <c r="D13" s="206">
        <f>input!D8</f>
        <v>9901</v>
      </c>
      <c r="E13" s="206" t="str">
        <f>input!E8</f>
        <v>Jr. Machinist</v>
      </c>
      <c r="F13" s="586" t="str">
        <f>input!F8</f>
        <v>Caught in Between</v>
      </c>
      <c r="G13" s="587"/>
      <c r="H13" s="207" t="str">
        <f>input!G8</f>
        <v>Machine Shop</v>
      </c>
      <c r="I13" s="201" t="str">
        <f>input!H8</f>
        <v>S (N/A)</v>
      </c>
      <c r="J13" s="735">
        <f>input!I8</f>
        <v>46039</v>
      </c>
      <c r="K13" s="736"/>
      <c r="L13" s="576">
        <f>input!J8</f>
        <v>0.46527777777777773</v>
      </c>
      <c r="M13" s="577"/>
      <c r="N13" s="202" t="str">
        <f>input!K8</f>
        <v>Second</v>
      </c>
      <c r="O13" s="203" t="str">
        <f>input!L8</f>
        <v>Larry A. Arigue</v>
      </c>
      <c r="P13" s="203" t="str">
        <f>input!M8</f>
        <v>James I. Consolacion</v>
      </c>
      <c r="Q13" s="203" t="str">
        <f>input!N8</f>
        <v>N/A</v>
      </c>
      <c r="R13" s="204" t="str">
        <f>input!O8</f>
        <v>FAC</v>
      </c>
      <c r="S13" s="204" t="str">
        <f>input!P8</f>
        <v>Unloading via crane operation</v>
      </c>
      <c r="T13" s="578" t="str">
        <f>input!Q8</f>
        <v>MBK / RML</v>
      </c>
      <c r="U13" s="579"/>
      <c r="V13" s="201" t="str">
        <f>input!R8</f>
        <v>TSG</v>
      </c>
      <c r="W13" s="584" t="str">
        <f>input!S8</f>
        <v>MWSO</v>
      </c>
      <c r="X13" s="585"/>
      <c r="Y13" s="201" t="str">
        <f>input!T8</f>
        <v>Machine Shop</v>
      </c>
      <c r="Z13" s="205" t="str">
        <f>input!U8</f>
        <v>RML</v>
      </c>
    </row>
    <row r="14" spans="2:26" ht="61" x14ac:dyDescent="0.25">
      <c r="B14" s="580" t="str">
        <f>input!C9</f>
        <v>ROWELL C. DELA CRUZ</v>
      </c>
      <c r="C14" s="581"/>
      <c r="D14" s="206">
        <f>input!D9</f>
        <v>9386</v>
      </c>
      <c r="E14" s="206" t="str">
        <f>input!E9</f>
        <v>Surface Warehouseman</v>
      </c>
      <c r="F14" s="586" t="str">
        <f>input!F9</f>
        <v>Contact with Object</v>
      </c>
      <c r="G14" s="587"/>
      <c r="H14" s="207" t="str">
        <f>input!G9</f>
        <v>Steel Yard</v>
      </c>
      <c r="I14" s="201" t="str">
        <f>input!H9</f>
        <v>S (N/A)</v>
      </c>
      <c r="J14" s="735">
        <f>input!I9</f>
        <v>46034</v>
      </c>
      <c r="K14" s="736"/>
      <c r="L14" s="576">
        <f>input!J9</f>
        <v>0.32291666666666669</v>
      </c>
      <c r="M14" s="577"/>
      <c r="N14" s="202" t="str">
        <f>input!K9</f>
        <v>Second</v>
      </c>
      <c r="O14" s="203" t="str">
        <f>input!L9</f>
        <v>Fe Marie W. Mates</v>
      </c>
      <c r="P14" s="203" t="str">
        <f>input!M9</f>
        <v>Julian Manuel S. Casuga</v>
      </c>
      <c r="Q14" s="203" t="str">
        <f>input!N9</f>
        <v>Karl Lloyd S. Valentin</v>
      </c>
      <c r="R14" s="204" t="str">
        <f>input!O9</f>
        <v>FAC</v>
      </c>
      <c r="S14" s="204" t="str">
        <f>input!P9</f>
        <v>Loading of Causic Soda</v>
      </c>
      <c r="T14" s="578" t="str">
        <f>input!Q9</f>
        <v>ENC / RML</v>
      </c>
      <c r="U14" s="579"/>
      <c r="V14" s="201" t="str">
        <f>input!R9</f>
        <v>FSG</v>
      </c>
      <c r="W14" s="584" t="str">
        <f>input!S9</f>
        <v>IMD</v>
      </c>
      <c r="X14" s="585"/>
      <c r="Y14" s="201" t="str">
        <f>input!T9</f>
        <v>Surface Warehouse</v>
      </c>
      <c r="Z14" s="205" t="str">
        <f>input!U9</f>
        <v>RML</v>
      </c>
    </row>
    <row r="15" spans="2:26" ht="122" x14ac:dyDescent="0.25">
      <c r="B15" s="580" t="str">
        <f>input!C10</f>
        <v>JOHN REY BAGUIYAC</v>
      </c>
      <c r="C15" s="581"/>
      <c r="D15" s="206" t="str">
        <f>input!D10</f>
        <v>N/A - Contracts</v>
      </c>
      <c r="E15" s="206" t="str">
        <f>input!E10</f>
        <v>Carpenter</v>
      </c>
      <c r="F15" s="586" t="str">
        <f>input!F10</f>
        <v>Caught in Between</v>
      </c>
      <c r="G15" s="587"/>
      <c r="H15" s="207" t="str">
        <f>input!G10</f>
        <v>Hospital</v>
      </c>
      <c r="I15" s="201" t="str">
        <f>input!H10</f>
        <v>S (N/A)</v>
      </c>
      <c r="J15" s="735">
        <f>input!I10</f>
        <v>46045</v>
      </c>
      <c r="K15" s="736"/>
      <c r="L15" s="576">
        <f>input!J10</f>
        <v>0.33333333333333331</v>
      </c>
      <c r="M15" s="577"/>
      <c r="N15" s="202" t="str">
        <f>input!K10</f>
        <v>Second</v>
      </c>
      <c r="O15" s="203" t="str">
        <f>input!L10</f>
        <v>Abraham L. Davis</v>
      </c>
      <c r="P15" s="203" t="str">
        <f>input!M10</f>
        <v>Nathaneal D. Jugal</v>
      </c>
      <c r="Q15" s="203" t="str">
        <f>input!N10</f>
        <v>Kathy M. Domogo</v>
      </c>
      <c r="R15" s="204" t="str">
        <f>input!O10</f>
        <v>FAC</v>
      </c>
      <c r="S15" s="204" t="str">
        <f>input!P10</f>
        <v>Hauling of H-beams</v>
      </c>
      <c r="T15" s="578" t="str">
        <f>input!Q10</f>
        <v>ENC / RML</v>
      </c>
      <c r="U15" s="579"/>
      <c r="V15" s="201" t="str">
        <f>input!R10</f>
        <v>Contracts</v>
      </c>
      <c r="W15" s="584" t="str">
        <f>input!S10</f>
        <v>MD&amp;C Construction</v>
      </c>
      <c r="X15" s="585"/>
      <c r="Y15" s="201" t="str">
        <f>input!T10</f>
        <v>Building Maintenance</v>
      </c>
      <c r="Z15" s="205" t="str">
        <f>input!U10</f>
        <v>RML</v>
      </c>
    </row>
    <row r="16" spans="2:26" x14ac:dyDescent="0.25">
      <c r="B16" s="590" t="s">
        <v>80</v>
      </c>
      <c r="C16" s="591"/>
      <c r="D16" s="591"/>
      <c r="E16" s="591"/>
      <c r="F16" s="591"/>
      <c r="G16" s="591"/>
      <c r="H16" s="591"/>
      <c r="I16" s="591"/>
      <c r="J16" s="591"/>
      <c r="K16" s="591"/>
      <c r="L16" s="591"/>
      <c r="M16" s="591"/>
      <c r="N16" s="591"/>
      <c r="O16" s="591"/>
      <c r="P16" s="591"/>
      <c r="Q16" s="591"/>
      <c r="R16" s="591"/>
      <c r="S16" s="591"/>
      <c r="T16" s="591"/>
      <c r="U16" s="591"/>
      <c r="V16" s="591"/>
      <c r="W16" s="591"/>
      <c r="X16" s="591"/>
      <c r="Y16" s="591"/>
      <c r="Z16" s="592"/>
    </row>
    <row r="17" spans="1:26" s="212" customFormat="1" ht="61" x14ac:dyDescent="0.25">
      <c r="A17" s="209"/>
      <c r="B17" s="580" t="str">
        <f>input!C11</f>
        <v>FUSE CUT-OFF SWITCH</v>
      </c>
      <c r="C17" s="581"/>
      <c r="D17" s="206" t="str">
        <f>input!D11</f>
        <v>N/A - PD</v>
      </c>
      <c r="E17" s="206" t="str">
        <f>input!E11</f>
        <v>Fuse Cut-Off Switch</v>
      </c>
      <c r="F17" s="582" t="str">
        <f>input!F11</f>
        <v>Property Damage</v>
      </c>
      <c r="G17" s="583"/>
      <c r="H17" s="208" t="str">
        <f>input!G11</f>
        <v>UG Crusher</v>
      </c>
      <c r="I17" s="201" t="str">
        <f>input!H11</f>
        <v>S (N/A)</v>
      </c>
      <c r="J17" s="735">
        <f>input!I11</f>
        <v>46039</v>
      </c>
      <c r="K17" s="736"/>
      <c r="L17" s="576">
        <f>input!J11</f>
        <v>0.77083333333333337</v>
      </c>
      <c r="M17" s="577"/>
      <c r="N17" s="202" t="str">
        <f>input!K11</f>
        <v>Third</v>
      </c>
      <c r="O17" s="203" t="str">
        <f>input!L11</f>
        <v>Fernando A. Bustillo Jr.</v>
      </c>
      <c r="P17" s="203" t="str">
        <f>input!M11</f>
        <v>Neil Marcel F. Paquito</v>
      </c>
      <c r="Q17" s="203" t="str">
        <f>input!N11</f>
        <v>Pedro B. Lambino</v>
      </c>
      <c r="R17" s="204" t="str">
        <f>input!O11</f>
        <v>PD</v>
      </c>
      <c r="S17" s="204" t="str">
        <f>input!P11</f>
        <v>Sudden Power Loss</v>
      </c>
      <c r="T17" s="578" t="str">
        <f>input!Q11</f>
        <v>MBK</v>
      </c>
      <c r="U17" s="579"/>
      <c r="V17" s="201" t="str">
        <f>input!R11</f>
        <v>MOG</v>
      </c>
      <c r="W17" s="584" t="str">
        <f>input!S11</f>
        <v>MMME</v>
      </c>
      <c r="X17" s="585"/>
      <c r="Y17" s="201" t="str">
        <f>input!T11</f>
        <v>Electrical</v>
      </c>
      <c r="Z17" s="205" t="str">
        <f>input!U11</f>
        <v>KTA</v>
      </c>
    </row>
    <row r="18" spans="1:26" x14ac:dyDescent="0.25">
      <c r="B18" s="590" t="s">
        <v>675</v>
      </c>
      <c r="C18" s="591"/>
      <c r="D18" s="591"/>
      <c r="E18" s="591"/>
      <c r="F18" s="591"/>
      <c r="G18" s="591"/>
      <c r="H18" s="591"/>
      <c r="I18" s="591"/>
      <c r="J18" s="591"/>
      <c r="K18" s="591"/>
      <c r="L18" s="591"/>
      <c r="M18" s="591"/>
      <c r="N18" s="591"/>
      <c r="O18" s="591"/>
      <c r="P18" s="591"/>
      <c r="Q18" s="591"/>
      <c r="R18" s="591"/>
      <c r="S18" s="591"/>
      <c r="T18" s="591"/>
      <c r="U18" s="591"/>
      <c r="V18" s="591"/>
      <c r="W18" s="591"/>
      <c r="X18" s="591"/>
      <c r="Y18" s="591"/>
      <c r="Z18" s="592"/>
    </row>
    <row r="19" spans="1:26" s="212" customFormat="1" ht="61" x14ac:dyDescent="0.25">
      <c r="A19" s="209"/>
      <c r="B19" s="580" t="str">
        <f>input!C12</f>
        <v>PINE TREES</v>
      </c>
      <c r="C19" s="581"/>
      <c r="D19" s="206" t="str">
        <f>input!D12</f>
        <v>N/A - EI</v>
      </c>
      <c r="E19" s="206" t="str">
        <f>input!E12</f>
        <v>Forest Fire</v>
      </c>
      <c r="F19" s="582" t="str">
        <f>input!F12</f>
        <v>Fire</v>
      </c>
      <c r="G19" s="583"/>
      <c r="H19" s="208" t="str">
        <f>input!G12</f>
        <v>Buaki, Sapid</v>
      </c>
      <c r="I19" s="208" t="str">
        <f>input!H12</f>
        <v>S (N/A)</v>
      </c>
      <c r="J19" s="733">
        <f>input!I12</f>
        <v>46043</v>
      </c>
      <c r="K19" s="734"/>
      <c r="L19" s="576">
        <f>input!J12</f>
        <v>0.66666666666666663</v>
      </c>
      <c r="M19" s="577"/>
      <c r="N19" s="202" t="str">
        <f>input!K12</f>
        <v>Second</v>
      </c>
      <c r="O19" s="203" t="str">
        <f>input!L12</f>
        <v>N/A</v>
      </c>
      <c r="P19" s="203" t="str">
        <f>input!M12</f>
        <v>N/A</v>
      </c>
      <c r="Q19" s="203" t="str">
        <f>input!N12</f>
        <v>N/A</v>
      </c>
      <c r="R19" s="204" t="str">
        <f>input!O12</f>
        <v>EI</v>
      </c>
      <c r="S19" s="204">
        <f>input!P12</f>
        <v>0</v>
      </c>
      <c r="T19" s="578" t="str">
        <f>input!Q12</f>
        <v>MBK</v>
      </c>
      <c r="U19" s="579"/>
      <c r="V19" s="201" t="str">
        <f>input!R12</f>
        <v>ASG</v>
      </c>
      <c r="W19" s="584" t="str">
        <f>input!S12</f>
        <v>IOSD</v>
      </c>
      <c r="X19" s="585"/>
      <c r="Y19" s="201" t="str">
        <f>input!T12</f>
        <v>N/A - Community</v>
      </c>
      <c r="Z19" s="205" t="str">
        <f>input!U12</f>
        <v>KTA</v>
      </c>
    </row>
    <row r="20" spans="1:26" s="212" customFormat="1" ht="122" x14ac:dyDescent="0.25">
      <c r="A20" s="209"/>
      <c r="B20" s="580" t="str">
        <f>input!C13</f>
        <v>BURNT GARBAGE</v>
      </c>
      <c r="C20" s="581"/>
      <c r="D20" s="206" t="str">
        <f>input!D13</f>
        <v>N/A - EI</v>
      </c>
      <c r="E20" s="206" t="str">
        <f>input!E13</f>
        <v>Forest Fire</v>
      </c>
      <c r="F20" s="582" t="str">
        <f>input!F13</f>
        <v>Fire</v>
      </c>
      <c r="G20" s="583"/>
      <c r="H20" s="208" t="str">
        <f>input!G13</f>
        <v>Golf Course, Sapid</v>
      </c>
      <c r="I20" s="208" t="str">
        <f>input!H13</f>
        <v>S (N/A)</v>
      </c>
      <c r="J20" s="733">
        <f>input!I13</f>
        <v>46046</v>
      </c>
      <c r="K20" s="734"/>
      <c r="L20" s="576">
        <f>input!J13</f>
        <v>0.82361111111111107</v>
      </c>
      <c r="M20" s="577"/>
      <c r="N20" s="202" t="str">
        <f>input!K13</f>
        <v>Third</v>
      </c>
      <c r="O20" s="203" t="str">
        <f>input!L13</f>
        <v>N/A</v>
      </c>
      <c r="P20" s="203" t="str">
        <f>input!M13</f>
        <v>N/A</v>
      </c>
      <c r="Q20" s="203" t="str">
        <f>input!N13</f>
        <v>N/A</v>
      </c>
      <c r="R20" s="204" t="str">
        <f>input!O13</f>
        <v>EI</v>
      </c>
      <c r="S20" s="204">
        <f>input!P13</f>
        <v>0</v>
      </c>
      <c r="T20" s="578" t="str">
        <f>input!Q13</f>
        <v>ENC</v>
      </c>
      <c r="U20" s="579"/>
      <c r="V20" s="201" t="str">
        <f>input!R13</f>
        <v>ASG</v>
      </c>
      <c r="W20" s="584" t="str">
        <f>input!S13</f>
        <v>IOSD</v>
      </c>
      <c r="X20" s="585"/>
      <c r="Y20" s="201" t="str">
        <f>input!T13</f>
        <v>N/A - Community</v>
      </c>
      <c r="Z20" s="205" t="str">
        <f>input!U13</f>
        <v>KTA</v>
      </c>
    </row>
    <row r="21" spans="1:26" s="212" customFormat="1" ht="61.5" thickBot="1" x14ac:dyDescent="0.3">
      <c r="A21" s="209"/>
      <c r="B21" s="580" t="str">
        <f>input!C14</f>
        <v>VOLVO TRUCK</v>
      </c>
      <c r="C21" s="581"/>
      <c r="D21" s="206" t="str">
        <f>input!D14</f>
        <v>TDQ 954</v>
      </c>
      <c r="E21" s="206" t="str">
        <f>input!E14</f>
        <v>Shipside - Volvo Truck</v>
      </c>
      <c r="F21" s="582" t="str">
        <f>input!F14</f>
        <v>Fall on Lower level</v>
      </c>
      <c r="G21" s="583"/>
      <c r="H21" s="208" t="str">
        <f>input!G14</f>
        <v>Tubo, Sapid</v>
      </c>
      <c r="I21" s="208" t="str">
        <f>input!H14</f>
        <v>S (N/A)</v>
      </c>
      <c r="J21" s="731">
        <f>input!I14</f>
        <v>46052</v>
      </c>
      <c r="K21" s="732"/>
      <c r="L21" s="576">
        <f>input!J14</f>
        <v>0.2902777777777778</v>
      </c>
      <c r="M21" s="577"/>
      <c r="N21" s="202" t="str">
        <f>input!K14</f>
        <v>Second</v>
      </c>
      <c r="O21" s="203" t="str">
        <f>input!L14</f>
        <v>N/A</v>
      </c>
      <c r="P21" s="203" t="str">
        <f>input!M14</f>
        <v>N/A</v>
      </c>
      <c r="Q21" s="203" t="str">
        <f>input!N14</f>
        <v>N/A</v>
      </c>
      <c r="R21" s="204" t="str">
        <f>input!O14</f>
        <v>EI</v>
      </c>
      <c r="S21" s="204" t="str">
        <f>input!P14</f>
        <v>Delivery of goods</v>
      </c>
      <c r="T21" s="578" t="str">
        <f>input!Q14</f>
        <v>MBK</v>
      </c>
      <c r="U21" s="579"/>
      <c r="V21" s="201" t="str">
        <f>input!R14</f>
        <v>FSG</v>
      </c>
      <c r="W21" s="737" t="str">
        <f>input!S14</f>
        <v>IMD</v>
      </c>
      <c r="X21" s="738"/>
      <c r="Y21" s="201" t="str">
        <f>input!T14</f>
        <v>Surface Warehouse</v>
      </c>
      <c r="Z21" s="205" t="str">
        <f>input!U14</f>
        <v>KTA</v>
      </c>
    </row>
    <row r="22" spans="1:26" ht="120" x14ac:dyDescent="0.25">
      <c r="B22" s="605" t="s">
        <v>22</v>
      </c>
      <c r="C22" s="606"/>
      <c r="D22" s="213" t="s">
        <v>6</v>
      </c>
      <c r="E22" s="213" t="s">
        <v>2</v>
      </c>
      <c r="F22" s="213" t="s">
        <v>3</v>
      </c>
      <c r="G22" s="213" t="s">
        <v>1</v>
      </c>
      <c r="H22" s="213" t="s">
        <v>0</v>
      </c>
      <c r="I22" s="213" t="s">
        <v>53</v>
      </c>
      <c r="J22" s="213" t="s">
        <v>12</v>
      </c>
      <c r="K22" s="213" t="s">
        <v>693</v>
      </c>
      <c r="L22" s="213" t="s">
        <v>5</v>
      </c>
      <c r="M22" s="214" t="s">
        <v>40</v>
      </c>
      <c r="N22" s="607" t="s">
        <v>11</v>
      </c>
      <c r="O22" s="607"/>
      <c r="P22" s="608"/>
      <c r="Q22" s="215" t="s">
        <v>6</v>
      </c>
      <c r="R22" s="215" t="s">
        <v>2</v>
      </c>
      <c r="S22" s="215" t="s">
        <v>3</v>
      </c>
      <c r="T22" s="215" t="s">
        <v>1</v>
      </c>
      <c r="U22" s="215" t="s">
        <v>0</v>
      </c>
      <c r="V22" s="215" t="s">
        <v>53</v>
      </c>
      <c r="W22" s="215" t="s">
        <v>12</v>
      </c>
      <c r="X22" s="213" t="s">
        <v>693</v>
      </c>
      <c r="Y22" s="215" t="s">
        <v>5</v>
      </c>
      <c r="Z22" s="216" t="s">
        <v>40</v>
      </c>
    </row>
    <row r="23" spans="1:26" ht="61" x14ac:dyDescent="0.25">
      <c r="B23" s="612" t="s">
        <v>33</v>
      </c>
      <c r="C23" s="613"/>
      <c r="D23" s="217">
        <f>COUNTIFS(input!$O:$O,January!$D$22,input!$E:$E,January!B23,input!$A:$A,January!$B$2)</f>
        <v>0</v>
      </c>
      <c r="E23" s="217">
        <f>COUNTIFS(input!$O:$O,January!$E$22,input!$E:$E,January!B23,input!$A:$A,January!$B$2)</f>
        <v>0</v>
      </c>
      <c r="F23" s="217">
        <f>COUNTIFS(input!$O:$O,January!$F$22,input!$E:$E,January!B23,input!$A:$A,January!$B$2)</f>
        <v>0</v>
      </c>
      <c r="G23" s="218">
        <f>COUNTIFS(input!$O:$O,January!$G$22,input!$E:$E,January!B23,input!$A:$A,January!$B$2)</f>
        <v>1</v>
      </c>
      <c r="H23" s="218">
        <f>COUNTIFS(input!$O:$O,January!$H$22,input!$E:$E,January!B23,input!$A:$A,January!$B$2)</f>
        <v>0</v>
      </c>
      <c r="I23" s="218">
        <f>COUNTIFS(input!$O:$O,January!$I$22,input!$E:$E,January!B23,input!$A:$A,January!$B$2)</f>
        <v>1</v>
      </c>
      <c r="J23" s="218">
        <f>COUNTIFS(input!$O:$O,January!$J$22,input!$E:$E,January!B23,input!$A:$A,January!$B$2)</f>
        <v>0</v>
      </c>
      <c r="K23" s="218">
        <f>COUNTIFS(input!$O:$O,January!$K$22,input!$E:$E,January!B23,input!$A:$A,January!$B$2)</f>
        <v>0</v>
      </c>
      <c r="L23" s="219">
        <f>SUM(D23:K23)</f>
        <v>2</v>
      </c>
      <c r="M23" s="220" cm="1">
        <f t="array" ref="M23">_xlfn.IFS(L23=0,0,L23&gt;=1,L23/L44)</f>
        <v>0.15384615384615385</v>
      </c>
      <c r="N23" s="614" t="s">
        <v>86</v>
      </c>
      <c r="O23" s="614"/>
      <c r="P23" s="615"/>
      <c r="Q23" s="217">
        <f>COUNTIFS(input!$O:$O,January!$Q$22,input!$F:$F,January!N23,input!$A:$A,January!$B$2)</f>
        <v>0</v>
      </c>
      <c r="R23" s="217">
        <f>COUNTIFS(input!$O:$O,January!$R$22,input!$F:$F,January!N23,input!$A:$A,January!$B$2)</f>
        <v>0</v>
      </c>
      <c r="S23" s="217">
        <f>COUNTIFS(input!$O:$O,January!$S$22,input!$F:$F,January!N23,input!$A:$A,January!$B$2)</f>
        <v>0</v>
      </c>
      <c r="T23" s="221">
        <f>COUNTIFS(input!$O:$O,January!$T$22,input!$F:$F,January!N23,input!$A:$A,January!$B$2)</f>
        <v>1</v>
      </c>
      <c r="U23" s="221">
        <f>COUNTIFS(input!$O:$O,January!$U$22,input!$F:$F,January!N23,input!$A:$A,January!$B$2)</f>
        <v>0</v>
      </c>
      <c r="V23" s="221">
        <f>COUNTIFS(input!$O:$O,January!$V$22,input!$F:$F,January!N23,input!$A:$A,January!$B$2)</f>
        <v>0</v>
      </c>
      <c r="W23" s="221">
        <f>COUNTIFS(input!$O:$O,January!$W$22,input!$F:$F,January!N23,input!$A:$A,January!$B$2)</f>
        <v>0</v>
      </c>
      <c r="X23" s="221">
        <f>COUNTIFS(input!$O:$O,January!$X$22,input!$F:$F,January!N23,input!$A:$A,January!$B$2)</f>
        <v>0</v>
      </c>
      <c r="Y23" s="219">
        <f>SUM(Q23:X23)</f>
        <v>1</v>
      </c>
      <c r="Z23" s="222" cm="1">
        <f t="array" ref="Z23">_xlfn.IFS(Y23=0,0,Y23&gt;=1,Y23/Y44)</f>
        <v>7.6923076923076927E-2</v>
      </c>
    </row>
    <row r="24" spans="1:26" ht="61" x14ac:dyDescent="0.25">
      <c r="B24" s="574" t="s">
        <v>18</v>
      </c>
      <c r="C24" s="575"/>
      <c r="D24" s="223">
        <f>COUNTIFS(input!$O:$O,January!$D$22,input!$E:$E,January!B24,input!$A:$A,January!$B$2)</f>
        <v>0</v>
      </c>
      <c r="E24" s="223">
        <f>COUNTIFS(input!$O:$O,January!$E$22,input!$E:$E,January!B24,input!$A:$A,January!$B$2)</f>
        <v>0</v>
      </c>
      <c r="F24" s="224">
        <f>COUNTIFS(input!$O:$O,January!$F$22,input!$E:$E,January!B24,input!$A:$A,January!$B$2)</f>
        <v>0</v>
      </c>
      <c r="G24" s="225">
        <f>COUNTIFS(input!$O:$O,January!$G$22,input!$E:$E,January!B24,input!$A:$A,January!$B$2)</f>
        <v>0</v>
      </c>
      <c r="H24" s="225">
        <f>COUNTIFS(input!$O:$O,January!$H$22,input!$E:$E,January!B24,input!$A:$A,January!$B$2)</f>
        <v>0</v>
      </c>
      <c r="I24" s="225">
        <f>COUNTIFS(input!$O:$O,January!$I$22,input!$E:$E,January!B24,input!$A:$A,January!$B$2)</f>
        <v>0</v>
      </c>
      <c r="J24" s="225">
        <f>COUNTIFS(input!$O:$O,January!$J$22,input!$E:$E,January!B24,input!$A:$A,January!$B$2)</f>
        <v>0</v>
      </c>
      <c r="K24" s="288">
        <f>COUNTIFS(input!$O:$O,January!$K$22,input!$E:$E,January!B24,input!$A:$A,January!$B$2)</f>
        <v>0</v>
      </c>
      <c r="L24" s="219">
        <f t="shared" ref="L24:L43" si="0">SUM(D24:K24)</f>
        <v>0</v>
      </c>
      <c r="M24" s="226" cm="1">
        <f t="array" ref="M24">_xlfn.IFS(L24=0,0,L24&gt;=1,L24/L44)</f>
        <v>0</v>
      </c>
      <c r="N24" s="566" t="s">
        <v>138</v>
      </c>
      <c r="O24" s="566"/>
      <c r="P24" s="567"/>
      <c r="Q24" s="223">
        <f>COUNTIFS(input!$O:$O,January!$Q$22,input!$F:$F,January!N24,input!$A:$A,January!$B$2)</f>
        <v>0</v>
      </c>
      <c r="R24" s="223">
        <f>COUNTIFS(input!$O:$O,January!$R$22,input!$F:$F,January!N24,input!$A:$A,January!$B$2)</f>
        <v>0</v>
      </c>
      <c r="S24" s="223">
        <f>COUNTIFS(input!$O:$O,January!$S$22,input!$F:$F,January!N24,input!$A:$A,January!$B$2)</f>
        <v>0</v>
      </c>
      <c r="T24" s="228">
        <f>COUNTIFS(input!$O:$O,January!$T$22,input!$F:$F,January!N24,input!$A:$A,January!$B$2)</f>
        <v>0</v>
      </c>
      <c r="U24" s="229">
        <f>COUNTIFS(input!$O:$O,January!$U$22,input!$F:$F,January!N24,input!$A:$A,January!$B$2)</f>
        <v>0</v>
      </c>
      <c r="V24" s="229">
        <f>COUNTIFS(input!$O:$O,January!$V$22,input!$F:$F,January!N24,input!$A:$A,January!$B$2)</f>
        <v>0</v>
      </c>
      <c r="W24" s="230">
        <f>COUNTIFS(input!$O:$O,January!$W$22,input!$F:$F,January!N24,input!$A:$A,January!$B$2)</f>
        <v>0</v>
      </c>
      <c r="X24" s="291">
        <f>COUNTIFS(input!$O:$O,January!$X$22,input!$F:$F,January!N24,input!$A:$A,January!$B$2)</f>
        <v>0</v>
      </c>
      <c r="Y24" s="219">
        <f t="shared" ref="Y24:Y43" si="1">SUM(Q24:X24)</f>
        <v>0</v>
      </c>
      <c r="Z24" s="222" cm="1">
        <f t="array" ref="Z24">_xlfn.IFS(Y24=0,0,Y24&gt;=1,Y24/Y44)</f>
        <v>0</v>
      </c>
    </row>
    <row r="25" spans="1:26" ht="61" x14ac:dyDescent="0.25">
      <c r="B25" s="574" t="s">
        <v>411</v>
      </c>
      <c r="C25" s="575"/>
      <c r="D25" s="223">
        <f>COUNTIFS(input!$O:$O,January!$D$22,input!$E:$E,January!B25,input!$A:$A,January!$B$2)</f>
        <v>0</v>
      </c>
      <c r="E25" s="223">
        <f>COUNTIFS(input!$O:$O,January!$E$22,input!$E:$E,January!B25,input!$A:$A,January!$B$2)</f>
        <v>0</v>
      </c>
      <c r="F25" s="223">
        <f>COUNTIFS(input!$O:$O,January!$F$22,input!$E:$E,January!B25,input!$A:$A,January!$B$2)</f>
        <v>0</v>
      </c>
      <c r="G25" s="225">
        <f>COUNTIFS(input!$O:$O,January!$G$22,input!$E:$E,January!B25,input!$A:$A,January!$B$2)</f>
        <v>0</v>
      </c>
      <c r="H25" s="225">
        <f>COUNTIFS(input!$O:$O,January!$H$22,input!$E:$E,January!B25,input!$A:$A,January!$B$2)</f>
        <v>0</v>
      </c>
      <c r="I25" s="225">
        <f>COUNTIFS(input!$O:$O,January!$I$22,input!$E:$E,January!B25,input!$A:$A,January!$B$2)</f>
        <v>0</v>
      </c>
      <c r="J25" s="225">
        <f>COUNTIFS(input!$O:$O,January!$J$22,input!$E:$E,January!B25,input!$A:$A,January!$B$2)</f>
        <v>0</v>
      </c>
      <c r="K25" s="288">
        <f>COUNTIFS(input!$O:$O,January!$K$22,input!$E:$E,January!B25,input!$A:$A,January!$B$2)</f>
        <v>0</v>
      </c>
      <c r="L25" s="219">
        <f>SUM(D25:K25)</f>
        <v>0</v>
      </c>
      <c r="M25" s="226" cm="1">
        <f t="array" ref="M25">_xlfn.IFS(L25=0,0,L25&gt;=1,L25/L44)</f>
        <v>0</v>
      </c>
      <c r="N25" s="566" t="s">
        <v>17</v>
      </c>
      <c r="O25" s="566"/>
      <c r="P25" s="567"/>
      <c r="Q25" s="223">
        <f>COUNTIFS(input!$O:$O,January!$Q$22,input!$F:$F,January!N25,input!$A:$A,January!$B$2)</f>
        <v>0</v>
      </c>
      <c r="R25" s="223">
        <f>COUNTIFS(input!$O:$O,January!$R$22,input!$F:$F,January!N25,input!$A:$A,January!$B$2)</f>
        <v>0</v>
      </c>
      <c r="S25" s="223">
        <f>COUNTIFS(input!$O:$O,January!$S$22,input!$F:$F,January!N25,input!$A:$A,January!$B$2)</f>
        <v>0</v>
      </c>
      <c r="T25" s="229">
        <f>COUNTIFS(input!$O:$O,January!$T$22,input!$F:$F,January!N25,input!$A:$A,January!$B$2)</f>
        <v>0</v>
      </c>
      <c r="U25" s="229">
        <f>COUNTIFS(input!$O:$O,January!$U$22,input!$F:$F,January!N25,input!$A:$A,January!$B$2)</f>
        <v>0</v>
      </c>
      <c r="V25" s="229">
        <f>COUNTIFS(input!$O:$O,January!$V$22,input!$F:$F,January!N25,input!$A:$A,January!$B$2)</f>
        <v>0</v>
      </c>
      <c r="W25" s="230">
        <f>COUNTIFS(input!$O:$O,January!$W$22,input!$F:$F,January!N25,input!$A:$A,January!$B$2)</f>
        <v>0</v>
      </c>
      <c r="X25" s="291">
        <f>COUNTIFS(input!$O:$O,January!$X$22,input!$F:$F,January!N25,input!$A:$A,January!$B$2)</f>
        <v>0</v>
      </c>
      <c r="Y25" s="219">
        <f t="shared" si="1"/>
        <v>0</v>
      </c>
      <c r="Z25" s="222" cm="1">
        <f t="array" ref="Z25">_xlfn.IFS(Y25=0,0,Y25&gt;=1,Y25/Y44)</f>
        <v>0</v>
      </c>
    </row>
    <row r="26" spans="1:26" ht="61" x14ac:dyDescent="0.25">
      <c r="B26" s="572" t="s">
        <v>410</v>
      </c>
      <c r="C26" s="573"/>
      <c r="D26" s="223">
        <f>COUNTIFS(input!$O:$O,January!$D$22,input!$E:$E,January!B26,input!$A:$A,January!$B$2)</f>
        <v>1</v>
      </c>
      <c r="E26" s="223">
        <f>COUNTIFS(input!$O:$O,January!$E$22,input!$E:$E,January!B26,input!$A:$A,January!$B$2)</f>
        <v>0</v>
      </c>
      <c r="F26" s="224">
        <f>COUNTIFS(input!$O:$O,January!$F$22,input!$E:$E,January!B26,input!$A:$A,January!$B$2)</f>
        <v>0</v>
      </c>
      <c r="G26" s="225">
        <f>COUNTIFS(input!$O:$O,January!$G$22,input!$E:$E,January!B26,input!$A:$A,January!$B$2)</f>
        <v>0</v>
      </c>
      <c r="H26" s="225">
        <f>COUNTIFS(input!$O:$O,January!$H$22,input!$E:$E,January!B26,input!$A:$A,January!$B$2)</f>
        <v>0</v>
      </c>
      <c r="I26" s="225">
        <f>COUNTIFS(input!$O:$O,January!$I$22,input!$E:$E,January!B26,input!$A:$A,January!$B$2)</f>
        <v>0</v>
      </c>
      <c r="J26" s="225">
        <f>COUNTIFS(input!$O:$O,January!$J$22,input!$E:$E,January!B26,input!$A:$A,January!$B$2)</f>
        <v>0</v>
      </c>
      <c r="K26" s="288">
        <f>COUNTIFS(input!$O:$O,January!$K$22,input!$E:$E,January!B26,input!$A:$A,January!$B$2)</f>
        <v>0</v>
      </c>
      <c r="L26" s="219">
        <f t="shared" si="0"/>
        <v>1</v>
      </c>
      <c r="M26" s="226" cm="1">
        <f t="array" ref="M26">_xlfn.IFS(L26=0,0,L26&gt;=1,L26/L44)</f>
        <v>7.6923076923076927E-2</v>
      </c>
      <c r="N26" s="569" t="s">
        <v>20</v>
      </c>
      <c r="O26" s="569"/>
      <c r="P26" s="570"/>
      <c r="Q26" s="223">
        <f>COUNTIFS(input!$O:$O,January!$Q$22,input!$F:$F,January!N26,input!$A:$A,January!$B$2)</f>
        <v>1</v>
      </c>
      <c r="R26" s="223">
        <f>COUNTIFS(input!$O:$O,January!$R$22,input!$F:$F,January!N26,input!$A:$A,January!$B$2)</f>
        <v>1</v>
      </c>
      <c r="S26" s="223">
        <f>COUNTIFS(input!$O:$O,January!$S$22,input!$F:$F,January!N26,input!$A:$A,January!$B$2)</f>
        <v>0</v>
      </c>
      <c r="T26" s="229">
        <f>COUNTIFS(input!$O:$O,January!$T$22,input!$F:$F,January!N26,input!$A:$A,January!$B$2)</f>
        <v>2</v>
      </c>
      <c r="U26" s="229">
        <f>COUNTIFS(input!$O:$O,January!$U$22,input!$F:$F,January!N26,input!$A:$A,January!$B$2)</f>
        <v>0</v>
      </c>
      <c r="V26" s="229">
        <f>COUNTIFS(input!$O:$O,January!$V$22,input!$F:$F,January!N26,input!$A:$A,January!$B$2)</f>
        <v>0</v>
      </c>
      <c r="W26" s="230">
        <f>COUNTIFS(input!$O:$O,January!$W$22,input!$F:$F,January!N26,input!$A:$A,January!$B$2)</f>
        <v>0</v>
      </c>
      <c r="X26" s="291">
        <f>COUNTIFS(input!$O:$O,January!$X$22,input!$F:$F,January!N26,input!$A:$A,January!$B$2)</f>
        <v>0</v>
      </c>
      <c r="Y26" s="219">
        <f t="shared" si="1"/>
        <v>4</v>
      </c>
      <c r="Z26" s="222" cm="1">
        <f t="array" ref="Z26">_xlfn.IFS(Y26=0,0,Y26&gt;=1,Y26/Y44)</f>
        <v>0.30769230769230771</v>
      </c>
    </row>
    <row r="27" spans="1:26" ht="61" x14ac:dyDescent="0.25">
      <c r="B27" s="574" t="s">
        <v>50</v>
      </c>
      <c r="C27" s="575"/>
      <c r="D27" s="223">
        <f>COUNTIFS(input!$O:$O,January!$D$22,input!$E:$E,January!B27,input!$A:$A,January!$B$2)</f>
        <v>0</v>
      </c>
      <c r="E27" s="223">
        <f>COUNTIFS(input!$O:$O,January!$E$22,input!$E:$E,January!B27,input!$A:$A,January!$B$2)</f>
        <v>0</v>
      </c>
      <c r="F27" s="224">
        <f>COUNTIFS(input!$O:$O,January!$F$22,input!$E:$E,January!B27,input!$A:$A,January!$B$2)</f>
        <v>0</v>
      </c>
      <c r="G27" s="225">
        <f>COUNTIFS(input!$O:$O,January!$G$22,input!$E:$E,January!B27,input!$A:$A,January!$B$2)</f>
        <v>0</v>
      </c>
      <c r="H27" s="225">
        <f>COUNTIFS(input!$O:$O,January!$H$22,input!$E:$E,January!B27,input!$A:$A,January!$B$2)</f>
        <v>0</v>
      </c>
      <c r="I27" s="225">
        <f>COUNTIFS(input!$O:$O,January!$I$22,input!$E:$E,January!B27,input!$A:$A,January!$B$2)</f>
        <v>0</v>
      </c>
      <c r="J27" s="225">
        <f>COUNTIFS(input!$O:$O,January!$J$22,input!$E:$E,January!B27,input!$A:$A,January!$B$2)</f>
        <v>0</v>
      </c>
      <c r="K27" s="288">
        <f>COUNTIFS(input!$O:$O,January!$K$22,input!$E:$E,January!B27,input!$A:$A,January!$B$2)</f>
        <v>0</v>
      </c>
      <c r="L27" s="219">
        <f t="shared" si="0"/>
        <v>0</v>
      </c>
      <c r="M27" s="226" cm="1">
        <f t="array" ref="M27">_xlfn.IFS(L27=0,0,L27&gt;=1,L27/L44)</f>
        <v>0</v>
      </c>
      <c r="N27" s="566" t="s">
        <v>25</v>
      </c>
      <c r="O27" s="566"/>
      <c r="P27" s="567"/>
      <c r="Q27" s="223">
        <f>COUNTIFS(input!$O:$O,January!$Q$22,input!$F:$F,January!N27,input!$A:$A,January!$B$2)</f>
        <v>0</v>
      </c>
      <c r="R27" s="223">
        <f>COUNTIFS(input!$O:$O,January!$R$22,input!$F:$F,January!N27,input!$A:$A,January!$B$2)</f>
        <v>0</v>
      </c>
      <c r="S27" s="223">
        <f>COUNTIFS(input!$O:$O,January!$S$22,input!$F:$F,January!N27,input!$A:$A,January!$B$2)</f>
        <v>0</v>
      </c>
      <c r="T27" s="229">
        <f>COUNTIFS(input!$O:$O,January!$T$22,input!$F:$F,January!N27,input!$A:$A,January!$B$2)</f>
        <v>0</v>
      </c>
      <c r="U27" s="229">
        <f>COUNTIFS(input!$O:$O,January!$U$22,input!$F:$F,January!N27,input!$A:$A,January!$B$2)</f>
        <v>0</v>
      </c>
      <c r="V27" s="229">
        <f>COUNTIFS(input!$O:$O,January!$V$22,input!$F:$F,January!N27,input!$A:$A,January!$B$2)</f>
        <v>0</v>
      </c>
      <c r="W27" s="230">
        <f>COUNTIFS(input!$O:$O,January!$W$22,input!$F:$F,January!N27,input!$A:$A,January!$B$2)</f>
        <v>0</v>
      </c>
      <c r="X27" s="291">
        <f>COUNTIFS(input!$O:$O,January!$X$22,input!$F:$F,January!N27,input!$A:$A,January!$B$2)</f>
        <v>0</v>
      </c>
      <c r="Y27" s="219">
        <f t="shared" si="1"/>
        <v>0</v>
      </c>
      <c r="Z27" s="222" cm="1">
        <f t="array" ref="Z27">_xlfn.IFS(Y27=0,0,Y27&gt;=1,Y27/Y44)</f>
        <v>0</v>
      </c>
    </row>
    <row r="28" spans="1:26" ht="61" x14ac:dyDescent="0.25">
      <c r="B28" s="571" t="s">
        <v>41</v>
      </c>
      <c r="C28" s="570"/>
      <c r="D28" s="223">
        <f>COUNTIFS(input!$O:$O,January!$D$22,input!$E:$E,January!B28,input!$A:$A,January!$B$2)</f>
        <v>0</v>
      </c>
      <c r="E28" s="223">
        <f>COUNTIFS(input!$O:$O,January!$E$22,input!$E:$E,January!B28,input!$A:$A,January!$B$2)</f>
        <v>0</v>
      </c>
      <c r="F28" s="224">
        <f>COUNTIFS(input!$O:$O,January!$F$22,input!$E:$E,January!B28,input!$A:$A,January!$B$2)</f>
        <v>0</v>
      </c>
      <c r="G28" s="232">
        <f>COUNTIFS(input!$O:$O,January!$G$22,input!$E:$E,January!B28,input!$A:$A,January!$B$2)</f>
        <v>1</v>
      </c>
      <c r="H28" s="225">
        <f>COUNTIFS(input!$O:$O,January!$H$22,input!$E:$E,January!B28,input!$A:$A,January!$B$2)</f>
        <v>0</v>
      </c>
      <c r="I28" s="225">
        <f>COUNTIFS(input!$O:$O,January!$I$22,input!$E:$E,January!B28,input!$A:$A,January!$B$2)</f>
        <v>0</v>
      </c>
      <c r="J28" s="225">
        <f>COUNTIFS(input!$O:$O,January!$J$22,input!$E:$E,January!B28,input!$A:$A,January!$B$2)</f>
        <v>0</v>
      </c>
      <c r="K28" s="288">
        <f>COUNTIFS(input!$O:$O,January!$K$22,input!$E:$E,January!B28,input!$A:$A,January!$B$2)</f>
        <v>0</v>
      </c>
      <c r="L28" s="219">
        <f t="shared" si="0"/>
        <v>1</v>
      </c>
      <c r="M28" s="226" cm="1">
        <f t="array" ref="M28">_xlfn.IFS(L28=0,0,L28&gt;=1,L28/L44)</f>
        <v>7.6923076923076927E-2</v>
      </c>
      <c r="N28" s="566" t="s">
        <v>19</v>
      </c>
      <c r="O28" s="566"/>
      <c r="P28" s="567"/>
      <c r="Q28" s="223">
        <f>COUNTIFS(input!$O:$O,January!$Q$22,input!$F:$F,January!N28,input!$A:$A,January!$B$2)</f>
        <v>0</v>
      </c>
      <c r="R28" s="223">
        <f>COUNTIFS(input!$O:$O,January!$R$22,input!$F:$F,January!N28,input!$A:$A,January!$B$2)</f>
        <v>0</v>
      </c>
      <c r="S28" s="223">
        <f>COUNTIFS(input!$O:$O,January!$S$22,input!$F:$F,January!N28,input!$A:$A,January!$B$2)</f>
        <v>0</v>
      </c>
      <c r="T28" s="229">
        <f>COUNTIFS(input!$O:$O,January!$T$22,input!$F:$F,January!N28,input!$A:$A,January!$B$2)</f>
        <v>0</v>
      </c>
      <c r="U28" s="229">
        <f>COUNTIFS(input!$O:$O,January!$U$22,input!$F:$F,January!N28,input!$A:$A,January!$B$2)</f>
        <v>0</v>
      </c>
      <c r="V28" s="229">
        <f>COUNTIFS(input!$O:$O,January!$V$22,input!$F:$F,January!N28,input!$A:$A,January!$B$2)</f>
        <v>0</v>
      </c>
      <c r="W28" s="230">
        <f>COUNTIFS(input!$O:$O,January!$W$22,input!$F:$F,January!N28,input!$A:$A,January!$B$2)</f>
        <v>0</v>
      </c>
      <c r="X28" s="291">
        <f>COUNTIFS(input!$O:$O,January!$X$22,input!$F:$F,January!N28,input!$A:$A,January!$B$2)</f>
        <v>0</v>
      </c>
      <c r="Y28" s="219">
        <f t="shared" si="1"/>
        <v>0</v>
      </c>
      <c r="Z28" s="222" cm="1">
        <f t="array" ref="Z28">_xlfn.IFS(Y28=0,0,Y28&gt;=1,Y28/Y44)</f>
        <v>0</v>
      </c>
    </row>
    <row r="29" spans="1:26" ht="61" x14ac:dyDescent="0.25">
      <c r="B29" s="571" t="s">
        <v>482</v>
      </c>
      <c r="C29" s="570"/>
      <c r="D29" s="223">
        <f>COUNTIFS(input!$O:$O,January!$D$22,input!$E:$E,January!B29,input!$A:$A,January!$B$2)</f>
        <v>0</v>
      </c>
      <c r="E29" s="223">
        <f>COUNTIFS(input!$O:$O,January!$E$22,input!$E:$E,January!B29,input!$A:$A,January!$B$2)</f>
        <v>1</v>
      </c>
      <c r="F29" s="224">
        <f>COUNTIFS(input!$O:$O,January!$F$22,input!$E:$E,January!B29,input!$A:$A,January!$B$2)</f>
        <v>0</v>
      </c>
      <c r="G29" s="225">
        <f>COUNTIFS(input!$O:$O,January!$G$22,input!$E:$E,January!B29,input!$A:$A,January!$B$2)</f>
        <v>0</v>
      </c>
      <c r="H29" s="225">
        <f>COUNTIFS(input!$O:$O,January!$H$22,input!$E:$E,January!B29,input!$A:$A,January!$B$2)</f>
        <v>0</v>
      </c>
      <c r="I29" s="225">
        <f>COUNTIFS(input!$O:$O,January!$I$22,input!$E:$E,January!B29,input!$A:$A,January!$B$2)</f>
        <v>0</v>
      </c>
      <c r="J29" s="225">
        <f>COUNTIFS(input!$O:$O,January!$J$22,input!$E:$E,January!B29,input!$A:$A,January!$B$2)</f>
        <v>0</v>
      </c>
      <c r="K29" s="288">
        <f>COUNTIFS(input!$O:$O,January!$K$22,input!$E:$E,January!B29,input!$A:$A,January!$B$2)</f>
        <v>0</v>
      </c>
      <c r="L29" s="219">
        <f t="shared" si="0"/>
        <v>1</v>
      </c>
      <c r="M29" s="226" cm="1">
        <f t="array" ref="M29">_xlfn.IFS(L29=0,0,L29&gt;=1,L29/L44)</f>
        <v>7.6923076923076927E-2</v>
      </c>
      <c r="N29" s="569" t="s">
        <v>27</v>
      </c>
      <c r="O29" s="569"/>
      <c r="P29" s="570"/>
      <c r="Q29" s="223">
        <f>COUNTIFS(input!$O:$O,January!$Q$22,input!$F:$F,January!N29,input!$A:$A,January!$B$2)</f>
        <v>0</v>
      </c>
      <c r="R29" s="223">
        <f>COUNTIFS(input!$O:$O,January!$R$22,input!$F:$F,January!N29,input!$A:$A,January!$B$2)</f>
        <v>0</v>
      </c>
      <c r="S29" s="223">
        <f>COUNTIFS(input!$O:$O,January!$S$22,input!$F:$F,January!N29,input!$A:$A,January!$B$2)</f>
        <v>0</v>
      </c>
      <c r="T29" s="229">
        <f>COUNTIFS(input!$O:$O,January!$T$22,input!$F:$F,January!N29,input!$A:$A,January!$B$2)</f>
        <v>0</v>
      </c>
      <c r="U29" s="229">
        <f>COUNTIFS(input!$O:$O,January!$U$22,input!$F:$F,January!N29,input!$A:$A,January!$B$2)</f>
        <v>0</v>
      </c>
      <c r="V29" s="229">
        <f>COUNTIFS(input!$O:$O,January!$V$22,input!$F:$F,January!N29,input!$A:$A,January!$B$2)</f>
        <v>0</v>
      </c>
      <c r="W29" s="230">
        <f>COUNTIFS(input!$O:$O,January!$W$22,input!$F:$F,January!N29,input!$A:$A,January!$B$2)</f>
        <v>0</v>
      </c>
      <c r="X29" s="291">
        <f>COUNTIFS(input!$O:$O,January!$X$22,input!$F:$F,January!N29,input!$A:$A,January!$B$2)</f>
        <v>1</v>
      </c>
      <c r="Y29" s="219">
        <f t="shared" si="1"/>
        <v>1</v>
      </c>
      <c r="Z29" s="222" cm="1">
        <f t="array" ref="Z29">_xlfn.IFS(Y29=0,0,Y29&gt;=1,Y29/Y44)</f>
        <v>7.6923076923076927E-2</v>
      </c>
    </row>
    <row r="30" spans="1:26" ht="61" x14ac:dyDescent="0.25">
      <c r="B30" s="571" t="s">
        <v>460</v>
      </c>
      <c r="C30" s="570"/>
      <c r="D30" s="223">
        <f>COUNTIFS(input!$O:$O,January!$D$22,input!$E:$E,January!B30,input!$A:$A,January!$B$2)</f>
        <v>0</v>
      </c>
      <c r="E30" s="223">
        <f>COUNTIFS(input!$O:$O,January!$E$22,input!$E:$E,January!B30,input!$A:$A,January!$B$2)</f>
        <v>0</v>
      </c>
      <c r="F30" s="224">
        <f>COUNTIFS(input!$O:$O,January!$F$22,input!$E:$E,January!B30,input!$A:$A,January!$B$2)</f>
        <v>0</v>
      </c>
      <c r="G30" s="225">
        <f>COUNTIFS(input!$O:$O,January!$G$22,input!$E:$E,January!B30,input!$A:$A,January!$B$2)</f>
        <v>1</v>
      </c>
      <c r="H30" s="225">
        <f>COUNTIFS(input!$O:$O,January!$H$22,input!$E:$E,January!B30,input!$A:$A,January!$B$2)</f>
        <v>0</v>
      </c>
      <c r="I30" s="225">
        <f>COUNTIFS(input!$O:$O,January!$I$22,input!$E:$E,January!B30,input!$A:$A,January!$B$2)</f>
        <v>0</v>
      </c>
      <c r="J30" s="225">
        <f>COUNTIFS(input!$O:$O,January!$J$22,input!$E:$E,January!B30,input!$A:$A,January!$B$2)</f>
        <v>0</v>
      </c>
      <c r="K30" s="288">
        <f>COUNTIFS(input!$O:$O,January!$K$22,input!$E:$E,January!B30,input!$A:$A,January!$B$2)</f>
        <v>0</v>
      </c>
      <c r="L30" s="219">
        <f t="shared" si="0"/>
        <v>1</v>
      </c>
      <c r="M30" s="226" cm="1">
        <f t="array" ref="M30">_xlfn.IFS(L30=0,0,L30&gt;=1,L30/L44)</f>
        <v>7.6923076923076927E-2</v>
      </c>
      <c r="N30" s="566" t="s">
        <v>64</v>
      </c>
      <c r="O30" s="566"/>
      <c r="P30" s="567"/>
      <c r="Q30" s="223">
        <f>COUNTIFS(input!$O:$O,January!$Q$22,input!$F:$F,January!N30,input!$A:$A,January!$B$2)</f>
        <v>0</v>
      </c>
      <c r="R30" s="223">
        <f>COUNTIFS(input!$O:$O,January!$R$22,input!$F:$F,January!N30,input!$A:$A,January!$B$2)</f>
        <v>0</v>
      </c>
      <c r="S30" s="223">
        <f>COUNTIFS(input!$O:$O,January!$S$22,input!$F:$F,January!N30,input!$A:$A,January!$B$2)</f>
        <v>0</v>
      </c>
      <c r="T30" s="229">
        <f>COUNTIFS(input!$O:$O,January!$T$22,input!$F:$F,January!N30,input!$A:$A,January!$B$2)</f>
        <v>0</v>
      </c>
      <c r="U30" s="229">
        <f>COUNTIFS(input!$O:$O,January!$U$22,input!$F:$F,January!N30,input!$A:$A,January!$B$2)</f>
        <v>0</v>
      </c>
      <c r="V30" s="229">
        <f>COUNTIFS(input!$O:$O,January!$V$22,input!$F:$F,January!N30,input!$A:$A,January!$B$2)</f>
        <v>0</v>
      </c>
      <c r="W30" s="230">
        <f>COUNTIFS(input!$O:$O,January!$W$22,input!$F:$F,January!N30,input!$A:$A,January!$B$2)</f>
        <v>0</v>
      </c>
      <c r="X30" s="291">
        <f>COUNTIFS(input!$O:$O,January!$X$22,input!$F:$F,January!N30,input!$A:$A,January!$B$2)</f>
        <v>0</v>
      </c>
      <c r="Y30" s="219">
        <f t="shared" si="1"/>
        <v>0</v>
      </c>
      <c r="Z30" s="222" cm="1">
        <f t="array" ref="Z30">_xlfn.IFS(Y30=0,0,Y30&gt;=1,Y30/Y44)</f>
        <v>0</v>
      </c>
    </row>
    <row r="31" spans="1:26" ht="61" x14ac:dyDescent="0.25">
      <c r="B31" s="571" t="s">
        <v>413</v>
      </c>
      <c r="C31" s="570"/>
      <c r="D31" s="223">
        <f>COUNTIFS(input!$O:$O,January!$D$22,input!$E:$E,January!B31,input!$A:$A,January!$B$2)</f>
        <v>0</v>
      </c>
      <c r="E31" s="223">
        <f>COUNTIFS(input!$O:$O,January!$E$22,input!$E:$E,January!B31,input!$A:$A,January!$B$2)</f>
        <v>0</v>
      </c>
      <c r="F31" s="224">
        <f>COUNTIFS(input!$O:$O,January!$F$22,input!$E:$E,January!B31,input!$A:$A,January!$B$2)</f>
        <v>0</v>
      </c>
      <c r="G31" s="225">
        <f>COUNTIFS(input!$O:$O,January!$G$22,input!$E:$E,January!B31,input!$A:$A,January!$B$2)</f>
        <v>1</v>
      </c>
      <c r="H31" s="225">
        <f>COUNTIFS(input!$O:$O,January!$H$22,input!$E:$E,January!B31,input!$A:$A,January!$B$2)</f>
        <v>0</v>
      </c>
      <c r="I31" s="225">
        <f>COUNTIFS(input!$O:$O,January!$I$22,input!$E:$E,January!B31,input!$A:$A,January!$B$2)</f>
        <v>0</v>
      </c>
      <c r="J31" s="225">
        <f>COUNTIFS(input!$O:$O,January!$J$22,input!$E:$E,January!B31,input!$A:$A,January!$B$2)</f>
        <v>0</v>
      </c>
      <c r="K31" s="288">
        <f>COUNTIFS(input!$O:$O,January!$K$22,input!$E:$E,January!B31,input!$A:$A,January!$B$2)</f>
        <v>0</v>
      </c>
      <c r="L31" s="219">
        <f t="shared" si="0"/>
        <v>1</v>
      </c>
      <c r="M31" s="226" cm="1">
        <f t="array" ref="M31">_xlfn.IFS(L31=0,0,L31&gt;=1,L31/L44)</f>
        <v>7.6923076923076927E-2</v>
      </c>
      <c r="N31" s="566" t="s">
        <v>24</v>
      </c>
      <c r="O31" s="566"/>
      <c r="P31" s="567"/>
      <c r="Q31" s="223">
        <f>COUNTIFS(input!$O:$O,January!$Q$22,input!$F:$F,January!N31,input!$A:$A,January!$B$2)</f>
        <v>0</v>
      </c>
      <c r="R31" s="223">
        <f>COUNTIFS(input!$O:$O,January!$R$22,input!$F:$F,January!N31,input!$A:$A,January!$B$2)</f>
        <v>0</v>
      </c>
      <c r="S31" s="223">
        <f>COUNTIFS(input!$O:$O,January!$S$22,input!$F:$F,January!N31,input!$A:$A,January!$B$2)</f>
        <v>0</v>
      </c>
      <c r="T31" s="229">
        <f>COUNTIFS(input!$O:$O,January!$T$22,input!$F:$F,January!N31,input!$A:$A,January!$B$2)</f>
        <v>0</v>
      </c>
      <c r="U31" s="229">
        <f>COUNTIFS(input!$O:$O,January!$U$22,input!$F:$F,January!N31,input!$A:$A,January!$B$2)</f>
        <v>0</v>
      </c>
      <c r="V31" s="229">
        <f>COUNTIFS(input!$O:$O,January!$V$22,input!$F:$F,January!N31,input!$A:$A,January!$B$2)</f>
        <v>0</v>
      </c>
      <c r="W31" s="230">
        <f>COUNTIFS(input!$O:$O,January!$W$22,input!$F:$F,January!N31,input!$A:$A,January!$B$2)</f>
        <v>0</v>
      </c>
      <c r="X31" s="291">
        <f>COUNTIFS(input!$O:$O,January!$X$22,input!$F:$F,January!N31,input!$A:$A,January!$B$2)</f>
        <v>0</v>
      </c>
      <c r="Y31" s="219">
        <f t="shared" si="1"/>
        <v>0</v>
      </c>
      <c r="Z31" s="222" cm="1">
        <f t="array" ref="Z31">_xlfn.IFS(Y31=0,0,Y31&gt;=1,Y31/Y44)</f>
        <v>0</v>
      </c>
    </row>
    <row r="32" spans="1:26" ht="61" x14ac:dyDescent="0.25">
      <c r="B32" s="572" t="s">
        <v>472</v>
      </c>
      <c r="C32" s="573"/>
      <c r="D32" s="223">
        <f>COUNTIFS(input!$O:$O,January!$D$22,input!$E:$E,January!B32,input!$A:$A,January!$B$2)</f>
        <v>0</v>
      </c>
      <c r="E32" s="223">
        <f>COUNTIFS(input!$O:$O,January!$E$22,input!$E:$E,January!B32,input!$A:$A,January!$B$2)</f>
        <v>0</v>
      </c>
      <c r="F32" s="224">
        <f>COUNTIFS(input!$O:$O,January!$F$22,input!$E:$E,January!B32,input!$A:$A,January!$B$2)</f>
        <v>0</v>
      </c>
      <c r="G32" s="225">
        <f>COUNTIFS(input!$O:$O,January!$G$22,input!$E:$E,January!B32,input!$A:$A,January!$B$2)</f>
        <v>1</v>
      </c>
      <c r="H32" s="225">
        <f>COUNTIFS(input!$O:$O,January!$H$22,input!$E:$E,January!B32,input!$A:$A,January!$B$2)</f>
        <v>0</v>
      </c>
      <c r="I32" s="225">
        <f>COUNTIFS(input!$O:$O,January!$I$22,input!$E:$E,January!B32,input!$A:$A,January!$B$2)</f>
        <v>0</v>
      </c>
      <c r="J32" s="225">
        <f>COUNTIFS(input!$O:$O,January!$J$22,input!$E:$E,January!B32,input!$A:$A,January!$B$2)</f>
        <v>0</v>
      </c>
      <c r="K32" s="288">
        <f>COUNTIFS(input!$O:$O,January!$K$22,input!$E:$E,January!B32,input!$A:$A,January!$B$2)</f>
        <v>0</v>
      </c>
      <c r="L32" s="219">
        <f t="shared" si="0"/>
        <v>1</v>
      </c>
      <c r="M32" s="226" cm="1">
        <f t="array" ref="M32">_xlfn.IFS(L32=0,0,L32&gt;=1,L32/L44)</f>
        <v>7.6923076923076927E-2</v>
      </c>
      <c r="N32" s="566" t="s">
        <v>65</v>
      </c>
      <c r="O32" s="566"/>
      <c r="P32" s="567"/>
      <c r="Q32" s="223">
        <f>COUNTIFS(input!$O:$O,January!$Q$22,input!$F:$F,January!N32,input!$A:$A,January!$B$2)</f>
        <v>0</v>
      </c>
      <c r="R32" s="223">
        <f>COUNTIFS(input!$O:$O,January!$R$22,input!$F:$F,January!N32,input!$A:$A,January!$B$2)</f>
        <v>0</v>
      </c>
      <c r="S32" s="223">
        <f>COUNTIFS(input!$O:$O,January!$S$22,input!$F:$F,January!N32,input!$A:$A,January!$B$2)</f>
        <v>0</v>
      </c>
      <c r="T32" s="229">
        <f>COUNTIFS(input!$O:$O,January!$T$22,input!$F:$F,January!N32,input!$A:$A,January!$B$2)</f>
        <v>0</v>
      </c>
      <c r="U32" s="229">
        <f>COUNTIFS(input!$O:$O,January!$U$22,input!$F:$F,January!N32,input!$A:$A,January!$B$2)</f>
        <v>0</v>
      </c>
      <c r="V32" s="229">
        <f>COUNTIFS(input!$O:$O,January!$V$22,input!$F:$F,January!N32,input!$A:$A,January!$B$2)</f>
        <v>0</v>
      </c>
      <c r="W32" s="230">
        <f>COUNTIFS(input!$O:$O,January!$W$22,input!$F:$F,January!N32,input!$A:$A,January!$B$2)</f>
        <v>0</v>
      </c>
      <c r="X32" s="291">
        <f>COUNTIFS(input!$O:$O,January!$X$22,input!$F:$F,January!N32,input!$A:$A,January!$B$2)</f>
        <v>0</v>
      </c>
      <c r="Y32" s="219">
        <f t="shared" si="1"/>
        <v>0</v>
      </c>
      <c r="Z32" s="222" cm="1">
        <f t="array" ref="Z32">_xlfn.IFS(Y32=0,0,Y32&gt;=1,Y32/Y44)</f>
        <v>0</v>
      </c>
    </row>
    <row r="33" spans="2:26" ht="122" customHeight="1" x14ac:dyDescent="0.25">
      <c r="B33" s="572" t="s">
        <v>334</v>
      </c>
      <c r="C33" s="573"/>
      <c r="D33" s="223">
        <f>COUNTIFS(input!$O:$O,January!$D$22,input!$E:$E,January!B33,input!$A:$A,January!$B$2)</f>
        <v>0</v>
      </c>
      <c r="E33" s="223">
        <f>COUNTIFS(input!$O:$O,January!$E$22,input!$E:$E,January!B33,input!$A:$A,January!$B$2)</f>
        <v>0</v>
      </c>
      <c r="F33" s="224">
        <f>COUNTIFS(input!$O:$O,January!$F$22,input!$E:$E,January!B33,input!$A:$A,January!$B$2)</f>
        <v>0</v>
      </c>
      <c r="G33" s="225">
        <f>COUNTIFS(input!$O:$O,January!$G$22,input!$E:$E,January!B33,input!$A:$A,January!$B$2)</f>
        <v>0</v>
      </c>
      <c r="H33" s="225">
        <f>COUNTIFS(input!$O:$O,January!$H$22,input!$E:$E,January!B33,input!$A:$A,January!$B$2)</f>
        <v>0</v>
      </c>
      <c r="I33" s="225">
        <f>COUNTIFS(input!$O:$O,January!$I$22,input!$E:$E,January!B33,input!$A:$A,January!$B$2)</f>
        <v>1</v>
      </c>
      <c r="J33" s="225">
        <f>COUNTIFS(input!$O:$O,January!$J$22,input!$E:$E,January!B33,input!$A:$A,January!$B$2)</f>
        <v>0</v>
      </c>
      <c r="K33" s="288">
        <f>COUNTIFS(input!$O:$O,January!$K$22,input!$E:$E,January!B33,input!$A:$A,January!$B$2)</f>
        <v>0</v>
      </c>
      <c r="L33" s="219">
        <f t="shared" si="0"/>
        <v>1</v>
      </c>
      <c r="M33" s="226" cm="1">
        <f t="array" ref="M33">_xlfn.IFS(L33=0,0,L33&gt;=1,L33/L44)</f>
        <v>7.6923076923076927E-2</v>
      </c>
      <c r="N33" s="566" t="s">
        <v>66</v>
      </c>
      <c r="O33" s="566"/>
      <c r="P33" s="567"/>
      <c r="Q33" s="223">
        <f>COUNTIFS(input!$O:$O,January!$Q$22,input!$F:$F,January!N33,input!$A:$A,January!$B$2)</f>
        <v>0</v>
      </c>
      <c r="R33" s="223">
        <f>COUNTIFS(input!$O:$O,January!$R$22,input!$F:$F,January!N33,input!$A:$A,January!$B$2)</f>
        <v>0</v>
      </c>
      <c r="S33" s="223">
        <f>COUNTIFS(input!$O:$O,January!$S$22,input!$F:$F,January!N33,input!$A:$A,January!$B$2)</f>
        <v>0</v>
      </c>
      <c r="T33" s="229">
        <f>COUNTIFS(input!$O:$O,January!$T$22,input!$F:$F,January!N33,input!$A:$A,January!$B$2)</f>
        <v>0</v>
      </c>
      <c r="U33" s="229">
        <f>COUNTIFS(input!$O:$O,January!$U$22,input!$F:$F,January!N33,input!$A:$A,January!$B$2)</f>
        <v>0</v>
      </c>
      <c r="V33" s="229">
        <f>COUNTIFS(input!$O:$O,January!$V$22,input!$F:$F,January!N33,input!$A:$A,January!$B$2)</f>
        <v>0</v>
      </c>
      <c r="W33" s="230">
        <f>COUNTIFS(input!$O:$O,January!$W$22,input!$F:$F,January!N33,input!$A:$A,January!$B$2)</f>
        <v>0</v>
      </c>
      <c r="X33" s="291">
        <f>COUNTIFS(input!$O:$O,January!$X$22,input!$F:$F,January!N33,input!$A:$A,January!$B$2)</f>
        <v>0</v>
      </c>
      <c r="Y33" s="219">
        <f t="shared" si="1"/>
        <v>0</v>
      </c>
      <c r="Z33" s="222" cm="1">
        <f t="array" ref="Z33">_xlfn.IFS(Y33=0,0,Y33&gt;=1,Y33/Y44)</f>
        <v>0</v>
      </c>
    </row>
    <row r="34" spans="2:26" ht="122" customHeight="1" x14ac:dyDescent="0.25">
      <c r="B34" s="574" t="s">
        <v>110</v>
      </c>
      <c r="C34" s="575"/>
      <c r="D34" s="223">
        <f>COUNTIFS(input!$O:$O,January!$D$22,input!$E:$E,January!B34,input!$A:$A,January!$B$2)</f>
        <v>0</v>
      </c>
      <c r="E34" s="223">
        <f>COUNTIFS(input!$O:$O,January!$E$22,input!$E:$E,January!B34,input!$A:$A,January!$B$2)</f>
        <v>0</v>
      </c>
      <c r="F34" s="224">
        <f>COUNTIFS(input!$O:$O,January!$F$22,input!$E:$E,January!B34,input!$A:$A,January!$B$2)</f>
        <v>0</v>
      </c>
      <c r="G34" s="225">
        <f>COUNTIFS(input!$O:$O,January!$G$22,input!$E:$E,January!B34,input!$A:$A,January!$B$2)</f>
        <v>0</v>
      </c>
      <c r="H34" s="225">
        <f>COUNTIFS(input!$O:$O,January!$H$22,input!$E:$E,January!B34,input!$A:$A,January!$B$2)</f>
        <v>0</v>
      </c>
      <c r="I34" s="225">
        <f>COUNTIFS(input!$O:$O,January!$I$22,input!$E:$E,January!B34,input!$A:$A,January!$B$2)</f>
        <v>0</v>
      </c>
      <c r="J34" s="225">
        <f>COUNTIFS(input!$O:$O,January!$J$22,input!$E:$E,January!B34,input!$A:$A,January!$B$2)</f>
        <v>0</v>
      </c>
      <c r="K34" s="288">
        <f>COUNTIFS(input!$O:$O,January!$K$22,input!$E:$E,January!B34,input!$A:$A,January!$B$2)</f>
        <v>0</v>
      </c>
      <c r="L34" s="219">
        <f t="shared" si="0"/>
        <v>0</v>
      </c>
      <c r="M34" s="226" cm="1">
        <f t="array" ref="M34">_xlfn.IFS(L34=0,0,L34&gt;=1,L34/L44)</f>
        <v>0</v>
      </c>
      <c r="N34" s="566" t="s">
        <v>67</v>
      </c>
      <c r="O34" s="566"/>
      <c r="P34" s="567"/>
      <c r="Q34" s="223">
        <f>COUNTIFS(input!$O:$O,January!$Q$22,input!$F:$F,January!N34,input!$A:$A,January!$B$2)</f>
        <v>0</v>
      </c>
      <c r="R34" s="223">
        <f>COUNTIFS(input!$O:$O,January!$R$22,input!$F:$F,January!N34,input!$A:$A,January!$B$2)</f>
        <v>0</v>
      </c>
      <c r="S34" s="223">
        <f>COUNTIFS(input!$O:$O,January!$S$22,input!$F:$F,January!N34,input!$A:$A,January!$B$2)</f>
        <v>0</v>
      </c>
      <c r="T34" s="229">
        <f>COUNTIFS(input!$O:$O,January!$T$22,input!$F:$F,January!N34,input!$A:$A,January!$B$2)</f>
        <v>0</v>
      </c>
      <c r="U34" s="229">
        <f>COUNTIFS(input!$O:$O,January!$U$22,input!$F:$F,January!N34,input!$A:$A,January!$B$2)</f>
        <v>0</v>
      </c>
      <c r="V34" s="229">
        <f>COUNTIFS(input!$O:$O,January!$V$22,input!$F:$F,January!N34,input!$A:$A,January!$B$2)</f>
        <v>0</v>
      </c>
      <c r="W34" s="230">
        <f>COUNTIFS(input!$O:$O,January!$W$22,input!$F:$F,January!N34,input!$A:$A,January!$B$2)</f>
        <v>0</v>
      </c>
      <c r="X34" s="291">
        <f>COUNTIFS(input!$O:$O,January!$X$22,input!$F:$F,January!N34,input!$A:$A,January!$B$2)</f>
        <v>0</v>
      </c>
      <c r="Y34" s="219">
        <f t="shared" si="1"/>
        <v>0</v>
      </c>
      <c r="Z34" s="222" cm="1">
        <f t="array" ref="Z34">_xlfn.IFS(Y34=0,0,Y34&gt;=1,Y34/Y44)</f>
        <v>0</v>
      </c>
    </row>
    <row r="35" spans="2:26" ht="61" x14ac:dyDescent="0.25">
      <c r="B35" s="574" t="s">
        <v>87</v>
      </c>
      <c r="C35" s="575"/>
      <c r="D35" s="223">
        <f>COUNTIFS(input!$O:$O,January!$D$22,input!$E:$E,January!B35,input!$A:$A,January!$B$2)</f>
        <v>0</v>
      </c>
      <c r="E35" s="223">
        <f>COUNTIFS(input!$O:$O,January!$E$22,input!$E:$E,January!B35,input!$A:$A,January!$B$2)</f>
        <v>0</v>
      </c>
      <c r="F35" s="224">
        <f>COUNTIFS(input!$O:$O,January!$F$22,input!$E:$E,January!B35,input!$A:$A,January!$B$2)</f>
        <v>0</v>
      </c>
      <c r="G35" s="225">
        <f>COUNTIFS(input!$O:$O,January!$G$22,input!$E:$E,January!B35,input!$A:$A,January!$B$2)</f>
        <v>0</v>
      </c>
      <c r="H35" s="225">
        <f>COUNTIFS(input!$O:$O,January!$H$22,input!$E:$E,January!B35,input!$A:$A,January!$B$2)</f>
        <v>0</v>
      </c>
      <c r="I35" s="225">
        <f>COUNTIFS(input!$O:$O,January!$I$22,input!$E:$E,January!B35,input!$A:$A,January!$B$2)</f>
        <v>0</v>
      </c>
      <c r="J35" s="225">
        <f>COUNTIFS(input!$O:$O,January!$J$22,input!$E:$E,January!B35,input!$A:$A,January!$B$2)</f>
        <v>0</v>
      </c>
      <c r="K35" s="288">
        <f>COUNTIFS(input!$O:$O,January!$K$22,input!$E:$E,January!B35,input!$A:$A,January!$B$2)</f>
        <v>0</v>
      </c>
      <c r="L35" s="219">
        <f t="shared" si="0"/>
        <v>0</v>
      </c>
      <c r="M35" s="226" cm="1">
        <f t="array" ref="M35">_xlfn.IFS(L35=0,0,L35&gt;=1,L35/L44)</f>
        <v>0</v>
      </c>
      <c r="N35" s="568" t="s">
        <v>122</v>
      </c>
      <c r="O35" s="569"/>
      <c r="P35" s="570"/>
      <c r="Q35" s="223">
        <f>COUNTIFS(input!$O:$O,January!$Q$22,input!$F:$F,January!N35,input!$A:$A,January!$B$2)</f>
        <v>0</v>
      </c>
      <c r="R35" s="223">
        <f>COUNTIFS(input!$O:$O,January!$R$22,input!$F:$F,January!N35,input!$A:$A,January!$B$2)</f>
        <v>0</v>
      </c>
      <c r="S35" s="223">
        <f>COUNTIFS(input!$O:$O,January!$S$22,input!$F:$F,January!N35,input!$A:$A,January!$B$2)</f>
        <v>0</v>
      </c>
      <c r="T35" s="229">
        <f>COUNTIFS(input!$O:$O,January!$T$22,input!$F:$F,January!N35,input!$A:$A,January!$B$2)</f>
        <v>0</v>
      </c>
      <c r="U35" s="229">
        <f>COUNTIFS(input!$O:$O,January!$U$22,input!$F:$F,January!N35,input!$A:$A,January!$B$2)</f>
        <v>0</v>
      </c>
      <c r="V35" s="229">
        <f>COUNTIFS(input!$O:$O,January!$V$22,input!$F:$F,January!N35,input!$A:$A,January!$B$2)</f>
        <v>0</v>
      </c>
      <c r="W35" s="230">
        <f>COUNTIFS(input!$O:$O,January!$W$22,input!$F:$F,January!N35,input!$A:$A,January!$B$2)</f>
        <v>0</v>
      </c>
      <c r="X35" s="291">
        <f>COUNTIFS(input!$O:$O,January!$X$22,input!$F:$F,January!N35,input!$A:$A,January!$B$2)</f>
        <v>2</v>
      </c>
      <c r="Y35" s="219">
        <f t="shared" si="1"/>
        <v>2</v>
      </c>
      <c r="Z35" s="222" cm="1">
        <f t="array" ref="Z35">_xlfn.IFS(Y35=0,0,Y35&gt;=1,Y35/Y44)</f>
        <v>0.15384615384615385</v>
      </c>
    </row>
    <row r="36" spans="2:26" ht="61" x14ac:dyDescent="0.25">
      <c r="B36" s="574" t="s">
        <v>161</v>
      </c>
      <c r="C36" s="575"/>
      <c r="D36" s="223">
        <f>COUNTIFS(input!$O:$O,January!$D$22,input!$E:$E,January!B36,input!$A:$A,January!$B$2)</f>
        <v>0</v>
      </c>
      <c r="E36" s="223">
        <f>COUNTIFS(input!$O:$O,January!$E$22,input!$E:$E,January!B36,input!$A:$A,January!$B$2)</f>
        <v>0</v>
      </c>
      <c r="F36" s="224">
        <f>COUNTIFS(input!$O:$O,January!$F$22,input!$E:$E,January!B36,input!$A:$A,January!$B$2)</f>
        <v>0</v>
      </c>
      <c r="G36" s="225">
        <f>COUNTIFS(input!$O:$O,January!$G$22,input!$E:$E,January!B36,input!$A:$A,January!$B$2)</f>
        <v>0</v>
      </c>
      <c r="H36" s="225">
        <f>COUNTIFS(input!$O:$O,January!$H$22,input!$E:$E,January!B36,input!$A:$A,January!$B$2)</f>
        <v>0</v>
      </c>
      <c r="I36" s="225">
        <f>COUNTIFS(input!$O:$O,January!$I$22,input!$E:$E,January!B36,input!$A:$A,January!$B$2)</f>
        <v>0</v>
      </c>
      <c r="J36" s="225">
        <f>COUNTIFS(input!$O:$O,January!$J$22,input!$E:$E,January!B36,input!$A:$A,January!$B$2)</f>
        <v>0</v>
      </c>
      <c r="K36" s="288">
        <f>COUNTIFS(input!$O:$O,January!$K$22,input!$E:$E,January!B36,input!$A:$A,January!$B$2)</f>
        <v>0</v>
      </c>
      <c r="L36" s="219">
        <f t="shared" si="0"/>
        <v>0</v>
      </c>
      <c r="M36" s="226" cm="1">
        <f t="array" ref="M36">_xlfn.IFS(L36=0,0,L36&gt;=1,L36/L44)</f>
        <v>0</v>
      </c>
      <c r="N36" s="569" t="s">
        <v>135</v>
      </c>
      <c r="O36" s="569"/>
      <c r="P36" s="570"/>
      <c r="Q36" s="233">
        <f>COUNTIFS(input!$O:$O,January!$Q$22,input!$F:$F,January!N36,input!$A:$A,January!$B$2)</f>
        <v>0</v>
      </c>
      <c r="R36" s="233">
        <f>COUNTIFS(input!$O:$O,January!$R$22,input!$F:$F,January!N36,input!$A:$A,January!$B$2)</f>
        <v>0</v>
      </c>
      <c r="S36" s="233">
        <f>COUNTIFS(input!$O:$O,January!$S$22,input!$F:$F,January!N36,input!$A:$A,January!$B$2)</f>
        <v>0</v>
      </c>
      <c r="T36" s="234">
        <f>COUNTIFS(input!$O:$O,January!$T$22,input!$F:$F,January!N36,input!$A:$A,January!$B$2)</f>
        <v>1</v>
      </c>
      <c r="U36" s="234">
        <f>COUNTIFS(input!$O:$O,January!$U$22,input!$F:$F,January!N36,input!$A:$A,January!$B$2)</f>
        <v>0</v>
      </c>
      <c r="V36" s="234">
        <f>COUNTIFS(input!$O:$O,January!$V$22,input!$F:$F,January!N36,input!$A:$A,January!$B$2)</f>
        <v>0</v>
      </c>
      <c r="W36" s="235">
        <f>COUNTIFS(input!$O:$O,January!$W$22,input!$F:$F,January!N36,input!$A:$A,January!$B$2)</f>
        <v>0</v>
      </c>
      <c r="X36" s="235">
        <f>COUNTIFS(input!$O:$O,January!$X$22,input!$F:$F,January!N36,input!$A:$A,January!$B$2)</f>
        <v>0</v>
      </c>
      <c r="Y36" s="219">
        <f t="shared" si="1"/>
        <v>1</v>
      </c>
      <c r="Z36" s="222" cm="1">
        <f t="array" ref="Z36">_xlfn.IFS(Y36=0,0,Y36&gt;=1,Y36/Y44)</f>
        <v>7.6923076923076927E-2</v>
      </c>
    </row>
    <row r="37" spans="2:26" ht="61" x14ac:dyDescent="0.25">
      <c r="B37" s="574" t="s">
        <v>58</v>
      </c>
      <c r="C37" s="575"/>
      <c r="D37" s="223">
        <f>COUNTIFS(input!$O:$O,January!$D$22,input!$E:$E,January!B37,input!$A:$A,January!$B$2)</f>
        <v>0</v>
      </c>
      <c r="E37" s="223">
        <f>COUNTIFS(input!$O:$O,January!$E$22,input!$E:$E,January!B37,input!$A:$A,January!$B$2)</f>
        <v>0</v>
      </c>
      <c r="F37" s="224">
        <f>COUNTIFS(input!$O:$O,January!$F$22,input!$E:$E,January!B37,input!$A:$A,January!$B$2)</f>
        <v>0</v>
      </c>
      <c r="G37" s="225">
        <f>COUNTIFS(input!$O:$O,January!$G$22,input!$E:$E,January!B37,input!$A:$A,January!$B$2)</f>
        <v>0</v>
      </c>
      <c r="H37" s="225">
        <f>COUNTIFS(input!$O:$O,January!$H$22,input!$E:$E,January!B37,input!$A:$A,January!$B$2)</f>
        <v>0</v>
      </c>
      <c r="I37" s="225">
        <f>COUNTIFS(input!$O:$O,January!$I$22,input!$E:$E,January!B37,input!$A:$A,January!$B$2)</f>
        <v>0</v>
      </c>
      <c r="J37" s="225">
        <f>COUNTIFS(input!$O:$O,January!$J$22,input!$E:$E,January!B37,input!$A:$A,January!$B$2)</f>
        <v>0</v>
      </c>
      <c r="K37" s="288">
        <f>COUNTIFS(input!$O:$O,January!$K$22,input!$E:$E,January!B37,input!$A:$A,January!$B$2)</f>
        <v>0</v>
      </c>
      <c r="L37" s="219">
        <f t="shared" si="0"/>
        <v>0</v>
      </c>
      <c r="M37" s="226" cm="1">
        <f t="array" ref="M37">_xlfn.IFS(L37=0,0,L37&gt;=1,L37/L44)</f>
        <v>0</v>
      </c>
      <c r="N37" s="566" t="s">
        <v>95</v>
      </c>
      <c r="O37" s="566"/>
      <c r="P37" s="567"/>
      <c r="Q37" s="223">
        <f>COUNTIFS(input!$O:$O,January!$Q$22,input!$F:$F,January!N37,input!$A:$A,January!$B$2)</f>
        <v>0</v>
      </c>
      <c r="R37" s="223">
        <f>COUNTIFS(input!$O:$O,January!$R$22,input!$F:$F,January!N37,input!$A:$A,January!$B$2)</f>
        <v>0</v>
      </c>
      <c r="S37" s="223">
        <f>COUNTIFS(input!$O:$O,January!$S$22,input!$F:$F,January!N37,input!$A:$A,January!$B$2)</f>
        <v>0</v>
      </c>
      <c r="T37" s="229">
        <f>COUNTIFS(input!$O:$O,January!$T$22,input!$F:$F,January!N37,input!$A:$A,January!$B$2)</f>
        <v>0</v>
      </c>
      <c r="U37" s="229">
        <f>COUNTIFS(input!$O:$O,January!$U$22,input!$F:$F,January!N37,input!$A:$A,January!$B$2)</f>
        <v>0</v>
      </c>
      <c r="V37" s="229">
        <f>COUNTIFS(input!$O:$O,January!$V$22,input!$F:$F,January!N37,input!$A:$A,January!$B$2)</f>
        <v>0</v>
      </c>
      <c r="W37" s="230">
        <f>COUNTIFS(input!$O:$O,January!$W$22,input!$F:$F,January!N37,input!$A:$A,January!$B$2)</f>
        <v>0</v>
      </c>
      <c r="X37" s="230">
        <f>COUNTIFS(input!$O:$O,January!$X$22,input!$F:$F,January!N37,input!$A:$A,January!$B$2)</f>
        <v>0</v>
      </c>
      <c r="Y37" s="219">
        <f t="shared" si="1"/>
        <v>0</v>
      </c>
      <c r="Z37" s="222" cm="1">
        <f t="array" ref="Z37">_xlfn.IFS(Y37=0,0,Y37&gt;=1,Y37/Y44)</f>
        <v>0</v>
      </c>
    </row>
    <row r="38" spans="2:26" ht="61" x14ac:dyDescent="0.25">
      <c r="B38" s="574" t="s">
        <v>189</v>
      </c>
      <c r="C38" s="575"/>
      <c r="D38" s="223">
        <f>COUNTIFS(input!$O:$O,January!$D$22,input!$E:$E,January!B38,input!$A:$A,January!$B$2)</f>
        <v>0</v>
      </c>
      <c r="E38" s="223">
        <f>COUNTIFS(input!$O:$O,January!$E$22,input!$E:$E,January!B38,input!$A:$A,January!$B$2)</f>
        <v>0</v>
      </c>
      <c r="F38" s="224">
        <f>COUNTIFS(input!$O:$O,January!$F$22,input!$E:$E,January!B38,input!$A:$A,January!$B$2)</f>
        <v>0</v>
      </c>
      <c r="G38" s="225">
        <f>COUNTIFS(input!$O:$O,January!$G$22,input!$E:$E,January!B38,input!$A:$A,January!$B$2)</f>
        <v>0</v>
      </c>
      <c r="H38" s="225">
        <f>COUNTIFS(input!$O:$O,January!$H$22,input!$E:$E,January!B38,input!$A:$A,January!$B$2)</f>
        <v>0</v>
      </c>
      <c r="I38" s="225">
        <f>COUNTIFS(input!$O:$O,January!$I$22,input!$E:$E,January!B38,input!$A:$A,January!$B$2)</f>
        <v>0</v>
      </c>
      <c r="J38" s="225">
        <f>COUNTIFS(input!$O:$O,January!$J$22,input!$E:$E,January!B38,input!$A:$A,January!$B$2)</f>
        <v>0</v>
      </c>
      <c r="K38" s="288">
        <f>COUNTIFS(input!$O:$O,January!$K$22,input!$E:$E,January!B38,input!$A:$A,January!$B$2)</f>
        <v>0</v>
      </c>
      <c r="L38" s="219">
        <f t="shared" si="0"/>
        <v>0</v>
      </c>
      <c r="M38" s="226" cm="1">
        <f t="array" ref="M38">_xlfn.IFS(L38=0,0,L38&gt;=1,L38/L44)</f>
        <v>0</v>
      </c>
      <c r="N38" s="566" t="s">
        <v>68</v>
      </c>
      <c r="O38" s="566"/>
      <c r="P38" s="567"/>
      <c r="Q38" s="223">
        <f>COUNTIFS(input!$O:$O,January!$Q$22,input!$F:$F,January!N38,input!$A:$A,January!$B$2)</f>
        <v>0</v>
      </c>
      <c r="R38" s="223">
        <f>COUNTIFS(input!$O:$O,January!$R$22,input!$F:$F,January!N38,input!$A:$A,January!$B$2)</f>
        <v>0</v>
      </c>
      <c r="S38" s="223">
        <f>COUNTIFS(input!$O:$O,January!$S$22,input!$F:$F,January!N38,input!$A:$A,January!$B$2)</f>
        <v>0</v>
      </c>
      <c r="T38" s="229">
        <f>COUNTIFS(input!$O:$O,January!$T$22,input!$F:$F,January!N38,input!$A:$A,January!$B$2)</f>
        <v>0</v>
      </c>
      <c r="U38" s="229">
        <f>COUNTIFS(input!$O:$O,January!$U$22,input!$F:$F,January!N38,input!$A:$A,January!$B$2)</f>
        <v>0</v>
      </c>
      <c r="V38" s="229">
        <f>COUNTIFS(input!$O:$O,January!$V$22,input!$F:$F,January!N38,input!$A:$A,January!$B$2)</f>
        <v>0</v>
      </c>
      <c r="W38" s="230">
        <f>COUNTIFS(input!$O:$O,January!$W$22,input!$F:$F,January!N38,input!$A:$A,January!$B$2)</f>
        <v>0</v>
      </c>
      <c r="X38" s="291">
        <f>COUNTIFS(input!$O:$O,January!$X$22,input!$F:$F,January!N38,input!$A:$A,January!$B$2)</f>
        <v>0</v>
      </c>
      <c r="Y38" s="219">
        <f t="shared" si="1"/>
        <v>0</v>
      </c>
      <c r="Z38" s="222" cm="1">
        <f t="array" ref="Z38">_xlfn.IFS(Y38=0,0,Y38&gt;=1,Y38/Y44)</f>
        <v>0</v>
      </c>
    </row>
    <row r="39" spans="2:26" ht="122" customHeight="1" x14ac:dyDescent="0.25">
      <c r="B39" s="574" t="s">
        <v>180</v>
      </c>
      <c r="C39" s="575"/>
      <c r="D39" s="223">
        <f>COUNTIFS(input!$O:$O,January!$D$22,input!$E:$E,January!B39,input!$A:$A,January!$B$2)</f>
        <v>0</v>
      </c>
      <c r="E39" s="223">
        <f>COUNTIFS(input!$O:$O,January!$E$22,input!$E:$E,January!B39,input!$A:$A,January!$B$2)</f>
        <v>0</v>
      </c>
      <c r="F39" s="224">
        <f>COUNTIFS(input!$O:$O,January!$F$22,input!$E:$E,January!B39,input!$A:$A,January!$B$2)</f>
        <v>0</v>
      </c>
      <c r="G39" s="225">
        <f>COUNTIFS(input!$O:$O,January!$G$22,input!$E:$E,January!B39,input!$A:$A,January!$B$2)</f>
        <v>0</v>
      </c>
      <c r="H39" s="225">
        <f>COUNTIFS(input!$O:$O,January!$H$22,input!$E:$E,January!B39,input!$A:$A,January!$B$2)</f>
        <v>0</v>
      </c>
      <c r="I39" s="225">
        <f>COUNTIFS(input!$O:$O,January!$I$22,input!$E:$E,January!B39,input!$A:$A,January!$B$2)</f>
        <v>0</v>
      </c>
      <c r="J39" s="225">
        <f>COUNTIFS(input!$O:$O,January!$J$22,input!$E:$E,January!B39,input!$A:$A,January!$B$2)</f>
        <v>0</v>
      </c>
      <c r="K39" s="288">
        <f>COUNTIFS(input!$O:$O,January!$K$22,input!$E:$E,January!B39,input!$A:$A,January!$B$2)</f>
        <v>0</v>
      </c>
      <c r="L39" s="219">
        <f t="shared" si="0"/>
        <v>0</v>
      </c>
      <c r="M39" s="226" cm="1">
        <f t="array" ref="M39">_xlfn.IFS(L39=0,0,L39&gt;=1,L39/L44)</f>
        <v>0</v>
      </c>
      <c r="N39" s="566" t="s">
        <v>69</v>
      </c>
      <c r="O39" s="566"/>
      <c r="P39" s="567"/>
      <c r="Q39" s="223">
        <f>COUNTIFS(input!$O:$O,January!$Q$22,input!$F:$F,January!N39,input!$A:$A,January!$B$2)</f>
        <v>0</v>
      </c>
      <c r="R39" s="223">
        <f>COUNTIFS(input!$O:$O,January!$R$22,input!$F:$F,January!N39,input!$A:$A,January!$B$2)</f>
        <v>0</v>
      </c>
      <c r="S39" s="223">
        <f>COUNTIFS(input!$O:$O,January!$S$22,input!$F:$F,January!N39,input!$A:$A,January!$B$2)</f>
        <v>0</v>
      </c>
      <c r="T39" s="229">
        <f>COUNTIFS(input!$O:$O,January!$T$22,input!$F:$F,January!N39,input!$A:$A,January!$B$2)</f>
        <v>0</v>
      </c>
      <c r="U39" s="229">
        <f>COUNTIFS(input!$O:$O,January!$U$22,input!$F:$F,January!N39,input!$A:$A,January!$B$2)</f>
        <v>0</v>
      </c>
      <c r="V39" s="229">
        <f>COUNTIFS(input!$O:$O,January!$V$22,input!$F:$F,January!N39,input!$A:$A,January!$B$2)</f>
        <v>0</v>
      </c>
      <c r="W39" s="230">
        <f>COUNTIFS(input!$O:$O,January!$W$22,input!$F:$F,January!N39,input!$A:$A,January!$B$2)</f>
        <v>0</v>
      </c>
      <c r="X39" s="291">
        <f>COUNTIFS(input!$O:$O,January!$X$22,input!$F:$F,January!N39,input!$A:$A,January!$B$2)</f>
        <v>0</v>
      </c>
      <c r="Y39" s="219">
        <f t="shared" si="1"/>
        <v>0</v>
      </c>
      <c r="Z39" s="222" cm="1">
        <f t="array" ref="Z39">_xlfn.IFS(Y39=0,0,Y39&gt;=1,Y39/Y44)</f>
        <v>0</v>
      </c>
    </row>
    <row r="40" spans="2:26" ht="61" x14ac:dyDescent="0.25">
      <c r="B40" s="572" t="s">
        <v>686</v>
      </c>
      <c r="C40" s="573"/>
      <c r="D40" s="223">
        <f>COUNTIFS(input!$O:$O,January!$D$22,input!$E:$E,January!B40,input!$A:$A,January!$B$2)</f>
        <v>0</v>
      </c>
      <c r="E40" s="223">
        <f>COUNTIFS(input!$O:$O,January!$E$22,input!$E:$E,January!B40,input!$A:$A,January!$B$2)</f>
        <v>0</v>
      </c>
      <c r="F40" s="224">
        <f>COUNTIFS(input!$O:$O,January!$F$22,input!$E:$E,January!B40,input!$A:$A,January!$B$2)</f>
        <v>0</v>
      </c>
      <c r="G40" s="225">
        <f>COUNTIFS(input!$O:$O,January!$G$22,input!$E:$E,January!B40,input!$A:$A,January!$B$2)</f>
        <v>0</v>
      </c>
      <c r="H40" s="225">
        <f>COUNTIFS(input!$O:$O,January!$H$22,input!$E:$E,January!B40,input!$A:$A,January!$B$2)</f>
        <v>0</v>
      </c>
      <c r="I40" s="225">
        <f>COUNTIFS(input!$O:$O,January!$I$22,input!$E:$E,January!B40,input!$A:$A,January!$B$2)</f>
        <v>0</v>
      </c>
      <c r="J40" s="225">
        <f>COUNTIFS(input!$O:$O,January!$J$22,input!$E:$E,January!B40,input!$A:$A,January!$B$2)</f>
        <v>0</v>
      </c>
      <c r="K40" s="288">
        <f>COUNTIFS(input!$O:$O,January!$K$22,input!$E:$E,January!B40,input!$A:$A,January!$B$2)</f>
        <v>1</v>
      </c>
      <c r="L40" s="219">
        <f t="shared" si="0"/>
        <v>1</v>
      </c>
      <c r="M40" s="226" cm="1">
        <f t="array" ref="M40">_xlfn.IFS(L40=0,0,L40&gt;=1,L40/L44)</f>
        <v>7.6923076923076927E-2</v>
      </c>
      <c r="N40" s="566" t="s">
        <v>84</v>
      </c>
      <c r="O40" s="566"/>
      <c r="P40" s="567"/>
      <c r="Q40" s="223">
        <f>COUNTIFS(input!$O:$O,January!$Q$22,input!$F:$F,January!N40,input!$A:$A,January!$B$2)</f>
        <v>0</v>
      </c>
      <c r="R40" s="223">
        <f>COUNTIFS(input!$O:$O,January!$R$22,input!$F:$F,January!N40,input!$A:$A,January!$B$2)</f>
        <v>0</v>
      </c>
      <c r="S40" s="223">
        <f>COUNTIFS(input!$O:$O,January!$S$22,input!$F:$F,January!N40,input!$A:$A,January!$B$2)</f>
        <v>0</v>
      </c>
      <c r="T40" s="229">
        <f>COUNTIFS(input!$O:$O,January!$T$22,input!$F:$F,January!N40,input!$A:$A,January!$B$2)</f>
        <v>1</v>
      </c>
      <c r="U40" s="229">
        <f>COUNTIFS(input!$O:$O,January!$U$22,input!$F:$F,January!N40,input!$A:$A,January!$B$2)</f>
        <v>0</v>
      </c>
      <c r="V40" s="229">
        <f>COUNTIFS(input!$O:$O,January!$V$22,input!$F:$F,January!N40,input!$A:$A,January!$B$2)</f>
        <v>0</v>
      </c>
      <c r="W40" s="230">
        <f>COUNTIFS(input!$O:$O,January!$W$22,input!$F:$F,January!N40,input!$A:$A,January!$B$2)</f>
        <v>0</v>
      </c>
      <c r="X40" s="291">
        <f>COUNTIFS(input!$O:$O,January!$X$22,input!$F:$F,January!N40,input!$A:$A,January!$B$2)</f>
        <v>0</v>
      </c>
      <c r="Y40" s="219">
        <f t="shared" si="1"/>
        <v>1</v>
      </c>
      <c r="Z40" s="222" cm="1">
        <f t="array" ref="Z40">_xlfn.IFS(Y40=0,0,Y40&gt;=1,Y40/Y44)</f>
        <v>7.6923076923076927E-2</v>
      </c>
    </row>
    <row r="41" spans="2:26" ht="61" x14ac:dyDescent="0.25">
      <c r="B41" s="571" t="s">
        <v>681</v>
      </c>
      <c r="C41" s="570"/>
      <c r="D41" s="223">
        <f>COUNTIFS(input!$O:$O,January!$D$22,input!$E:$E,January!B41,input!$A:$A,January!$B$2)</f>
        <v>0</v>
      </c>
      <c r="E41" s="233">
        <f>COUNTIFS(input!$O:$O,January!$E$22,input!$E:$E,January!B41,input!$A:$A,January!$B$2)</f>
        <v>0</v>
      </c>
      <c r="F41" s="236">
        <f>COUNTIFS(input!$O:$O,January!$F$22,input!$E:$E,January!B41,input!$A:$A,January!$B$2)</f>
        <v>0</v>
      </c>
      <c r="G41" s="237">
        <f>COUNTIFS(input!$O:$O,January!$G$22,input!$E:$E,January!B41,input!$A:$A,January!$B$2)</f>
        <v>0</v>
      </c>
      <c r="H41" s="237">
        <f>COUNTIFS(input!$O:$O,January!$H$22,input!$E:$E,January!B41,input!$A:$A,January!$B$2)</f>
        <v>0</v>
      </c>
      <c r="I41" s="237">
        <f>COUNTIFS(input!$O:$O,January!$I$22,input!$E:$E,January!B41,input!$A:$A,January!$B$2)</f>
        <v>0</v>
      </c>
      <c r="J41" s="237">
        <f>COUNTIFS(input!$O:$O,January!$J$22,input!$E:$E,January!B41,input!$A:$A,January!$B$2)</f>
        <v>0</v>
      </c>
      <c r="K41" s="288">
        <f>COUNTIFS(input!$O:$O,January!$K$22,input!$E:$E,January!B41,input!$A:$A,January!$B$2)</f>
        <v>0</v>
      </c>
      <c r="L41" s="219">
        <f t="shared" si="0"/>
        <v>0</v>
      </c>
      <c r="M41" s="226" cm="1">
        <f t="array" ref="M41">_xlfn.IFS(L41=0,0,L41&gt;=1,L41/L44)</f>
        <v>0</v>
      </c>
      <c r="N41" s="566" t="s">
        <v>56</v>
      </c>
      <c r="O41" s="566"/>
      <c r="P41" s="567"/>
      <c r="Q41" s="223">
        <f>COUNTIFS(input!$O:$O,January!$Q$22,input!$F:$F,January!N41,input!$A:$A,January!$B$2)</f>
        <v>0</v>
      </c>
      <c r="R41" s="223">
        <f>COUNTIFS(input!$O:$O,January!$R$22,input!$F:$F,January!N41,input!$A:$A,January!$B$2)</f>
        <v>0</v>
      </c>
      <c r="S41" s="223">
        <f>COUNTIFS(input!$O:$O,January!$S$22,input!$F:$F,January!N41,input!$A:$A,January!$B$2)</f>
        <v>0</v>
      </c>
      <c r="T41" s="229">
        <f>COUNTIFS(input!$O:$O,January!$T$22,input!$F:$F,January!N41,input!$A:$A,January!$B$2)</f>
        <v>0</v>
      </c>
      <c r="U41" s="229">
        <f>COUNTIFS(input!$O:$O,January!$U$22,input!$F:$F,January!N41,input!$A:$A,January!$B$2)</f>
        <v>0</v>
      </c>
      <c r="V41" s="229">
        <f>COUNTIFS(input!$O:$O,January!$V$22,input!$F:$F,January!N41,input!$A:$A,January!$B$2)</f>
        <v>0</v>
      </c>
      <c r="W41" s="230">
        <f>COUNTIFS(input!$O:$O,January!$W$22,input!$F:$F,January!N41,input!$A:$A,January!$B$2)</f>
        <v>0</v>
      </c>
      <c r="X41" s="291">
        <f>COUNTIFS(input!$O:$O,January!$X$22,input!$F:$F,January!N41,input!$A:$A,January!$B$2)</f>
        <v>0</v>
      </c>
      <c r="Y41" s="219">
        <f t="shared" si="1"/>
        <v>0</v>
      </c>
      <c r="Z41" s="222" cm="1">
        <f t="array" ref="Z41">_xlfn.IFS(Y41=0,0,Y41&gt;=1,Y41/Y45)</f>
        <v>0</v>
      </c>
    </row>
    <row r="42" spans="2:26" ht="61" x14ac:dyDescent="0.25">
      <c r="B42" s="571" t="s">
        <v>682</v>
      </c>
      <c r="C42" s="570"/>
      <c r="D42" s="223">
        <f>COUNTIFS(input!$O:$O,January!$D$22,input!$E:$E,January!B42,input!$A:$A,January!$B$2)</f>
        <v>0</v>
      </c>
      <c r="E42" s="233">
        <f>COUNTIFS(input!$O:$O,January!$E$22,input!$E:$E,January!B42,input!$A:$A,January!$B$2)</f>
        <v>0</v>
      </c>
      <c r="F42" s="236">
        <f>COUNTIFS(input!$O:$O,January!$F$22,input!$E:$E,January!B42,input!$A:$A,January!$B$2)</f>
        <v>0</v>
      </c>
      <c r="G42" s="237">
        <f>COUNTIFS(input!$O:$O,January!$G$22,input!$E:$E,January!B42,input!$A:$A,January!$B$2)</f>
        <v>0</v>
      </c>
      <c r="H42" s="237">
        <f>COUNTIFS(input!$O:$O,January!$H$22,input!$E:$E,January!B42,input!$A:$A,January!$B$2)</f>
        <v>0</v>
      </c>
      <c r="I42" s="237">
        <f>COUNTIFS(input!$O:$O,January!$I$22,input!$E:$E,January!B42,input!$A:$A,January!$B$2)</f>
        <v>0</v>
      </c>
      <c r="J42" s="237">
        <f>COUNTIFS(input!$O:$O,January!$J$22,input!$E:$E,January!B42,input!$A:$A,January!$B$2)</f>
        <v>0</v>
      </c>
      <c r="K42" s="288">
        <f>COUNTIFS(input!$O:$O,January!$K$22,input!$E:$E,January!B42,input!$A:$A,January!$B$2)</f>
        <v>2</v>
      </c>
      <c r="L42" s="219">
        <f t="shared" si="0"/>
        <v>2</v>
      </c>
      <c r="M42" s="226" cm="1">
        <f t="array" ref="M42">_xlfn.IFS(L42=0,0,L42&gt;=1,L42/L44)</f>
        <v>0.15384615384615385</v>
      </c>
      <c r="N42" s="568" t="s">
        <v>203</v>
      </c>
      <c r="O42" s="569"/>
      <c r="P42" s="570"/>
      <c r="Q42" s="233">
        <f>COUNTIFS(input!$O:$O,January!$Q$22,input!$F:$F,January!N42,input!$A:$A,January!$B$2)</f>
        <v>0</v>
      </c>
      <c r="R42" s="233">
        <f>COUNTIFS(input!$O:$O,January!$R$22,input!$F:$F,January!N42,input!$A:$A,January!$B$2)</f>
        <v>0</v>
      </c>
      <c r="S42" s="233">
        <f>COUNTIFS(input!$O:$O,January!$S$22,input!$F:$F,January!N42,input!$A:$A,January!$B$2)</f>
        <v>0</v>
      </c>
      <c r="T42" s="234">
        <f>COUNTIFS(input!$O:$O,January!$T$22,input!$F:$F,January!N42,input!$A:$A,January!$B$2)</f>
        <v>0</v>
      </c>
      <c r="U42" s="234">
        <f>COUNTIFS(input!$O:$O,January!$U$22,input!$F:$F,January!N42,input!$A:$A,January!$B$2)</f>
        <v>0</v>
      </c>
      <c r="V42" s="234">
        <f>COUNTIFS(input!$O:$O,January!$V$22,input!$F:$F,January!N42,input!$A:$A,January!$B$2)</f>
        <v>2</v>
      </c>
      <c r="W42" s="235">
        <f>COUNTIFS(input!$O:$O,January!$W$22,input!$F:$F,January!N42,input!$A:$A,January!$B$2)</f>
        <v>0</v>
      </c>
      <c r="X42" s="235">
        <f>COUNTIFS(input!$O:$O,January!$X$22,input!$F:$F,January!N42,input!$A:$A,January!$B$2)</f>
        <v>0</v>
      </c>
      <c r="Y42" s="219">
        <f t="shared" si="1"/>
        <v>2</v>
      </c>
      <c r="Z42" s="222" cm="1">
        <f t="array" ref="Z42">_xlfn.IFS(Y42=0,0,Y42&gt;=1,Y42/Y44)</f>
        <v>0.15384615384615385</v>
      </c>
    </row>
    <row r="43" spans="2:26" ht="61" x14ac:dyDescent="0.25">
      <c r="B43" s="724" t="s">
        <v>493</v>
      </c>
      <c r="C43" s="725"/>
      <c r="D43" s="223">
        <f>COUNTIFS(input!$O:$O,January!$D$22,input!$E:$E,January!B43,input!$A:$A,January!$B$2)</f>
        <v>0</v>
      </c>
      <c r="E43" s="233">
        <f>COUNTIFS(input!$O:$O,January!$E$22,input!$E:$E,January!B43,input!$A:$A,January!$B$2)</f>
        <v>0</v>
      </c>
      <c r="F43" s="236">
        <f>COUNTIFS(input!$O:$O,January!$F$22,input!$E:$E,January!B43,input!$A:$A,January!$B$2)</f>
        <v>0</v>
      </c>
      <c r="G43" s="237">
        <f>COUNTIFS(input!$O:$O,January!$G$22,input!$E:$E,January!B43,input!$A:$A,January!$B$2)</f>
        <v>0</v>
      </c>
      <c r="H43" s="237">
        <f>COUNTIFS(input!$O:$O,January!$H$22,input!$E:$E,January!B43,input!$A:$A,January!$B$2)</f>
        <v>0</v>
      </c>
      <c r="I43" s="237">
        <f>COUNTIFS(input!$O:$O,January!$I$22,input!$E:$E,January!B43,input!$A:$A,January!$B$2)</f>
        <v>0</v>
      </c>
      <c r="J43" s="237">
        <f>COUNTIFS(input!$O:$O,January!$J$22,input!$E:$E,January!B43,input!$A:$A,January!$B$2)</f>
        <v>1</v>
      </c>
      <c r="K43" s="288">
        <f>COUNTIFS(input!$O:$O,January!$K$22,input!$E:$E,January!B43,input!$A:$A,January!$B$2)</f>
        <v>0</v>
      </c>
      <c r="L43" s="219">
        <f t="shared" si="0"/>
        <v>1</v>
      </c>
      <c r="M43" s="226" cm="1">
        <f t="array" ref="M43">_xlfn.IFS(L43=0,0,L43&gt;=1,L43/L44)</f>
        <v>7.6923076923076927E-2</v>
      </c>
      <c r="N43" s="568" t="s">
        <v>42</v>
      </c>
      <c r="O43" s="569"/>
      <c r="P43" s="570"/>
      <c r="Q43" s="233">
        <f>COUNTIFS(input!$O:$O,January!$Q$22,input!$F:$F,January!N43,input!$A:$A,January!$B$2)</f>
        <v>0</v>
      </c>
      <c r="R43" s="233">
        <f>COUNTIFS(input!$O:$O,January!$R$22,input!$F:$F,January!N43,input!$A:$A,January!$B$2)</f>
        <v>0</v>
      </c>
      <c r="S43" s="233">
        <f>COUNTIFS(input!$O:$O,January!$S$22,input!$F:$F,January!N43,input!$A:$A,January!$B$2)</f>
        <v>0</v>
      </c>
      <c r="T43" s="234">
        <f>COUNTIFS(input!$O:$O,January!$T$22,input!$F:$F,January!N43,input!$A:$A,January!$B$2)</f>
        <v>0</v>
      </c>
      <c r="U43" s="234">
        <f>COUNTIFS(input!$O:$O,January!$U$22,input!$F:$F,January!N43,input!$A:$A,January!$B$2)</f>
        <v>0</v>
      </c>
      <c r="V43" s="234">
        <f>COUNTIFS(input!$O:$O,January!$V$22,input!$F:$F,January!N43,input!$A:$A,January!$B$2)</f>
        <v>0</v>
      </c>
      <c r="W43" s="235">
        <f>COUNTIFS(input!$O:$O,January!$W$22,input!$F:$F,January!N43,input!$A:$A,January!$B$2)</f>
        <v>1</v>
      </c>
      <c r="X43" s="235">
        <f>COUNTIFS(input!$O:$O,January!$X$22,input!$F:$F,January!N43,input!$A:$A,January!$B$2)</f>
        <v>0</v>
      </c>
      <c r="Y43" s="219">
        <f t="shared" si="1"/>
        <v>1</v>
      </c>
      <c r="Z43" s="222" cm="1">
        <f t="array" ref="Z43">_xlfn.IFS(Y43=0,0,Y43&gt;=1,Y43/Y44)</f>
        <v>7.6923076923076927E-2</v>
      </c>
    </row>
    <row r="44" spans="2:26" ht="60.5" thickBot="1" x14ac:dyDescent="0.3">
      <c r="B44" s="616" t="s">
        <v>4</v>
      </c>
      <c r="C44" s="617"/>
      <c r="D44" s="238">
        <f t="shared" ref="D44:M44" si="2">SUM(D23:D43)</f>
        <v>1</v>
      </c>
      <c r="E44" s="238">
        <f t="shared" si="2"/>
        <v>1</v>
      </c>
      <c r="F44" s="238">
        <f t="shared" si="2"/>
        <v>0</v>
      </c>
      <c r="G44" s="238">
        <f t="shared" si="2"/>
        <v>5</v>
      </c>
      <c r="H44" s="238">
        <f t="shared" si="2"/>
        <v>0</v>
      </c>
      <c r="I44" s="238">
        <f t="shared" si="2"/>
        <v>2</v>
      </c>
      <c r="J44" s="238">
        <f t="shared" si="2"/>
        <v>1</v>
      </c>
      <c r="K44" s="238">
        <f t="shared" si="2"/>
        <v>3</v>
      </c>
      <c r="L44" s="219">
        <f>SUM(L23:L43)</f>
        <v>13</v>
      </c>
      <c r="M44" s="239">
        <f t="shared" si="2"/>
        <v>1</v>
      </c>
      <c r="N44" s="618" t="s">
        <v>4</v>
      </c>
      <c r="O44" s="618"/>
      <c r="P44" s="617"/>
      <c r="Q44" s="238">
        <f t="shared" ref="Q44:Z44" si="3">SUM(Q23:Q43)</f>
        <v>1</v>
      </c>
      <c r="R44" s="238">
        <f t="shared" si="3"/>
        <v>1</v>
      </c>
      <c r="S44" s="238">
        <f t="shared" si="3"/>
        <v>0</v>
      </c>
      <c r="T44" s="238">
        <f t="shared" si="3"/>
        <v>5</v>
      </c>
      <c r="U44" s="238">
        <f t="shared" si="3"/>
        <v>0</v>
      </c>
      <c r="V44" s="238">
        <f t="shared" si="3"/>
        <v>2</v>
      </c>
      <c r="W44" s="238">
        <f t="shared" si="3"/>
        <v>1</v>
      </c>
      <c r="X44" s="238">
        <f t="shared" si="3"/>
        <v>3</v>
      </c>
      <c r="Y44" s="238">
        <f t="shared" si="3"/>
        <v>13</v>
      </c>
      <c r="Z44" s="240">
        <f t="shared" si="3"/>
        <v>1</v>
      </c>
    </row>
    <row r="45" spans="2:26" ht="120" x14ac:dyDescent="0.25">
      <c r="B45" s="619" t="s">
        <v>34</v>
      </c>
      <c r="C45" s="620"/>
      <c r="D45" s="241" t="s">
        <v>6</v>
      </c>
      <c r="E45" s="241" t="s">
        <v>2</v>
      </c>
      <c r="F45" s="241" t="s">
        <v>3</v>
      </c>
      <c r="G45" s="241" t="s">
        <v>1</v>
      </c>
      <c r="H45" s="241" t="s">
        <v>0</v>
      </c>
      <c r="I45" s="241" t="s">
        <v>53</v>
      </c>
      <c r="J45" s="241" t="s">
        <v>12</v>
      </c>
      <c r="K45" s="213" t="s">
        <v>693</v>
      </c>
      <c r="L45" s="241" t="s">
        <v>5</v>
      </c>
      <c r="M45" s="242" t="s">
        <v>40</v>
      </c>
      <c r="N45" s="621" t="s">
        <v>59</v>
      </c>
      <c r="O45" s="621"/>
      <c r="P45" s="622"/>
      <c r="Q45" s="243" t="s">
        <v>6</v>
      </c>
      <c r="R45" s="243" t="s">
        <v>2</v>
      </c>
      <c r="S45" s="243" t="s">
        <v>3</v>
      </c>
      <c r="T45" s="243" t="s">
        <v>1</v>
      </c>
      <c r="U45" s="243" t="s">
        <v>0</v>
      </c>
      <c r="V45" s="243" t="s">
        <v>53</v>
      </c>
      <c r="W45" s="243" t="s">
        <v>12</v>
      </c>
      <c r="X45" s="213" t="s">
        <v>693</v>
      </c>
      <c r="Y45" s="243" t="s">
        <v>5</v>
      </c>
      <c r="Z45" s="244" t="s">
        <v>40</v>
      </c>
    </row>
    <row r="46" spans="2:26" ht="61" x14ac:dyDescent="0.25">
      <c r="B46" s="623" t="s">
        <v>13</v>
      </c>
      <c r="C46" s="624"/>
      <c r="D46" s="627">
        <f>COUNTIFS(input!$O:$O,January!$D$45,input!$K:$K,January!B46,input!$A:$A,January!$B$2)</f>
        <v>0</v>
      </c>
      <c r="E46" s="627">
        <f>COUNTIFS(input!$O:$O,January!$E$45,input!$K:$K,January!B46,input!$A:$A,January!$B$2)</f>
        <v>0</v>
      </c>
      <c r="F46" s="627">
        <f>COUNTIFS(input!$O:$O,January!$F$45,input!$K:$K,January!B46,input!$A:$A,January!$B$2)</f>
        <v>0</v>
      </c>
      <c r="G46" s="624">
        <f>COUNTIFS(input!$O:$O,January!$G$45,input!$K:$K,January!B46,input!$A:$A,January!$B$2)</f>
        <v>1</v>
      </c>
      <c r="H46" s="624">
        <f>COUNTIFS(input!$O:$O,January!$H$45,input!$K:$K,January!B46,input!$A:$A,January!$B$2)</f>
        <v>0</v>
      </c>
      <c r="I46" s="624">
        <f>COUNTIFS(input!$O:$O,January!$I$45,input!$K:$K,January!B46,input!$A:$A,January!$B$2)</f>
        <v>0</v>
      </c>
      <c r="J46" s="624">
        <f>COUNTIFS(input!$O:$O,January!$J$45,input!$K:$K,January!B46,input!$A:$A,January!$B$2)</f>
        <v>0</v>
      </c>
      <c r="K46" s="624">
        <f>COUNTIFS(input!$O:$O,January!$K$45,input!$K:$K,January!B46,input!$A:$A,January!$B$2)</f>
        <v>0</v>
      </c>
      <c r="L46" s="629">
        <f>SUM(D46:K50)</f>
        <v>1</v>
      </c>
      <c r="M46" s="632" cm="1">
        <f t="array" ref="M46">_xlfn.IFS(L46=0,0,L46&gt;=1,L46/L61)</f>
        <v>7.6923076923076927E-2</v>
      </c>
      <c r="N46" s="614" t="s">
        <v>23</v>
      </c>
      <c r="O46" s="614"/>
      <c r="P46" s="615"/>
      <c r="Q46" s="217">
        <f>COUNTIFS(input!$O:$O,January!$Q$45,input!$G:$G,January!N46,input!$A:$A,January!$B$2)</f>
        <v>0</v>
      </c>
      <c r="R46" s="217">
        <f>COUNTIFS(input!$O:$O,January!$R$45,input!$G:$G,January!N46,input!$A:$A,January!$B$2)</f>
        <v>0</v>
      </c>
      <c r="S46" s="217">
        <f>COUNTIFS(input!$O:$O,January!$S$45,input!$G:$G,January!N46,input!$A:$A,January!$B$2)</f>
        <v>0</v>
      </c>
      <c r="T46" s="221">
        <f>COUNTIFS(input!$O:$O,January!$T$45,input!$G:$G,January!N46,input!$A:$A,January!$B$2)</f>
        <v>1</v>
      </c>
      <c r="U46" s="221">
        <f>COUNTIFS(input!$O:$O,January!$U$45,input!$G:$G,January!N46,input!$A:$A,January!$B$2)</f>
        <v>0</v>
      </c>
      <c r="V46" s="221">
        <f>COUNTIFS(input!$O:$O,January!$V$45,input!$G:$G,January!N46,input!$A:$A,January!$B$2)</f>
        <v>0</v>
      </c>
      <c r="W46" s="221">
        <f>COUNTIFS(input!$O:$O,January!$W$45,input!$G:$G,January!N46,input!$A:$A,January!$B$2)</f>
        <v>0</v>
      </c>
      <c r="X46" s="221">
        <f>COUNTIFS(input!$O:$O,January!$X$45,input!$G:$G,January!N46,input!$A:$A,January!$B$2)</f>
        <v>0</v>
      </c>
      <c r="Y46" s="219">
        <f>SUM(Q46:X46)</f>
        <v>1</v>
      </c>
      <c r="Z46" s="245" cm="1">
        <f t="array" ref="Z46">_xlfn.IFS(Y46=0,0,Y46&gt;=1,Y46/Y$61)</f>
        <v>7.6923076923076927E-2</v>
      </c>
    </row>
    <row r="47" spans="2:26" ht="61" x14ac:dyDescent="0.25">
      <c r="B47" s="625"/>
      <c r="C47" s="626"/>
      <c r="D47" s="628">
        <f>COUNTIFS(input!O:O,January!$D$22,input!E:E,January!B47)</f>
        <v>0</v>
      </c>
      <c r="E47" s="628">
        <f>COUNTIFS(input!P:P,January!$D$22,input!F:F,January!C47)</f>
        <v>0</v>
      </c>
      <c r="F47" s="628">
        <f>COUNTIFS(input!Q:Q,January!$D$22,input!G:G,January!D47)</f>
        <v>0</v>
      </c>
      <c r="G47" s="626">
        <f>COUNTIFS(input!R:R,January!$D$22,input!H:H,January!E47)</f>
        <v>0</v>
      </c>
      <c r="H47" s="626">
        <f>COUNTIFS(input!S:S,January!$D$22,input!I:I,January!F47)</f>
        <v>0</v>
      </c>
      <c r="I47" s="626">
        <f>COUNTIFS(input!T:T,January!$D$22,input!J:J,January!G47)</f>
        <v>0</v>
      </c>
      <c r="J47" s="626">
        <f>COUNTIFS(input!U:U,January!$D$22,input!K:K,January!H47)</f>
        <v>0</v>
      </c>
      <c r="K47" s="626">
        <f>COUNTIFS(input!V:V,January!$D$22,input!L:L,January!I47)</f>
        <v>0</v>
      </c>
      <c r="L47" s="630"/>
      <c r="M47" s="633"/>
      <c r="N47" s="566" t="s">
        <v>103</v>
      </c>
      <c r="O47" s="566"/>
      <c r="P47" s="567"/>
      <c r="Q47" s="223">
        <f>COUNTIFS(input!$O:$O,January!$Q$45,input!$G:$G,January!N47,input!$A:$A,January!$B$2)</f>
        <v>0</v>
      </c>
      <c r="R47" s="223">
        <f>COUNTIFS(input!$O:$O,January!$R$45,input!$G:$G,January!N47,input!$A:$A,January!$B$2)</f>
        <v>0</v>
      </c>
      <c r="S47" s="223">
        <f>COUNTIFS(input!$O:$O,January!$S$45,input!$G:$G,January!N47,input!$A:$A,January!$B$2)</f>
        <v>0</v>
      </c>
      <c r="T47" s="229">
        <f>COUNTIFS(input!$O:$O,January!$T$45,input!$G:$G,January!N47,input!$A:$A,January!$B$2)</f>
        <v>0</v>
      </c>
      <c r="U47" s="229">
        <f>COUNTIFS(input!$O:$O,January!$U$45,input!$G:$G,January!N47,input!$A:$A,January!$B$2)</f>
        <v>0</v>
      </c>
      <c r="V47" s="229">
        <f>COUNTIFS(input!$O:$O,January!$V$45,input!$G:$G,January!N47,input!$A:$A,January!$B$2)</f>
        <v>0</v>
      </c>
      <c r="W47" s="229">
        <f>COUNTIFS(input!$O:$O,January!$W$45,input!$G:$G,January!N47,input!$A:$A,January!$B$2)</f>
        <v>0</v>
      </c>
      <c r="X47" s="292">
        <f>COUNTIFS(input!$O:$O,January!$X$45,input!$G:$G,January!N47,input!$A:$A,January!$B$2)</f>
        <v>0</v>
      </c>
      <c r="Y47" s="219">
        <f t="shared" ref="Y47:Y60" si="4">SUM(Q47:X47)</f>
        <v>0</v>
      </c>
      <c r="Z47" s="245" cm="1">
        <f t="array" ref="Z47">_xlfn.IFS(Y47=0,0,Y47&gt;=1,Y47/Y$61)</f>
        <v>0</v>
      </c>
    </row>
    <row r="48" spans="2:26" ht="61" x14ac:dyDescent="0.25">
      <c r="B48" s="625"/>
      <c r="C48" s="626"/>
      <c r="D48" s="628">
        <f>COUNTIFS(input!O:O,January!$D$22,input!E:E,January!B48)</f>
        <v>0</v>
      </c>
      <c r="E48" s="628">
        <f>COUNTIFS(input!P:P,January!$D$22,input!F:F,January!C48)</f>
        <v>0</v>
      </c>
      <c r="F48" s="628">
        <f>COUNTIFS(input!Q:Q,January!$D$22,input!G:G,January!D48)</f>
        <v>0</v>
      </c>
      <c r="G48" s="626">
        <f>COUNTIFS(input!R:R,January!$D$22,input!H:H,January!E48)</f>
        <v>0</v>
      </c>
      <c r="H48" s="626">
        <f>COUNTIFS(input!S:S,January!$D$22,input!I:I,January!F48)</f>
        <v>0</v>
      </c>
      <c r="I48" s="626">
        <f>COUNTIFS(input!T:T,January!$D$22,input!J:J,January!G48)</f>
        <v>0</v>
      </c>
      <c r="J48" s="626">
        <f>COUNTIFS(input!U:U,January!$D$22,input!K:K,January!H48)</f>
        <v>0</v>
      </c>
      <c r="K48" s="626">
        <f>COUNTIFS(input!V:V,January!$D$22,input!L:L,January!I48)</f>
        <v>0</v>
      </c>
      <c r="L48" s="630"/>
      <c r="M48" s="633"/>
      <c r="N48" s="566" t="s">
        <v>55</v>
      </c>
      <c r="O48" s="566"/>
      <c r="P48" s="567"/>
      <c r="Q48" s="223">
        <f>COUNTIFS(input!$O:$O,January!$Q$45,input!$G:$G,January!N48,input!$A:$A,January!$B$2)</f>
        <v>0</v>
      </c>
      <c r="R48" s="223">
        <f>COUNTIFS(input!$O:$O,January!$R$45,input!$G:$G,January!N48,input!$A:$A,January!$B$2)</f>
        <v>0</v>
      </c>
      <c r="S48" s="223">
        <f>COUNTIFS(input!$O:$O,January!$S$45,input!$G:$G,January!N48,input!$A:$A,January!$B$2)</f>
        <v>0</v>
      </c>
      <c r="T48" s="229">
        <f>COUNTIFS(input!$O:$O,January!$T$45,input!$G:$G,January!N48,input!$A:$A,January!$B$2)</f>
        <v>0</v>
      </c>
      <c r="U48" s="229">
        <f>COUNTIFS(input!$O:$O,January!$U$45,input!$G:$G,January!N48,input!$A:$A,January!$B$2)</f>
        <v>0</v>
      </c>
      <c r="V48" s="229">
        <f>COUNTIFS(input!$O:$O,January!$V$45,input!$G:$G,January!N48,input!$A:$A,January!$B$2)</f>
        <v>0</v>
      </c>
      <c r="W48" s="229">
        <f>COUNTIFS(input!$O:$O,January!$W$45,input!$G:$G,January!N48,input!$A:$A,January!$B$2)</f>
        <v>0</v>
      </c>
      <c r="X48" s="292">
        <f>COUNTIFS(input!$O:$O,January!$X$45,input!$G:$G,January!N48,input!$A:$A,January!$B$2)</f>
        <v>0</v>
      </c>
      <c r="Y48" s="219">
        <f t="shared" si="4"/>
        <v>0</v>
      </c>
      <c r="Z48" s="245" cm="1">
        <f t="array" ref="Z48">_xlfn.IFS(Y48=0,0,Y48&gt;=1,Y48/Y$61)</f>
        <v>0</v>
      </c>
    </row>
    <row r="49" spans="2:26" ht="61" x14ac:dyDescent="0.25">
      <c r="B49" s="625"/>
      <c r="C49" s="626"/>
      <c r="D49" s="628"/>
      <c r="E49" s="628"/>
      <c r="F49" s="628"/>
      <c r="G49" s="626"/>
      <c r="H49" s="626"/>
      <c r="I49" s="626"/>
      <c r="J49" s="626"/>
      <c r="K49" s="626"/>
      <c r="L49" s="630"/>
      <c r="M49" s="633"/>
      <c r="N49" s="285" t="s">
        <v>285</v>
      </c>
      <c r="O49" s="285"/>
      <c r="P49" s="231"/>
      <c r="Q49" s="223">
        <f>COUNTIFS(input!$O:$O,January!$Q$45,input!$G:$G,January!N49,input!$A:$A,January!$B$2)</f>
        <v>1</v>
      </c>
      <c r="R49" s="223">
        <f>COUNTIFS(input!$O:$O,January!$R$45,input!$G:$G,January!N49,input!$A:$A,January!$B$2)</f>
        <v>0</v>
      </c>
      <c r="S49" s="223">
        <f>COUNTIFS(input!$O:$O,January!$S$45,input!$G:$G,January!N49,input!$A:$A,January!$B$2)</f>
        <v>0</v>
      </c>
      <c r="T49" s="229">
        <f>COUNTIFS(input!$O:$O,January!$T$45,input!$G:$G,January!N49,input!$A:$A,January!$B$2)</f>
        <v>1</v>
      </c>
      <c r="U49" s="229">
        <f>COUNTIFS(input!$O:$O,January!$U$45,input!$G:$G,January!N49,input!$A:$A,January!$B$2)</f>
        <v>0</v>
      </c>
      <c r="V49" s="229">
        <f>COUNTIFS(input!$O:$O,January!$V$45,input!$G:$G,January!N49,input!$A:$A,January!$B$2)</f>
        <v>0</v>
      </c>
      <c r="W49" s="229">
        <f>COUNTIFS(input!$O:$O,January!$W$45,input!$G:$G,January!N49,input!$A:$A,January!$B$2)</f>
        <v>0</v>
      </c>
      <c r="X49" s="292">
        <f>COUNTIFS(input!$O:$O,January!$X$45,input!$G:$G,January!N49,input!$A:$A,January!$B$2)</f>
        <v>0</v>
      </c>
      <c r="Y49" s="219">
        <f t="shared" si="4"/>
        <v>2</v>
      </c>
      <c r="Z49" s="245" cm="1">
        <f t="array" ref="Z49">_xlfn.IFS(Y49=0,0,Y49&gt;=1,Y49/Y$61)</f>
        <v>0.15384615384615385</v>
      </c>
    </row>
    <row r="50" spans="2:26" ht="61" x14ac:dyDescent="0.25">
      <c r="B50" s="625"/>
      <c r="C50" s="626"/>
      <c r="D50" s="628">
        <f>COUNTIFS(input!O:O,January!$D$22,input!E:E,January!B50)</f>
        <v>0</v>
      </c>
      <c r="E50" s="628">
        <f>COUNTIFS(input!P:P,January!$D$22,input!F:F,January!C50)</f>
        <v>0</v>
      </c>
      <c r="F50" s="628">
        <f>COUNTIFS(input!Q:Q,January!$D$22,input!G:G,January!D50)</f>
        <v>0</v>
      </c>
      <c r="G50" s="626">
        <f>COUNTIFS(input!R:R,January!$D$22,input!H:H,January!E50)</f>
        <v>0</v>
      </c>
      <c r="H50" s="626">
        <f>COUNTIFS(input!S:S,January!$D$22,input!I:I,January!F50)</f>
        <v>0</v>
      </c>
      <c r="I50" s="626">
        <f>COUNTIFS(input!T:T,January!$D$22,input!J:J,January!G50)</f>
        <v>0</v>
      </c>
      <c r="J50" s="626">
        <f>COUNTIFS(input!U:U,January!$D$22,input!K:K,January!H50)</f>
        <v>0</v>
      </c>
      <c r="K50" s="626">
        <f>COUNTIFS(input!V:V,January!$D$22,input!L:L,January!I50)</f>
        <v>0</v>
      </c>
      <c r="L50" s="631"/>
      <c r="M50" s="633"/>
      <c r="N50" s="286" t="s">
        <v>234</v>
      </c>
      <c r="O50" s="286"/>
      <c r="P50" s="227"/>
      <c r="Q50" s="223">
        <f>COUNTIFS(input!$O:$O,January!$Q$45,input!$G:$G,January!N50,input!$A:$A,January!$B$2)</f>
        <v>0</v>
      </c>
      <c r="R50" s="223">
        <f>COUNTIFS(input!$O:$O,January!$R$45,input!$G:$G,January!N50,input!$A:$A,January!$B$2)</f>
        <v>0</v>
      </c>
      <c r="S50" s="223">
        <f>COUNTIFS(input!$O:$O,January!$S$45,input!$G:$G,January!N50,input!$A:$A,January!$B$2)</f>
        <v>0</v>
      </c>
      <c r="T50" s="229">
        <f>COUNTIFS(input!$O:$O,January!$T$45,input!$G:$G,January!N50,input!$A:$A,January!$B$2)</f>
        <v>0</v>
      </c>
      <c r="U50" s="229">
        <f>COUNTIFS(input!$O:$O,January!$U$45,input!$G:$G,January!N50,input!$A:$A,January!$B$2)</f>
        <v>0</v>
      </c>
      <c r="V50" s="229">
        <f>COUNTIFS(input!$O:$O,January!$V$45,input!$G:$G,January!N50,input!$A:$A,January!$B$2)</f>
        <v>0</v>
      </c>
      <c r="W50" s="229">
        <f>COUNTIFS(input!$O:$O,January!$W$45,input!$G:$G,January!N50,input!$A:$A,January!$B$2)</f>
        <v>0</v>
      </c>
      <c r="X50" s="292">
        <f>COUNTIFS(input!$O:$O,January!$X$45,input!$G:$G,January!N50,input!$A:$A,January!$B$2)</f>
        <v>0</v>
      </c>
      <c r="Y50" s="219">
        <f t="shared" si="4"/>
        <v>0</v>
      </c>
      <c r="Z50" s="245" cm="1">
        <f t="array" ref="Z50">_xlfn.IFS(Y50=0,0,Y50&gt;=1,Y50/Y$61)</f>
        <v>0</v>
      </c>
    </row>
    <row r="51" spans="2:26" ht="61" x14ac:dyDescent="0.25">
      <c r="B51" s="625" t="s">
        <v>14</v>
      </c>
      <c r="C51" s="626"/>
      <c r="D51" s="634">
        <f>COUNTIFS(input!$O:$O,January!$D$45,input!$K:$K,January!B51,input!$A:$A,January!$B$2)</f>
        <v>0</v>
      </c>
      <c r="E51" s="628">
        <f>COUNTIFS(input!$O:$O,January!$E$45,input!$K:$K,January!B51,input!$A:$A,January!$B$2)</f>
        <v>1</v>
      </c>
      <c r="F51" s="628">
        <f>COUNTIFS(input!$O:$O,January!$F$45,input!$K:$K,January!B51,input!$A:$A,January!$B$2)</f>
        <v>0</v>
      </c>
      <c r="G51" s="637">
        <f>COUNTIFS(input!$O:$O,January!$G$45,input!$K:$K,January!B51,input!$A:$A,January!$B$2)</f>
        <v>4</v>
      </c>
      <c r="H51" s="637">
        <f>COUNTIFS(input!$O:$O,January!$H$45,input!$K:$K,January!B51,input!$A:$A,January!$B$2)</f>
        <v>0</v>
      </c>
      <c r="I51" s="626">
        <f>COUNTIFS(input!$O:$O,January!$I$45,input!$K:$K,January!B51,input!$A:$A,January!$B$2)</f>
        <v>2</v>
      </c>
      <c r="J51" s="637">
        <f>COUNTIFS(input!$O:$O,January!$J$45,input!$K:$K,January!B51,input!$A:$A,January!$B$2)</f>
        <v>0</v>
      </c>
      <c r="K51" s="637">
        <f>COUNTIFS(input!$O:$O,January!$K$45,input!$K:$K,January!B51,input!$A:$A,January!$B$2)</f>
        <v>2</v>
      </c>
      <c r="L51" s="629">
        <f>SUM(D51:K55)</f>
        <v>9</v>
      </c>
      <c r="M51" s="638">
        <f>_xlfn.IFS(L51=0,0,L51&gt;=1,L51/L61)</f>
        <v>0.69230769230769229</v>
      </c>
      <c r="N51" s="569" t="s">
        <v>356</v>
      </c>
      <c r="O51" s="569"/>
      <c r="P51" s="570"/>
      <c r="Q51" s="223">
        <f>COUNTIFS(input!$O:$O,January!$Q$45,input!$G:$G,January!N51,input!$A:$A,January!$B$2)</f>
        <v>0</v>
      </c>
      <c r="R51" s="223">
        <f>COUNTIFS(input!$O:$O,January!$R$45,input!$G:$G,January!N51,input!$A:$A,January!$B$2)</f>
        <v>0</v>
      </c>
      <c r="S51" s="223">
        <f>COUNTIFS(input!$O:$O,January!$S$45,input!$G:$G,January!N51,input!$A:$A,January!$B$2)</f>
        <v>0</v>
      </c>
      <c r="T51" s="229">
        <f>COUNTIFS(input!$O:$O,January!$T$45,input!$G:$G,January!N51,input!$A:$A,January!$B$2)</f>
        <v>0</v>
      </c>
      <c r="U51" s="229">
        <f>COUNTIFS(input!$O:$O,January!$U$45,input!$G:$G,January!N51,input!$A:$A,January!$B$2)</f>
        <v>0</v>
      </c>
      <c r="V51" s="229">
        <f>COUNTIFS(input!$O:$O,January!$V$45,input!$G:$G,January!N51,input!$A:$A,January!$B$2)</f>
        <v>2</v>
      </c>
      <c r="W51" s="229">
        <f>COUNTIFS(input!$O:$O,January!$W$45,input!$G:$G,January!N51,input!$A:$A,January!$B$2)</f>
        <v>0</v>
      </c>
      <c r="X51" s="292">
        <f>COUNTIFS(input!$O:$O,January!$X$45,input!$G:$G,January!N51,input!$A:$A,January!$B$2)</f>
        <v>0</v>
      </c>
      <c r="Y51" s="219">
        <f t="shared" si="4"/>
        <v>2</v>
      </c>
      <c r="Z51" s="245" cm="1">
        <f t="array" ref="Z51">_xlfn.IFS(Y51=0,0,Y51&gt;=1,Y51/Y$61)</f>
        <v>0.15384615384615385</v>
      </c>
    </row>
    <row r="52" spans="2:26" ht="61" customHeight="1" x14ac:dyDescent="0.25">
      <c r="B52" s="625"/>
      <c r="C52" s="626"/>
      <c r="D52" s="635">
        <f>COUNTIFS(input!O:O,January!$D$22,input!E:E,January!B52)</f>
        <v>0</v>
      </c>
      <c r="E52" s="628">
        <f>COUNTIFS(input!P:P,January!$D$22,input!F:F,January!C52)</f>
        <v>0</v>
      </c>
      <c r="F52" s="628">
        <f>COUNTIFS(input!Q:Q,January!$D$22,input!G:G,January!D52)</f>
        <v>0</v>
      </c>
      <c r="G52" s="637">
        <f>COUNTIFS(input!R:R,January!$D$22,input!H:H,January!E52)</f>
        <v>0</v>
      </c>
      <c r="H52" s="637">
        <f>COUNTIFS(input!S:S,January!$D$22,input!I:I,January!F52)</f>
        <v>0</v>
      </c>
      <c r="I52" s="626">
        <f>COUNTIFS(input!T:T,January!$D$22,input!J:J,January!G52)</f>
        <v>0</v>
      </c>
      <c r="J52" s="637">
        <f>COUNTIFS(input!U:U,January!$D$22,input!K:K,January!H52)</f>
        <v>0</v>
      </c>
      <c r="K52" s="637">
        <f>COUNTIFS(input!V:V,January!$D$22,input!L:L,January!I52)</f>
        <v>0</v>
      </c>
      <c r="L52" s="630"/>
      <c r="M52" s="639"/>
      <c r="N52" s="286" t="s">
        <v>52</v>
      </c>
      <c r="O52" s="286"/>
      <c r="P52" s="227"/>
      <c r="Q52" s="223">
        <f>COUNTIFS(input!$O:$O,January!$Q$45,input!$G:$G,January!N52,input!$A:$A,January!$B$2)</f>
        <v>0</v>
      </c>
      <c r="R52" s="223">
        <f>COUNTIFS(input!$O:$O,January!$R$45,input!$G:$G,January!N52,input!$A:$A,January!$B$2)</f>
        <v>0</v>
      </c>
      <c r="S52" s="223">
        <f>COUNTIFS(input!$O:$O,January!$S$45,input!$G:$G,January!N52,input!$A:$A,January!$B$2)</f>
        <v>0</v>
      </c>
      <c r="T52" s="229">
        <f>COUNTIFS(input!$O:$O,January!$T$45,input!$G:$G,January!N52,input!$A:$A,January!$B$2)</f>
        <v>0</v>
      </c>
      <c r="U52" s="229">
        <f>COUNTIFS(input!$O:$O,January!$U$45,input!$G:$G,January!N52,input!$A:$A,January!$B$2)</f>
        <v>0</v>
      </c>
      <c r="V52" s="229">
        <f>COUNTIFS(input!$O:$O,January!$V$45,input!$G:$G,January!N52,input!$A:$A,January!$B$2)</f>
        <v>0</v>
      </c>
      <c r="W52" s="229">
        <f>COUNTIFS(input!$O:$O,January!$W$45,input!$G:$G,January!N52,input!$A:$A,January!$B$2)</f>
        <v>0</v>
      </c>
      <c r="X52" s="292">
        <f>COUNTIFS(input!$O:$O,January!$X$45,input!$G:$G,January!N52,input!$A:$A,January!$B$2)</f>
        <v>0</v>
      </c>
      <c r="Y52" s="219">
        <f t="shared" si="4"/>
        <v>0</v>
      </c>
      <c r="Z52" s="245" cm="1">
        <f t="array" ref="Z52">_xlfn.IFS(Y52=0,0,Y52&gt;=1,Y52/Y$61)</f>
        <v>0</v>
      </c>
    </row>
    <row r="53" spans="2:26" ht="122" x14ac:dyDescent="0.25">
      <c r="B53" s="625"/>
      <c r="C53" s="626"/>
      <c r="D53" s="635"/>
      <c r="E53" s="628"/>
      <c r="F53" s="628"/>
      <c r="G53" s="637"/>
      <c r="H53" s="637"/>
      <c r="I53" s="626"/>
      <c r="J53" s="637"/>
      <c r="K53" s="637"/>
      <c r="L53" s="630"/>
      <c r="M53" s="639"/>
      <c r="N53" s="285" t="s">
        <v>181</v>
      </c>
      <c r="O53" s="285"/>
      <c r="P53" s="231"/>
      <c r="Q53" s="223">
        <f>COUNTIFS(input!$O:$O,January!$Q$45,input!$G:$G,January!N53,input!$A:$A,January!$B$2)</f>
        <v>0</v>
      </c>
      <c r="R53" s="223">
        <f>COUNTIFS(input!$O:$O,January!$R$45,input!$G:$G,January!N53,input!$A:$A,January!$B$2)</f>
        <v>0</v>
      </c>
      <c r="S53" s="223">
        <f>COUNTIFS(input!$O:$O,January!$S$45,input!$G:$G,January!N53,input!$A:$A,January!$B$2)</f>
        <v>0</v>
      </c>
      <c r="T53" s="229">
        <f>COUNTIFS(input!$O:$O,January!$T$45,input!$G:$G,January!N53,input!$A:$A,January!$B$2)</f>
        <v>0</v>
      </c>
      <c r="U53" s="229">
        <f>COUNTIFS(input!$O:$O,January!$U$45,input!$G:$G,January!N53,input!$A:$A,January!$B$2)</f>
        <v>0</v>
      </c>
      <c r="V53" s="229">
        <f>COUNTIFS(input!$O:$O,January!$V$45,input!$G:$G,January!N53,input!$A:$A,January!$B$2)</f>
        <v>0</v>
      </c>
      <c r="W53" s="229">
        <f>COUNTIFS(input!$O:$O,January!$W$45,input!$G:$G,January!N53,input!$A:$A,January!$B$2)</f>
        <v>1</v>
      </c>
      <c r="X53" s="292">
        <f>COUNTIFS(input!$O:$O,January!$X$45,input!$G:$G,January!N53,input!$A:$A,January!$B$2)</f>
        <v>0</v>
      </c>
      <c r="Y53" s="219">
        <f t="shared" si="4"/>
        <v>1</v>
      </c>
      <c r="Z53" s="245" cm="1">
        <f t="array" ref="Z53">_xlfn.IFS(Y53=0,0,Y53&gt;=1,Y53/Y$61)</f>
        <v>7.6923076923076927E-2</v>
      </c>
    </row>
    <row r="54" spans="2:26" ht="61" x14ac:dyDescent="0.25">
      <c r="B54" s="625"/>
      <c r="C54" s="626"/>
      <c r="D54" s="635">
        <f>COUNTIFS(input!O:O,January!$D$22,input!E:E,January!B54)</f>
        <v>0</v>
      </c>
      <c r="E54" s="628">
        <f>COUNTIFS(input!P:P,January!$D$22,input!F:F,January!C54)</f>
        <v>0</v>
      </c>
      <c r="F54" s="628">
        <f>COUNTIFS(input!Q:Q,January!$D$22,input!G:G,January!D54)</f>
        <v>0</v>
      </c>
      <c r="G54" s="637">
        <f>COUNTIFS(input!R:R,January!$D$22,input!H:H,January!E54)</f>
        <v>0</v>
      </c>
      <c r="H54" s="637">
        <f>COUNTIFS(input!S:S,January!$D$22,input!I:I,January!F54)</f>
        <v>0</v>
      </c>
      <c r="I54" s="626">
        <f>COUNTIFS(input!T:T,January!$D$22,input!J:J,January!G54)</f>
        <v>0</v>
      </c>
      <c r="J54" s="637">
        <f>COUNTIFS(input!U:U,January!$D$22,input!K:K,January!H54)</f>
        <v>0</v>
      </c>
      <c r="K54" s="637">
        <f>COUNTIFS(input!V:V,January!$D$22,input!L:L,January!I54)</f>
        <v>0</v>
      </c>
      <c r="L54" s="630"/>
      <c r="M54" s="639"/>
      <c r="N54" s="285" t="s">
        <v>415</v>
      </c>
      <c r="O54" s="285"/>
      <c r="P54" s="231"/>
      <c r="Q54" s="223">
        <f>COUNTIFS(input!$O:$O,January!$Q$45,input!$G:$G,January!N54,input!$A:$A,January!$B$2)</f>
        <v>0</v>
      </c>
      <c r="R54" s="223">
        <f>COUNTIFS(input!$O:$O,January!$R$45,input!$G:$G,January!N54,input!$A:$A,January!$B$2)</f>
        <v>0</v>
      </c>
      <c r="S54" s="223">
        <f>COUNTIFS(input!$O:$O,January!$S$45,input!$G:$G,January!N54,input!$A:$A,January!$B$2)</f>
        <v>0</v>
      </c>
      <c r="T54" s="229">
        <f>COUNTIFS(input!$O:$O,January!$T$45,input!$G:$G,January!N54,input!$A:$A,January!$B$2)</f>
        <v>1</v>
      </c>
      <c r="U54" s="229">
        <f>COUNTIFS(input!$O:$O,January!$U$45,input!$G:$G,January!N54,input!$A:$A,January!$B$2)</f>
        <v>0</v>
      </c>
      <c r="V54" s="229">
        <f>COUNTIFS(input!$O:$O,January!$V$45,input!$G:$G,January!N54,input!$A:$A,January!$B$2)</f>
        <v>0</v>
      </c>
      <c r="W54" s="229">
        <f>COUNTIFS(input!$O:$O,January!$W$45,input!$G:$G,January!N54,input!$A:$A,January!$B$2)</f>
        <v>0</v>
      </c>
      <c r="X54" s="292">
        <f>COUNTIFS(input!$O:$O,January!$X$45,input!$G:$G,January!N54,input!$A:$A,January!$B$2)</f>
        <v>0</v>
      </c>
      <c r="Y54" s="219">
        <f t="shared" si="4"/>
        <v>1</v>
      </c>
      <c r="Z54" s="245" cm="1">
        <f t="array" ref="Z54">_xlfn.IFS(Y54=0,0,Y54&gt;=1,Y54/Y$61)</f>
        <v>7.6923076923076927E-2</v>
      </c>
    </row>
    <row r="55" spans="2:26" ht="61" customHeight="1" x14ac:dyDescent="0.25">
      <c r="B55" s="625"/>
      <c r="C55" s="626"/>
      <c r="D55" s="636">
        <f>COUNTIFS(input!O:O,January!$D$22,input!E:E,January!B55)</f>
        <v>0</v>
      </c>
      <c r="E55" s="628">
        <f>COUNTIFS(input!P:P,January!$D$22,input!F:F,January!C55)</f>
        <v>0</v>
      </c>
      <c r="F55" s="628">
        <f>COUNTIFS(input!Q:Q,January!$D$22,input!G:G,January!D55)</f>
        <v>0</v>
      </c>
      <c r="G55" s="637">
        <f>COUNTIFS(input!R:R,January!$D$22,input!H:H,January!E55)</f>
        <v>0</v>
      </c>
      <c r="H55" s="637">
        <f>COUNTIFS(input!S:S,January!$D$22,input!I:I,January!F55)</f>
        <v>0</v>
      </c>
      <c r="I55" s="626">
        <f>COUNTIFS(input!T:T,January!$D$22,input!J:J,January!G55)</f>
        <v>0</v>
      </c>
      <c r="J55" s="637">
        <f>COUNTIFS(input!U:U,January!$D$22,input!K:K,January!H55)</f>
        <v>0</v>
      </c>
      <c r="K55" s="637">
        <f>COUNTIFS(input!V:V,January!$D$22,input!L:L,January!I55)</f>
        <v>0</v>
      </c>
      <c r="L55" s="631"/>
      <c r="M55" s="640"/>
      <c r="N55" s="569" t="s">
        <v>414</v>
      </c>
      <c r="O55" s="569"/>
      <c r="P55" s="570"/>
      <c r="Q55" s="223">
        <f>COUNTIFS(input!$O:$O,January!$Q$45,input!$G:$G,January!N55,input!$A:$A,January!$B$2)</f>
        <v>0</v>
      </c>
      <c r="R55" s="223">
        <f>COUNTIFS(input!$O:$O,January!$R$45,input!$G:$G,January!N55,input!$A:$A,January!$B$2)</f>
        <v>0</v>
      </c>
      <c r="S55" s="223">
        <f>COUNTIFS(input!$O:$O,January!$S$45,input!$G:$G,January!N55,input!$A:$A,January!$B$2)</f>
        <v>0</v>
      </c>
      <c r="T55" s="229">
        <f>COUNTIFS(input!$O:$O,January!$T$45,input!$G:$G,January!N55,input!$A:$A,January!$B$2)</f>
        <v>1</v>
      </c>
      <c r="U55" s="229">
        <f>COUNTIFS(input!$O:$O,January!$U$45,input!$G:$G,January!N55,input!$A:$A,January!$B$2)</f>
        <v>0</v>
      </c>
      <c r="V55" s="229">
        <f>COUNTIFS(input!$O:$O,January!$V$45,input!$G:$G,January!N55,input!$A:$A,January!$B$2)</f>
        <v>0</v>
      </c>
      <c r="W55" s="229">
        <f>COUNTIFS(input!$O:$O,January!$W$45,input!$G:$G,January!N55,input!$A:$A,January!$B$2)</f>
        <v>0</v>
      </c>
      <c r="X55" s="292">
        <f>COUNTIFS(input!$O:$O,January!$X$45,input!$G:$G,January!N55,input!$A:$A,January!$B$2)</f>
        <v>0</v>
      </c>
      <c r="Y55" s="219">
        <f t="shared" si="4"/>
        <v>1</v>
      </c>
      <c r="Z55" s="245" cm="1">
        <f t="array" ref="Z55">_xlfn.IFS(Y55=0,0,Y55&gt;=1,Y55/Y$61)</f>
        <v>7.6923076923076927E-2</v>
      </c>
    </row>
    <row r="56" spans="2:26" ht="61" x14ac:dyDescent="0.25">
      <c r="B56" s="625" t="s">
        <v>15</v>
      </c>
      <c r="C56" s="626"/>
      <c r="D56" s="634">
        <f>COUNTIFS(input!$O:$O,January!$D$45,input!$K:$K,January!B56,input!$A:$A,January!$B$2)</f>
        <v>1</v>
      </c>
      <c r="E56" s="628">
        <f>COUNTIFS(input!$O:$O,January!$E$45,input!$K:$K,January!B56,input!$A:$A,January!$B$2)</f>
        <v>0</v>
      </c>
      <c r="F56" s="628">
        <f>COUNTIFS(input!$O:$O,January!$F$45,input!$K:$K,January!B56,input!$A:$A,January!$B$2)</f>
        <v>0</v>
      </c>
      <c r="G56" s="637">
        <f>COUNTIFS(input!$O:$O,January!$G$45,input!$K:$K,January!B56,input!$A:$A,January!$B$2)</f>
        <v>0</v>
      </c>
      <c r="H56" s="637">
        <f>COUNTIFS(input!$O:$O,January!$H$45,input!$K:$K,January!B56,input!$A:$A,January!$B$2)</f>
        <v>0</v>
      </c>
      <c r="I56" s="626">
        <f>COUNTIFS(input!$O:$O,January!$I$45,input!$K:$K,January!B56,input!$A:$A,January!$B$2)</f>
        <v>0</v>
      </c>
      <c r="J56" s="637">
        <f>COUNTIFS(input!$O:$O,January!$J$45,input!$K:$K,January!B56,input!$A:$A,January!$B$2)</f>
        <v>1</v>
      </c>
      <c r="K56" s="637">
        <f>COUNTIFS(input!$O:$O,January!$K$45,input!$K:$K,January!B56,input!$A:$A,January!$B$2)</f>
        <v>1</v>
      </c>
      <c r="L56" s="629">
        <f>SUM(D56:K60)</f>
        <v>3</v>
      </c>
      <c r="M56" s="716">
        <f>_xlfn.IFS(L56=0,0,L56&gt;=1,L56/L61)</f>
        <v>0.23076923076923078</v>
      </c>
      <c r="N56" s="569" t="s">
        <v>398</v>
      </c>
      <c r="O56" s="569"/>
      <c r="P56" s="570"/>
      <c r="Q56" s="223">
        <f>COUNTIFS(input!$O:$O,January!$Q$45,input!$G:$G,January!N56,input!$A:$A,January!$B$2)</f>
        <v>0</v>
      </c>
      <c r="R56" s="223">
        <f>COUNTIFS(input!$O:$O,January!$R$45,input!$G:$G,January!N56,input!$A:$A,January!$B$2)</f>
        <v>0</v>
      </c>
      <c r="S56" s="223">
        <f>COUNTIFS(input!$O:$O,January!$S$45,input!$G:$G,January!N56,input!$A:$A,January!$B$2)</f>
        <v>0</v>
      </c>
      <c r="T56" s="229">
        <f>COUNTIFS(input!$O:$O,January!$T$45,input!$G:$G,January!N56,input!$A:$A,January!$B$2)</f>
        <v>1</v>
      </c>
      <c r="U56" s="229">
        <f>COUNTIFS(input!$O:$O,January!$U$45,input!$G:$G,January!N56,input!$A:$A,January!$B$2)</f>
        <v>0</v>
      </c>
      <c r="V56" s="229">
        <f>COUNTIFS(input!$O:$O,January!$V$45,input!$G:$G,January!N56,input!$A:$A,January!$B$2)</f>
        <v>0</v>
      </c>
      <c r="W56" s="229">
        <f>COUNTIFS(input!$O:$O,January!$W$45,input!$G:$G,January!N56,input!$A:$A,January!$B$2)</f>
        <v>0</v>
      </c>
      <c r="X56" s="292">
        <f>COUNTIFS(input!$O:$O,January!$X$45,input!$G:$G,January!N56,input!$A:$A,January!$B$2)</f>
        <v>0</v>
      </c>
      <c r="Y56" s="219">
        <f t="shared" si="4"/>
        <v>1</v>
      </c>
      <c r="Z56" s="245" cm="1">
        <f t="array" ref="Z56">_xlfn.IFS(Y56=0,0,Y56&gt;=1,Y56/Y$61)</f>
        <v>7.6923076923076927E-2</v>
      </c>
    </row>
    <row r="57" spans="2:26" ht="61" customHeight="1" x14ac:dyDescent="0.25">
      <c r="B57" s="625"/>
      <c r="C57" s="626"/>
      <c r="D57" s="635">
        <f>COUNTIFS(input!O:O,January!$D$22,input!E:E,January!B57)</f>
        <v>0</v>
      </c>
      <c r="E57" s="628">
        <f>COUNTIFS(input!P:P,January!$D$22,input!F:F,January!C57)</f>
        <v>0</v>
      </c>
      <c r="F57" s="628">
        <f>COUNTIFS(input!Q:Q,January!$D$22,input!G:G,January!D57)</f>
        <v>0</v>
      </c>
      <c r="G57" s="637">
        <f>COUNTIFS(input!R:R,January!$D$22,input!H:H,January!E57)</f>
        <v>0</v>
      </c>
      <c r="H57" s="637">
        <f>COUNTIFS(input!S:S,January!$D$22,input!I:I,January!F57)</f>
        <v>0</v>
      </c>
      <c r="I57" s="626">
        <f>COUNTIFS(input!T:T,January!$D$22,input!J:J,January!G57)</f>
        <v>0</v>
      </c>
      <c r="J57" s="637">
        <f>COUNTIFS(input!U:U,January!$D$22,input!K:K,January!H57)</f>
        <v>0</v>
      </c>
      <c r="K57" s="637">
        <f>COUNTIFS(input!V:V,January!$D$22,input!L:L,January!I57)</f>
        <v>0</v>
      </c>
      <c r="L57" s="630"/>
      <c r="M57" s="633"/>
      <c r="N57" s="569" t="s">
        <v>483</v>
      </c>
      <c r="O57" s="569"/>
      <c r="P57" s="570"/>
      <c r="Q57" s="223">
        <f>COUNTIFS(input!$O:$O,January!$Q$45,input!$G:$G,January!N57,input!$A:$A,January!$B$2)</f>
        <v>0</v>
      </c>
      <c r="R57" s="223">
        <f>COUNTIFS(input!$O:$O,January!$R$45,input!$G:$G,January!N57,input!$A:$A,January!$B$2)</f>
        <v>1</v>
      </c>
      <c r="S57" s="223">
        <f>COUNTIFS(input!$O:$O,January!$S$45,input!$G:$G,January!N57,input!$A:$A,January!$B$2)</f>
        <v>0</v>
      </c>
      <c r="T57" s="229">
        <f>COUNTIFS(input!$O:$O,January!$T$45,input!$G:$G,January!N57,input!$A:$A,January!$B$2)</f>
        <v>0</v>
      </c>
      <c r="U57" s="229">
        <f>COUNTIFS(input!$O:$O,January!$U$45,input!$G:$G,January!N57,input!$A:$A,January!$B$2)</f>
        <v>0</v>
      </c>
      <c r="V57" s="229">
        <f>COUNTIFS(input!$O:$O,January!$V$45,input!$G:$G,January!N57,input!$A:$A,January!$B$2)</f>
        <v>0</v>
      </c>
      <c r="W57" s="229">
        <f>COUNTIFS(input!$O:$O,January!$W$45,input!$G:$G,January!N57,input!$A:$A,January!$B$2)</f>
        <v>0</v>
      </c>
      <c r="X57" s="292">
        <f>COUNTIFS(input!$O:$O,January!$X$45,input!$G:$G,January!N57,input!$A:$A,January!$B$2)</f>
        <v>0</v>
      </c>
      <c r="Y57" s="219">
        <f t="shared" si="4"/>
        <v>1</v>
      </c>
      <c r="Z57" s="245" cm="1">
        <f t="array" ref="Z57">_xlfn.IFS(Y57=0,0,Y57&gt;=1,Y57/Y$61)</f>
        <v>7.6923076923076927E-2</v>
      </c>
    </row>
    <row r="58" spans="2:26" ht="61" x14ac:dyDescent="0.25">
      <c r="B58" s="625"/>
      <c r="C58" s="626"/>
      <c r="D58" s="635">
        <f>COUNTIFS(input!O:O,January!$D$22,input!E:E,January!B58)</f>
        <v>0</v>
      </c>
      <c r="E58" s="628">
        <f>COUNTIFS(input!P:P,January!$D$22,input!F:F,January!C58)</f>
        <v>0</v>
      </c>
      <c r="F58" s="628">
        <f>COUNTIFS(input!Q:Q,January!$D$22,input!G:G,January!D58)</f>
        <v>0</v>
      </c>
      <c r="G58" s="637">
        <f>COUNTIFS(input!R:R,January!$D$22,input!H:H,January!E58)</f>
        <v>0</v>
      </c>
      <c r="H58" s="637">
        <f>COUNTIFS(input!S:S,January!$D$22,input!I:I,January!F58)</f>
        <v>0</v>
      </c>
      <c r="I58" s="626">
        <f>COUNTIFS(input!T:T,January!$D$22,input!J:J,January!G58)</f>
        <v>0</v>
      </c>
      <c r="J58" s="637">
        <f>COUNTIFS(input!U:U,January!$D$22,input!K:K,January!H58)</f>
        <v>0</v>
      </c>
      <c r="K58" s="637">
        <f>COUNTIFS(input!V:V,January!$D$22,input!L:L,January!I58)</f>
        <v>0</v>
      </c>
      <c r="L58" s="630"/>
      <c r="M58" s="633"/>
      <c r="N58" s="569" t="s">
        <v>684</v>
      </c>
      <c r="O58" s="569"/>
      <c r="P58" s="570"/>
      <c r="Q58" s="223">
        <f>COUNTIFS(input!$O:$O,January!$Q$45,input!$G:$G,January!N58,input!$A:$A,January!$B$2)</f>
        <v>0</v>
      </c>
      <c r="R58" s="223">
        <f>COUNTIFS(input!$O:$O,January!$R$45,input!$G:$G,January!N58,input!$A:$A,January!$B$2)</f>
        <v>0</v>
      </c>
      <c r="S58" s="223">
        <f>COUNTIFS(input!$O:$O,January!$S$45,input!$G:$G,January!N58,input!$A:$A,January!$B$2)</f>
        <v>0</v>
      </c>
      <c r="T58" s="229">
        <f>COUNTIFS(input!$O:$O,January!$T$45,input!$G:$G,January!N58,input!$A:$A,January!$B$2)</f>
        <v>0</v>
      </c>
      <c r="U58" s="229">
        <f>COUNTIFS(input!$O:$O,January!$U$45,input!$G:$G,January!N58,input!$A:$A,January!$B$2)</f>
        <v>0</v>
      </c>
      <c r="V58" s="229">
        <f>COUNTIFS(input!$O:$O,January!$V$45,input!$G:$G,January!N58,input!$A:$A,January!$B$2)</f>
        <v>0</v>
      </c>
      <c r="W58" s="229">
        <f>COUNTIFS(input!$O:$O,January!$W$45,input!$G:$G,January!N58,input!$A:$A,January!$B$2)</f>
        <v>0</v>
      </c>
      <c r="X58" s="292">
        <f>COUNTIFS(input!$O:$O,January!$X$45,input!$G:$G,January!N58,input!$A:$A,January!$B$2)</f>
        <v>1</v>
      </c>
      <c r="Y58" s="219">
        <f t="shared" si="4"/>
        <v>1</v>
      </c>
      <c r="Z58" s="245" cm="1">
        <f t="array" ref="Z58">_xlfn.IFS(Y58=0,0,Y58&gt;=1,Y58/Y$61)</f>
        <v>7.6923076923076927E-2</v>
      </c>
    </row>
    <row r="59" spans="2:26" ht="61" x14ac:dyDescent="0.25">
      <c r="B59" s="625"/>
      <c r="C59" s="626"/>
      <c r="D59" s="635"/>
      <c r="E59" s="628"/>
      <c r="F59" s="628"/>
      <c r="G59" s="637"/>
      <c r="H59" s="637"/>
      <c r="I59" s="626"/>
      <c r="J59" s="637"/>
      <c r="K59" s="637"/>
      <c r="L59" s="630"/>
      <c r="M59" s="633"/>
      <c r="N59" s="720" t="s">
        <v>678</v>
      </c>
      <c r="O59" s="721"/>
      <c r="P59" s="573"/>
      <c r="Q59" s="223">
        <f>COUNTIFS(input!$O:$O,January!$Q$45,input!$G:$G,January!N59,input!$A:$A,January!$B$2)</f>
        <v>0</v>
      </c>
      <c r="R59" s="223">
        <f>COUNTIFS(input!$O:$O,January!$R$45,input!$G:$G,January!N59,input!$A:$A,January!$B$2)</f>
        <v>0</v>
      </c>
      <c r="S59" s="223">
        <f>COUNTIFS(input!$O:$O,January!$S$45,input!$G:$G,January!N59,input!$A:$A,January!$B$2)</f>
        <v>0</v>
      </c>
      <c r="T59" s="229">
        <f>COUNTIFS(input!$O:$O,January!$T$45,input!$G:$G,January!N59,input!$A:$A,January!$B$2)</f>
        <v>0</v>
      </c>
      <c r="U59" s="229">
        <f>COUNTIFS(input!$O:$O,January!$U$45,input!$G:$G,January!N59,input!$A:$A,January!$B$2)</f>
        <v>0</v>
      </c>
      <c r="V59" s="229">
        <f>COUNTIFS(input!$O:$O,January!$V$45,input!$G:$G,January!N59,input!$A:$A,January!$B$2)</f>
        <v>0</v>
      </c>
      <c r="W59" s="229">
        <f>COUNTIFS(input!$O:$O,January!$W$45,input!$G:$G,January!N59,input!$A:$A,January!$B$2)</f>
        <v>0</v>
      </c>
      <c r="X59" s="229">
        <f>COUNTIFS(input!$O:$O,January!$X$45,input!$G:$G,January!N59,input!$A:$A,January!$B$2)</f>
        <v>1</v>
      </c>
      <c r="Y59" s="219">
        <f t="shared" si="4"/>
        <v>1</v>
      </c>
      <c r="Z59" s="245" cm="1">
        <f t="array" ref="Z59">_xlfn.IFS(Y59=0,0,Y59&gt;=1,Y59/Y$61)</f>
        <v>7.6923076923076927E-2</v>
      </c>
    </row>
    <row r="60" spans="2:26" ht="61" x14ac:dyDescent="0.25">
      <c r="B60" s="625"/>
      <c r="C60" s="626"/>
      <c r="D60" s="726">
        <f>COUNTIFS(input!O:O,January!$D$22,input!E:E,January!B60)</f>
        <v>0</v>
      </c>
      <c r="E60" s="628">
        <f>COUNTIFS(input!P:P,January!$D$22,input!F:F,January!C60)</f>
        <v>0</v>
      </c>
      <c r="F60" s="628">
        <f>COUNTIFS(input!Q:Q,January!$D$22,input!G:G,January!D60)</f>
        <v>0</v>
      </c>
      <c r="G60" s="637">
        <f>COUNTIFS(input!R:R,January!$D$22,input!H:H,January!E60)</f>
        <v>0</v>
      </c>
      <c r="H60" s="637">
        <f>COUNTIFS(input!S:S,January!$D$22,input!I:I,January!F60)</f>
        <v>0</v>
      </c>
      <c r="I60" s="626">
        <f>COUNTIFS(input!T:T,January!$D$22,input!J:J,January!G60)</f>
        <v>0</v>
      </c>
      <c r="J60" s="637">
        <f>COUNTIFS(input!U:U,January!$D$22,input!K:K,January!H60)</f>
        <v>0</v>
      </c>
      <c r="K60" s="637">
        <f>COUNTIFS(input!V:V,January!$D$22,input!L:L,January!I60)</f>
        <v>0</v>
      </c>
      <c r="L60" s="631"/>
      <c r="M60" s="633"/>
      <c r="N60" s="717" t="s">
        <v>689</v>
      </c>
      <c r="O60" s="718"/>
      <c r="P60" s="719"/>
      <c r="Q60" s="248">
        <f>COUNTIFS(input!$O:$O,January!$Q$45,input!$G:$G,January!N60,input!$A:$A,January!$B$2)</f>
        <v>0</v>
      </c>
      <c r="R60" s="248">
        <f>COUNTIFS(input!$O:$O,January!$R$45,input!$G:$G,January!N60,input!$A:$A,January!$B$2)</f>
        <v>0</v>
      </c>
      <c r="S60" s="248">
        <f>COUNTIFS(input!$O:$O,January!$S$45,input!$G:$G,January!N60,input!$A:$A,January!$B$2)</f>
        <v>0</v>
      </c>
      <c r="T60" s="249">
        <f>COUNTIFS(input!$O:$O,January!$T$45,input!$G:$G,January!N60,input!$A:$A,January!$B$2)</f>
        <v>0</v>
      </c>
      <c r="U60" s="249">
        <f>COUNTIFS(input!$O:$O,January!$U$45,input!$G:$G,January!N60,input!$A:$A,January!$B$2)</f>
        <v>0</v>
      </c>
      <c r="V60" s="249">
        <f>COUNTIFS(input!$O:$O,January!$V$45,input!$G:$G,January!N60,input!$A:$A,January!$B$2)</f>
        <v>0</v>
      </c>
      <c r="W60" s="249">
        <f>COUNTIFS(input!$O:$O,January!$W$45,input!$G:$G,January!N60,input!$A:$A,January!$B$2)</f>
        <v>0</v>
      </c>
      <c r="X60" s="249">
        <f>COUNTIFS(input!$O:$O,January!$X$45,input!$G:$G,January!N60,input!$A:$A,January!$B$2)</f>
        <v>1</v>
      </c>
      <c r="Y60" s="219">
        <f t="shared" si="4"/>
        <v>1</v>
      </c>
      <c r="Z60" s="245" cm="1">
        <f t="array" ref="Z60">_xlfn.IFS(Y60=0,0,Y60&gt;=1,Y60/Y$61)</f>
        <v>7.6923076923076927E-2</v>
      </c>
    </row>
    <row r="61" spans="2:26" ht="60.5" thickBot="1" x14ac:dyDescent="0.3">
      <c r="B61" s="712" t="s">
        <v>4</v>
      </c>
      <c r="C61" s="672"/>
      <c r="D61" s="250">
        <f t="shared" ref="D61:K61" si="5">SUM(D46:D60)</f>
        <v>1</v>
      </c>
      <c r="E61" s="250">
        <f t="shared" si="5"/>
        <v>1</v>
      </c>
      <c r="F61" s="250">
        <f t="shared" si="5"/>
        <v>0</v>
      </c>
      <c r="G61" s="250">
        <f t="shared" si="5"/>
        <v>5</v>
      </c>
      <c r="H61" s="250">
        <f t="shared" si="5"/>
        <v>0</v>
      </c>
      <c r="I61" s="250">
        <f t="shared" si="5"/>
        <v>2</v>
      </c>
      <c r="J61" s="250">
        <f t="shared" si="5"/>
        <v>1</v>
      </c>
      <c r="K61" s="250">
        <f t="shared" si="5"/>
        <v>3</v>
      </c>
      <c r="L61" s="250">
        <f>SUM(L46:L60)</f>
        <v>13</v>
      </c>
      <c r="M61" s="251">
        <f>SUM(M46:M60)</f>
        <v>1</v>
      </c>
      <c r="N61" s="671" t="s">
        <v>4</v>
      </c>
      <c r="O61" s="671"/>
      <c r="P61" s="672"/>
      <c r="Q61" s="250">
        <f>SUM(Q46:Q60)</f>
        <v>1</v>
      </c>
      <c r="R61" s="250">
        <f t="shared" ref="R61:X61" si="6">SUM(R46:R60)</f>
        <v>1</v>
      </c>
      <c r="S61" s="250">
        <f t="shared" si="6"/>
        <v>0</v>
      </c>
      <c r="T61" s="250">
        <f t="shared" si="6"/>
        <v>5</v>
      </c>
      <c r="U61" s="250">
        <f t="shared" si="6"/>
        <v>0</v>
      </c>
      <c r="V61" s="250">
        <f t="shared" si="6"/>
        <v>2</v>
      </c>
      <c r="W61" s="250">
        <f t="shared" si="6"/>
        <v>1</v>
      </c>
      <c r="X61" s="250">
        <f t="shared" si="6"/>
        <v>3</v>
      </c>
      <c r="Y61" s="250">
        <f>SUM(Y46:Y60)</f>
        <v>13</v>
      </c>
      <c r="Z61" s="252">
        <f>SUM(Z46:Z60)</f>
        <v>0.99999999999999978</v>
      </c>
    </row>
    <row r="62" spans="2:26" ht="61.5" customHeight="1" x14ac:dyDescent="0.25">
      <c r="B62" s="713" t="s">
        <v>44</v>
      </c>
      <c r="C62" s="608"/>
      <c r="D62" s="215" t="s">
        <v>6</v>
      </c>
      <c r="E62" s="215" t="s">
        <v>2</v>
      </c>
      <c r="F62" s="215" t="s">
        <v>3</v>
      </c>
      <c r="G62" s="215" t="s">
        <v>1</v>
      </c>
      <c r="H62" s="215" t="s">
        <v>0</v>
      </c>
      <c r="I62" s="215" t="s">
        <v>53</v>
      </c>
      <c r="J62" s="215" t="s">
        <v>12</v>
      </c>
      <c r="K62" s="213" t="s">
        <v>693</v>
      </c>
      <c r="L62" s="215" t="s">
        <v>5</v>
      </c>
      <c r="M62" s="253" t="s">
        <v>40</v>
      </c>
      <c r="N62" s="607" t="s">
        <v>70</v>
      </c>
      <c r="O62" s="607"/>
      <c r="P62" s="608"/>
      <c r="Q62" s="215" t="s">
        <v>6</v>
      </c>
      <c r="R62" s="215" t="s">
        <v>2</v>
      </c>
      <c r="S62" s="215" t="s">
        <v>3</v>
      </c>
      <c r="T62" s="215" t="s">
        <v>1</v>
      </c>
      <c r="U62" s="215" t="s">
        <v>0</v>
      </c>
      <c r="V62" s="215" t="s">
        <v>53</v>
      </c>
      <c r="W62" s="215" t="s">
        <v>12</v>
      </c>
      <c r="X62" s="213" t="s">
        <v>693</v>
      </c>
      <c r="Y62" s="215" t="s">
        <v>5</v>
      </c>
      <c r="Z62" s="216" t="s">
        <v>40</v>
      </c>
    </row>
    <row r="63" spans="2:26" ht="61" x14ac:dyDescent="0.25">
      <c r="B63" s="571" t="s">
        <v>357</v>
      </c>
      <c r="C63" s="570"/>
      <c r="D63" s="217">
        <f>COUNTIFS(input!$O:$O,January!$D$62,input!$W:$W,January!B63,input!$A:$A,January!$B$2)</f>
        <v>0</v>
      </c>
      <c r="E63" s="217">
        <f>COUNTIFS(input!$O:$O,January!$E$62,input!$W:$W,January!B63,input!$A:$A,January!$B$2)</f>
        <v>0</v>
      </c>
      <c r="F63" s="217">
        <f>COUNTIFS(input!$O:$O,January!$F$62,input!$W:$W,January!B63,input!$A:$A,January!$B$2)</f>
        <v>0</v>
      </c>
      <c r="G63" s="221">
        <f>COUNTIFS(input!$O:$O,January!$G$62,input!$W:$W,January!B63,input!$A:$A,January!$B$2)</f>
        <v>0</v>
      </c>
      <c r="H63" s="221">
        <f>COUNTIFS(input!$O:$O,January!$H$62,input!$W:$W,January!B63,input!$A:$A,January!$B$2)</f>
        <v>0</v>
      </c>
      <c r="I63" s="221">
        <f>COUNTIFS(input!$O:$O,January!$I$62,input!$W:$W,January!B63,input!$A:$A,January!$B$2)</f>
        <v>1</v>
      </c>
      <c r="J63" s="221">
        <f>COUNTIFS(input!$O:$O,January!$J$62,input!$W:$W,January!B63,input!$A:$A,January!$B$2)</f>
        <v>0</v>
      </c>
      <c r="K63" s="221">
        <f>COUNTIFS(input!$O:$O,January!$K$62,input!$W:$W,January!B63,input!$A:$A,January!$B$2)</f>
        <v>0</v>
      </c>
      <c r="L63" s="219">
        <f t="shared" ref="L63:L85" si="7">SUM(D63:K63)</f>
        <v>1</v>
      </c>
      <c r="M63" s="220" cm="1">
        <f t="array" ref="M63">_xlfn.IFS(L63=0,0,L63&gt;=1,L63/L87)</f>
        <v>7.6923076923076927E-2</v>
      </c>
      <c r="N63" s="714" t="s">
        <v>370</v>
      </c>
      <c r="O63" s="714"/>
      <c r="P63" s="715"/>
      <c r="Q63" s="217">
        <f>COUNTIFS(input!$O:$O,January!$Q$62,input!$X:$X,January!N63,input!$A:$A,January!$B$2)</f>
        <v>0</v>
      </c>
      <c r="R63" s="217">
        <f>COUNTIFS(input!$O:$O,January!$R$62,input!$X:$X,January!N63,input!$A:$A,January!$B$2)</f>
        <v>0</v>
      </c>
      <c r="S63" s="217">
        <f>COUNTIFS(input!$O:$O,January!$S$62,input!$X:$X,January!N63,input!$A:$A,January!$B$2)</f>
        <v>0</v>
      </c>
      <c r="T63" s="221">
        <f>COUNTIFS(input!$O:$O,January!$T$62,input!$X:$X,January!N63,input!$A:$A,January!$B$2)</f>
        <v>0</v>
      </c>
      <c r="U63" s="221">
        <f>COUNTIFS(input!$O:$O,January!$U$62,input!$X:$X,January!N63,input!$A:$A,January!$B$2)</f>
        <v>0</v>
      </c>
      <c r="V63" s="254">
        <f>COUNTIFS(input!$O:$O,January!$V$62,input!$X:$X,January!N63,input!$A:$A,January!$B$2)</f>
        <v>0</v>
      </c>
      <c r="W63" s="254">
        <f>COUNTIFS(input!$O:$O,January!$W$62,input!$X:$X,January!N63,input!$A:$A,January!$B$2)</f>
        <v>0</v>
      </c>
      <c r="X63" s="254">
        <f>COUNTIFS(input!$O:$O,January!$X$62,input!$X:$X,January!N63,input!$A:$A,January!$B$2)</f>
        <v>0</v>
      </c>
      <c r="Y63" s="219">
        <f>SUM(Q63:X63)</f>
        <v>0</v>
      </c>
      <c r="Z63" s="222" cm="1">
        <f t="array" ref="Z63">_xlfn.IFS(Y63=0,0,Y63&gt;=1,Y63/Y$87)</f>
        <v>0</v>
      </c>
    </row>
    <row r="64" spans="2:26" ht="61" x14ac:dyDescent="0.25">
      <c r="B64" s="571" t="s">
        <v>359</v>
      </c>
      <c r="C64" s="570"/>
      <c r="D64" s="223">
        <f>COUNTIFS(input!$O:$O,January!$D$62,input!$W:$W,January!B64,input!$A:$A,January!$B$2)</f>
        <v>0</v>
      </c>
      <c r="E64" s="223">
        <f>COUNTIFS(input!$O:$O,January!$E$62,input!$W:$W,January!B64,input!$A:$A,January!$B$2)</f>
        <v>0</v>
      </c>
      <c r="F64" s="223">
        <f>COUNTIFS(input!$O:$O,January!$F$62,input!$W:$W,January!B64,input!$A:$A,January!$B$2)</f>
        <v>0</v>
      </c>
      <c r="G64" s="229">
        <f>COUNTIFS(input!$O:$O,January!$G$62,input!$W:$W,January!B64,input!$A:$A,January!$B$2)</f>
        <v>1</v>
      </c>
      <c r="H64" s="228">
        <f>COUNTIFS(input!$O:$O,January!$H$62,input!$W:$W,January!B64,input!$A:$A,January!$B$2)</f>
        <v>0</v>
      </c>
      <c r="I64" s="228">
        <f>COUNTIFS(input!$O:$O,January!$I$62,input!$W:$W,January!B64,input!$A:$A,January!$B$2)</f>
        <v>0</v>
      </c>
      <c r="J64" s="228">
        <f>COUNTIFS(input!$O:$O,January!$J$62,input!$W:$W,January!B64,input!$A:$A,January!$B$2)</f>
        <v>0</v>
      </c>
      <c r="K64" s="289">
        <f>COUNTIFS(input!$O:$O,January!$K$62,input!$W:$W,January!B64,input!$A:$A,January!$B$2)</f>
        <v>0</v>
      </c>
      <c r="L64" s="219">
        <f t="shared" si="7"/>
        <v>1</v>
      </c>
      <c r="M64" s="226" cm="1">
        <f t="array" ref="M64">_xlfn.IFS(L64=0,0,L64&gt;=1,L64/L87)</f>
        <v>7.6923076923076927E-2</v>
      </c>
      <c r="N64" s="720" t="s">
        <v>371</v>
      </c>
      <c r="O64" s="721"/>
      <c r="P64" s="573"/>
      <c r="Q64" s="223">
        <f>COUNTIFS(input!$O:$O,January!$Q$62,input!$X:$X,January!N64,input!$A:$A,January!$B$2)</f>
        <v>0</v>
      </c>
      <c r="R64" s="223">
        <f>COUNTIFS(input!$O:$O,January!$R$62,input!$X:$X,January!N64,input!$A:$A,January!$B$2)</f>
        <v>0</v>
      </c>
      <c r="S64" s="223">
        <f>COUNTIFS(input!$O:$O,January!$S$62,input!$X:$X,January!N64,input!$A:$A,January!$B$2)</f>
        <v>0</v>
      </c>
      <c r="T64" s="229">
        <f>COUNTIFS(input!$O:$O,January!$T$62,input!$X:$X,January!N64,input!$A:$A,January!$B$2)</f>
        <v>1</v>
      </c>
      <c r="U64" s="229">
        <f>COUNTIFS(input!$O:$O,January!$U$62,input!$X:$X,January!N64,input!$A:$A,January!$B$2)</f>
        <v>0</v>
      </c>
      <c r="V64" s="230">
        <f>COUNTIFS(input!$O:$O,January!$V$62,input!$X:$X,January!N64,input!$A:$A,January!$B$2)</f>
        <v>0</v>
      </c>
      <c r="W64" s="230">
        <f>COUNTIFS(input!$O:$O,January!$W$62,input!$X:$X,January!N64,input!$A:$A,January!$B$2)</f>
        <v>0</v>
      </c>
      <c r="X64" s="291">
        <f>COUNTIFS(input!$O:$O,January!$X$62,input!$X:$X,January!N64,input!$A:$A,January!$B$2)</f>
        <v>0</v>
      </c>
      <c r="Y64" s="219">
        <f t="shared" ref="Y64:Y86" si="8">SUM(Q64:X64)</f>
        <v>1</v>
      </c>
      <c r="Z64" s="222" cm="1">
        <f t="array" ref="Z64">_xlfn.IFS(Y64=0,0,Y64&gt;=1,Y64/Y$87)</f>
        <v>7.6923076923076927E-2</v>
      </c>
    </row>
    <row r="65" spans="2:26" ht="61" x14ac:dyDescent="0.25">
      <c r="B65" s="571" t="s">
        <v>358</v>
      </c>
      <c r="C65" s="570"/>
      <c r="D65" s="223">
        <f>COUNTIFS(input!$O:$O,January!$D$62,input!$W:$W,January!B65,input!$A:$A,January!$B$2)</f>
        <v>0</v>
      </c>
      <c r="E65" s="223">
        <f>COUNTIFS(input!$O:$O,January!$E$62,input!$W:$W,January!B65,input!$A:$A,January!$B$2)</f>
        <v>0</v>
      </c>
      <c r="F65" s="223">
        <f>COUNTIFS(input!$O:$O,January!$F$62,input!$W:$W,January!B65,input!$A:$A,January!$B$2)</f>
        <v>0</v>
      </c>
      <c r="G65" s="229">
        <f>COUNTIFS(input!$O:$O,January!$G$62,input!$W:$W,January!B65,input!$A:$A,January!$B$2)</f>
        <v>1</v>
      </c>
      <c r="H65" s="228">
        <f>COUNTIFS(input!$O:$O,January!$H$62,input!$W:$W,January!B65,input!$A:$A,January!$B$2)</f>
        <v>0</v>
      </c>
      <c r="I65" s="228">
        <f>COUNTIFS(input!$O:$O,January!$I$62,input!$W:$W,January!B65,input!$A:$A,January!$B$2)</f>
        <v>0</v>
      </c>
      <c r="J65" s="228">
        <f>COUNTIFS(input!$O:$O,January!$J$62,input!$W:$W,January!B65,input!$A:$A,January!$B$2)</f>
        <v>0</v>
      </c>
      <c r="K65" s="289">
        <f>COUNTIFS(input!$O:$O,January!$K$62,input!$W:$W,January!B65,input!$A:$A,January!$B$2)</f>
        <v>0</v>
      </c>
      <c r="L65" s="219">
        <f t="shared" si="7"/>
        <v>1</v>
      </c>
      <c r="M65" s="226" cm="1">
        <f t="array" ref="M65">_xlfn.IFS(L65=0,0,L65&gt;=1,L65/L87)</f>
        <v>7.6923076923076927E-2</v>
      </c>
      <c r="N65" s="720" t="s">
        <v>372</v>
      </c>
      <c r="O65" s="721"/>
      <c r="P65" s="573"/>
      <c r="Q65" s="223">
        <f>COUNTIFS(input!$O:$O,January!$Q$62,input!$X:$X,January!N65,input!$A:$A,January!$B$2)</f>
        <v>1</v>
      </c>
      <c r="R65" s="223">
        <f>COUNTIFS(input!$O:$O,January!$R$62,input!$X:$X,January!N65,input!$A:$A,January!$B$2)</f>
        <v>0</v>
      </c>
      <c r="S65" s="223">
        <f>COUNTIFS(input!$O:$O,January!$S$62,input!$X:$X,January!N65,input!$A:$A,January!$B$2)</f>
        <v>0</v>
      </c>
      <c r="T65" s="229">
        <f>COUNTIFS(input!$O:$O,January!$T$62,input!$X:$X,January!N65,input!$A:$A,January!$B$2)</f>
        <v>0</v>
      </c>
      <c r="U65" s="229">
        <f>COUNTIFS(input!$O:$O,January!$U$62,input!$X:$X,January!N65,input!$A:$A,January!$B$2)</f>
        <v>0</v>
      </c>
      <c r="V65" s="230">
        <f>COUNTIFS(input!$O:$O,January!$V$62,input!$X:$X,January!N65,input!$A:$A,January!$B$2)</f>
        <v>0</v>
      </c>
      <c r="W65" s="230">
        <f>COUNTIFS(input!$O:$O,January!$W$62,input!$X:$X,January!N65,input!$A:$A,January!$B$2)</f>
        <v>0</v>
      </c>
      <c r="X65" s="291">
        <f>COUNTIFS(input!$O:$O,January!$X$62,input!$X:$X,January!N65,input!$A:$A,January!$B$2)</f>
        <v>0</v>
      </c>
      <c r="Y65" s="219">
        <f t="shared" si="8"/>
        <v>1</v>
      </c>
      <c r="Z65" s="222" cm="1">
        <f t="array" ref="Z65">_xlfn.IFS(Y65=0,0,Y65&gt;=1,Y65/Y$87)</f>
        <v>7.6923076923076927E-2</v>
      </c>
    </row>
    <row r="66" spans="2:26" ht="61" x14ac:dyDescent="0.25">
      <c r="B66" s="571" t="s">
        <v>360</v>
      </c>
      <c r="C66" s="570"/>
      <c r="D66" s="223">
        <f>COUNTIFS(input!$O:$O,January!$D$62,input!$W:$W,January!B66,input!$A:$A,January!$B$2)</f>
        <v>1</v>
      </c>
      <c r="E66" s="223">
        <f>COUNTIFS(input!$O:$O,January!$E$62,input!$W:$W,January!B66,input!$A:$A,January!$B$2)</f>
        <v>0</v>
      </c>
      <c r="F66" s="223">
        <f>COUNTIFS(input!$O:$O,January!$F$62,input!$W:$W,January!B66,input!$A:$A,January!$B$2)</f>
        <v>0</v>
      </c>
      <c r="G66" s="229">
        <f>COUNTIFS(input!$O:$O,January!$G$62,input!$W:$W,January!B66,input!$A:$A,January!$B$2)</f>
        <v>0</v>
      </c>
      <c r="H66" s="228">
        <f>COUNTIFS(input!$O:$O,January!$H$62,input!$W:$W,January!B66,input!$A:$A,January!$B$2)</f>
        <v>0</v>
      </c>
      <c r="I66" s="228">
        <f>COUNTIFS(input!$O:$O,January!$I$62,input!$W:$W,January!B66,input!$A:$A,January!$B$2)</f>
        <v>0</v>
      </c>
      <c r="J66" s="228">
        <f>COUNTIFS(input!$O:$O,January!$J$62,input!$W:$W,January!B66,input!$A:$A,January!$B$2)</f>
        <v>0</v>
      </c>
      <c r="K66" s="289">
        <f>COUNTIFS(input!$O:$O,January!$K$62,input!$W:$W,January!B66,input!$A:$A,January!$B$2)</f>
        <v>0</v>
      </c>
      <c r="L66" s="219">
        <f t="shared" si="7"/>
        <v>1</v>
      </c>
      <c r="M66" s="226" cm="1">
        <f t="array" ref="M66">_xlfn.IFS(L66=0,0,L66&gt;=1,L66/L87)</f>
        <v>7.6923076923076927E-2</v>
      </c>
      <c r="N66" s="720" t="s">
        <v>373</v>
      </c>
      <c r="O66" s="721"/>
      <c r="P66" s="573"/>
      <c r="Q66" s="223">
        <f>COUNTIFS(input!$O:$O,January!$Q$62,input!$X:$X,January!N66,input!$A:$A,January!$B$2)</f>
        <v>0</v>
      </c>
      <c r="R66" s="223">
        <f>COUNTIFS(input!$O:$O,January!$R$62,input!$X:$X,January!N66,input!$A:$A,January!$B$2)</f>
        <v>0</v>
      </c>
      <c r="S66" s="223">
        <f>COUNTIFS(input!$O:$O,January!$S$62,input!$X:$X,January!N66,input!$A:$A,January!$B$2)</f>
        <v>0</v>
      </c>
      <c r="T66" s="229">
        <f>COUNTIFS(input!$O:$O,January!$T$62,input!$X:$X,January!N66,input!$A:$A,January!$B$2)</f>
        <v>1</v>
      </c>
      <c r="U66" s="229">
        <f>COUNTIFS(input!$O:$O,January!$U$62,input!$X:$X,January!N66,input!$A:$A,January!$B$2)</f>
        <v>0</v>
      </c>
      <c r="V66" s="230">
        <f>COUNTIFS(input!$O:$O,January!$V$62,input!$X:$X,January!N66,input!$A:$A,January!$B$2)</f>
        <v>0</v>
      </c>
      <c r="W66" s="230">
        <f>COUNTIFS(input!$O:$O,January!$W$62,input!$X:$X,January!N66,input!$A:$A,January!$B$2)</f>
        <v>0</v>
      </c>
      <c r="X66" s="291">
        <f>COUNTIFS(input!$O:$O,January!$X$62,input!$X:$X,January!N66,input!$A:$A,January!$B$2)</f>
        <v>0</v>
      </c>
      <c r="Y66" s="219">
        <f t="shared" si="8"/>
        <v>1</v>
      </c>
      <c r="Z66" s="222" cm="1">
        <f t="array" ref="Z66">_xlfn.IFS(Y66=0,0,Y66&gt;=1,Y66/Y$87)</f>
        <v>7.6923076923076927E-2</v>
      </c>
    </row>
    <row r="67" spans="2:26" ht="61" x14ac:dyDescent="0.25">
      <c r="B67" s="571" t="s">
        <v>366</v>
      </c>
      <c r="C67" s="570"/>
      <c r="D67" s="223">
        <f>COUNTIFS(input!$O:$O,January!$D$62,input!$W:$W,January!B67,input!$A:$A,January!$B$2)</f>
        <v>0</v>
      </c>
      <c r="E67" s="223">
        <f>COUNTIFS(input!$O:$O,January!$E$62,input!$W:$W,January!B67,input!$A:$A,January!$B$2)</f>
        <v>0</v>
      </c>
      <c r="F67" s="223">
        <f>COUNTIFS(input!$O:$O,January!$F$62,input!$W:$W,January!B67,input!$A:$A,January!$B$2)</f>
        <v>0</v>
      </c>
      <c r="G67" s="229">
        <f>COUNTIFS(input!$O:$O,January!$G$62,input!$W:$W,January!B67,input!$A:$A,January!$B$2)</f>
        <v>0</v>
      </c>
      <c r="H67" s="228">
        <f>COUNTIFS(input!$O:$O,January!$H$62,input!$W:$W,January!B67,input!$A:$A,January!$B$2)</f>
        <v>0</v>
      </c>
      <c r="I67" s="228">
        <f>COUNTIFS(input!$O:$O,January!$I$62,input!$W:$W,January!B67,input!$A:$A,January!$B$2)</f>
        <v>1</v>
      </c>
      <c r="J67" s="228">
        <f>COUNTIFS(input!$O:$O,January!$J$62,input!$W:$W,January!B67,input!$A:$A,January!$B$2)</f>
        <v>0</v>
      </c>
      <c r="K67" s="289">
        <f>COUNTIFS(input!$O:$O,January!$K$62,input!$W:$W,January!B67,input!$A:$A,January!$B$2)</f>
        <v>0</v>
      </c>
      <c r="L67" s="219">
        <f t="shared" si="7"/>
        <v>1</v>
      </c>
      <c r="M67" s="226" cm="1">
        <f t="array" ref="M67">_xlfn.IFS(L67=0,0,L67&gt;=1,L67/L87)</f>
        <v>7.6923076923076927E-2</v>
      </c>
      <c r="N67" s="722" t="s">
        <v>374</v>
      </c>
      <c r="O67" s="723"/>
      <c r="P67" s="575"/>
      <c r="Q67" s="223">
        <f>COUNTIFS(input!$O:$O,January!$Q$62,input!$X:$X,January!N67,input!$A:$A,January!$B$2)</f>
        <v>0</v>
      </c>
      <c r="R67" s="223">
        <f>COUNTIFS(input!$O:$O,January!$R$62,input!$X:$X,January!N67,input!$A:$A,January!$B$2)</f>
        <v>0</v>
      </c>
      <c r="S67" s="223">
        <f>COUNTIFS(input!$O:$O,January!$S$62,input!$X:$X,January!N67,input!$A:$A,January!$B$2)</f>
        <v>0</v>
      </c>
      <c r="T67" s="229">
        <f>COUNTIFS(input!$O:$O,January!$T$62,input!$X:$X,January!N67,input!$A:$A,January!$B$2)</f>
        <v>0</v>
      </c>
      <c r="U67" s="229">
        <f>COUNTIFS(input!$O:$O,January!$U$62,input!$X:$X,January!N67,input!$A:$A,January!$B$2)</f>
        <v>0</v>
      </c>
      <c r="V67" s="230">
        <f>COUNTIFS(input!$O:$O,January!$V$62,input!$X:$X,January!N67,input!$A:$A,January!$B$2)</f>
        <v>0</v>
      </c>
      <c r="W67" s="230">
        <f>COUNTIFS(input!$O:$O,January!$W$62,input!$X:$X,January!N67,input!$A:$A,January!$B$2)</f>
        <v>0</v>
      </c>
      <c r="X67" s="291">
        <f>COUNTIFS(input!$O:$O,January!$X$62,input!$X:$X,January!N67,input!$A:$A,January!$B$2)</f>
        <v>0</v>
      </c>
      <c r="Y67" s="219">
        <f t="shared" si="8"/>
        <v>0</v>
      </c>
      <c r="Z67" s="222" cm="1">
        <f t="array" ref="Z67">_xlfn.IFS(Y67=0,0,Y67&gt;=1,Y67/Y$87)</f>
        <v>0</v>
      </c>
    </row>
    <row r="68" spans="2:26" ht="61" x14ac:dyDescent="0.25">
      <c r="B68" s="571" t="s">
        <v>498</v>
      </c>
      <c r="C68" s="570"/>
      <c r="D68" s="223">
        <f>COUNTIFS(input!$O:$O,January!$D$62,input!$W:$W,January!B68,input!$A:$A,January!$B$2)</f>
        <v>0</v>
      </c>
      <c r="E68" s="223">
        <f>COUNTIFS(input!$O:$O,January!$E$62,input!$W:$W,January!B68,input!$A:$A,January!$B$2)</f>
        <v>0</v>
      </c>
      <c r="F68" s="223">
        <f>COUNTIFS(input!$O:$O,January!$F$62,input!$W:$W,January!B68,input!$A:$A,January!$B$2)</f>
        <v>0</v>
      </c>
      <c r="G68" s="229">
        <f>COUNTIFS(input!$O:$O,January!$G$62,input!$W:$W,January!B68,input!$A:$A,January!$B$2)</f>
        <v>0</v>
      </c>
      <c r="H68" s="228">
        <f>COUNTIFS(input!$O:$O,January!$H$62,input!$W:$W,January!B68,input!$A:$A,January!$B$2)</f>
        <v>0</v>
      </c>
      <c r="I68" s="228">
        <f>COUNTIFS(input!$O:$O,January!$I$62,input!$W:$W,January!B68,input!$A:$A,January!$B$2)</f>
        <v>0</v>
      </c>
      <c r="J68" s="228">
        <f>COUNTIFS(input!$O:$O,January!$J$62,input!$W:$W,January!B68,input!$A:$A,January!$B$2)</f>
        <v>1</v>
      </c>
      <c r="K68" s="289">
        <f>COUNTIFS(input!$O:$O,January!$K$62,input!$W:$W,January!B68,input!$A:$A,January!$B$2)</f>
        <v>0</v>
      </c>
      <c r="L68" s="219">
        <f t="shared" si="7"/>
        <v>1</v>
      </c>
      <c r="M68" s="226" cm="1">
        <f t="array" ref="M68">_xlfn.IFS(L68=0,0,L68&gt;=1,L68/L87)</f>
        <v>7.6923076923076927E-2</v>
      </c>
      <c r="N68" s="720" t="s">
        <v>375</v>
      </c>
      <c r="O68" s="721"/>
      <c r="P68" s="573"/>
      <c r="Q68" s="223">
        <f>COUNTIFS(input!$O:$O,January!$Q$62,input!$X:$X,January!N68,input!$A:$A,January!$B$2)</f>
        <v>0</v>
      </c>
      <c r="R68" s="223">
        <f>COUNTIFS(input!$O:$O,January!$R$62,input!$X:$X,January!N68,input!$A:$A,January!$B$2)</f>
        <v>0</v>
      </c>
      <c r="S68" s="223">
        <f>COUNTIFS(input!$O:$O,January!$S$62,input!$X:$X,January!N68,input!$A:$A,January!$B$2)</f>
        <v>0</v>
      </c>
      <c r="T68" s="229">
        <f>COUNTIFS(input!$O:$O,January!$T$62,input!$X:$X,January!N68,input!$A:$A,January!$B$2)</f>
        <v>0</v>
      </c>
      <c r="U68" s="229">
        <f>COUNTIFS(input!$O:$O,January!$U$62,input!$X:$X,January!N68,input!$A:$A,January!$B$2)</f>
        <v>0</v>
      </c>
      <c r="V68" s="230">
        <f>COUNTIFS(input!$O:$O,January!$V$62,input!$X:$X,January!N68,input!$A:$A,January!$B$2)</f>
        <v>1</v>
      </c>
      <c r="W68" s="230">
        <f>COUNTIFS(input!$O:$O,January!$W$62,input!$X:$X,January!N68,input!$A:$A,January!$B$2)</f>
        <v>0</v>
      </c>
      <c r="X68" s="291">
        <f>COUNTIFS(input!$O:$O,January!$X$62,input!$X:$X,January!N68,input!$A:$A,January!$B$2)</f>
        <v>0</v>
      </c>
      <c r="Y68" s="219">
        <f t="shared" si="8"/>
        <v>1</v>
      </c>
      <c r="Z68" s="222" cm="1">
        <f t="array" ref="Z68">_xlfn.IFS(Y68=0,0,Y68&gt;=1,Y68/Y$87)</f>
        <v>7.6923076923076927E-2</v>
      </c>
    </row>
    <row r="69" spans="2:26" ht="61" x14ac:dyDescent="0.25">
      <c r="B69" s="571" t="s">
        <v>489</v>
      </c>
      <c r="C69" s="570"/>
      <c r="D69" s="223">
        <f>COUNTIFS(input!$O:$O,January!$D$62,input!$W:$W,January!B69,input!$A:$A,January!$B$2)</f>
        <v>0</v>
      </c>
      <c r="E69" s="223">
        <f>COUNTIFS(input!$O:$O,January!$E$62,input!$W:$W,January!B69,input!$A:$A,January!$B$2)</f>
        <v>1</v>
      </c>
      <c r="F69" s="223">
        <f>COUNTIFS(input!$O:$O,January!$F$62,input!$W:$W,January!B69,input!$A:$A,January!$B$2)</f>
        <v>0</v>
      </c>
      <c r="G69" s="229">
        <f>COUNTIFS(input!$O:$O,January!$G$62,input!$W:$W,January!B69,input!$A:$A,January!$B$2)</f>
        <v>0</v>
      </c>
      <c r="H69" s="228">
        <f>COUNTIFS(input!$O:$O,January!$H$62,input!$W:$W,January!B69,input!$A:$A,January!$B$2)</f>
        <v>0</v>
      </c>
      <c r="I69" s="228">
        <f>COUNTIFS(input!$O:$O,January!$I$62,input!$W:$W,January!B69,input!$A:$A,January!$B$2)</f>
        <v>0</v>
      </c>
      <c r="J69" s="228">
        <f>COUNTIFS(input!$O:$O,January!$J$62,input!$W:$W,January!B69,input!$A:$A,January!$B$2)</f>
        <v>0</v>
      </c>
      <c r="K69" s="289">
        <f>COUNTIFS(input!$O:$O,January!$K$62,input!$W:$W,January!B69,input!$A:$A,January!$B$2)</f>
        <v>0</v>
      </c>
      <c r="L69" s="219">
        <f t="shared" si="7"/>
        <v>1</v>
      </c>
      <c r="M69" s="226" cm="1">
        <f t="array" ref="M69">_xlfn.IFS(L69=0,0,L69&gt;=1,L69/L87)</f>
        <v>7.6923076923076927E-2</v>
      </c>
      <c r="N69" s="720" t="s">
        <v>376</v>
      </c>
      <c r="O69" s="721"/>
      <c r="P69" s="573"/>
      <c r="Q69" s="223">
        <f>COUNTIFS(input!$O:$O,January!$Q$62,input!$X:$X,January!N69,input!$A:$A,January!$B$2)</f>
        <v>0</v>
      </c>
      <c r="R69" s="223">
        <f>COUNTIFS(input!$O:$O,January!$R$62,input!$X:$X,January!N69,input!$A:$A,January!$B$2)</f>
        <v>0</v>
      </c>
      <c r="S69" s="223">
        <f>COUNTIFS(input!$O:$O,January!$S$62,input!$X:$X,January!N69,input!$A:$A,January!$B$2)</f>
        <v>0</v>
      </c>
      <c r="T69" s="229">
        <f>COUNTIFS(input!$O:$O,January!$T$62,input!$X:$X,January!N69,input!$A:$A,January!$B$2)</f>
        <v>0</v>
      </c>
      <c r="U69" s="229">
        <f>COUNTIFS(input!$O:$O,January!$U$62,input!$X:$X,January!N69,input!$A:$A,January!$B$2)</f>
        <v>0</v>
      </c>
      <c r="V69" s="230">
        <f>COUNTIFS(input!$O:$O,January!$V$62,input!$X:$X,January!N69,input!$A:$A,January!$B$2)</f>
        <v>1</v>
      </c>
      <c r="W69" s="230">
        <f>COUNTIFS(input!$O:$O,January!$W$62,input!$X:$X,January!N69,input!$A:$A,January!$B$2)</f>
        <v>0</v>
      </c>
      <c r="X69" s="291">
        <f>COUNTIFS(input!$O:$O,January!$X$62,input!$X:$X,January!N69,input!$A:$A,January!$B$2)</f>
        <v>0</v>
      </c>
      <c r="Y69" s="219">
        <f t="shared" si="8"/>
        <v>1</v>
      </c>
      <c r="Z69" s="222" cm="1">
        <f t="array" ref="Z69">_xlfn.IFS(Y69=0,0,Y69&gt;=1,Y69/Y$87)</f>
        <v>7.6923076923076927E-2</v>
      </c>
    </row>
    <row r="70" spans="2:26" ht="61" x14ac:dyDescent="0.25">
      <c r="B70" s="571" t="s">
        <v>466</v>
      </c>
      <c r="C70" s="570"/>
      <c r="D70" s="223">
        <f>COUNTIFS(input!$O:$O,January!$D$62,input!$W:$W,January!B70,input!$A:$A,January!$B$2)</f>
        <v>0</v>
      </c>
      <c r="E70" s="223">
        <f>COUNTIFS(input!$O:$O,January!$E$62,input!$W:$W,January!B70,input!$A:$A,January!$B$2)</f>
        <v>0</v>
      </c>
      <c r="F70" s="223">
        <f>COUNTIFS(input!$O:$O,January!$F$62,input!$W:$W,January!B70,input!$A:$A,January!$B$2)</f>
        <v>0</v>
      </c>
      <c r="G70" s="229">
        <f>COUNTIFS(input!$O:$O,January!$G$62,input!$W:$W,January!B70,input!$A:$A,January!$B$2)</f>
        <v>1</v>
      </c>
      <c r="H70" s="228">
        <f>COUNTIFS(input!$O:$O,January!$H$62,input!$W:$W,January!B70,input!$A:$A,January!$B$2)</f>
        <v>0</v>
      </c>
      <c r="I70" s="228">
        <f>COUNTIFS(input!$O:$O,January!$I$62,input!$W:$W,January!B70,input!$A:$A,January!$B$2)</f>
        <v>0</v>
      </c>
      <c r="J70" s="228">
        <f>COUNTIFS(input!$O:$O,January!$J$62,input!$W:$W,January!B70,input!$A:$A,January!$B$2)</f>
        <v>0</v>
      </c>
      <c r="K70" s="289">
        <f>COUNTIFS(input!$O:$O,January!$K$62,input!$W:$W,January!B70,input!$A:$A,January!$B$2)</f>
        <v>0</v>
      </c>
      <c r="L70" s="219">
        <f t="shared" si="7"/>
        <v>1</v>
      </c>
      <c r="M70" s="226" cm="1">
        <f t="array" ref="M70">_xlfn.IFS(L70=0,0,L70&gt;=1,L70/L87)</f>
        <v>7.6923076923076927E-2</v>
      </c>
      <c r="N70" s="643" t="s">
        <v>378</v>
      </c>
      <c r="O70" s="566"/>
      <c r="P70" s="567"/>
      <c r="Q70" s="223">
        <f>COUNTIFS(input!$O:$O,January!$Q$62,input!$X:$X,January!N70,input!$A:$A,January!$B$2)</f>
        <v>0</v>
      </c>
      <c r="R70" s="223">
        <f>COUNTIFS(input!$O:$O,January!$R$62,input!$X:$X,January!N70,input!$A:$A,January!$B$2)</f>
        <v>0</v>
      </c>
      <c r="S70" s="223">
        <f>COUNTIFS(input!$O:$O,January!$S$62,input!$X:$X,January!N70,input!$A:$A,January!$B$2)</f>
        <v>0</v>
      </c>
      <c r="T70" s="229">
        <f>COUNTIFS(input!$O:$O,January!$T$62,input!$X:$X,January!N70,input!$A:$A,January!$B$2)</f>
        <v>0</v>
      </c>
      <c r="U70" s="229">
        <f>COUNTIFS(input!$O:$O,January!$U$62,input!$X:$X,January!N70,input!$A:$A,January!$B$2)</f>
        <v>0</v>
      </c>
      <c r="V70" s="230">
        <f>COUNTIFS(input!$O:$O,January!$V$62,input!$X:$X,January!N70,input!$A:$A,January!$B$2)</f>
        <v>0</v>
      </c>
      <c r="W70" s="230">
        <f>COUNTIFS(input!$O:$O,January!$W$62,input!$X:$X,January!N70,input!$A:$A,January!$B$2)</f>
        <v>0</v>
      </c>
      <c r="X70" s="291">
        <f>COUNTIFS(input!$O:$O,January!$X$62,input!$X:$X,January!N70,input!$A:$A,January!$B$2)</f>
        <v>0</v>
      </c>
      <c r="Y70" s="219">
        <f t="shared" si="8"/>
        <v>0</v>
      </c>
      <c r="Z70" s="222" cm="1">
        <f t="array" ref="Z70">_xlfn.IFS(Y70=0,0,Y70&gt;=1,Y70/Y$87)</f>
        <v>0</v>
      </c>
    </row>
    <row r="71" spans="2:26" ht="61" x14ac:dyDescent="0.25">
      <c r="B71" s="571" t="s">
        <v>458</v>
      </c>
      <c r="C71" s="570"/>
      <c r="D71" s="223">
        <f>COUNTIFS(input!$O:$O,January!$D$62,input!$W:$W,January!B71,input!$A:$A,January!$B$2)</f>
        <v>0</v>
      </c>
      <c r="E71" s="223">
        <f>COUNTIFS(input!$O:$O,January!$E$62,input!$W:$W,January!B71,input!$A:$A,January!$B$2)</f>
        <v>0</v>
      </c>
      <c r="F71" s="223">
        <f>COUNTIFS(input!$O:$O,January!$F$62,input!$W:$W,January!B71,input!$A:$A,January!$B$2)</f>
        <v>0</v>
      </c>
      <c r="G71" s="229">
        <f>COUNTIFS(input!$O:$O,January!$G$62,input!$W:$W,January!B71,input!$A:$A,January!$B$2)</f>
        <v>1</v>
      </c>
      <c r="H71" s="228">
        <f>COUNTIFS(input!$O:$O,January!$H$62,input!$W:$W,January!B71,input!$A:$A,January!$B$2)</f>
        <v>0</v>
      </c>
      <c r="I71" s="228">
        <f>COUNTIFS(input!$O:$O,January!$I$62,input!$W:$W,January!B71,input!$A:$A,January!$B$2)</f>
        <v>0</v>
      </c>
      <c r="J71" s="228">
        <f>COUNTIFS(input!$O:$O,January!$J$62,input!$W:$W,January!B71,input!$A:$A,January!$B$2)</f>
        <v>0</v>
      </c>
      <c r="K71" s="289">
        <f>COUNTIFS(input!$O:$O,January!$K$62,input!$W:$W,January!B71,input!$A:$A,January!$B$2)</f>
        <v>0</v>
      </c>
      <c r="L71" s="219">
        <f t="shared" si="7"/>
        <v>1</v>
      </c>
      <c r="M71" s="226" cm="1">
        <f t="array" ref="M71">_xlfn.IFS(L71=0,0,L71&gt;=1,L71/L87)</f>
        <v>7.6923076923076927E-2</v>
      </c>
      <c r="N71" s="568" t="s">
        <v>379</v>
      </c>
      <c r="O71" s="569"/>
      <c r="P71" s="570"/>
      <c r="Q71" s="223">
        <f>COUNTIFS(input!$O:$O,January!$Q$62,input!$X:$X,January!N71,input!$A:$A,January!$B$2)</f>
        <v>0</v>
      </c>
      <c r="R71" s="223">
        <f>COUNTIFS(input!$O:$O,January!$R$62,input!$X:$X,January!N71,input!$A:$A,January!$B$2)</f>
        <v>0</v>
      </c>
      <c r="S71" s="223">
        <f>COUNTIFS(input!$O:$O,January!$S$62,input!$X:$X,January!N71,input!$A:$A,January!$B$2)</f>
        <v>0</v>
      </c>
      <c r="T71" s="229">
        <f>COUNTIFS(input!$O:$O,January!$T$62,input!$X:$X,January!N71,input!$A:$A,January!$B$2)</f>
        <v>0</v>
      </c>
      <c r="U71" s="229">
        <f>COUNTIFS(input!$O:$O,January!$U$62,input!$X:$X,January!N71,input!$A:$A,January!$B$2)</f>
        <v>0</v>
      </c>
      <c r="V71" s="230">
        <f>COUNTIFS(input!$O:$O,January!$V$62,input!$X:$X,January!N71,input!$A:$A,January!$B$2)</f>
        <v>0</v>
      </c>
      <c r="W71" s="230">
        <f>COUNTIFS(input!$O:$O,January!$W$62,input!$X:$X,January!N71,input!$A:$A,January!$B$2)</f>
        <v>1</v>
      </c>
      <c r="X71" s="291">
        <f>COUNTIFS(input!$O:$O,January!$X$62,input!$X:$X,January!N71,input!$A:$A,January!$B$2)</f>
        <v>0</v>
      </c>
      <c r="Y71" s="219">
        <f t="shared" si="8"/>
        <v>1</v>
      </c>
      <c r="Z71" s="222" cm="1">
        <f t="array" ref="Z71">_xlfn.IFS(Y71=0,0,Y71&gt;=1,Y71/Y$87)</f>
        <v>7.6923076923076927E-2</v>
      </c>
    </row>
    <row r="72" spans="2:26" ht="61" x14ac:dyDescent="0.25">
      <c r="B72" s="600"/>
      <c r="C72" s="567"/>
      <c r="D72" s="223">
        <f>COUNTIFS(input!$O:$O,January!$D$62,input!$W:$W,January!B72,input!$A:$A,January!$B$2)</f>
        <v>0</v>
      </c>
      <c r="E72" s="223">
        <f>COUNTIFS(input!$O:$O,January!$E$62,input!$W:$W,January!B72,input!$A:$A,January!$B$2)</f>
        <v>0</v>
      </c>
      <c r="F72" s="223">
        <f>COUNTIFS(input!$O:$O,January!$F$62,input!$W:$W,January!B72,input!$A:$A,January!$B$2)</f>
        <v>0</v>
      </c>
      <c r="G72" s="229">
        <f>COUNTIFS(input!$O:$O,January!$G$62,input!$W:$W,January!B72,input!$A:$A,January!$B$2)</f>
        <v>0</v>
      </c>
      <c r="H72" s="228">
        <f>COUNTIFS(input!$O:$O,January!$H$62,input!$W:$W,January!B72,input!$A:$A,January!$B$2)</f>
        <v>0</v>
      </c>
      <c r="I72" s="228">
        <f>COUNTIFS(input!$O:$O,January!$I$62,input!$W:$W,January!B72,input!$A:$A,January!$B$2)</f>
        <v>0</v>
      </c>
      <c r="J72" s="228">
        <f>COUNTIFS(input!$O:$O,January!$J$62,input!$W:$W,January!B72,input!$A:$A,January!$B$2)</f>
        <v>0</v>
      </c>
      <c r="K72" s="289">
        <f>COUNTIFS(input!$O:$O,January!$K$62,input!$W:$W,January!B72,input!$A:$A,January!$B$2)</f>
        <v>0</v>
      </c>
      <c r="L72" s="219">
        <f t="shared" si="7"/>
        <v>0</v>
      </c>
      <c r="M72" s="226" cm="1">
        <f t="array" ref="M72">_xlfn.IFS(L72=0,0,L72&gt;=1,L72/L87)</f>
        <v>0</v>
      </c>
      <c r="N72" s="643" t="s">
        <v>74</v>
      </c>
      <c r="O72" s="566"/>
      <c r="P72" s="567"/>
      <c r="Q72" s="223">
        <f>COUNTIFS(input!$O:$O,January!$Q$62,input!$X:$X,January!N72,input!$A:$A,January!$B$2)</f>
        <v>0</v>
      </c>
      <c r="R72" s="223">
        <f>COUNTIFS(input!$O:$O,January!$R$62,input!$X:$X,January!N72,input!$A:$A,January!$B$2)</f>
        <v>0</v>
      </c>
      <c r="S72" s="223">
        <f>COUNTIFS(input!$O:$O,January!$S$62,input!$X:$X,January!N72,input!$A:$A,January!$B$2)</f>
        <v>0</v>
      </c>
      <c r="T72" s="229">
        <f>COUNTIFS(input!$O:$O,January!$T$62,input!$X:$X,January!N72,input!$A:$A,January!$B$2)</f>
        <v>0</v>
      </c>
      <c r="U72" s="229">
        <f>COUNTIFS(input!$O:$O,January!$U$62,input!$X:$X,January!N72,input!$A:$A,January!$B$2)</f>
        <v>0</v>
      </c>
      <c r="V72" s="230">
        <f>COUNTIFS(input!$O:$O,January!$V$62,input!$X:$X,January!N72,input!$A:$A,January!$B$2)</f>
        <v>0</v>
      </c>
      <c r="W72" s="230">
        <f>COUNTIFS(input!$O:$O,January!$W$62,input!$X:$X,January!N72,input!$A:$A,January!$B$2)</f>
        <v>0</v>
      </c>
      <c r="X72" s="291">
        <f>COUNTIFS(input!$O:$O,January!$X$62,input!$X:$X,January!N72,input!$A:$A,January!$B$2)</f>
        <v>0</v>
      </c>
      <c r="Y72" s="219">
        <f t="shared" si="8"/>
        <v>0</v>
      </c>
      <c r="Z72" s="222" cm="1">
        <f t="array" ref="Z72">_xlfn.IFS(Y72=0,0,Y72&gt;=1,Y72/Y$87)</f>
        <v>0</v>
      </c>
    </row>
    <row r="73" spans="2:26" ht="61" x14ac:dyDescent="0.25">
      <c r="B73" s="641"/>
      <c r="C73" s="642"/>
      <c r="D73" s="223">
        <f>COUNTIFS(input!$O:$O,January!$D$62,input!$W:$W,January!B73,input!$A:$A,January!$B$2)</f>
        <v>0</v>
      </c>
      <c r="E73" s="223">
        <f>COUNTIFS(input!$O:$O,January!$E$62,input!$W:$W,January!B73,input!$A:$A,January!$B$2)</f>
        <v>0</v>
      </c>
      <c r="F73" s="223">
        <f>COUNTIFS(input!$O:$O,January!$F$62,input!$W:$W,January!B73,input!$A:$A,January!$B$2)</f>
        <v>0</v>
      </c>
      <c r="G73" s="229">
        <f>COUNTIFS(input!$O:$O,January!$G$62,input!$W:$W,January!B73,input!$A:$A,January!$B$2)</f>
        <v>0</v>
      </c>
      <c r="H73" s="228">
        <f>COUNTIFS(input!$O:$O,January!$H$62,input!$W:$W,January!B73,input!$A:$A,January!$B$2)</f>
        <v>0</v>
      </c>
      <c r="I73" s="228">
        <f>COUNTIFS(input!$O:$O,January!$I$62,input!$W:$W,January!B73,input!$A:$A,January!$B$2)</f>
        <v>0</v>
      </c>
      <c r="J73" s="228">
        <f>COUNTIFS(input!$O:$O,January!$J$62,input!$W:$W,January!B73,input!$A:$A,January!$B$2)</f>
        <v>0</v>
      </c>
      <c r="K73" s="289">
        <f>COUNTIFS(input!$O:$O,January!$K$62,input!$W:$W,January!B73,input!$A:$A,January!$B$2)</f>
        <v>0</v>
      </c>
      <c r="L73" s="219">
        <f t="shared" si="7"/>
        <v>0</v>
      </c>
      <c r="M73" s="226" cm="1">
        <f t="array" ref="M73">_xlfn.IFS(L73=0,0,L73&gt;=1,L73/L87)</f>
        <v>0</v>
      </c>
      <c r="N73" s="643" t="s">
        <v>75</v>
      </c>
      <c r="O73" s="566"/>
      <c r="P73" s="567"/>
      <c r="Q73" s="223">
        <f>COUNTIFS(input!$O:$O,January!$Q$62,input!$X:$X,January!N73,input!$A:$A,January!$B$2)</f>
        <v>0</v>
      </c>
      <c r="R73" s="223">
        <f>COUNTIFS(input!$O:$O,January!$R$62,input!$X:$X,January!N73,input!$A:$A,January!$B$2)</f>
        <v>0</v>
      </c>
      <c r="S73" s="223">
        <f>COUNTIFS(input!$O:$O,January!$S$62,input!$X:$X,January!N73,input!$A:$A,January!$B$2)</f>
        <v>0</v>
      </c>
      <c r="T73" s="229">
        <f>COUNTIFS(input!$O:$O,January!$T$62,input!$X:$X,January!N73,input!$A:$A,January!$B$2)</f>
        <v>0</v>
      </c>
      <c r="U73" s="229">
        <f>COUNTIFS(input!$O:$O,January!$U$62,input!$X:$X,January!N73,input!$A:$A,January!$B$2)</f>
        <v>0</v>
      </c>
      <c r="V73" s="230">
        <f>COUNTIFS(input!$O:$O,January!$V$62,input!$X:$X,January!N73,input!$A:$A,January!$B$2)</f>
        <v>0</v>
      </c>
      <c r="W73" s="230">
        <f>COUNTIFS(input!$O:$O,January!$W$62,input!$X:$X,January!N73,input!$A:$A,January!$B$2)</f>
        <v>0</v>
      </c>
      <c r="X73" s="291">
        <f>COUNTIFS(input!$O:$O,January!$X$62,input!$X:$X,January!N73,input!$A:$A,January!$B$2)</f>
        <v>0</v>
      </c>
      <c r="Y73" s="219">
        <f t="shared" si="8"/>
        <v>0</v>
      </c>
      <c r="Z73" s="222" cm="1">
        <f t="array" ref="Z73">_xlfn.IFS(Y73=0,0,Y73&gt;=1,Y73/Y$87)</f>
        <v>0</v>
      </c>
    </row>
    <row r="74" spans="2:26" ht="61" x14ac:dyDescent="0.25">
      <c r="B74" s="641"/>
      <c r="C74" s="642"/>
      <c r="D74" s="223">
        <f>COUNTIFS(input!$O:$O,January!$D$62,input!$W:$W,January!B74,input!$A:$A,January!$B$2)</f>
        <v>0</v>
      </c>
      <c r="E74" s="223">
        <f>COUNTIFS(input!$O:$O,January!$E$62,input!$W:$W,January!B74,input!$A:$A,January!$B$2)</f>
        <v>0</v>
      </c>
      <c r="F74" s="223">
        <f>COUNTIFS(input!$O:$O,January!$F$62,input!$W:$W,January!B74,input!$A:$A,January!$B$2)</f>
        <v>0</v>
      </c>
      <c r="G74" s="229">
        <f>COUNTIFS(input!$O:$O,January!$G$62,input!$W:$W,January!B74,input!$A:$A,January!$B$2)</f>
        <v>0</v>
      </c>
      <c r="H74" s="228">
        <f>COUNTIFS(input!$O:$O,January!$H$62,input!$W:$W,January!B74,input!$A:$A,January!$B$2)</f>
        <v>0</v>
      </c>
      <c r="I74" s="228">
        <f>COUNTIFS(input!$O:$O,January!$I$62,input!$W:$W,January!B74,input!$A:$A,January!$B$2)</f>
        <v>0</v>
      </c>
      <c r="J74" s="228">
        <f>COUNTIFS(input!$O:$O,January!$J$62,input!$W:$W,January!B74,input!$A:$A,January!$B$2)</f>
        <v>0</v>
      </c>
      <c r="K74" s="289">
        <f>COUNTIFS(input!$O:$O,January!$K$62,input!$W:$W,January!B74,input!$A:$A,January!$B$2)</f>
        <v>0</v>
      </c>
      <c r="L74" s="219">
        <f t="shared" si="7"/>
        <v>0</v>
      </c>
      <c r="M74" s="226" cm="1">
        <f t="array" ref="M74">_xlfn.IFS(L74=0,0,L74&gt;=1,L74/L87)</f>
        <v>0</v>
      </c>
      <c r="N74" s="643" t="s">
        <v>76</v>
      </c>
      <c r="O74" s="566"/>
      <c r="P74" s="567"/>
      <c r="Q74" s="223">
        <f>COUNTIFS(input!$O:$O,January!$Q$62,input!$X:$X,January!N74,input!$A:$A,January!$B$2)</f>
        <v>0</v>
      </c>
      <c r="R74" s="223">
        <f>COUNTIFS(input!$O:$O,January!$R$62,input!$X:$X,January!N74,input!$A:$A,January!$B$2)</f>
        <v>0</v>
      </c>
      <c r="S74" s="223">
        <f>COUNTIFS(input!$O:$O,January!$S$62,input!$X:$X,January!N74,input!$A:$A,January!$B$2)</f>
        <v>0</v>
      </c>
      <c r="T74" s="229">
        <f>COUNTIFS(input!$O:$O,January!$T$62,input!$X:$X,January!N74,input!$A:$A,January!$B$2)</f>
        <v>0</v>
      </c>
      <c r="U74" s="229">
        <f>COUNTIFS(input!$O:$O,January!$U$62,input!$X:$X,January!N74,input!$A:$A,January!$B$2)</f>
        <v>0</v>
      </c>
      <c r="V74" s="230">
        <f>COUNTIFS(input!$O:$O,January!$V$62,input!$X:$X,January!N74,input!$A:$A,January!$B$2)</f>
        <v>0</v>
      </c>
      <c r="W74" s="230">
        <f>COUNTIFS(input!$O:$O,January!$W$62,input!$X:$X,January!N74,input!$A:$A,January!$B$2)</f>
        <v>0</v>
      </c>
      <c r="X74" s="291">
        <f>COUNTIFS(input!$O:$O,January!$X$62,input!$X:$X,January!N74,input!$A:$A,January!$B$2)</f>
        <v>0</v>
      </c>
      <c r="Y74" s="219">
        <f t="shared" si="8"/>
        <v>0</v>
      </c>
      <c r="Z74" s="222" cm="1">
        <f t="array" ref="Z74">_xlfn.IFS(Y74=0,0,Y74&gt;=1,Y74/Y$87)</f>
        <v>0</v>
      </c>
    </row>
    <row r="75" spans="2:26" ht="61" x14ac:dyDescent="0.25">
      <c r="B75" s="641"/>
      <c r="C75" s="642"/>
      <c r="D75" s="223">
        <f>COUNTIFS(input!$O:$O,January!$D$62,input!$W:$W,January!B75,input!$A:$A,January!$B$2)</f>
        <v>0</v>
      </c>
      <c r="E75" s="223">
        <f>COUNTIFS(input!$O:$O,January!$E$62,input!$W:$W,January!B75,input!$A:$A,January!$B$2)</f>
        <v>0</v>
      </c>
      <c r="F75" s="223">
        <f>COUNTIFS(input!$O:$O,January!$F$62,input!$W:$W,January!B75,input!$A:$A,January!$B$2)</f>
        <v>0</v>
      </c>
      <c r="G75" s="229">
        <f>COUNTIFS(input!$O:$O,January!$G$62,input!$W:$W,January!B75,input!$A:$A,January!$B$2)</f>
        <v>0</v>
      </c>
      <c r="H75" s="228">
        <f>COUNTIFS(input!$O:$O,January!$H$62,input!$W:$W,January!B75,input!$A:$A,January!$B$2)</f>
        <v>0</v>
      </c>
      <c r="I75" s="228">
        <f>COUNTIFS(input!$O:$O,January!$I$62,input!$W:$W,January!B75,input!$A:$A,January!$B$2)</f>
        <v>0</v>
      </c>
      <c r="J75" s="228">
        <f>COUNTIFS(input!$O:$O,January!$J$62,input!$W:$W,January!B75,input!$A:$A,January!$B$2)</f>
        <v>0</v>
      </c>
      <c r="K75" s="289">
        <f>COUNTIFS(input!$O:$O,January!$K$62,input!$W:$W,January!B75,input!$A:$A,January!$B$2)</f>
        <v>0</v>
      </c>
      <c r="L75" s="219">
        <f t="shared" si="7"/>
        <v>0</v>
      </c>
      <c r="M75" s="226" cm="1">
        <f t="array" ref="M75">_xlfn.IFS(L75=0,0,L75&gt;=1,L75/L87)</f>
        <v>0</v>
      </c>
      <c r="N75" s="643" t="s">
        <v>77</v>
      </c>
      <c r="O75" s="566"/>
      <c r="P75" s="567"/>
      <c r="Q75" s="233">
        <f>COUNTIFS(input!$O:$O,January!$Q$62,input!$X:$X,January!N75,input!$A:$A,January!$B$2)</f>
        <v>0</v>
      </c>
      <c r="R75" s="233">
        <f>COUNTIFS(input!$O:$O,January!$R$62,input!$X:$X,January!N75,input!$A:$A,January!$B$2)</f>
        <v>0</v>
      </c>
      <c r="S75" s="233">
        <f>COUNTIFS(input!$O:$O,January!$S$62,input!$X:$X,January!N75,input!$A:$A,January!$B$2)</f>
        <v>0</v>
      </c>
      <c r="T75" s="234">
        <f>COUNTIFS(input!$O:$O,January!$T$62,input!$X:$X,January!N75,input!$A:$A,January!$B$2)</f>
        <v>0</v>
      </c>
      <c r="U75" s="234">
        <f>COUNTIFS(input!$O:$O,January!$U$62,input!$X:$X,January!N75,input!$A:$A,January!$B$2)</f>
        <v>0</v>
      </c>
      <c r="V75" s="230">
        <f>COUNTIFS(input!$O:$O,January!$V$62,input!$X:$X,January!N75,input!$A:$A,January!$B$2)</f>
        <v>0</v>
      </c>
      <c r="W75" s="230">
        <f>COUNTIFS(input!$O:$O,January!$W$62,input!$X:$X,January!N75,input!$A:$A,January!$B$2)</f>
        <v>0</v>
      </c>
      <c r="X75" s="291">
        <f>COUNTIFS(input!$O:$O,January!$X$62,input!$X:$X,January!N75,input!$A:$A,January!$B$2)</f>
        <v>0</v>
      </c>
      <c r="Y75" s="219">
        <f t="shared" si="8"/>
        <v>0</v>
      </c>
      <c r="Z75" s="222" cm="1">
        <f t="array" ref="Z75">_xlfn.IFS(Y75=0,0,Y75&gt;=1,Y75/Y$87)</f>
        <v>0</v>
      </c>
    </row>
    <row r="76" spans="2:26" ht="61" x14ac:dyDescent="0.25">
      <c r="B76" s="641"/>
      <c r="C76" s="642"/>
      <c r="D76" s="223">
        <f>COUNTIFS(input!$O:$O,January!$D$62,input!$W:$W,January!B76,input!$A:$A,January!$B$2)</f>
        <v>0</v>
      </c>
      <c r="E76" s="223">
        <f>COUNTIFS(input!$O:$O,January!$E$62,input!$W:$W,January!B76,input!$A:$A,January!$B$2)</f>
        <v>0</v>
      </c>
      <c r="F76" s="223">
        <f>COUNTIFS(input!$O:$O,January!$F$62,input!$W:$W,January!B76,input!$A:$A,January!$B$2)</f>
        <v>0</v>
      </c>
      <c r="G76" s="229">
        <f>COUNTIFS(input!$O:$O,January!$G$62,input!$W:$W,January!B76,input!$A:$A,January!$B$2)</f>
        <v>0</v>
      </c>
      <c r="H76" s="228">
        <f>COUNTIFS(input!$O:$O,January!$H$62,input!$W:$W,January!B76,input!$A:$A,January!$B$2)</f>
        <v>0</v>
      </c>
      <c r="I76" s="228">
        <f>COUNTIFS(input!$O:$O,January!$I$62,input!$W:$W,January!B76,input!$A:$A,January!$B$2)</f>
        <v>0</v>
      </c>
      <c r="J76" s="228">
        <f>COUNTIFS(input!$O:$O,January!$J$62,input!$W:$W,January!B76,input!$A:$A,January!$B$2)</f>
        <v>0</v>
      </c>
      <c r="K76" s="289">
        <f>COUNTIFS(input!$O:$O,January!$K$62,input!$W:$W,January!B76,input!$A:$A,January!$B$2)</f>
        <v>0</v>
      </c>
      <c r="L76" s="219">
        <f t="shared" si="7"/>
        <v>0</v>
      </c>
      <c r="M76" s="226" cm="1">
        <f t="array" ref="M76">_xlfn.IFS(L76=0,0,L76&gt;=1,L76/L87)</f>
        <v>0</v>
      </c>
      <c r="N76" s="643" t="s">
        <v>78</v>
      </c>
      <c r="O76" s="566"/>
      <c r="P76" s="567"/>
      <c r="Q76" s="233">
        <f>COUNTIFS(input!$O:$O,January!$Q$62,input!$X:$X,January!N76,input!$A:$A,January!$B$2)</f>
        <v>0</v>
      </c>
      <c r="R76" s="233">
        <f>COUNTIFS(input!$O:$O,January!$R$62,input!$X:$X,January!N76,input!$A:$A,January!$B$2)</f>
        <v>0</v>
      </c>
      <c r="S76" s="233">
        <f>COUNTIFS(input!$O:$O,January!$S$62,input!$X:$X,January!N76,input!$A:$A,January!$B$2)</f>
        <v>0</v>
      </c>
      <c r="T76" s="234">
        <f>COUNTIFS(input!$O:$O,January!$T$62,input!$X:$X,January!N76,input!$A:$A,January!$B$2)</f>
        <v>0</v>
      </c>
      <c r="U76" s="234">
        <f>COUNTIFS(input!$O:$O,January!$U$62,input!$X:$X,January!N76,input!$A:$A,January!$B$2)</f>
        <v>0</v>
      </c>
      <c r="V76" s="230">
        <f>COUNTIFS(input!$O:$O,January!$V$62,input!$X:$X,January!N76,input!$A:$A,January!$B$2)</f>
        <v>0</v>
      </c>
      <c r="W76" s="230">
        <f>COUNTIFS(input!$O:$O,January!$W$62,input!$X:$X,January!N76,input!$A:$A,January!$B$2)</f>
        <v>0</v>
      </c>
      <c r="X76" s="291">
        <f>COUNTIFS(input!$O:$O,January!$X$62,input!$X:$X,January!N76,input!$A:$A,January!$B$2)</f>
        <v>0</v>
      </c>
      <c r="Y76" s="219">
        <f t="shared" si="8"/>
        <v>0</v>
      </c>
      <c r="Z76" s="222" cm="1">
        <f t="array" ref="Z76">_xlfn.IFS(Y76=0,0,Y76&gt;=1,Y76/Y$87)</f>
        <v>0</v>
      </c>
    </row>
    <row r="77" spans="2:26" ht="61" customHeight="1" x14ac:dyDescent="0.25">
      <c r="B77" s="641"/>
      <c r="C77" s="642"/>
      <c r="D77" s="223">
        <f>COUNTIFS(input!$O:$O,January!$D$62,input!$W:$W,January!B77,input!$A:$A,January!$B$2)</f>
        <v>0</v>
      </c>
      <c r="E77" s="223">
        <f>COUNTIFS(input!$O:$O,January!$E$62,input!$W:$W,January!B77,input!$A:$A,January!$B$2)</f>
        <v>0</v>
      </c>
      <c r="F77" s="223">
        <f>COUNTIFS(input!$O:$O,January!$F$62,input!$W:$W,January!B77,input!$A:$A,January!$B$2)</f>
        <v>0</v>
      </c>
      <c r="G77" s="229">
        <f>COUNTIFS(input!$O:$O,January!$G$62,input!$W:$W,January!B77,input!$A:$A,January!$B$2)</f>
        <v>0</v>
      </c>
      <c r="H77" s="228">
        <f>COUNTIFS(input!$O:$O,January!$H$62,input!$W:$W,January!B77,input!$A:$A,January!$B$2)</f>
        <v>0</v>
      </c>
      <c r="I77" s="228">
        <f>COUNTIFS(input!$O:$O,January!$I$62,input!$W:$W,January!B77,input!$A:$A,January!$B$2)</f>
        <v>0</v>
      </c>
      <c r="J77" s="228">
        <f>COUNTIFS(input!$O:$O,January!$J$62,input!$W:$W,January!B77,input!$A:$A,January!$B$2)</f>
        <v>0</v>
      </c>
      <c r="K77" s="289">
        <f>COUNTIFS(input!$O:$O,January!$K$62,input!$W:$W,January!B77,input!$A:$A,January!$B$2)</f>
        <v>0</v>
      </c>
      <c r="L77" s="219">
        <f t="shared" si="7"/>
        <v>0</v>
      </c>
      <c r="M77" s="226" cm="1">
        <f t="array" ref="M77">_xlfn.IFS(L77=0,0,L77&gt;=1,L77/L87)</f>
        <v>0</v>
      </c>
      <c r="N77" s="568" t="s">
        <v>679</v>
      </c>
      <c r="O77" s="569"/>
      <c r="P77" s="570"/>
      <c r="Q77" s="233">
        <f>COUNTIFS(input!$O:$O,January!$Q$62,input!$X:$X,January!N77,input!$A:$A,January!$B$2)</f>
        <v>0</v>
      </c>
      <c r="R77" s="233">
        <f>COUNTIFS(input!$O:$O,January!$R$62,input!$X:$X,January!N77,input!$A:$A,January!$B$2)</f>
        <v>0</v>
      </c>
      <c r="S77" s="233">
        <f>COUNTIFS(input!$O:$O,January!$S$62,input!$X:$X,January!N77,input!$A:$A,January!$B$2)</f>
        <v>0</v>
      </c>
      <c r="T77" s="234">
        <f>COUNTIFS(input!$O:$O,January!$T$62,input!$X:$X,January!N77,input!$A:$A,January!$B$2)</f>
        <v>0</v>
      </c>
      <c r="U77" s="234">
        <f>COUNTIFS(input!$O:$O,January!$U$62,input!$X:$X,January!N77,input!$A:$A,January!$B$2)</f>
        <v>0</v>
      </c>
      <c r="V77" s="230">
        <f>COUNTIFS(input!$O:$O,January!$V$62,input!$X:$X,January!N77,input!$A:$A,January!$B$2)</f>
        <v>0</v>
      </c>
      <c r="W77" s="230">
        <f>COUNTIFS(input!$O:$O,January!$W$62,input!$X:$X,January!N77,input!$A:$A,January!$B$2)</f>
        <v>0</v>
      </c>
      <c r="X77" s="291">
        <f>COUNTIFS(input!$O:$O,January!$X$62,input!$X:$X,January!N77,input!$A:$A,January!$B$2)</f>
        <v>0</v>
      </c>
      <c r="Y77" s="219">
        <f t="shared" si="8"/>
        <v>0</v>
      </c>
      <c r="Z77" s="222" cm="1">
        <f t="array" ref="Z77">_xlfn.IFS(Y77=0,0,Y77&gt;=1,Y77/Y$87)</f>
        <v>0</v>
      </c>
    </row>
    <row r="78" spans="2:26" ht="61" customHeight="1" x14ac:dyDescent="0.25">
      <c r="B78" s="641"/>
      <c r="C78" s="642"/>
      <c r="D78" s="223">
        <f>COUNTIFS(input!$O:$O,January!$D$62,input!$W:$W,January!B78,input!$A:$A,January!$B$2)</f>
        <v>0</v>
      </c>
      <c r="E78" s="223">
        <f>COUNTIFS(input!$O:$O,January!$E$62,input!$W:$W,January!B78,input!$A:$A,January!$B$2)</f>
        <v>0</v>
      </c>
      <c r="F78" s="223">
        <f>COUNTIFS(input!$O:$O,January!$F$62,input!$W:$W,January!B78,input!$A:$A,January!$B$2)</f>
        <v>0</v>
      </c>
      <c r="G78" s="229">
        <f>COUNTIFS(input!$O:$O,January!$G$62,input!$W:$W,January!B78,input!$A:$A,January!$B$2)</f>
        <v>0</v>
      </c>
      <c r="H78" s="228">
        <f>COUNTIFS(input!$O:$O,January!$H$62,input!$W:$W,January!B78,input!$A:$A,January!$B$2)</f>
        <v>0</v>
      </c>
      <c r="I78" s="228">
        <f>COUNTIFS(input!$O:$O,January!$I$62,input!$W:$W,January!B78,input!$A:$A,January!$B$2)</f>
        <v>0</v>
      </c>
      <c r="J78" s="228">
        <f>COUNTIFS(input!$O:$O,January!$J$62,input!$W:$W,January!B78,input!$A:$A,January!$B$2)</f>
        <v>0</v>
      </c>
      <c r="K78" s="289">
        <f>COUNTIFS(input!$O:$O,January!$K$62,input!$W:$W,January!B78,input!$A:$A,January!$B$2)</f>
        <v>0</v>
      </c>
      <c r="L78" s="219">
        <f t="shared" si="7"/>
        <v>0</v>
      </c>
      <c r="M78" s="226" cm="1">
        <f t="array" ref="M78">_xlfn.IFS(L78=0,0,L78&gt;=1,L78/L87)</f>
        <v>0</v>
      </c>
      <c r="N78" s="568" t="s">
        <v>425</v>
      </c>
      <c r="O78" s="569"/>
      <c r="P78" s="570"/>
      <c r="Q78" s="233">
        <f>COUNTIFS(input!$O:$O,January!$Q$62,input!$X:$X,January!N78,input!$A:$A,January!$B$2)</f>
        <v>0</v>
      </c>
      <c r="R78" s="233">
        <f>COUNTIFS(input!$O:$O,January!$R$62,input!$X:$X,January!N78,input!$A:$A,January!$B$2)</f>
        <v>0</v>
      </c>
      <c r="S78" s="233">
        <f>COUNTIFS(input!$O:$O,January!$S$62,input!$X:$X,January!N78,input!$A:$A,January!$B$2)</f>
        <v>0</v>
      </c>
      <c r="T78" s="234">
        <f>COUNTIFS(input!$O:$O,January!$T$62,input!$X:$X,January!N78,input!$A:$A,January!$B$2)</f>
        <v>1</v>
      </c>
      <c r="U78" s="234">
        <f>COUNTIFS(input!$O:$O,January!$U$62,input!$X:$X,January!N78,input!$A:$A,January!$B$2)</f>
        <v>0</v>
      </c>
      <c r="V78" s="230">
        <f>COUNTIFS(input!$O:$O,January!$V$62,input!$X:$X,January!N78,input!$A:$A,January!$B$2)</f>
        <v>0</v>
      </c>
      <c r="W78" s="230">
        <f>COUNTIFS(input!$O:$O,January!$W$62,input!$X:$X,January!N78,input!$A:$A,January!$B$2)</f>
        <v>0</v>
      </c>
      <c r="X78" s="291">
        <f>COUNTIFS(input!$O:$O,January!$X$62,input!$X:$X,January!N78,input!$A:$A,January!$B$2)</f>
        <v>0</v>
      </c>
      <c r="Y78" s="219">
        <f t="shared" si="8"/>
        <v>1</v>
      </c>
      <c r="Z78" s="222" cm="1">
        <f t="array" ref="Z78">_xlfn.IFS(Y78=0,0,Y78&gt;=1,Y78/Y$87)</f>
        <v>7.6923076923076927E-2</v>
      </c>
    </row>
    <row r="79" spans="2:26" ht="61" customHeight="1" x14ac:dyDescent="0.25">
      <c r="B79" s="641"/>
      <c r="C79" s="642"/>
      <c r="D79" s="223">
        <f>COUNTIFS(input!$O:$O,January!$D$62,input!$W:$W,January!B79,input!$A:$A,January!$B$2)</f>
        <v>0</v>
      </c>
      <c r="E79" s="223">
        <f>COUNTIFS(input!$O:$O,January!$E$62,input!$W:$W,January!B79,input!$A:$A,January!$B$2)</f>
        <v>0</v>
      </c>
      <c r="F79" s="223">
        <f>COUNTIFS(input!$O:$O,January!$F$62,input!$W:$W,January!B79,input!$A:$A,January!$B$2)</f>
        <v>0</v>
      </c>
      <c r="G79" s="229">
        <f>COUNTIFS(input!$O:$O,January!$G$62,input!$W:$W,January!B79,input!$A:$A,January!$B$2)</f>
        <v>0</v>
      </c>
      <c r="H79" s="228">
        <f>COUNTIFS(input!$O:$O,January!$H$62,input!$W:$W,January!B79,input!$A:$A,January!$B$2)</f>
        <v>0</v>
      </c>
      <c r="I79" s="228">
        <f>COUNTIFS(input!$O:$O,January!$I$62,input!$W:$W,January!B79,input!$A:$A,January!$B$2)</f>
        <v>0</v>
      </c>
      <c r="J79" s="228">
        <f>COUNTIFS(input!$O:$O,January!$J$62,input!$W:$W,January!B79,input!$A:$A,January!$B$2)</f>
        <v>0</v>
      </c>
      <c r="K79" s="289">
        <f>COUNTIFS(input!$O:$O,January!$K$62,input!$W:$W,January!B79,input!$A:$A,January!$B$2)</f>
        <v>0</v>
      </c>
      <c r="L79" s="219">
        <f t="shared" si="7"/>
        <v>0</v>
      </c>
      <c r="M79" s="226" cm="1">
        <f t="array" ref="M79">_xlfn.IFS(L79=0,0,L79&gt;=1,L79/L87)</f>
        <v>0</v>
      </c>
      <c r="N79" s="568" t="s">
        <v>481</v>
      </c>
      <c r="O79" s="569"/>
      <c r="P79" s="570"/>
      <c r="Q79" s="223">
        <f>COUNTIFS(input!$O:$O,January!$Q$62,input!$X:$X,January!N79,input!$A:$A,January!$B$2)</f>
        <v>0</v>
      </c>
      <c r="R79" s="223">
        <f>COUNTIFS(input!$O:$O,January!$R$62,input!$X:$X,January!N79,input!$A:$A,January!$B$2)</f>
        <v>1</v>
      </c>
      <c r="S79" s="223">
        <f>COUNTIFS(input!$O:$O,January!$S$62,input!$X:$X,January!N79,input!$A:$A,January!$B$2)</f>
        <v>0</v>
      </c>
      <c r="T79" s="229">
        <f>COUNTIFS(input!$O:$O,January!$T$62,input!$X:$X,January!N79,input!$A:$A,January!$B$2)</f>
        <v>0</v>
      </c>
      <c r="U79" s="229">
        <f>COUNTIFS(input!$O:$O,January!$U$62,input!$X:$X,January!N79,input!$A:$A,January!$B$2)</f>
        <v>0</v>
      </c>
      <c r="V79" s="230">
        <f>COUNTIFS(input!$O:$O,January!$V$62,input!$X:$X,January!N79,input!$A:$A,January!$B$2)</f>
        <v>0</v>
      </c>
      <c r="W79" s="230">
        <f>COUNTIFS(input!$O:$O,January!$W$62,input!$X:$X,January!N79,input!$A:$A,January!$B$2)</f>
        <v>0</v>
      </c>
      <c r="X79" s="291">
        <f>COUNTIFS(input!$O:$O,January!$X$62,input!$X:$X,January!N79,input!$A:$A,January!$B$2)</f>
        <v>0</v>
      </c>
      <c r="Y79" s="219">
        <f t="shared" si="8"/>
        <v>1</v>
      </c>
      <c r="Z79" s="222" cm="1">
        <f t="array" ref="Z79">_xlfn.IFS(Y79=0,0,Y79&gt;=1,Y79/Y$87)</f>
        <v>7.6923076923076927E-2</v>
      </c>
    </row>
    <row r="80" spans="2:26" ht="61" customHeight="1" x14ac:dyDescent="0.25">
      <c r="B80" s="600"/>
      <c r="C80" s="567"/>
      <c r="D80" s="223">
        <f>COUNTIFS(input!$O:$O,January!$D$62,input!$W:$W,January!B80,input!$A:$A,January!$B$2)</f>
        <v>0</v>
      </c>
      <c r="E80" s="223">
        <f>COUNTIFS(input!$O:$O,January!$E$62,input!$W:$W,January!B80,input!$A:$A,January!$B$2)</f>
        <v>0</v>
      </c>
      <c r="F80" s="223">
        <f>COUNTIFS(input!$O:$O,January!$F$62,input!$W:$W,January!B80,input!$A:$A,January!$B$2)</f>
        <v>0</v>
      </c>
      <c r="G80" s="229">
        <f>COUNTIFS(input!$O:$O,January!$G$62,input!$W:$W,January!B80,input!$A:$A,January!$B$2)</f>
        <v>0</v>
      </c>
      <c r="H80" s="228">
        <f>COUNTIFS(input!$O:$O,January!$H$62,input!$W:$W,January!B80,input!$A:$A,January!$B$2)</f>
        <v>0</v>
      </c>
      <c r="I80" s="228">
        <f>COUNTIFS(input!$O:$O,January!$I$62,input!$W:$W,January!B80,input!$A:$A,January!$B$2)</f>
        <v>0</v>
      </c>
      <c r="J80" s="228">
        <f>COUNTIFS(input!$O:$O,January!$J$62,input!$W:$W,January!B80,input!$A:$A,January!$B$2)</f>
        <v>0</v>
      </c>
      <c r="K80" s="289">
        <f>COUNTIFS(input!$O:$O,January!$K$62,input!$W:$W,January!B80,input!$A:$A,January!$B$2)</f>
        <v>0</v>
      </c>
      <c r="L80" s="219">
        <f t="shared" si="7"/>
        <v>0</v>
      </c>
      <c r="M80" s="226" cm="1">
        <f t="array" ref="M80">_xlfn.IFS(L80=0,0,L80&gt;=1,L80/L87)</f>
        <v>0</v>
      </c>
      <c r="N80" s="568" t="s">
        <v>467</v>
      </c>
      <c r="O80" s="569"/>
      <c r="P80" s="570"/>
      <c r="Q80" s="247">
        <f>COUNTIFS(input!$O:$O,January!$Q$62,input!$X:$X,January!N80,input!$A:$A,January!$B$2)</f>
        <v>0</v>
      </c>
      <c r="R80" s="247">
        <f>COUNTIFS(input!$O:$O,January!$R$62,input!$X:$X,January!N80,input!$A:$A,January!$B$2)</f>
        <v>0</v>
      </c>
      <c r="S80" s="247">
        <f>COUNTIFS(input!$O:$O,January!$S$62,input!$X:$X,January!N80,input!$A:$A,January!$B$2)</f>
        <v>0</v>
      </c>
      <c r="T80" s="246">
        <f>COUNTIFS(input!$O:$O,January!$T$62,input!$X:$X,January!N80,input!$A:$A,January!$B$2)</f>
        <v>1</v>
      </c>
      <c r="U80" s="246">
        <f>COUNTIFS(input!$O:$O,January!$U$62,input!$X:$X,January!N80,input!$A:$A,January!$B$2)</f>
        <v>0</v>
      </c>
      <c r="V80" s="230">
        <f>COUNTIFS(input!$O:$O,January!$V$62,input!$X:$X,January!N80,input!$A:$A,January!$B$2)</f>
        <v>0</v>
      </c>
      <c r="W80" s="230">
        <f>COUNTIFS(input!$O:$O,January!$W$62,input!$X:$X,January!N80,input!$A:$A,January!$B$2)</f>
        <v>0</v>
      </c>
      <c r="X80" s="291">
        <f>COUNTIFS(input!$O:$O,January!$X$62,input!$X:$X,January!N80,input!$A:$A,January!$B$2)</f>
        <v>0</v>
      </c>
      <c r="Y80" s="219">
        <f t="shared" si="8"/>
        <v>1</v>
      </c>
      <c r="Z80" s="222" cm="1">
        <f t="array" ref="Z80">_xlfn.IFS(Y80=0,0,Y80&gt;=1,Y80/Y$87)</f>
        <v>7.6923076923076927E-2</v>
      </c>
    </row>
    <row r="81" spans="2:52" ht="61" x14ac:dyDescent="0.25">
      <c r="B81" s="600"/>
      <c r="C81" s="567"/>
      <c r="D81" s="233">
        <f>COUNTIFS(input!$O:$O,January!$D$62,input!$W:$W,January!B81,input!$A:$A,January!$B$2)</f>
        <v>0</v>
      </c>
      <c r="E81" s="233">
        <f>COUNTIFS(input!$O:$O,January!$E$62,input!$W:$W,January!B81,input!$A:$A,January!$B$2)</f>
        <v>0</v>
      </c>
      <c r="F81" s="233">
        <f>COUNTIFS(input!$O:$O,January!$F$62,input!$W:$W,January!B81,input!$A:$A,January!$B$2)</f>
        <v>0</v>
      </c>
      <c r="G81" s="234">
        <f>COUNTIFS(input!$O:$O,January!$G$62,input!$W:$W,January!B81,input!$A:$A,January!$B$2)</f>
        <v>0</v>
      </c>
      <c r="H81" s="255">
        <f>COUNTIFS(input!$O:$O,January!$H$62,input!$W:$W,January!B81,input!$A:$A,January!$B$2)</f>
        <v>0</v>
      </c>
      <c r="I81" s="255">
        <f>COUNTIFS(input!$O:$O,January!$I$62,input!$W:$W,January!B81,input!$A:$A,January!$B$2)</f>
        <v>0</v>
      </c>
      <c r="J81" s="255">
        <f>COUNTIFS(input!$O:$O,January!$J$62,input!$W:$W,January!B81,input!$A:$A,January!$B$2)</f>
        <v>0</v>
      </c>
      <c r="K81" s="255">
        <f>COUNTIFS(input!$O:$O,January!$K$62,input!$W:$W,January!B81,input!$A:$A,January!$B$2)</f>
        <v>0</v>
      </c>
      <c r="L81" s="219">
        <f t="shared" si="7"/>
        <v>0</v>
      </c>
      <c r="M81" s="226" cm="1">
        <f t="array" ref="M81">_xlfn.IFS(L81=0,0,L81&gt;=1,L81/L87)</f>
        <v>0</v>
      </c>
      <c r="N81" s="568" t="s">
        <v>706</v>
      </c>
      <c r="O81" s="569"/>
      <c r="P81" s="570"/>
      <c r="Q81" s="223">
        <f>COUNTIFS(input!$O:$O,January!$Q$62,input!$X:$X,January!N81,input!$A:$A,January!$B$2)</f>
        <v>0</v>
      </c>
      <c r="R81" s="223">
        <f>COUNTIFS(input!$O:$O,January!$R$62,input!$X:$X,January!N81,input!$A:$A,January!$B$2)</f>
        <v>0</v>
      </c>
      <c r="S81" s="223">
        <f>COUNTIFS(input!$O:$O,January!$S$62,input!$X:$X,January!N81,input!$A:$A,January!$B$2)</f>
        <v>0</v>
      </c>
      <c r="T81" s="229">
        <f>COUNTIFS(input!$O:$O,January!$T$62,input!$X:$X,January!N81,input!$A:$A,January!$B$2)</f>
        <v>0</v>
      </c>
      <c r="U81" s="229">
        <f>COUNTIFS(input!$O:$O,January!$U$62,input!$X:$X,January!N81,input!$A:$A,January!$B$2)</f>
        <v>0</v>
      </c>
      <c r="V81" s="229">
        <f>COUNTIFS(input!$O:$O,January!$V$62,input!$X:$X,January!N81,input!$A:$A,January!$B$2)</f>
        <v>0</v>
      </c>
      <c r="W81" s="229">
        <f>COUNTIFS(input!$O:$O,January!$W$62,input!$X:$X,January!N81,input!$A:$A,January!$B$2)</f>
        <v>0</v>
      </c>
      <c r="X81" s="292">
        <f>COUNTIFS(input!$O:$O,January!$X$62,input!$X:$X,January!N81,input!$A:$A,January!$B$2)</f>
        <v>3</v>
      </c>
      <c r="Y81" s="219">
        <f t="shared" si="8"/>
        <v>3</v>
      </c>
      <c r="Z81" s="222" cm="1">
        <f t="array" ref="Z81">_xlfn.IFS(Y81=0,0,Y81&gt;=1,Y81/Y$87)</f>
        <v>0.23076923076923078</v>
      </c>
    </row>
    <row r="82" spans="2:52" ht="61" x14ac:dyDescent="0.25">
      <c r="B82" s="600" t="s">
        <v>364</v>
      </c>
      <c r="C82" s="567"/>
      <c r="D82" s="223">
        <f>COUNTIFS(input!$O:$O,January!$D$62,input!$W:$W,January!B82,input!$A:$A,January!$B$2)</f>
        <v>0</v>
      </c>
      <c r="E82" s="223">
        <f>COUNTIFS(input!$O:$O,January!$E$62,input!$W:$W,January!B82,input!$A:$A,January!$B$2)</f>
        <v>0</v>
      </c>
      <c r="F82" s="223">
        <f>COUNTIFS(input!$O:$O,January!$F$62,input!$W:$W,January!B82,input!$A:$A,January!$B$2)</f>
        <v>0</v>
      </c>
      <c r="G82" s="229">
        <f>COUNTIFS(input!$O:$O,January!$G$62,input!$W:$W,January!B82,input!$A:$A,January!$B$2)</f>
        <v>0</v>
      </c>
      <c r="H82" s="228">
        <f>COUNTIFS(input!$O:$O,January!$H$62,input!$W:$W,January!B82,input!$A:$A,January!$B$2)</f>
        <v>0</v>
      </c>
      <c r="I82" s="228">
        <f>COUNTIFS(input!$O:$O,January!$I$62,input!$W:$W,January!B82,input!$A:$A,January!$B$2)</f>
        <v>0</v>
      </c>
      <c r="J82" s="228">
        <f>COUNTIFS(input!$O:$O,January!$J$62,input!$W:$W,January!B82,input!$A:$A,January!$B$2)</f>
        <v>0</v>
      </c>
      <c r="K82" s="228">
        <f>COUNTIFS(input!$O:$O,January!$K$62,input!$W:$W,January!B82,input!$A:$A,January!$B$2)</f>
        <v>0</v>
      </c>
      <c r="L82" s="219">
        <f t="shared" si="7"/>
        <v>0</v>
      </c>
      <c r="M82" s="226" cm="1">
        <f t="array" ref="M82">_xlfn.IFS(L82=0,0,L82&gt;=1,L82/L87)</f>
        <v>0</v>
      </c>
      <c r="N82" s="643" t="s">
        <v>188</v>
      </c>
      <c r="O82" s="566"/>
      <c r="P82" s="567"/>
      <c r="Q82" s="223">
        <f>COUNTIFS(input!$O:$O,January!$Q$62,input!$X:$X,January!N82,input!$A:$A,January!$B$2)</f>
        <v>0</v>
      </c>
      <c r="R82" s="223">
        <f>COUNTIFS(input!$O:$O,January!$R$62,input!$X:$X,January!N82,input!$A:$A,January!$B$2)</f>
        <v>0</v>
      </c>
      <c r="S82" s="223">
        <f>COUNTIFS(input!$O:$O,January!$S$62,input!$X:$X,January!N82,input!$A:$A,January!$B$2)</f>
        <v>0</v>
      </c>
      <c r="T82" s="229">
        <f>COUNTIFS(input!$O:$O,January!$T$62,input!$X:$X,January!N82,input!$A:$A,January!$B$2)</f>
        <v>0</v>
      </c>
      <c r="U82" s="229">
        <f>COUNTIFS(input!$O:$O,January!$U$62,input!$X:$X,January!N82,input!$A:$A,January!$B$2)</f>
        <v>0</v>
      </c>
      <c r="V82" s="229">
        <f>COUNTIFS(input!$O:$O,January!$V$62,input!$X:$X,January!N82,input!$A:$A,January!$B$2)</f>
        <v>0</v>
      </c>
      <c r="W82" s="229">
        <f>COUNTIFS(input!$O:$O,January!$W$62,input!$X:$X,January!N82,input!$A:$A,January!$B$2)</f>
        <v>0</v>
      </c>
      <c r="X82" s="292">
        <f>COUNTIFS(input!$O:$O,January!$X$62,input!$X:$X,January!N82,input!$A:$A,January!$B$2)</f>
        <v>0</v>
      </c>
      <c r="Y82" s="219">
        <f t="shared" si="8"/>
        <v>0</v>
      </c>
      <c r="Z82" s="222" cm="1">
        <f t="array" ref="Z82">_xlfn.IFS(Y82=0,0,Y82&gt;=1,Y82/Y$87)</f>
        <v>0</v>
      </c>
    </row>
    <row r="83" spans="2:52" ht="61" x14ac:dyDescent="0.25">
      <c r="B83" s="600" t="s">
        <v>363</v>
      </c>
      <c r="C83" s="567"/>
      <c r="D83" s="223">
        <f>COUNTIFS(input!$O:$O,January!$D$62,input!$W:$W,January!B83,input!$A:$A,January!$B$2)</f>
        <v>0</v>
      </c>
      <c r="E83" s="223">
        <f>COUNTIFS(input!$O:$O,January!$E$62,input!$W:$W,January!B83,input!$A:$A,January!$B$2)</f>
        <v>0</v>
      </c>
      <c r="F83" s="223">
        <f>COUNTIFS(input!$O:$O,January!$F$62,input!$W:$W,January!B83,input!$A:$A,January!$B$2)</f>
        <v>0</v>
      </c>
      <c r="G83" s="229">
        <f>COUNTIFS(input!$O:$O,January!$G$62,input!$W:$W,January!B83,input!$A:$A,January!$B$2)</f>
        <v>0</v>
      </c>
      <c r="H83" s="228">
        <f>COUNTIFS(input!$O:$O,January!$H$62,input!$W:$W,January!B83,input!$A:$A,January!$B$2)</f>
        <v>0</v>
      </c>
      <c r="I83" s="228">
        <f>COUNTIFS(input!$O:$O,January!$I$62,input!$W:$W,January!B83,input!$A:$A,January!$B$2)</f>
        <v>0</v>
      </c>
      <c r="J83" s="228">
        <f>COUNTIFS(input!$O:$O,January!$J$62,input!$W:$W,January!B83,input!$A:$A,January!$B$2)</f>
        <v>0</v>
      </c>
      <c r="K83" s="289">
        <f>COUNTIFS(input!$O:$O,January!$K$62,input!$W:$W,January!B83,input!$A:$A,January!$B$2)</f>
        <v>0</v>
      </c>
      <c r="L83" s="219">
        <f t="shared" si="7"/>
        <v>0</v>
      </c>
      <c r="M83" s="226" cm="1">
        <f t="array" ref="M83">_xlfn.IFS(L83=0,0,L83&gt;=1,L83/L87)</f>
        <v>0</v>
      </c>
      <c r="N83" s="568" t="s">
        <v>361</v>
      </c>
      <c r="O83" s="569"/>
      <c r="P83" s="570"/>
      <c r="Q83" s="223">
        <f>COUNTIFS(input!$O:$O,January!$Q$62,input!$X:$X,January!N83,input!$A:$A,January!$B$2)</f>
        <v>0</v>
      </c>
      <c r="R83" s="223">
        <f>COUNTIFS(input!$O:$O,January!$R$62,input!$X:$X,January!N83,input!$A:$A,January!$B$2)</f>
        <v>0</v>
      </c>
      <c r="S83" s="223">
        <f>COUNTIFS(input!$O:$O,January!$S$62,input!$X:$X,January!N83,input!$A:$A,January!$B$2)</f>
        <v>0</v>
      </c>
      <c r="T83" s="229">
        <f>COUNTIFS(input!$O:$O,January!$T$62,input!$X:$X,January!N83,input!$A:$A,January!$B$2)</f>
        <v>1</v>
      </c>
      <c r="U83" s="229">
        <f>COUNTIFS(input!$O:$O,January!$U$62,input!$X:$X,January!N83,input!$A:$A,January!$B$2)</f>
        <v>0</v>
      </c>
      <c r="V83" s="229">
        <f>COUNTIFS(input!$O:$O,January!$V$62,input!$X:$X,January!N83,input!$A:$A,January!$B$2)</f>
        <v>0</v>
      </c>
      <c r="W83" s="229">
        <f>COUNTIFS(input!$O:$O,January!$W$62,input!$X:$X,January!N83,input!$A:$A,January!$B$2)</f>
        <v>0</v>
      </c>
      <c r="X83" s="292">
        <f>COUNTIFS(input!$O:$O,January!$X$62,input!$X:$X,January!N83,input!$A:$A,January!$B$2)</f>
        <v>0</v>
      </c>
      <c r="Y83" s="219">
        <f t="shared" si="8"/>
        <v>1</v>
      </c>
      <c r="Z83" s="222" cm="1">
        <f t="array" ref="Z83">_xlfn.IFS(Y83=0,0,Y83&gt;=1,Y83/Y$87)</f>
        <v>7.6923076923076927E-2</v>
      </c>
    </row>
    <row r="84" spans="2:52" ht="61" x14ac:dyDescent="0.25">
      <c r="B84" s="600" t="s">
        <v>362</v>
      </c>
      <c r="C84" s="567"/>
      <c r="D84" s="223">
        <f>COUNTIFS(input!$O:$O,January!$D$62,input!$W:$W,January!B84,input!$A:$A,January!$B$2)</f>
        <v>0</v>
      </c>
      <c r="E84" s="223">
        <f>COUNTIFS(input!$O:$O,January!$E$62,input!$W:$W,January!B84,input!$A:$A,January!$B$2)</f>
        <v>0</v>
      </c>
      <c r="F84" s="223">
        <f>COUNTIFS(input!$O:$O,January!$F$62,input!$W:$W,January!B84,input!$A:$A,January!$B$2)</f>
        <v>0</v>
      </c>
      <c r="G84" s="229">
        <f>COUNTIFS(input!$O:$O,January!$G$62,input!$W:$W,January!B84,input!$A:$A,January!$B$2)</f>
        <v>0</v>
      </c>
      <c r="H84" s="228">
        <f>COUNTIFS(input!$O:$O,January!$H$62,input!$W:$W,January!B84,input!$A:$A,January!$B$2)</f>
        <v>0</v>
      </c>
      <c r="I84" s="228">
        <f>COUNTIFS(input!$O:$O,January!$I$62,input!$W:$W,January!B84,input!$A:$A,January!$B$2)</f>
        <v>0</v>
      </c>
      <c r="J84" s="228">
        <f>COUNTIFS(input!$O:$O,January!$J$62,input!$W:$W,January!B84,input!$A:$A,January!$B$2)</f>
        <v>0</v>
      </c>
      <c r="K84" s="289">
        <f>COUNTIFS(input!$O:$O,January!$K$62,input!$W:$W,January!B84,input!$A:$A,January!$B$2)</f>
        <v>0</v>
      </c>
      <c r="L84" s="219">
        <f t="shared" si="7"/>
        <v>0</v>
      </c>
      <c r="M84" s="226" cm="1">
        <f t="array" ref="M84">_xlfn.IFS(L84=0,0,L84&gt;=1,L84/L87)</f>
        <v>0</v>
      </c>
      <c r="N84" s="643" t="s">
        <v>362</v>
      </c>
      <c r="O84" s="566"/>
      <c r="P84" s="567"/>
      <c r="Q84" s="223">
        <f>COUNTIFS(input!$O:$O,January!$Q$62,input!$X:$X,January!N84,input!$A:$A,January!$B$2)</f>
        <v>0</v>
      </c>
      <c r="R84" s="223">
        <f>COUNTIFS(input!$O:$O,January!$R$62,input!$X:$X,January!N84,input!$A:$A,January!$B$2)</f>
        <v>0</v>
      </c>
      <c r="S84" s="223">
        <f>COUNTIFS(input!$O:$O,January!$S$62,input!$X:$X,January!N84,input!$A:$A,January!$B$2)</f>
        <v>0</v>
      </c>
      <c r="T84" s="229">
        <f>COUNTIFS(input!$O:$O,January!$T$62,input!$X:$X,January!N84,input!$A:$A,January!$B$2)</f>
        <v>0</v>
      </c>
      <c r="U84" s="229">
        <f>COUNTIFS(input!$O:$O,January!$U$62,input!$X:$X,January!N84,input!$A:$A,January!$B$2)</f>
        <v>0</v>
      </c>
      <c r="V84" s="229">
        <f>COUNTIFS(input!$O:$O,January!$V$62,input!$X:$X,January!N84,input!$A:$A,January!$B$2)</f>
        <v>0</v>
      </c>
      <c r="W84" s="229">
        <f>COUNTIFS(input!$O:$O,January!$W$62,input!$X:$X,January!N84,input!$A:$A,January!$B$2)</f>
        <v>0</v>
      </c>
      <c r="X84" s="292">
        <f>COUNTIFS(input!$O:$O,January!$X$62,input!$X:$X,January!N84,input!$A:$A,January!$B$2)</f>
        <v>0</v>
      </c>
      <c r="Y84" s="219">
        <f t="shared" si="8"/>
        <v>0</v>
      </c>
      <c r="Z84" s="222" cm="1">
        <f t="array" ref="Z84">_xlfn.IFS(Y84=0,0,Y84&gt;=1,Y84/Y$87)</f>
        <v>0</v>
      </c>
    </row>
    <row r="85" spans="2:52" ht="61" x14ac:dyDescent="0.25">
      <c r="B85" s="571" t="s">
        <v>361</v>
      </c>
      <c r="C85" s="570"/>
      <c r="D85" s="223">
        <f>COUNTIFS(input!$O:$O,January!$D$62,input!$W:$W,January!B85,input!$A:$A,January!$B$2)</f>
        <v>0</v>
      </c>
      <c r="E85" s="223">
        <f>COUNTIFS(input!$O:$O,January!$E$62,input!$W:$W,January!B85,input!$A:$A,January!$B$2)</f>
        <v>0</v>
      </c>
      <c r="F85" s="223">
        <f>COUNTIFS(input!$O:$O,January!$F$62,input!$W:$W,January!B85,input!$A:$A,January!$B$2)</f>
        <v>0</v>
      </c>
      <c r="G85" s="229">
        <f>COUNTIFS(input!$O:$O,January!$G$62,input!$W:$W,January!B85,input!$A:$A,January!$B$2)</f>
        <v>1</v>
      </c>
      <c r="H85" s="228">
        <f>COUNTIFS(input!$O:$O,January!$H$62,input!$W:$W,January!B85,input!$A:$A,January!$B$2)</f>
        <v>0</v>
      </c>
      <c r="I85" s="228">
        <f>COUNTIFS(input!$O:$O,January!$I$62,input!$W:$W,January!B85,input!$A:$A,January!$B$2)</f>
        <v>0</v>
      </c>
      <c r="J85" s="228">
        <f>COUNTIFS(input!$O:$O,January!$J$62,input!$W:$W,January!B85,input!$A:$A,January!$B$2)</f>
        <v>0</v>
      </c>
      <c r="K85" s="289">
        <f>COUNTIFS(input!$O:$O,January!$K$62,input!$W:$W,January!B85,input!$A:$A,January!$B$2)</f>
        <v>0</v>
      </c>
      <c r="L85" s="219">
        <f t="shared" si="7"/>
        <v>1</v>
      </c>
      <c r="M85" s="226" cm="1">
        <f t="array" ref="M85">_xlfn.IFS(L85=0,0,L85&gt;=1,L85/L87)</f>
        <v>7.6923076923076927E-2</v>
      </c>
      <c r="N85" s="643" t="s">
        <v>363</v>
      </c>
      <c r="O85" s="566"/>
      <c r="P85" s="567"/>
      <c r="Q85" s="223">
        <f>COUNTIFS(input!$O:$O,January!$Q$62,input!$X:$X,January!N85,input!$A:$A,January!$B$2)</f>
        <v>0</v>
      </c>
      <c r="R85" s="223">
        <f>COUNTIFS(input!$O:$O,January!$R$62,input!$X:$X,January!N85,input!$A:$A,January!$B$2)</f>
        <v>0</v>
      </c>
      <c r="S85" s="223">
        <f>COUNTIFS(input!$O:$O,January!$S$62,input!$X:$X,January!N85,input!$A:$A,January!$B$2)</f>
        <v>0</v>
      </c>
      <c r="T85" s="229">
        <f>COUNTIFS(input!$O:$O,January!$T$62,input!$X:$X,January!N85,input!$A:$A,January!$B$2)</f>
        <v>0</v>
      </c>
      <c r="U85" s="229">
        <f>COUNTIFS(input!$O:$O,January!$U$62,input!$X:$X,January!N85,input!$A:$A,January!$B$2)</f>
        <v>0</v>
      </c>
      <c r="V85" s="229">
        <f>COUNTIFS(input!$O:$O,January!$V$62,input!$X:$X,January!N85,input!$A:$A,January!$B$2)</f>
        <v>0</v>
      </c>
      <c r="W85" s="229">
        <f>COUNTIFS(input!$O:$O,January!$W$62,input!$X:$X,January!N85,input!$A:$A,January!$B$2)</f>
        <v>0</v>
      </c>
      <c r="X85" s="292">
        <f>COUNTIFS(input!$O:$O,January!$X$62,input!$X:$X,January!N85,input!$A:$A,January!$B$2)</f>
        <v>0</v>
      </c>
      <c r="Y85" s="219">
        <f t="shared" si="8"/>
        <v>0</v>
      </c>
      <c r="Z85" s="222" cm="1">
        <f t="array" ref="Z85">_xlfn.IFS(Y85=0,0,Y85&gt;=1,Y85/Y$87)</f>
        <v>0</v>
      </c>
    </row>
    <row r="86" spans="2:52" ht="61" x14ac:dyDescent="0.25">
      <c r="B86" s="664" t="s">
        <v>57</v>
      </c>
      <c r="C86" s="665"/>
      <c r="D86" s="256">
        <f>COUNTIFS(input!$O:$O,January!$D$62,input!$W:$W,January!B86,input!$A:$A,January!$B$2)</f>
        <v>0</v>
      </c>
      <c r="E86" s="256">
        <f>COUNTIFS(input!$O:$O,January!$E$62,input!$W:$W,January!B86,input!$A:$A,January!$B$2)</f>
        <v>0</v>
      </c>
      <c r="F86" s="256">
        <f>COUNTIFS(input!$O:$O,January!$F$62,input!$W:$W,January!B86,input!$A:$A,January!$B$2)</f>
        <v>0</v>
      </c>
      <c r="G86" s="257">
        <f>COUNTIFS(input!$O:$O,January!$G$62,input!$W:$W,January!B86,input!$A:$A,January!$B$2)</f>
        <v>0</v>
      </c>
      <c r="H86" s="258">
        <f>COUNTIFS(input!$O:$O,January!$H$62,input!$W:$W,January!B86,input!$A:$A,January!$B$2)</f>
        <v>0</v>
      </c>
      <c r="I86" s="258">
        <f>COUNTIFS(input!$O:$O,January!$I$62,input!$W:$W,January!B86,input!$A:$A,January!$B$2)</f>
        <v>0</v>
      </c>
      <c r="J86" s="258">
        <f>COUNTIFS(input!$O:$O,January!$J$62,input!$W:$W,January!B86,input!$A:$A,January!$B$2)</f>
        <v>0</v>
      </c>
      <c r="K86" s="290">
        <f>COUNTIFS(input!$O:$O,January!$K$62,input!$W:$W,January!B86,input!$A:$A,January!$B$2)</f>
        <v>3</v>
      </c>
      <c r="L86" s="219">
        <f>SUM(D86:K86)</f>
        <v>3</v>
      </c>
      <c r="M86" s="259" cm="1">
        <f t="array" ref="M86">_xlfn.IFS(L86=0,0,L86&gt;=1,L86/L87)</f>
        <v>0.23076923076923078</v>
      </c>
      <c r="N86" s="666" t="s">
        <v>364</v>
      </c>
      <c r="O86" s="667"/>
      <c r="P86" s="668"/>
      <c r="Q86" s="256">
        <f>COUNTIFS(input!$O:$O,January!$Q$62,input!$X:$X,January!N86,input!$A:$A,January!$B$2)</f>
        <v>0</v>
      </c>
      <c r="R86" s="256">
        <f>COUNTIFS(input!$O:$O,January!$R$62,input!$X:$X,January!N86,input!$A:$A,January!$B$2)</f>
        <v>0</v>
      </c>
      <c r="S86" s="256">
        <f>COUNTIFS(input!$O:$O,January!$S$62,input!$X:$X,January!N86,input!$A:$A,January!$B$2)</f>
        <v>0</v>
      </c>
      <c r="T86" s="257">
        <f>COUNTIFS(input!$O:$O,January!$T$62,input!$X:$X,January!N86,input!$A:$A,January!$B$2)</f>
        <v>0</v>
      </c>
      <c r="U86" s="257">
        <f>COUNTIFS(input!$O:$O,January!$U$62,input!$X:$X,January!N86,input!$A:$A,January!$B$2)</f>
        <v>0</v>
      </c>
      <c r="V86" s="257">
        <f>COUNTIFS(input!$O:$O,January!$V$62,input!$X:$X,January!N86,input!$A:$A,January!$B$2)</f>
        <v>0</v>
      </c>
      <c r="W86" s="257">
        <f>COUNTIFS(input!$O:$O,January!$W$62,input!$X:$X,January!N86,input!$A:$A,January!$B$2)</f>
        <v>0</v>
      </c>
      <c r="X86" s="257">
        <f>COUNTIFS(input!$O:$O,January!$X$62,input!$X:$X,January!N86,input!$A:$A,January!$B$2)</f>
        <v>0</v>
      </c>
      <c r="Y86" s="219">
        <f t="shared" si="8"/>
        <v>0</v>
      </c>
      <c r="Z86" s="222" cm="1">
        <f t="array" ref="Z86">_xlfn.IFS(Y86=0,0,Y86&gt;=1,Y86/Y$87)</f>
        <v>0</v>
      </c>
    </row>
    <row r="87" spans="2:52" ht="60.5" thickBot="1" x14ac:dyDescent="0.3">
      <c r="B87" s="669" t="s">
        <v>4</v>
      </c>
      <c r="C87" s="670"/>
      <c r="D87" s="250">
        <f>SUM(D63:D86)</f>
        <v>1</v>
      </c>
      <c r="E87" s="250">
        <f t="shared" ref="E87:L87" si="9">SUM(E63:E86)</f>
        <v>1</v>
      </c>
      <c r="F87" s="250">
        <f t="shared" si="9"/>
        <v>0</v>
      </c>
      <c r="G87" s="250">
        <f t="shared" si="9"/>
        <v>5</v>
      </c>
      <c r="H87" s="250">
        <f t="shared" si="9"/>
        <v>0</v>
      </c>
      <c r="I87" s="250">
        <f t="shared" si="9"/>
        <v>2</v>
      </c>
      <c r="J87" s="250">
        <f t="shared" si="9"/>
        <v>1</v>
      </c>
      <c r="K87" s="250">
        <f t="shared" si="9"/>
        <v>3</v>
      </c>
      <c r="L87" s="250">
        <f t="shared" si="9"/>
        <v>13</v>
      </c>
      <c r="M87" s="260">
        <f>SUM(M63:M86)</f>
        <v>1</v>
      </c>
      <c r="N87" s="671" t="s">
        <v>4</v>
      </c>
      <c r="O87" s="671"/>
      <c r="P87" s="672"/>
      <c r="Q87" s="261">
        <f>SUM(Q63:Q86)</f>
        <v>1</v>
      </c>
      <c r="R87" s="261">
        <f t="shared" ref="R87:X87" si="10">SUM(R63:R86)</f>
        <v>1</v>
      </c>
      <c r="S87" s="261">
        <f t="shared" si="10"/>
        <v>0</v>
      </c>
      <c r="T87" s="261">
        <f t="shared" si="10"/>
        <v>5</v>
      </c>
      <c r="U87" s="261">
        <f t="shared" si="10"/>
        <v>0</v>
      </c>
      <c r="V87" s="261">
        <f t="shared" si="10"/>
        <v>2</v>
      </c>
      <c r="W87" s="261">
        <f t="shared" si="10"/>
        <v>1</v>
      </c>
      <c r="X87" s="261">
        <f t="shared" si="10"/>
        <v>3</v>
      </c>
      <c r="Y87" s="250">
        <f>SUM(Y63:Y86)</f>
        <v>13</v>
      </c>
      <c r="Z87" s="262">
        <f>SUM(Z63:Z86)</f>
        <v>1</v>
      </c>
    </row>
    <row r="88" spans="2:52" ht="60.5" thickBot="1" x14ac:dyDescent="0.3">
      <c r="B88" s="644"/>
      <c r="C88" s="645"/>
      <c r="D88" s="646" t="s">
        <v>16</v>
      </c>
      <c r="E88" s="647"/>
      <c r="F88" s="647"/>
      <c r="G88" s="647"/>
      <c r="H88" s="647"/>
      <c r="I88" s="647"/>
      <c r="J88" s="647"/>
      <c r="K88" s="647"/>
      <c r="L88" s="647"/>
      <c r="M88" s="648"/>
      <c r="N88" s="646" t="s">
        <v>182</v>
      </c>
      <c r="O88" s="647"/>
      <c r="P88" s="647"/>
      <c r="Q88" s="647"/>
      <c r="R88" s="647"/>
      <c r="S88" s="647"/>
      <c r="T88" s="647"/>
      <c r="U88" s="647"/>
      <c r="V88" s="647"/>
      <c r="W88" s="647"/>
      <c r="X88" s="647"/>
      <c r="Y88" s="647"/>
      <c r="Z88" s="648"/>
    </row>
    <row r="89" spans="2:52" s="263" customFormat="1" ht="122" customHeight="1" x14ac:dyDescent="0.25">
      <c r="B89" s="649" t="str">
        <f>B6</f>
        <v>RYAN DAVE MAWI-IT</v>
      </c>
      <c r="C89" s="650"/>
      <c r="D89" s="651" t="s">
        <v>351</v>
      </c>
      <c r="E89" s="652"/>
      <c r="F89" s="652"/>
      <c r="G89" s="652"/>
      <c r="H89" s="652"/>
      <c r="I89" s="652"/>
      <c r="J89" s="652"/>
      <c r="K89" s="652"/>
      <c r="L89" s="652"/>
      <c r="M89" s="653"/>
      <c r="N89" s="651" t="s">
        <v>527</v>
      </c>
      <c r="O89" s="652"/>
      <c r="P89" s="652"/>
      <c r="Q89" s="652"/>
      <c r="R89" s="652"/>
      <c r="S89" s="652"/>
      <c r="T89" s="652"/>
      <c r="U89" s="652"/>
      <c r="V89" s="652"/>
      <c r="W89" s="652"/>
      <c r="X89" s="652"/>
      <c r="Y89" s="652"/>
      <c r="Z89" s="653"/>
    </row>
    <row r="90" spans="2:52" s="263" customFormat="1" ht="122" customHeight="1" x14ac:dyDescent="0.25">
      <c r="B90" s="660" t="str">
        <f>R6</f>
        <v>OI</v>
      </c>
      <c r="C90" s="661"/>
      <c r="D90" s="654"/>
      <c r="E90" s="655"/>
      <c r="F90" s="655"/>
      <c r="G90" s="655"/>
      <c r="H90" s="655"/>
      <c r="I90" s="655"/>
      <c r="J90" s="655"/>
      <c r="K90" s="655"/>
      <c r="L90" s="655"/>
      <c r="M90" s="656"/>
      <c r="N90" s="654"/>
      <c r="O90" s="655"/>
      <c r="P90" s="655"/>
      <c r="Q90" s="655"/>
      <c r="R90" s="655"/>
      <c r="S90" s="655"/>
      <c r="T90" s="655"/>
      <c r="U90" s="655"/>
      <c r="V90" s="655"/>
      <c r="W90" s="655"/>
      <c r="X90" s="655"/>
      <c r="Y90" s="655"/>
      <c r="Z90" s="656"/>
      <c r="AC90" s="264"/>
    </row>
    <row r="91" spans="2:52" s="263" customFormat="1" ht="122" customHeight="1" thickBot="1" x14ac:dyDescent="0.3">
      <c r="B91" s="662" t="str">
        <f>input!V2</f>
        <v>RP No. 22</v>
      </c>
      <c r="C91" s="663"/>
      <c r="D91" s="657"/>
      <c r="E91" s="658"/>
      <c r="F91" s="658"/>
      <c r="G91" s="658"/>
      <c r="H91" s="658"/>
      <c r="I91" s="658"/>
      <c r="J91" s="658"/>
      <c r="K91" s="658"/>
      <c r="L91" s="658"/>
      <c r="M91" s="659"/>
      <c r="N91" s="657"/>
      <c r="O91" s="658"/>
      <c r="P91" s="658"/>
      <c r="Q91" s="658"/>
      <c r="R91" s="658"/>
      <c r="S91" s="658"/>
      <c r="T91" s="658"/>
      <c r="U91" s="658"/>
      <c r="V91" s="658"/>
      <c r="W91" s="658"/>
      <c r="X91" s="658"/>
      <c r="Y91" s="658"/>
      <c r="Z91" s="659"/>
    </row>
    <row r="92" spans="2:52" s="263" customFormat="1" ht="206" customHeight="1" x14ac:dyDescent="0.25">
      <c r="B92" s="673" t="str">
        <f>B7</f>
        <v>JOEY A. LASSIN</v>
      </c>
      <c r="C92" s="674"/>
      <c r="D92" s="675" t="s">
        <v>352</v>
      </c>
      <c r="E92" s="676"/>
      <c r="F92" s="676"/>
      <c r="G92" s="676"/>
      <c r="H92" s="676"/>
      <c r="I92" s="676"/>
      <c r="J92" s="676"/>
      <c r="K92" s="676"/>
      <c r="L92" s="676"/>
      <c r="M92" s="677"/>
      <c r="N92" s="675" t="s">
        <v>529</v>
      </c>
      <c r="O92" s="676"/>
      <c r="P92" s="676"/>
      <c r="Q92" s="676"/>
      <c r="R92" s="676"/>
      <c r="S92" s="676"/>
      <c r="T92" s="676"/>
      <c r="U92" s="676"/>
      <c r="V92" s="676"/>
      <c r="W92" s="676"/>
      <c r="X92" s="676"/>
      <c r="Y92" s="676"/>
      <c r="Z92" s="677"/>
    </row>
    <row r="93" spans="2:52" s="263" customFormat="1" ht="206" customHeight="1" x14ac:dyDescent="0.25">
      <c r="B93" s="684" t="str">
        <f>R7</f>
        <v>FAC</v>
      </c>
      <c r="C93" s="685"/>
      <c r="D93" s="678"/>
      <c r="E93" s="679"/>
      <c r="F93" s="679"/>
      <c r="G93" s="679"/>
      <c r="H93" s="679"/>
      <c r="I93" s="679"/>
      <c r="J93" s="679"/>
      <c r="K93" s="679"/>
      <c r="L93" s="679"/>
      <c r="M93" s="680"/>
      <c r="N93" s="678"/>
      <c r="O93" s="679"/>
      <c r="P93" s="679"/>
      <c r="Q93" s="679"/>
      <c r="R93" s="679"/>
      <c r="S93" s="679"/>
      <c r="T93" s="679"/>
      <c r="U93" s="679"/>
      <c r="V93" s="679"/>
      <c r="W93" s="679"/>
      <c r="X93" s="679"/>
      <c r="Y93" s="679"/>
      <c r="Z93" s="680"/>
      <c r="AC93" s="264"/>
      <c r="AZ93" s="264"/>
    </row>
    <row r="94" spans="2:52" s="263" customFormat="1" ht="206" customHeight="1" thickBot="1" x14ac:dyDescent="0.3">
      <c r="B94" s="686" t="str">
        <f>input!V3</f>
        <v>21516 4M4</v>
      </c>
      <c r="C94" s="687"/>
      <c r="D94" s="681"/>
      <c r="E94" s="682"/>
      <c r="F94" s="682"/>
      <c r="G94" s="682"/>
      <c r="H94" s="682"/>
      <c r="I94" s="682"/>
      <c r="J94" s="682"/>
      <c r="K94" s="682"/>
      <c r="L94" s="682"/>
      <c r="M94" s="683"/>
      <c r="N94" s="681"/>
      <c r="O94" s="682"/>
      <c r="P94" s="682"/>
      <c r="Q94" s="682"/>
      <c r="R94" s="682"/>
      <c r="S94" s="682"/>
      <c r="T94" s="682"/>
      <c r="U94" s="682"/>
      <c r="V94" s="682"/>
      <c r="W94" s="682"/>
      <c r="X94" s="682"/>
      <c r="Y94" s="682"/>
      <c r="Z94" s="683"/>
    </row>
    <row r="95" spans="2:52" s="263" customFormat="1" ht="87.5" customHeight="1" x14ac:dyDescent="0.25">
      <c r="B95" s="649" t="str">
        <f>B8</f>
        <v>MANUEL D. BALAIS</v>
      </c>
      <c r="C95" s="650"/>
      <c r="D95" s="651" t="s">
        <v>354</v>
      </c>
      <c r="E95" s="652"/>
      <c r="F95" s="652"/>
      <c r="G95" s="652"/>
      <c r="H95" s="652"/>
      <c r="I95" s="652"/>
      <c r="J95" s="652"/>
      <c r="K95" s="652"/>
      <c r="L95" s="652"/>
      <c r="M95" s="653"/>
      <c r="N95" s="651" t="s">
        <v>530</v>
      </c>
      <c r="O95" s="652"/>
      <c r="P95" s="652"/>
      <c r="Q95" s="652"/>
      <c r="R95" s="652"/>
      <c r="S95" s="652"/>
      <c r="T95" s="652"/>
      <c r="U95" s="652"/>
      <c r="V95" s="652"/>
      <c r="W95" s="652"/>
      <c r="X95" s="652"/>
      <c r="Y95" s="652"/>
      <c r="Z95" s="653"/>
    </row>
    <row r="96" spans="2:52" s="263" customFormat="1" ht="87.5" customHeight="1" x14ac:dyDescent="0.25">
      <c r="B96" s="660" t="str">
        <f>R8</f>
        <v>FAC</v>
      </c>
      <c r="C96" s="661"/>
      <c r="D96" s="654"/>
      <c r="E96" s="655"/>
      <c r="F96" s="655"/>
      <c r="G96" s="655"/>
      <c r="H96" s="655"/>
      <c r="I96" s="655"/>
      <c r="J96" s="655"/>
      <c r="K96" s="655"/>
      <c r="L96" s="655"/>
      <c r="M96" s="656"/>
      <c r="N96" s="654"/>
      <c r="O96" s="655"/>
      <c r="P96" s="655"/>
      <c r="Q96" s="655"/>
      <c r="R96" s="655"/>
      <c r="S96" s="655"/>
      <c r="T96" s="655"/>
      <c r="U96" s="655"/>
      <c r="V96" s="655"/>
      <c r="W96" s="655"/>
      <c r="X96" s="655"/>
      <c r="Y96" s="655"/>
      <c r="Z96" s="656"/>
      <c r="AC96" s="264"/>
    </row>
    <row r="97" spans="2:52" s="263" customFormat="1" ht="87.5" customHeight="1" thickBot="1" x14ac:dyDescent="0.3">
      <c r="B97" s="662" t="str">
        <f>input!V4</f>
        <v>305 RAMP</v>
      </c>
      <c r="C97" s="663"/>
      <c r="D97" s="657"/>
      <c r="E97" s="658"/>
      <c r="F97" s="658"/>
      <c r="G97" s="658"/>
      <c r="H97" s="658"/>
      <c r="I97" s="658"/>
      <c r="J97" s="658"/>
      <c r="K97" s="658"/>
      <c r="L97" s="658"/>
      <c r="M97" s="659"/>
      <c r="N97" s="657"/>
      <c r="O97" s="658"/>
      <c r="P97" s="658"/>
      <c r="Q97" s="658"/>
      <c r="R97" s="658"/>
      <c r="S97" s="658"/>
      <c r="T97" s="658"/>
      <c r="U97" s="658"/>
      <c r="V97" s="658"/>
      <c r="W97" s="658"/>
      <c r="X97" s="658"/>
      <c r="Y97" s="658"/>
      <c r="Z97" s="659"/>
    </row>
    <row r="98" spans="2:52" s="263" customFormat="1" ht="59.5" x14ac:dyDescent="0.25">
      <c r="B98" s="673" t="str">
        <f>B9</f>
        <v>WILBUR D. AWIS</v>
      </c>
      <c r="C98" s="674"/>
      <c r="D98" s="675" t="s">
        <v>353</v>
      </c>
      <c r="E98" s="676"/>
      <c r="F98" s="676"/>
      <c r="G98" s="676"/>
      <c r="H98" s="676"/>
      <c r="I98" s="676"/>
      <c r="J98" s="676"/>
      <c r="K98" s="676"/>
      <c r="L98" s="676"/>
      <c r="M98" s="677"/>
      <c r="N98" s="675" t="s">
        <v>531</v>
      </c>
      <c r="O98" s="676"/>
      <c r="P98" s="676"/>
      <c r="Q98" s="676"/>
      <c r="R98" s="676"/>
      <c r="S98" s="676"/>
      <c r="T98" s="676"/>
      <c r="U98" s="676"/>
      <c r="V98" s="676"/>
      <c r="W98" s="676"/>
      <c r="X98" s="676"/>
      <c r="Y98" s="676"/>
      <c r="Z98" s="677"/>
    </row>
    <row r="99" spans="2:52" s="263" customFormat="1" ht="59.5" x14ac:dyDescent="0.25">
      <c r="B99" s="684" t="str">
        <f>R9</f>
        <v>OI</v>
      </c>
      <c r="C99" s="685"/>
      <c r="D99" s="678"/>
      <c r="E99" s="679"/>
      <c r="F99" s="679"/>
      <c r="G99" s="679"/>
      <c r="H99" s="679"/>
      <c r="I99" s="679"/>
      <c r="J99" s="679"/>
      <c r="K99" s="679"/>
      <c r="L99" s="679"/>
      <c r="M99" s="680"/>
      <c r="N99" s="678"/>
      <c r="O99" s="679"/>
      <c r="P99" s="679"/>
      <c r="Q99" s="679"/>
      <c r="R99" s="679"/>
      <c r="S99" s="679"/>
      <c r="T99" s="679"/>
      <c r="U99" s="679"/>
      <c r="V99" s="679"/>
      <c r="W99" s="679"/>
      <c r="X99" s="679"/>
      <c r="Y99" s="679"/>
      <c r="Z99" s="680"/>
      <c r="AC99" s="264"/>
      <c r="AZ99" s="264"/>
    </row>
    <row r="100" spans="2:52" s="263" customFormat="1" thickBot="1" x14ac:dyDescent="0.3">
      <c r="B100" s="686" t="str">
        <f>input!V5</f>
        <v>RP No. 22</v>
      </c>
      <c r="C100" s="687"/>
      <c r="D100" s="681"/>
      <c r="E100" s="682"/>
      <c r="F100" s="682"/>
      <c r="G100" s="682"/>
      <c r="H100" s="682"/>
      <c r="I100" s="682"/>
      <c r="J100" s="682"/>
      <c r="K100" s="682"/>
      <c r="L100" s="682"/>
      <c r="M100" s="683"/>
      <c r="N100" s="681"/>
      <c r="O100" s="682"/>
      <c r="P100" s="682"/>
      <c r="Q100" s="682"/>
      <c r="R100" s="682"/>
      <c r="S100" s="682"/>
      <c r="T100" s="682"/>
      <c r="U100" s="682"/>
      <c r="V100" s="682"/>
      <c r="W100" s="682"/>
      <c r="X100" s="682"/>
      <c r="Y100" s="682"/>
      <c r="Z100" s="683"/>
    </row>
    <row r="101" spans="2:52" s="263" customFormat="1" ht="232" customHeight="1" x14ac:dyDescent="0.25">
      <c r="B101" s="649" t="str">
        <f>B10</f>
        <v xml:space="preserve">DUMAGUING M. LIBAN	</v>
      </c>
      <c r="C101" s="650"/>
      <c r="D101" s="651" t="s">
        <v>355</v>
      </c>
      <c r="E101" s="652"/>
      <c r="F101" s="652"/>
      <c r="G101" s="652"/>
      <c r="H101" s="652"/>
      <c r="I101" s="652"/>
      <c r="J101" s="652"/>
      <c r="K101" s="652"/>
      <c r="L101" s="652"/>
      <c r="M101" s="653"/>
      <c r="N101" s="652" t="s">
        <v>533</v>
      </c>
      <c r="O101" s="652"/>
      <c r="P101" s="652"/>
      <c r="Q101" s="652"/>
      <c r="R101" s="652"/>
      <c r="S101" s="652"/>
      <c r="T101" s="652"/>
      <c r="U101" s="652"/>
      <c r="V101" s="652"/>
      <c r="W101" s="652"/>
      <c r="X101" s="652"/>
      <c r="Y101" s="652"/>
      <c r="Z101" s="653"/>
    </row>
    <row r="102" spans="2:52" s="263" customFormat="1" ht="232" customHeight="1" x14ac:dyDescent="0.25">
      <c r="B102" s="688" t="str">
        <f>R10</f>
        <v>LTA-F</v>
      </c>
      <c r="C102" s="689"/>
      <c r="D102" s="654"/>
      <c r="E102" s="655"/>
      <c r="F102" s="655"/>
      <c r="G102" s="655"/>
      <c r="H102" s="655"/>
      <c r="I102" s="655"/>
      <c r="J102" s="655"/>
      <c r="K102" s="655"/>
      <c r="L102" s="655"/>
      <c r="M102" s="656"/>
      <c r="N102" s="655"/>
      <c r="O102" s="655"/>
      <c r="P102" s="655"/>
      <c r="Q102" s="655"/>
      <c r="R102" s="655"/>
      <c r="S102" s="655"/>
      <c r="T102" s="655"/>
      <c r="U102" s="655"/>
      <c r="V102" s="655"/>
      <c r="W102" s="655"/>
      <c r="X102" s="655"/>
      <c r="Y102" s="655"/>
      <c r="Z102" s="656"/>
      <c r="AC102" s="264"/>
    </row>
    <row r="103" spans="2:52" s="263" customFormat="1" ht="232" customHeight="1" thickBot="1" x14ac:dyDescent="0.3">
      <c r="B103" s="662" t="str">
        <f>input!V6</f>
        <v>207 K Ramp, 1012 Elevation</v>
      </c>
      <c r="C103" s="663"/>
      <c r="D103" s="657"/>
      <c r="E103" s="658"/>
      <c r="F103" s="658"/>
      <c r="G103" s="658"/>
      <c r="H103" s="658"/>
      <c r="I103" s="658"/>
      <c r="J103" s="658"/>
      <c r="K103" s="658"/>
      <c r="L103" s="658"/>
      <c r="M103" s="659"/>
      <c r="N103" s="658"/>
      <c r="O103" s="658"/>
      <c r="P103" s="658"/>
      <c r="Q103" s="658"/>
      <c r="R103" s="658"/>
      <c r="S103" s="658"/>
      <c r="T103" s="658"/>
      <c r="U103" s="658"/>
      <c r="V103" s="658"/>
      <c r="W103" s="658"/>
      <c r="X103" s="658"/>
      <c r="Y103" s="658"/>
      <c r="Z103" s="659"/>
    </row>
    <row r="104" spans="2:52" s="263" customFormat="1" ht="194" customHeight="1" x14ac:dyDescent="0.25">
      <c r="B104" s="673" t="str">
        <f>B11</f>
        <v>GLENN MARK B. LABOTAN</v>
      </c>
      <c r="C104" s="674"/>
      <c r="D104" s="675" t="s">
        <v>509</v>
      </c>
      <c r="E104" s="676"/>
      <c r="F104" s="676"/>
      <c r="G104" s="676"/>
      <c r="H104" s="676"/>
      <c r="I104" s="676"/>
      <c r="J104" s="676"/>
      <c r="K104" s="676"/>
      <c r="L104" s="676"/>
      <c r="M104" s="677"/>
      <c r="N104" s="675" t="s">
        <v>534</v>
      </c>
      <c r="O104" s="676"/>
      <c r="P104" s="676"/>
      <c r="Q104" s="676"/>
      <c r="R104" s="676"/>
      <c r="S104" s="676"/>
      <c r="T104" s="676"/>
      <c r="U104" s="676"/>
      <c r="V104" s="676"/>
      <c r="W104" s="676"/>
      <c r="X104" s="676"/>
      <c r="Y104" s="676"/>
      <c r="Z104" s="677"/>
    </row>
    <row r="105" spans="2:52" s="263" customFormat="1" ht="194" customHeight="1" x14ac:dyDescent="0.25">
      <c r="B105" s="690" t="str">
        <f>R11</f>
        <v>LTA-NF</v>
      </c>
      <c r="C105" s="691"/>
      <c r="D105" s="678"/>
      <c r="E105" s="679"/>
      <c r="F105" s="679"/>
      <c r="G105" s="679"/>
      <c r="H105" s="679"/>
      <c r="I105" s="679"/>
      <c r="J105" s="679"/>
      <c r="K105" s="679"/>
      <c r="L105" s="679"/>
      <c r="M105" s="680"/>
      <c r="N105" s="678"/>
      <c r="O105" s="679"/>
      <c r="P105" s="679"/>
      <c r="Q105" s="679"/>
      <c r="R105" s="679"/>
      <c r="S105" s="679"/>
      <c r="T105" s="679"/>
      <c r="U105" s="679"/>
      <c r="V105" s="679"/>
      <c r="W105" s="679"/>
      <c r="X105" s="679"/>
      <c r="Y105" s="679"/>
      <c r="Z105" s="680"/>
      <c r="AC105" s="264"/>
      <c r="AZ105" s="264"/>
    </row>
    <row r="106" spans="2:52" s="263" customFormat="1" ht="194" customHeight="1" thickBot="1" x14ac:dyDescent="0.3">
      <c r="B106" s="686" t="str">
        <f>input!V7</f>
        <v>C30 Fuel Storage</v>
      </c>
      <c r="C106" s="687"/>
      <c r="D106" s="681"/>
      <c r="E106" s="682"/>
      <c r="F106" s="682"/>
      <c r="G106" s="682"/>
      <c r="H106" s="682"/>
      <c r="I106" s="682"/>
      <c r="J106" s="682"/>
      <c r="K106" s="682"/>
      <c r="L106" s="682"/>
      <c r="M106" s="683"/>
      <c r="N106" s="681"/>
      <c r="O106" s="682"/>
      <c r="P106" s="682"/>
      <c r="Q106" s="682"/>
      <c r="R106" s="682"/>
      <c r="S106" s="682"/>
      <c r="T106" s="682"/>
      <c r="U106" s="682"/>
      <c r="V106" s="682"/>
      <c r="W106" s="682"/>
      <c r="X106" s="682"/>
      <c r="Y106" s="682"/>
      <c r="Z106" s="683"/>
    </row>
    <row r="107" spans="2:52" s="263" customFormat="1" ht="166" customHeight="1" x14ac:dyDescent="0.25">
      <c r="B107" s="692" t="str">
        <f>B13</f>
        <v>BINSON I. ZAPARITA</v>
      </c>
      <c r="C107" s="693"/>
      <c r="D107" s="651" t="s">
        <v>510</v>
      </c>
      <c r="E107" s="652"/>
      <c r="F107" s="652"/>
      <c r="G107" s="652"/>
      <c r="H107" s="652"/>
      <c r="I107" s="652"/>
      <c r="J107" s="652"/>
      <c r="K107" s="652"/>
      <c r="L107" s="652"/>
      <c r="M107" s="653"/>
      <c r="N107" s="651" t="s">
        <v>535</v>
      </c>
      <c r="O107" s="652"/>
      <c r="P107" s="652"/>
      <c r="Q107" s="652"/>
      <c r="R107" s="652"/>
      <c r="S107" s="652"/>
      <c r="T107" s="652"/>
      <c r="U107" s="652"/>
      <c r="V107" s="652"/>
      <c r="W107" s="652"/>
      <c r="X107" s="652"/>
      <c r="Y107" s="652"/>
      <c r="Z107" s="653"/>
    </row>
    <row r="108" spans="2:52" s="263" customFormat="1" ht="166" customHeight="1" x14ac:dyDescent="0.25">
      <c r="B108" s="694" t="str">
        <f>R13</f>
        <v>FAC</v>
      </c>
      <c r="C108" s="695"/>
      <c r="D108" s="654"/>
      <c r="E108" s="655"/>
      <c r="F108" s="655"/>
      <c r="G108" s="655"/>
      <c r="H108" s="655"/>
      <c r="I108" s="655"/>
      <c r="J108" s="655"/>
      <c r="K108" s="655"/>
      <c r="L108" s="655"/>
      <c r="M108" s="656"/>
      <c r="N108" s="654"/>
      <c r="O108" s="655"/>
      <c r="P108" s="655"/>
      <c r="Q108" s="655"/>
      <c r="R108" s="655"/>
      <c r="S108" s="655"/>
      <c r="T108" s="655"/>
      <c r="U108" s="655"/>
      <c r="V108" s="655"/>
      <c r="W108" s="655"/>
      <c r="X108" s="655"/>
      <c r="Y108" s="655"/>
      <c r="Z108" s="656"/>
      <c r="AC108" s="264"/>
    </row>
    <row r="109" spans="2:52" s="263" customFormat="1" ht="166" customHeight="1" thickBot="1" x14ac:dyDescent="0.3">
      <c r="B109" s="696" t="str">
        <f>H13</f>
        <v>Machine Shop</v>
      </c>
      <c r="C109" s="697"/>
      <c r="D109" s="657"/>
      <c r="E109" s="658"/>
      <c r="F109" s="658"/>
      <c r="G109" s="658"/>
      <c r="H109" s="658"/>
      <c r="I109" s="658"/>
      <c r="J109" s="658"/>
      <c r="K109" s="658"/>
      <c r="L109" s="658"/>
      <c r="M109" s="659"/>
      <c r="N109" s="657"/>
      <c r="O109" s="658"/>
      <c r="P109" s="658"/>
      <c r="Q109" s="658"/>
      <c r="R109" s="658"/>
      <c r="S109" s="658"/>
      <c r="T109" s="658"/>
      <c r="U109" s="658"/>
      <c r="V109" s="658"/>
      <c r="W109" s="658"/>
      <c r="X109" s="658"/>
      <c r="Y109" s="658"/>
      <c r="Z109" s="659"/>
    </row>
    <row r="110" spans="2:52" s="263" customFormat="1" ht="128" customHeight="1" x14ac:dyDescent="0.25">
      <c r="B110" s="708" t="str">
        <f>B14</f>
        <v>ROWELL C. DELA CRUZ</v>
      </c>
      <c r="C110" s="709"/>
      <c r="D110" s="675" t="s">
        <v>511</v>
      </c>
      <c r="E110" s="676"/>
      <c r="F110" s="676"/>
      <c r="G110" s="676"/>
      <c r="H110" s="676"/>
      <c r="I110" s="676"/>
      <c r="J110" s="676"/>
      <c r="K110" s="676"/>
      <c r="L110" s="676"/>
      <c r="M110" s="677"/>
      <c r="N110" s="676" t="s">
        <v>536</v>
      </c>
      <c r="O110" s="676"/>
      <c r="P110" s="676"/>
      <c r="Q110" s="676"/>
      <c r="R110" s="676"/>
      <c r="S110" s="676"/>
      <c r="T110" s="676"/>
      <c r="U110" s="676"/>
      <c r="V110" s="676"/>
      <c r="W110" s="676"/>
      <c r="X110" s="676"/>
      <c r="Y110" s="676"/>
      <c r="Z110" s="677"/>
    </row>
    <row r="111" spans="2:52" s="263" customFormat="1" ht="128" customHeight="1" x14ac:dyDescent="0.25">
      <c r="B111" s="684" t="str">
        <f>R14</f>
        <v>FAC</v>
      </c>
      <c r="C111" s="710"/>
      <c r="D111" s="678"/>
      <c r="E111" s="679"/>
      <c r="F111" s="679"/>
      <c r="G111" s="679"/>
      <c r="H111" s="679"/>
      <c r="I111" s="679"/>
      <c r="J111" s="679"/>
      <c r="K111" s="679"/>
      <c r="L111" s="679"/>
      <c r="M111" s="680"/>
      <c r="N111" s="679"/>
      <c r="O111" s="679"/>
      <c r="P111" s="679"/>
      <c r="Q111" s="679"/>
      <c r="R111" s="679"/>
      <c r="S111" s="679"/>
      <c r="T111" s="679"/>
      <c r="U111" s="679"/>
      <c r="V111" s="679"/>
      <c r="W111" s="679"/>
      <c r="X111" s="679"/>
      <c r="Y111" s="679"/>
      <c r="Z111" s="680"/>
      <c r="AC111" s="264"/>
      <c r="AZ111" s="264"/>
    </row>
    <row r="112" spans="2:52" s="263" customFormat="1" ht="128" customHeight="1" thickBot="1" x14ac:dyDescent="0.3">
      <c r="B112" s="686" t="str">
        <f>H14</f>
        <v>Steel Yard</v>
      </c>
      <c r="C112" s="698"/>
      <c r="D112" s="681"/>
      <c r="E112" s="682"/>
      <c r="F112" s="682"/>
      <c r="G112" s="682"/>
      <c r="H112" s="682"/>
      <c r="I112" s="682"/>
      <c r="J112" s="682"/>
      <c r="K112" s="682"/>
      <c r="L112" s="682"/>
      <c r="M112" s="683"/>
      <c r="N112" s="682"/>
      <c r="O112" s="682"/>
      <c r="P112" s="682"/>
      <c r="Q112" s="682"/>
      <c r="R112" s="682"/>
      <c r="S112" s="682"/>
      <c r="T112" s="682"/>
      <c r="U112" s="682"/>
      <c r="V112" s="682"/>
      <c r="W112" s="682"/>
      <c r="X112" s="682"/>
      <c r="Y112" s="682"/>
      <c r="Z112" s="683"/>
    </row>
    <row r="113" spans="2:52" s="263" customFormat="1" ht="164" customHeight="1" x14ac:dyDescent="0.25">
      <c r="B113" s="711" t="str">
        <f>B15</f>
        <v>JOHN REY BAGUIYAC</v>
      </c>
      <c r="C113" s="650"/>
      <c r="D113" s="651" t="s">
        <v>512</v>
      </c>
      <c r="E113" s="652"/>
      <c r="F113" s="652"/>
      <c r="G113" s="652"/>
      <c r="H113" s="652"/>
      <c r="I113" s="652"/>
      <c r="J113" s="652"/>
      <c r="K113" s="652"/>
      <c r="L113" s="652"/>
      <c r="M113" s="653"/>
      <c r="N113" s="651" t="s">
        <v>537</v>
      </c>
      <c r="O113" s="652"/>
      <c r="P113" s="652"/>
      <c r="Q113" s="652"/>
      <c r="R113" s="652"/>
      <c r="S113" s="652"/>
      <c r="T113" s="652"/>
      <c r="U113" s="652"/>
      <c r="V113" s="652"/>
      <c r="W113" s="652"/>
      <c r="X113" s="652"/>
      <c r="Y113" s="652"/>
      <c r="Z113" s="653"/>
    </row>
    <row r="114" spans="2:52" s="263" customFormat="1" ht="164" customHeight="1" x14ac:dyDescent="0.25">
      <c r="B114" s="660" t="str">
        <f>R15</f>
        <v>FAC</v>
      </c>
      <c r="C114" s="661"/>
      <c r="D114" s="654"/>
      <c r="E114" s="655"/>
      <c r="F114" s="655"/>
      <c r="G114" s="655"/>
      <c r="H114" s="655"/>
      <c r="I114" s="655"/>
      <c r="J114" s="655"/>
      <c r="K114" s="655"/>
      <c r="L114" s="655"/>
      <c r="M114" s="656"/>
      <c r="N114" s="654"/>
      <c r="O114" s="655"/>
      <c r="P114" s="655"/>
      <c r="Q114" s="655"/>
      <c r="R114" s="655"/>
      <c r="S114" s="655"/>
      <c r="T114" s="655"/>
      <c r="U114" s="655"/>
      <c r="V114" s="655"/>
      <c r="W114" s="655"/>
      <c r="X114" s="655"/>
      <c r="Y114" s="655"/>
      <c r="Z114" s="656"/>
      <c r="AC114" s="264"/>
    </row>
    <row r="115" spans="2:52" s="263" customFormat="1" ht="164" customHeight="1" thickBot="1" x14ac:dyDescent="0.3">
      <c r="B115" s="662" t="str">
        <f>H15</f>
        <v>Hospital</v>
      </c>
      <c r="C115" s="663"/>
      <c r="D115" s="657"/>
      <c r="E115" s="658"/>
      <c r="F115" s="658"/>
      <c r="G115" s="658"/>
      <c r="H115" s="658"/>
      <c r="I115" s="658"/>
      <c r="J115" s="658"/>
      <c r="K115" s="658"/>
      <c r="L115" s="658"/>
      <c r="M115" s="659"/>
      <c r="N115" s="657"/>
      <c r="O115" s="658"/>
      <c r="P115" s="658"/>
      <c r="Q115" s="658"/>
      <c r="R115" s="658"/>
      <c r="S115" s="658"/>
      <c r="T115" s="658"/>
      <c r="U115" s="658"/>
      <c r="V115" s="658"/>
      <c r="W115" s="658"/>
      <c r="X115" s="658"/>
      <c r="Y115" s="658"/>
      <c r="Z115" s="659"/>
    </row>
    <row r="116" spans="2:52" s="263" customFormat="1" ht="186" customHeight="1" x14ac:dyDescent="0.25">
      <c r="B116" s="708" t="str">
        <f>B17</f>
        <v>FUSE CUT-OFF SWITCH</v>
      </c>
      <c r="C116" s="709"/>
      <c r="D116" s="675" t="s">
        <v>513</v>
      </c>
      <c r="E116" s="676"/>
      <c r="F116" s="676"/>
      <c r="G116" s="676"/>
      <c r="H116" s="676"/>
      <c r="I116" s="676"/>
      <c r="J116" s="676"/>
      <c r="K116" s="676"/>
      <c r="L116" s="676"/>
      <c r="M116" s="677"/>
      <c r="N116" s="676" t="s">
        <v>538</v>
      </c>
      <c r="O116" s="676"/>
      <c r="P116" s="676"/>
      <c r="Q116" s="676"/>
      <c r="R116" s="676"/>
      <c r="S116" s="676"/>
      <c r="T116" s="676"/>
      <c r="U116" s="676"/>
      <c r="V116" s="676"/>
      <c r="W116" s="676"/>
      <c r="X116" s="676"/>
      <c r="Y116" s="676"/>
      <c r="Z116" s="677"/>
    </row>
    <row r="117" spans="2:52" s="263" customFormat="1" ht="186" customHeight="1" x14ac:dyDescent="0.25">
      <c r="B117" s="684" t="str">
        <f>R17</f>
        <v>PD</v>
      </c>
      <c r="C117" s="710"/>
      <c r="D117" s="678"/>
      <c r="E117" s="679"/>
      <c r="F117" s="679"/>
      <c r="G117" s="679"/>
      <c r="H117" s="679"/>
      <c r="I117" s="679"/>
      <c r="J117" s="679"/>
      <c r="K117" s="679"/>
      <c r="L117" s="679"/>
      <c r="M117" s="680"/>
      <c r="N117" s="679"/>
      <c r="O117" s="679"/>
      <c r="P117" s="679"/>
      <c r="Q117" s="679"/>
      <c r="R117" s="679"/>
      <c r="S117" s="679"/>
      <c r="T117" s="679"/>
      <c r="U117" s="679"/>
      <c r="V117" s="679"/>
      <c r="W117" s="679"/>
      <c r="X117" s="679"/>
      <c r="Y117" s="679"/>
      <c r="Z117" s="680"/>
      <c r="AC117" s="264"/>
      <c r="AZ117" s="264"/>
    </row>
    <row r="118" spans="2:52" s="263" customFormat="1" ht="186" customHeight="1" thickBot="1" x14ac:dyDescent="0.3">
      <c r="B118" s="686" t="str">
        <f>H17</f>
        <v>UG Crusher</v>
      </c>
      <c r="C118" s="698"/>
      <c r="D118" s="681"/>
      <c r="E118" s="682"/>
      <c r="F118" s="682"/>
      <c r="G118" s="682"/>
      <c r="H118" s="682"/>
      <c r="I118" s="682"/>
      <c r="J118" s="682"/>
      <c r="K118" s="682"/>
      <c r="L118" s="682"/>
      <c r="M118" s="683"/>
      <c r="N118" s="682"/>
      <c r="O118" s="682"/>
      <c r="P118" s="682"/>
      <c r="Q118" s="682"/>
      <c r="R118" s="682"/>
      <c r="S118" s="682"/>
      <c r="T118" s="682"/>
      <c r="U118" s="682"/>
      <c r="V118" s="682"/>
      <c r="W118" s="682"/>
      <c r="X118" s="682"/>
      <c r="Y118" s="682"/>
      <c r="Z118" s="683"/>
    </row>
    <row r="119" spans="2:52" s="263" customFormat="1" ht="174.5" customHeight="1" x14ac:dyDescent="0.25">
      <c r="B119" s="692" t="str">
        <f>B19</f>
        <v>PINE TREES</v>
      </c>
      <c r="C119" s="693"/>
      <c r="D119" s="651" t="s">
        <v>685</v>
      </c>
      <c r="E119" s="652"/>
      <c r="F119" s="652"/>
      <c r="G119" s="652"/>
      <c r="H119" s="652"/>
      <c r="I119" s="652"/>
      <c r="J119" s="652"/>
      <c r="K119" s="652"/>
      <c r="L119" s="652"/>
      <c r="M119" s="653"/>
      <c r="N119" s="699" t="s">
        <v>737</v>
      </c>
      <c r="O119" s="700"/>
      <c r="P119" s="700"/>
      <c r="Q119" s="700"/>
      <c r="R119" s="700"/>
      <c r="S119" s="700"/>
      <c r="T119" s="700"/>
      <c r="U119" s="700"/>
      <c r="V119" s="700"/>
      <c r="W119" s="700"/>
      <c r="X119" s="700"/>
      <c r="Y119" s="700"/>
      <c r="Z119" s="701"/>
    </row>
    <row r="120" spans="2:52" s="263" customFormat="1" ht="174.5" customHeight="1" x14ac:dyDescent="0.25">
      <c r="B120" s="660" t="str">
        <f>R19</f>
        <v>EI</v>
      </c>
      <c r="C120" s="661"/>
      <c r="D120" s="654"/>
      <c r="E120" s="655"/>
      <c r="F120" s="655"/>
      <c r="G120" s="655"/>
      <c r="H120" s="655"/>
      <c r="I120" s="655"/>
      <c r="J120" s="655"/>
      <c r="K120" s="655"/>
      <c r="L120" s="655"/>
      <c r="M120" s="656"/>
      <c r="N120" s="702"/>
      <c r="O120" s="703"/>
      <c r="P120" s="703"/>
      <c r="Q120" s="703"/>
      <c r="R120" s="703"/>
      <c r="S120" s="703"/>
      <c r="T120" s="703"/>
      <c r="U120" s="703"/>
      <c r="V120" s="703"/>
      <c r="W120" s="703"/>
      <c r="X120" s="703"/>
      <c r="Y120" s="703"/>
      <c r="Z120" s="704"/>
      <c r="AC120" s="264"/>
    </row>
    <row r="121" spans="2:52" s="263" customFormat="1" ht="174.5" customHeight="1" thickBot="1" x14ac:dyDescent="0.3">
      <c r="B121" s="662" t="str">
        <f>H19</f>
        <v>Buaki, Sapid</v>
      </c>
      <c r="C121" s="663"/>
      <c r="D121" s="657"/>
      <c r="E121" s="658"/>
      <c r="F121" s="658"/>
      <c r="G121" s="658"/>
      <c r="H121" s="658"/>
      <c r="I121" s="658"/>
      <c r="J121" s="658"/>
      <c r="K121" s="658"/>
      <c r="L121" s="658"/>
      <c r="M121" s="659"/>
      <c r="N121" s="705"/>
      <c r="O121" s="706"/>
      <c r="P121" s="706"/>
      <c r="Q121" s="706"/>
      <c r="R121" s="706"/>
      <c r="S121" s="706"/>
      <c r="T121" s="706"/>
      <c r="U121" s="706"/>
      <c r="V121" s="706"/>
      <c r="W121" s="706"/>
      <c r="X121" s="706"/>
      <c r="Y121" s="706"/>
      <c r="Z121" s="707"/>
    </row>
    <row r="122" spans="2:52" s="263" customFormat="1" ht="159.5" customHeight="1" x14ac:dyDescent="0.25">
      <c r="B122" s="673" t="str">
        <f>B20</f>
        <v>BURNT GARBAGE</v>
      </c>
      <c r="C122" s="674"/>
      <c r="D122" s="675" t="s">
        <v>680</v>
      </c>
      <c r="E122" s="676"/>
      <c r="F122" s="676"/>
      <c r="G122" s="676"/>
      <c r="H122" s="676"/>
      <c r="I122" s="676"/>
      <c r="J122" s="676"/>
      <c r="K122" s="676"/>
      <c r="L122" s="676"/>
      <c r="M122" s="677"/>
      <c r="N122" s="676" t="s">
        <v>736</v>
      </c>
      <c r="O122" s="676"/>
      <c r="P122" s="676"/>
      <c r="Q122" s="676"/>
      <c r="R122" s="676"/>
      <c r="S122" s="676"/>
      <c r="T122" s="676"/>
      <c r="U122" s="676"/>
      <c r="V122" s="676"/>
      <c r="W122" s="676"/>
      <c r="X122" s="676"/>
      <c r="Y122" s="676"/>
      <c r="Z122" s="677"/>
    </row>
    <row r="123" spans="2:52" s="263" customFormat="1" ht="159.5" customHeight="1" x14ac:dyDescent="0.25">
      <c r="B123" s="684" t="str">
        <f>R20</f>
        <v>EI</v>
      </c>
      <c r="C123" s="685"/>
      <c r="D123" s="678"/>
      <c r="E123" s="679"/>
      <c r="F123" s="679"/>
      <c r="G123" s="679"/>
      <c r="H123" s="679"/>
      <c r="I123" s="679"/>
      <c r="J123" s="679"/>
      <c r="K123" s="679"/>
      <c r="L123" s="679"/>
      <c r="M123" s="680"/>
      <c r="N123" s="679"/>
      <c r="O123" s="679"/>
      <c r="P123" s="679"/>
      <c r="Q123" s="679"/>
      <c r="R123" s="679"/>
      <c r="S123" s="679"/>
      <c r="T123" s="679"/>
      <c r="U123" s="679"/>
      <c r="V123" s="679"/>
      <c r="W123" s="679"/>
      <c r="X123" s="679"/>
      <c r="Y123" s="679"/>
      <c r="Z123" s="680"/>
      <c r="AC123" s="264"/>
      <c r="AZ123" s="264"/>
    </row>
    <row r="124" spans="2:52" s="263" customFormat="1" ht="159.5" customHeight="1" thickBot="1" x14ac:dyDescent="0.3">
      <c r="B124" s="686" t="str">
        <f>H20</f>
        <v>Golf Course, Sapid</v>
      </c>
      <c r="C124" s="687"/>
      <c r="D124" s="681"/>
      <c r="E124" s="682"/>
      <c r="F124" s="682"/>
      <c r="G124" s="682"/>
      <c r="H124" s="682"/>
      <c r="I124" s="682"/>
      <c r="J124" s="682"/>
      <c r="K124" s="682"/>
      <c r="L124" s="682"/>
      <c r="M124" s="683"/>
      <c r="N124" s="682"/>
      <c r="O124" s="682"/>
      <c r="P124" s="682"/>
      <c r="Q124" s="682"/>
      <c r="R124" s="682"/>
      <c r="S124" s="682"/>
      <c r="T124" s="682"/>
      <c r="U124" s="682"/>
      <c r="V124" s="682"/>
      <c r="W124" s="682"/>
      <c r="X124" s="682"/>
      <c r="Y124" s="682"/>
      <c r="Z124" s="683"/>
    </row>
    <row r="125" spans="2:52" s="263" customFormat="1" ht="314.5" customHeight="1" x14ac:dyDescent="0.25">
      <c r="B125" s="649" t="str">
        <f>B21</f>
        <v>VOLVO TRUCK</v>
      </c>
      <c r="C125" s="650"/>
      <c r="D125" s="651" t="s">
        <v>690</v>
      </c>
      <c r="E125" s="652"/>
      <c r="F125" s="652"/>
      <c r="G125" s="652"/>
      <c r="H125" s="652"/>
      <c r="I125" s="652"/>
      <c r="J125" s="652"/>
      <c r="K125" s="652"/>
      <c r="L125" s="652"/>
      <c r="M125" s="653"/>
      <c r="N125" s="652" t="s">
        <v>735</v>
      </c>
      <c r="O125" s="652"/>
      <c r="P125" s="652"/>
      <c r="Q125" s="652"/>
      <c r="R125" s="652"/>
      <c r="S125" s="652"/>
      <c r="T125" s="652"/>
      <c r="U125" s="652"/>
      <c r="V125" s="652"/>
      <c r="W125" s="652"/>
      <c r="X125" s="652"/>
      <c r="Y125" s="652"/>
      <c r="Z125" s="653"/>
    </row>
    <row r="126" spans="2:52" s="263" customFormat="1" ht="314.5" customHeight="1" x14ac:dyDescent="0.25">
      <c r="B126" s="660" t="str">
        <f>R21</f>
        <v>EI</v>
      </c>
      <c r="C126" s="661"/>
      <c r="D126" s="654"/>
      <c r="E126" s="655"/>
      <c r="F126" s="655"/>
      <c r="G126" s="655"/>
      <c r="H126" s="655"/>
      <c r="I126" s="655"/>
      <c r="J126" s="655"/>
      <c r="K126" s="655"/>
      <c r="L126" s="655"/>
      <c r="M126" s="656"/>
      <c r="N126" s="655"/>
      <c r="O126" s="655"/>
      <c r="P126" s="655"/>
      <c r="Q126" s="655"/>
      <c r="R126" s="655"/>
      <c r="S126" s="655"/>
      <c r="T126" s="655"/>
      <c r="U126" s="655"/>
      <c r="V126" s="655"/>
      <c r="W126" s="655"/>
      <c r="X126" s="655"/>
      <c r="Y126" s="655"/>
      <c r="Z126" s="656"/>
      <c r="AC126" s="264"/>
    </row>
    <row r="127" spans="2:52" s="263" customFormat="1" ht="314.5" customHeight="1" thickBot="1" x14ac:dyDescent="0.3">
      <c r="B127" s="662" t="str">
        <f>H21</f>
        <v>Tubo, Sapid</v>
      </c>
      <c r="C127" s="663"/>
      <c r="D127" s="657"/>
      <c r="E127" s="658"/>
      <c r="F127" s="658"/>
      <c r="G127" s="658"/>
      <c r="H127" s="658"/>
      <c r="I127" s="658"/>
      <c r="J127" s="658"/>
      <c r="K127" s="658"/>
      <c r="L127" s="658"/>
      <c r="M127" s="659"/>
      <c r="N127" s="658"/>
      <c r="O127" s="658"/>
      <c r="P127" s="658"/>
      <c r="Q127" s="658"/>
      <c r="R127" s="658"/>
      <c r="S127" s="658"/>
      <c r="T127" s="658"/>
      <c r="U127" s="658"/>
      <c r="V127" s="658"/>
      <c r="W127" s="658"/>
      <c r="X127" s="658"/>
      <c r="Y127" s="658"/>
      <c r="Z127" s="659"/>
    </row>
    <row r="128" spans="2:52" s="263" customFormat="1" ht="59.5" x14ac:dyDescent="0.25">
      <c r="B128" s="708"/>
      <c r="C128" s="709"/>
      <c r="D128" s="675"/>
      <c r="E128" s="676"/>
      <c r="F128" s="676"/>
      <c r="G128" s="676"/>
      <c r="H128" s="676"/>
      <c r="I128" s="676"/>
      <c r="J128" s="676"/>
      <c r="K128" s="676"/>
      <c r="L128" s="676"/>
      <c r="M128" s="677"/>
      <c r="N128" s="676"/>
      <c r="O128" s="676"/>
      <c r="P128" s="676"/>
      <c r="Q128" s="676"/>
      <c r="R128" s="676"/>
      <c r="S128" s="676"/>
      <c r="T128" s="676"/>
      <c r="U128" s="676"/>
      <c r="V128" s="676"/>
      <c r="W128" s="676"/>
      <c r="X128" s="676"/>
      <c r="Y128" s="676"/>
      <c r="Z128" s="677"/>
    </row>
    <row r="129" spans="2:52" s="263" customFormat="1" ht="59.5" x14ac:dyDescent="0.25">
      <c r="B129" s="684"/>
      <c r="C129" s="710"/>
      <c r="D129" s="678"/>
      <c r="E129" s="679"/>
      <c r="F129" s="679"/>
      <c r="G129" s="679"/>
      <c r="H129" s="679"/>
      <c r="I129" s="679"/>
      <c r="J129" s="679"/>
      <c r="K129" s="679"/>
      <c r="L129" s="679"/>
      <c r="M129" s="680"/>
      <c r="N129" s="679"/>
      <c r="O129" s="679"/>
      <c r="P129" s="679"/>
      <c r="Q129" s="679"/>
      <c r="R129" s="679"/>
      <c r="S129" s="679"/>
      <c r="T129" s="679"/>
      <c r="U129" s="679"/>
      <c r="V129" s="679"/>
      <c r="W129" s="679"/>
      <c r="X129" s="679"/>
      <c r="Y129" s="679"/>
      <c r="Z129" s="680"/>
      <c r="AC129" s="264"/>
      <c r="AZ129" s="264"/>
    </row>
    <row r="130" spans="2:52" s="263" customFormat="1" thickBot="1" x14ac:dyDescent="0.3">
      <c r="B130" s="686"/>
      <c r="C130" s="698"/>
      <c r="D130" s="681"/>
      <c r="E130" s="682"/>
      <c r="F130" s="682"/>
      <c r="G130" s="682"/>
      <c r="H130" s="682"/>
      <c r="I130" s="682"/>
      <c r="J130" s="682"/>
      <c r="K130" s="682"/>
      <c r="L130" s="682"/>
      <c r="M130" s="683"/>
      <c r="N130" s="682"/>
      <c r="O130" s="682"/>
      <c r="P130" s="682"/>
      <c r="Q130" s="682"/>
      <c r="R130" s="682"/>
      <c r="S130" s="682"/>
      <c r="T130" s="682"/>
      <c r="U130" s="682"/>
      <c r="V130" s="682"/>
      <c r="W130" s="682"/>
      <c r="X130" s="682"/>
      <c r="Y130" s="682"/>
      <c r="Z130" s="683"/>
    </row>
  </sheetData>
  <mergeCells count="321">
    <mergeCell ref="W9:X9"/>
    <mergeCell ref="W8:X8"/>
    <mergeCell ref="W7:X7"/>
    <mergeCell ref="W6:X6"/>
    <mergeCell ref="W3:X4"/>
    <mergeCell ref="J21:K21"/>
    <mergeCell ref="J20:K20"/>
    <mergeCell ref="J19:K19"/>
    <mergeCell ref="J17:K17"/>
    <mergeCell ref="J15:K15"/>
    <mergeCell ref="J14:K14"/>
    <mergeCell ref="J13:K13"/>
    <mergeCell ref="J11:K11"/>
    <mergeCell ref="J10:K10"/>
    <mergeCell ref="J9:K9"/>
    <mergeCell ref="J8:K8"/>
    <mergeCell ref="J7:K7"/>
    <mergeCell ref="J6:K6"/>
    <mergeCell ref="J3:K4"/>
    <mergeCell ref="W21:X21"/>
    <mergeCell ref="W20:X20"/>
    <mergeCell ref="W19:X19"/>
    <mergeCell ref="W17:X17"/>
    <mergeCell ref="W15:X15"/>
    <mergeCell ref="B67:C67"/>
    <mergeCell ref="N67:P67"/>
    <mergeCell ref="B68:C68"/>
    <mergeCell ref="N68:P68"/>
    <mergeCell ref="B69:C69"/>
    <mergeCell ref="N69:P69"/>
    <mergeCell ref="B64:C64"/>
    <mergeCell ref="W14:X14"/>
    <mergeCell ref="W13:X13"/>
    <mergeCell ref="F19:G19"/>
    <mergeCell ref="L19:M19"/>
    <mergeCell ref="T19:U19"/>
    <mergeCell ref="B43:C43"/>
    <mergeCell ref="N64:P64"/>
    <mergeCell ref="B65:C65"/>
    <mergeCell ref="N65:P65"/>
    <mergeCell ref="B66:C66"/>
    <mergeCell ref="N66:P66"/>
    <mergeCell ref="D56:D60"/>
    <mergeCell ref="E56:E60"/>
    <mergeCell ref="F56:F60"/>
    <mergeCell ref="G56:G60"/>
    <mergeCell ref="H56:H60"/>
    <mergeCell ref="I51:I55"/>
    <mergeCell ref="B61:C61"/>
    <mergeCell ref="N61:P61"/>
    <mergeCell ref="B62:C62"/>
    <mergeCell ref="N62:P62"/>
    <mergeCell ref="B63:C63"/>
    <mergeCell ref="N63:P63"/>
    <mergeCell ref="I56:I60"/>
    <mergeCell ref="J56:J60"/>
    <mergeCell ref="L56:L60"/>
    <mergeCell ref="M56:M60"/>
    <mergeCell ref="N56:P56"/>
    <mergeCell ref="N57:P57"/>
    <mergeCell ref="N58:P58"/>
    <mergeCell ref="N60:P60"/>
    <mergeCell ref="B56:C60"/>
    <mergeCell ref="K56:K60"/>
    <mergeCell ref="N59:P59"/>
    <mergeCell ref="B128:C128"/>
    <mergeCell ref="D128:M130"/>
    <mergeCell ref="N128:Z130"/>
    <mergeCell ref="B129:C129"/>
    <mergeCell ref="B130:C130"/>
    <mergeCell ref="B6:C6"/>
    <mergeCell ref="F6:G6"/>
    <mergeCell ref="L6:M6"/>
    <mergeCell ref="T6:U6"/>
    <mergeCell ref="B7:C7"/>
    <mergeCell ref="B122:C122"/>
    <mergeCell ref="D122:M124"/>
    <mergeCell ref="N122:Z124"/>
    <mergeCell ref="B123:C123"/>
    <mergeCell ref="B124:C124"/>
    <mergeCell ref="B125:C125"/>
    <mergeCell ref="D125:M127"/>
    <mergeCell ref="N125:Z127"/>
    <mergeCell ref="B126:C126"/>
    <mergeCell ref="B127:C127"/>
    <mergeCell ref="B116:C116"/>
    <mergeCell ref="D116:M118"/>
    <mergeCell ref="N116:Z118"/>
    <mergeCell ref="B117:C117"/>
    <mergeCell ref="B118:C118"/>
    <mergeCell ref="B119:C119"/>
    <mergeCell ref="D119:M121"/>
    <mergeCell ref="N119:Z121"/>
    <mergeCell ref="B120:C120"/>
    <mergeCell ref="B121:C121"/>
    <mergeCell ref="B110:C110"/>
    <mergeCell ref="D110:M112"/>
    <mergeCell ref="N110:Z112"/>
    <mergeCell ref="B111:C111"/>
    <mergeCell ref="B112:C112"/>
    <mergeCell ref="B113:C113"/>
    <mergeCell ref="D113:M115"/>
    <mergeCell ref="N113:Z115"/>
    <mergeCell ref="B114:C114"/>
    <mergeCell ref="B115:C115"/>
    <mergeCell ref="B104:C104"/>
    <mergeCell ref="D104:M106"/>
    <mergeCell ref="N104:Z106"/>
    <mergeCell ref="B105:C105"/>
    <mergeCell ref="B106:C106"/>
    <mergeCell ref="B107:C107"/>
    <mergeCell ref="D107:M109"/>
    <mergeCell ref="N107:Z109"/>
    <mergeCell ref="B108:C108"/>
    <mergeCell ref="B109:C109"/>
    <mergeCell ref="B98:C98"/>
    <mergeCell ref="D98:M100"/>
    <mergeCell ref="N98:Z100"/>
    <mergeCell ref="B99:C99"/>
    <mergeCell ref="B100:C100"/>
    <mergeCell ref="B101:C101"/>
    <mergeCell ref="D101:M103"/>
    <mergeCell ref="N101:Z103"/>
    <mergeCell ref="B102:C102"/>
    <mergeCell ref="B103:C103"/>
    <mergeCell ref="B92:C92"/>
    <mergeCell ref="D92:M94"/>
    <mergeCell ref="N92:Z94"/>
    <mergeCell ref="B93:C93"/>
    <mergeCell ref="B94:C94"/>
    <mergeCell ref="B95:C95"/>
    <mergeCell ref="D95:M97"/>
    <mergeCell ref="N95:Z97"/>
    <mergeCell ref="B96:C96"/>
    <mergeCell ref="B97:C97"/>
    <mergeCell ref="B88:C88"/>
    <mergeCell ref="D88:M88"/>
    <mergeCell ref="N88:Z88"/>
    <mergeCell ref="B89:C89"/>
    <mergeCell ref="D89:M91"/>
    <mergeCell ref="N89:Z91"/>
    <mergeCell ref="B90:C90"/>
    <mergeCell ref="B91:C91"/>
    <mergeCell ref="B85:C85"/>
    <mergeCell ref="N85:P85"/>
    <mergeCell ref="B86:C86"/>
    <mergeCell ref="N86:P86"/>
    <mergeCell ref="B87:C87"/>
    <mergeCell ref="N87:P87"/>
    <mergeCell ref="B82:C82"/>
    <mergeCell ref="N82:P82"/>
    <mergeCell ref="B83:C83"/>
    <mergeCell ref="N83:P83"/>
    <mergeCell ref="B84:C84"/>
    <mergeCell ref="N84:P84"/>
    <mergeCell ref="B79:C79"/>
    <mergeCell ref="N79:P79"/>
    <mergeCell ref="B80:C80"/>
    <mergeCell ref="N80:P80"/>
    <mergeCell ref="B81:C81"/>
    <mergeCell ref="N81:P81"/>
    <mergeCell ref="N78:P78"/>
    <mergeCell ref="B78:C78"/>
    <mergeCell ref="B73:C73"/>
    <mergeCell ref="N73:P73"/>
    <mergeCell ref="B74:C74"/>
    <mergeCell ref="N74:P74"/>
    <mergeCell ref="B75:C75"/>
    <mergeCell ref="N75:P75"/>
    <mergeCell ref="B70:C70"/>
    <mergeCell ref="N70:P70"/>
    <mergeCell ref="N71:P71"/>
    <mergeCell ref="N72:P72"/>
    <mergeCell ref="N77:P77"/>
    <mergeCell ref="B77:C77"/>
    <mergeCell ref="B76:C76"/>
    <mergeCell ref="N76:P76"/>
    <mergeCell ref="B71:C71"/>
    <mergeCell ref="N51:P51"/>
    <mergeCell ref="N55:P55"/>
    <mergeCell ref="B51:C55"/>
    <mergeCell ref="D51:D55"/>
    <mergeCell ref="E51:E55"/>
    <mergeCell ref="F51:F55"/>
    <mergeCell ref="G51:G55"/>
    <mergeCell ref="H51:H55"/>
    <mergeCell ref="K51:K55"/>
    <mergeCell ref="J51:J55"/>
    <mergeCell ref="L51:L55"/>
    <mergeCell ref="M51:M55"/>
    <mergeCell ref="N46:P46"/>
    <mergeCell ref="N47:P47"/>
    <mergeCell ref="N48:P48"/>
    <mergeCell ref="B44:C44"/>
    <mergeCell ref="N44:P44"/>
    <mergeCell ref="B45:C45"/>
    <mergeCell ref="N45:P45"/>
    <mergeCell ref="B46:C50"/>
    <mergeCell ref="D46:D50"/>
    <mergeCell ref="E46:E50"/>
    <mergeCell ref="F46:F50"/>
    <mergeCell ref="G46:G50"/>
    <mergeCell ref="H46:H50"/>
    <mergeCell ref="K46:K50"/>
    <mergeCell ref="I46:I50"/>
    <mergeCell ref="J46:J50"/>
    <mergeCell ref="L46:L50"/>
    <mergeCell ref="M46:M50"/>
    <mergeCell ref="B31:C31"/>
    <mergeCell ref="N32:P32"/>
    <mergeCell ref="B32:C32"/>
    <mergeCell ref="N33:P33"/>
    <mergeCell ref="N34:P34"/>
    <mergeCell ref="B28:C28"/>
    <mergeCell ref="N29:P29"/>
    <mergeCell ref="B29:C29"/>
    <mergeCell ref="N30:P30"/>
    <mergeCell ref="B30:C30"/>
    <mergeCell ref="N31:P31"/>
    <mergeCell ref="B26:C26"/>
    <mergeCell ref="N26:P26"/>
    <mergeCell ref="B27:C27"/>
    <mergeCell ref="N27:P27"/>
    <mergeCell ref="N28:P28"/>
    <mergeCell ref="B23:C23"/>
    <mergeCell ref="N23:P23"/>
    <mergeCell ref="B24:C24"/>
    <mergeCell ref="N24:P24"/>
    <mergeCell ref="B25:C25"/>
    <mergeCell ref="N25:P25"/>
    <mergeCell ref="B22:C22"/>
    <mergeCell ref="N22:P22"/>
    <mergeCell ref="S3:S4"/>
    <mergeCell ref="T3:U4"/>
    <mergeCell ref="B9:C9"/>
    <mergeCell ref="F9:G9"/>
    <mergeCell ref="L9:M9"/>
    <mergeCell ref="T9:U9"/>
    <mergeCell ref="B13:C13"/>
    <mergeCell ref="F13:G13"/>
    <mergeCell ref="L13:M13"/>
    <mergeCell ref="T13:U13"/>
    <mergeCell ref="B12:Z12"/>
    <mergeCell ref="L8:M8"/>
    <mergeCell ref="L7:M7"/>
    <mergeCell ref="T7:U7"/>
    <mergeCell ref="B8:C8"/>
    <mergeCell ref="F8:G8"/>
    <mergeCell ref="B5:Z5"/>
    <mergeCell ref="B10:C10"/>
    <mergeCell ref="F10:G10"/>
    <mergeCell ref="L10:M10"/>
    <mergeCell ref="T10:U10"/>
    <mergeCell ref="B14:C14"/>
    <mergeCell ref="O3:O4"/>
    <mergeCell ref="P3:P4"/>
    <mergeCell ref="Q3:Q4"/>
    <mergeCell ref="R3:R4"/>
    <mergeCell ref="B2:Z2"/>
    <mergeCell ref="B1:Z1"/>
    <mergeCell ref="B72:C72"/>
    <mergeCell ref="B3:C4"/>
    <mergeCell ref="D3:D4"/>
    <mergeCell ref="E3:E4"/>
    <mergeCell ref="F3:G4"/>
    <mergeCell ref="H3:H4"/>
    <mergeCell ref="I3:I4"/>
    <mergeCell ref="L3:M4"/>
    <mergeCell ref="N3:N4"/>
    <mergeCell ref="V3:V4"/>
    <mergeCell ref="Y3:Y4"/>
    <mergeCell ref="Z3:Z4"/>
    <mergeCell ref="B16:Z16"/>
    <mergeCell ref="B17:C17"/>
    <mergeCell ref="F17:G17"/>
    <mergeCell ref="L17:M17"/>
    <mergeCell ref="B20:C20"/>
    <mergeCell ref="F20:G20"/>
    <mergeCell ref="L20:M20"/>
    <mergeCell ref="T20:U20"/>
    <mergeCell ref="B21:C21"/>
    <mergeCell ref="F21:G21"/>
    <mergeCell ref="L21:M21"/>
    <mergeCell ref="T21:U21"/>
    <mergeCell ref="F7:G7"/>
    <mergeCell ref="T17:U17"/>
    <mergeCell ref="F14:G14"/>
    <mergeCell ref="L14:M14"/>
    <mergeCell ref="T14:U14"/>
    <mergeCell ref="T8:U8"/>
    <mergeCell ref="B15:C15"/>
    <mergeCell ref="F15:G15"/>
    <mergeCell ref="L15:M15"/>
    <mergeCell ref="T15:U15"/>
    <mergeCell ref="B11:C11"/>
    <mergeCell ref="F11:G11"/>
    <mergeCell ref="L11:M11"/>
    <mergeCell ref="T11:U11"/>
    <mergeCell ref="B18:Z18"/>
    <mergeCell ref="B19:C19"/>
    <mergeCell ref="W11:X11"/>
    <mergeCell ref="W10:X10"/>
    <mergeCell ref="B42:C42"/>
    <mergeCell ref="B41:C41"/>
    <mergeCell ref="B40:C40"/>
    <mergeCell ref="B39:C39"/>
    <mergeCell ref="B33:C33"/>
    <mergeCell ref="B34:C34"/>
    <mergeCell ref="B35:C35"/>
    <mergeCell ref="B36:C36"/>
    <mergeCell ref="B37:C37"/>
    <mergeCell ref="B38:C38"/>
    <mergeCell ref="N41:P41"/>
    <mergeCell ref="N42:P42"/>
    <mergeCell ref="N43:P43"/>
    <mergeCell ref="N38:P38"/>
    <mergeCell ref="N39:P39"/>
    <mergeCell ref="N40:P40"/>
    <mergeCell ref="N35:P35"/>
    <mergeCell ref="N36:P36"/>
    <mergeCell ref="N37:P37"/>
  </mergeCells>
  <phoneticPr fontId="19" type="noConversion"/>
  <conditionalFormatting sqref="B23">
    <cfRule type="duplicateValues" dxfId="566" priority="81"/>
  </conditionalFormatting>
  <conditionalFormatting sqref="B24">
    <cfRule type="duplicateValues" dxfId="565" priority="80"/>
  </conditionalFormatting>
  <conditionalFormatting sqref="N24">
    <cfRule type="duplicateValues" dxfId="564" priority="74"/>
  </conditionalFormatting>
  <conditionalFormatting sqref="B25:B26">
    <cfRule type="duplicateValues" dxfId="563" priority="75"/>
  </conditionalFormatting>
  <conditionalFormatting sqref="B28:B29">
    <cfRule type="duplicateValues" dxfId="562" priority="25"/>
  </conditionalFormatting>
  <conditionalFormatting sqref="B32">
    <cfRule type="duplicateValues" dxfId="561" priority="70"/>
  </conditionalFormatting>
  <conditionalFormatting sqref="N63">
    <cfRule type="duplicateValues" dxfId="560" priority="82"/>
    <cfRule type="duplicateValues" dxfId="559" priority="83"/>
  </conditionalFormatting>
  <conditionalFormatting sqref="B63:B65">
    <cfRule type="duplicateValues" dxfId="558" priority="73"/>
  </conditionalFormatting>
  <conditionalFormatting sqref="B66">
    <cfRule type="duplicateValues" dxfId="557" priority="67"/>
  </conditionalFormatting>
  <conditionalFormatting sqref="B67:B71">
    <cfRule type="duplicateValues" dxfId="556" priority="50"/>
    <cfRule type="duplicateValues" dxfId="555" priority="51"/>
    <cfRule type="duplicateValues" dxfId="554" priority="52"/>
  </conditionalFormatting>
  <conditionalFormatting sqref="B71:B72">
    <cfRule type="duplicateValues" dxfId="553" priority="47"/>
    <cfRule type="duplicateValues" dxfId="552" priority="48"/>
    <cfRule type="duplicateValues" dxfId="551" priority="49"/>
  </conditionalFormatting>
  <conditionalFormatting sqref="B72">
    <cfRule type="duplicateValues" dxfId="550" priority="41"/>
    <cfRule type="duplicateValues" dxfId="549" priority="42"/>
    <cfRule type="duplicateValues" dxfId="548" priority="43"/>
  </conditionalFormatting>
  <conditionalFormatting sqref="B73">
    <cfRule type="duplicateValues" dxfId="547" priority="59"/>
    <cfRule type="duplicateValues" dxfId="546" priority="60"/>
    <cfRule type="duplicateValues" dxfId="545" priority="61"/>
  </conditionalFormatting>
  <conditionalFormatting sqref="N73:N86">
    <cfRule type="duplicateValues" dxfId="544" priority="71"/>
    <cfRule type="duplicateValues" dxfId="543" priority="72"/>
  </conditionalFormatting>
  <conditionalFormatting sqref="B74:B75">
    <cfRule type="duplicateValues" dxfId="542" priority="38"/>
    <cfRule type="duplicateValues" dxfId="541" priority="39"/>
    <cfRule type="duplicateValues" dxfId="540" priority="40"/>
  </conditionalFormatting>
  <conditionalFormatting sqref="B76">
    <cfRule type="duplicateValues" dxfId="539" priority="35"/>
    <cfRule type="duplicateValues" dxfId="538" priority="36"/>
    <cfRule type="duplicateValues" dxfId="537" priority="37"/>
  </conditionalFormatting>
  <conditionalFormatting sqref="B23:B32">
    <cfRule type="duplicateValues" dxfId="536" priority="84"/>
  </conditionalFormatting>
  <conditionalFormatting sqref="B24:B32">
    <cfRule type="duplicateValues" dxfId="535" priority="86"/>
  </conditionalFormatting>
  <conditionalFormatting sqref="N23:N43">
    <cfRule type="duplicateValues" dxfId="534" priority="85"/>
  </conditionalFormatting>
  <conditionalFormatting sqref="N26:N43">
    <cfRule type="duplicateValues" dxfId="533" priority="79"/>
  </conditionalFormatting>
  <conditionalFormatting sqref="N63:N75">
    <cfRule type="duplicateValues" dxfId="532" priority="65"/>
    <cfRule type="duplicateValues" dxfId="531" priority="66"/>
  </conditionalFormatting>
  <conditionalFormatting sqref="N70:N75">
    <cfRule type="duplicateValues" dxfId="530" priority="68"/>
    <cfRule type="duplicateValues" dxfId="529" priority="69"/>
  </conditionalFormatting>
  <conditionalFormatting sqref="N70:N75">
    <cfRule type="duplicateValues" dxfId="528" priority="55"/>
    <cfRule type="duplicateValues" dxfId="527" priority="56"/>
  </conditionalFormatting>
  <conditionalFormatting sqref="N70:N86">
    <cfRule type="duplicateValues" dxfId="526" priority="53"/>
    <cfRule type="duplicateValues" dxfId="525" priority="54"/>
  </conditionalFormatting>
  <conditionalFormatting sqref="N46 N49:N60">
    <cfRule type="duplicateValues" dxfId="524" priority="87"/>
    <cfRule type="duplicateValues" dxfId="523" priority="88"/>
    <cfRule type="duplicateValues" dxfId="522" priority="89"/>
  </conditionalFormatting>
  <conditionalFormatting sqref="B63:B66 B71:B72">
    <cfRule type="duplicateValues" dxfId="521" priority="63"/>
    <cfRule type="duplicateValues" dxfId="520" priority="64"/>
  </conditionalFormatting>
  <conditionalFormatting sqref="B63:B66 B71:B72">
    <cfRule type="duplicateValues" dxfId="519" priority="62"/>
  </conditionalFormatting>
  <conditionalFormatting sqref="B73 B77:B86">
    <cfRule type="duplicateValues" dxfId="518" priority="32"/>
    <cfRule type="duplicateValues" dxfId="517" priority="33"/>
    <cfRule type="duplicateValues" dxfId="516" priority="34"/>
  </conditionalFormatting>
  <conditionalFormatting sqref="B16">
    <cfRule type="duplicateValues" dxfId="515" priority="90"/>
  </conditionalFormatting>
  <conditionalFormatting sqref="N71:N75">
    <cfRule type="duplicateValues" dxfId="514" priority="23"/>
    <cfRule type="duplicateValues" dxfId="513" priority="24"/>
  </conditionalFormatting>
  <conditionalFormatting sqref="N72:N83">
    <cfRule type="duplicateValues" dxfId="512" priority="21"/>
    <cfRule type="duplicateValues" dxfId="511" priority="22"/>
  </conditionalFormatting>
  <conditionalFormatting sqref="B17 B19:B21">
    <cfRule type="duplicateValues" dxfId="510" priority="92"/>
  </conditionalFormatting>
  <conditionalFormatting sqref="B13:B15">
    <cfRule type="duplicateValues" dxfId="509" priority="221"/>
  </conditionalFormatting>
  <conditionalFormatting sqref="B6:B11">
    <cfRule type="duplicateValues" dxfId="508" priority="232"/>
  </conditionalFormatting>
  <conditionalFormatting sqref="N79:N81">
    <cfRule type="duplicateValues" dxfId="507" priority="6"/>
    <cfRule type="duplicateValues" dxfId="506" priority="7"/>
  </conditionalFormatting>
  <conditionalFormatting sqref="N79:N81">
    <cfRule type="duplicateValues" dxfId="505" priority="8"/>
    <cfRule type="duplicateValues" dxfId="504" priority="9"/>
  </conditionalFormatting>
  <conditionalFormatting sqref="N79:N81">
    <cfRule type="duplicateValues" dxfId="503" priority="4"/>
    <cfRule type="duplicateValues" dxfId="502" priority="5"/>
  </conditionalFormatting>
  <conditionalFormatting sqref="N79:N81">
    <cfRule type="duplicateValues" dxfId="501" priority="2"/>
    <cfRule type="duplicateValues" dxfId="500" priority="3"/>
  </conditionalFormatting>
  <conditionalFormatting sqref="B41:B43">
    <cfRule type="duplicateValues" dxfId="499" priority="255"/>
    <cfRule type="duplicateValues" dxfId="498" priority="256"/>
  </conditionalFormatting>
  <conditionalFormatting sqref="B29:B43">
    <cfRule type="duplicateValues" dxfId="497" priority="261"/>
  </conditionalFormatting>
  <conditionalFormatting sqref="B18">
    <cfRule type="duplicateValues" dxfId="496" priority="1"/>
  </conditionalFormatting>
  <printOptions horizontalCentered="1" verticalCentered="1"/>
  <pageMargins left="0.19685039370078741" right="0.19685039370078741" top="0.19685039370078741" bottom="0.19685039370078741" header="0.31496062992125984" footer="0.31496062992125984"/>
  <pageSetup paperSize="14" scale="10" fitToHeight="0" orientation="landscape" horizontalDpi="360" verticalDpi="36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E4493-D5D4-42D0-8F56-D6A5AAA84752}">
  <sheetPr>
    <pageSetUpPr fitToPage="1"/>
  </sheetPr>
  <dimension ref="A1:AZ143"/>
  <sheetViews>
    <sheetView workbookViewId="0"/>
  </sheetViews>
  <sheetFormatPr defaultColWidth="9" defaultRowHeight="32.5" x14ac:dyDescent="0.25"/>
  <cols>
    <col min="1" max="1" width="61.90625" style="128" customWidth="1"/>
    <col min="2" max="3" width="46.54296875" style="128" customWidth="1"/>
    <col min="4" max="4" width="47.36328125" style="128" customWidth="1"/>
    <col min="5" max="5" width="81.54296875" style="132" customWidth="1"/>
    <col min="6" max="7" width="44.08984375" style="132" customWidth="1"/>
    <col min="8" max="8" width="79.7265625" style="132" customWidth="1"/>
    <col min="9" max="9" width="29.1796875" style="128" customWidth="1"/>
    <col min="10" max="11" width="30.453125" style="128" customWidth="1"/>
    <col min="12" max="14" width="33.54296875" style="128" customWidth="1"/>
    <col min="15" max="15" width="100.453125" style="128" bestFit="1" customWidth="1"/>
    <col min="16" max="16" width="71.7265625" style="128" bestFit="1" customWidth="1"/>
    <col min="17" max="17" width="99.7265625" style="128" bestFit="1" customWidth="1"/>
    <col min="18" max="18" width="33.54296875" style="128" customWidth="1"/>
    <col min="19" max="19" width="130.6328125" style="128" bestFit="1" customWidth="1"/>
    <col min="20" max="21" width="41.54296875" style="128" customWidth="1"/>
    <col min="22" max="22" width="33.54296875" style="128" customWidth="1"/>
    <col min="23" max="23" width="47" style="132" bestFit="1" customWidth="1"/>
    <col min="24" max="24" width="47" style="132" customWidth="1"/>
    <col min="25" max="25" width="73.54296875" style="132" bestFit="1" customWidth="1"/>
    <col min="26" max="26" width="33.54296875" style="128" customWidth="1"/>
    <col min="27" max="36" width="9" style="128"/>
    <col min="37" max="37" width="8.7265625" style="128" customWidth="1"/>
    <col min="38" max="16384" width="9" style="128"/>
  </cols>
  <sheetData>
    <row r="1" spans="1:26" ht="59" x14ac:dyDescent="0.25">
      <c r="B1" s="597" t="s">
        <v>539</v>
      </c>
      <c r="C1" s="598"/>
      <c r="D1" s="598"/>
      <c r="E1" s="598"/>
      <c r="F1" s="598"/>
      <c r="G1" s="598"/>
      <c r="H1" s="598"/>
      <c r="I1" s="598"/>
      <c r="J1" s="598"/>
      <c r="K1" s="598"/>
      <c r="L1" s="598"/>
      <c r="M1" s="598"/>
      <c r="N1" s="598"/>
      <c r="O1" s="598"/>
      <c r="P1" s="598"/>
      <c r="Q1" s="598"/>
      <c r="R1" s="598"/>
      <c r="S1" s="598"/>
      <c r="T1" s="598"/>
      <c r="U1" s="598"/>
      <c r="V1" s="598"/>
      <c r="W1" s="598"/>
      <c r="X1" s="598"/>
      <c r="Y1" s="598"/>
      <c r="Z1" s="599"/>
    </row>
    <row r="2" spans="1:26" ht="59.5" thickBot="1" x14ac:dyDescent="0.3">
      <c r="B2" s="594" t="s">
        <v>549</v>
      </c>
      <c r="C2" s="595"/>
      <c r="D2" s="595"/>
      <c r="E2" s="595"/>
      <c r="F2" s="595"/>
      <c r="G2" s="595"/>
      <c r="H2" s="595"/>
      <c r="I2" s="595"/>
      <c r="J2" s="595"/>
      <c r="K2" s="595"/>
      <c r="L2" s="595"/>
      <c r="M2" s="595"/>
      <c r="N2" s="595"/>
      <c r="O2" s="595"/>
      <c r="P2" s="595"/>
      <c r="Q2" s="595"/>
      <c r="R2" s="595"/>
      <c r="S2" s="595"/>
      <c r="T2" s="595"/>
      <c r="U2" s="595"/>
      <c r="V2" s="595"/>
      <c r="W2" s="595"/>
      <c r="X2" s="595"/>
      <c r="Y2" s="595"/>
      <c r="Z2" s="596"/>
    </row>
    <row r="3" spans="1:26" s="129" customFormat="1" ht="84.5" customHeight="1" x14ac:dyDescent="0.25">
      <c r="B3" s="891" t="s">
        <v>38</v>
      </c>
      <c r="C3" s="892"/>
      <c r="D3" s="893" t="s">
        <v>39</v>
      </c>
      <c r="E3" s="893" t="s">
        <v>32</v>
      </c>
      <c r="F3" s="894" t="s">
        <v>11</v>
      </c>
      <c r="G3" s="892"/>
      <c r="H3" s="893" t="s">
        <v>59</v>
      </c>
      <c r="I3" s="893" t="s">
        <v>21</v>
      </c>
      <c r="J3" s="916" t="s">
        <v>9</v>
      </c>
      <c r="K3" s="917"/>
      <c r="L3" s="894" t="s">
        <v>8</v>
      </c>
      <c r="M3" s="892"/>
      <c r="N3" s="892" t="s">
        <v>7</v>
      </c>
      <c r="O3" s="893" t="s">
        <v>36</v>
      </c>
      <c r="P3" s="893" t="s">
        <v>37</v>
      </c>
      <c r="Q3" s="893" t="s">
        <v>45</v>
      </c>
      <c r="R3" s="893" t="s">
        <v>10</v>
      </c>
      <c r="S3" s="893" t="s">
        <v>62</v>
      </c>
      <c r="T3" s="894" t="s">
        <v>35</v>
      </c>
      <c r="U3" s="892"/>
      <c r="V3" s="894" t="s">
        <v>60</v>
      </c>
      <c r="W3" s="894" t="s">
        <v>61</v>
      </c>
      <c r="X3" s="287"/>
      <c r="Y3" s="893" t="s">
        <v>63</v>
      </c>
      <c r="Z3" s="895" t="s">
        <v>43</v>
      </c>
    </row>
    <row r="4" spans="1:26" s="129" customFormat="1" ht="84.5" customHeight="1" x14ac:dyDescent="0.25">
      <c r="B4" s="891"/>
      <c r="C4" s="892"/>
      <c r="D4" s="893"/>
      <c r="E4" s="893"/>
      <c r="F4" s="894"/>
      <c r="G4" s="892"/>
      <c r="H4" s="893"/>
      <c r="I4" s="893"/>
      <c r="J4" s="918"/>
      <c r="K4" s="919"/>
      <c r="L4" s="894"/>
      <c r="M4" s="892"/>
      <c r="N4" s="892"/>
      <c r="O4" s="893"/>
      <c r="P4" s="893"/>
      <c r="Q4" s="893"/>
      <c r="R4" s="893"/>
      <c r="S4" s="893"/>
      <c r="T4" s="894"/>
      <c r="U4" s="892"/>
      <c r="V4" s="894"/>
      <c r="W4" s="894"/>
      <c r="X4" s="287"/>
      <c r="Y4" s="893"/>
      <c r="Z4" s="895"/>
    </row>
    <row r="5" spans="1:26" ht="60" x14ac:dyDescent="0.25">
      <c r="B5" s="590" t="s">
        <v>26</v>
      </c>
      <c r="C5" s="591"/>
      <c r="D5" s="591"/>
      <c r="E5" s="591"/>
      <c r="F5" s="591"/>
      <c r="G5" s="591"/>
      <c r="H5" s="591"/>
      <c r="I5" s="591"/>
      <c r="J5" s="591"/>
      <c r="K5" s="591"/>
      <c r="L5" s="591"/>
      <c r="M5" s="591"/>
      <c r="N5" s="591"/>
      <c r="O5" s="591"/>
      <c r="P5" s="591"/>
      <c r="Q5" s="591"/>
      <c r="R5" s="591"/>
      <c r="S5" s="591"/>
      <c r="T5" s="591"/>
      <c r="U5" s="591"/>
      <c r="V5" s="591"/>
      <c r="W5" s="591"/>
      <c r="X5" s="591"/>
      <c r="Y5" s="591"/>
      <c r="Z5" s="592"/>
    </row>
    <row r="6" spans="1:26" s="191" customFormat="1" ht="46" x14ac:dyDescent="0.25">
      <c r="A6" s="191">
        <v>1</v>
      </c>
      <c r="B6" s="877" t="str">
        <f>input!C15</f>
        <v>NOREL ALAGON</v>
      </c>
      <c r="C6" s="878"/>
      <c r="D6" s="186" t="str">
        <f>input!D15</f>
        <v>N/A - Contracts</v>
      </c>
      <c r="E6" s="186" t="str">
        <f>input!E15</f>
        <v>Drill Helper / Drilling Aide</v>
      </c>
      <c r="F6" s="879" t="str">
        <f>input!F15</f>
        <v>Struck by Object</v>
      </c>
      <c r="G6" s="880"/>
      <c r="H6" s="186" t="str">
        <f>input!G15</f>
        <v>Cuddy</v>
      </c>
      <c r="I6" s="186" t="str">
        <f>input!H15</f>
        <v>1000L</v>
      </c>
      <c r="J6" s="883">
        <f>input!I15</f>
        <v>46062</v>
      </c>
      <c r="K6" s="884"/>
      <c r="L6" s="881">
        <f>input!J15</f>
        <v>0.625</v>
      </c>
      <c r="M6" s="882"/>
      <c r="N6" s="187" t="str">
        <f>input!K15</f>
        <v>Second</v>
      </c>
      <c r="O6" s="188" t="str">
        <f>input!L15</f>
        <v>Venancio A. Bad-ay</v>
      </c>
      <c r="P6" s="188" t="str">
        <f>input!M15</f>
        <v>DDCP - Allan Raymund Domalsin</v>
      </c>
      <c r="Q6" s="188" t="str">
        <f>input!N15</f>
        <v>DDCP - Clarence Avila</v>
      </c>
      <c r="R6" s="189" t="str">
        <f>input!O15</f>
        <v>FAC</v>
      </c>
      <c r="S6" s="189" t="str">
        <f>input!P15</f>
        <v>Retreiving inner drill tube</v>
      </c>
      <c r="T6" s="889" t="str">
        <f>input!Q15</f>
        <v>WDL / RWV</v>
      </c>
      <c r="U6" s="890"/>
      <c r="V6" s="186" t="str">
        <f>input!R15</f>
        <v>Contracts</v>
      </c>
      <c r="W6" s="186" t="str">
        <f>input!S15</f>
        <v>DDCP</v>
      </c>
      <c r="X6" s="186"/>
      <c r="Y6" s="186" t="str">
        <f>input!T15</f>
        <v>Section 3</v>
      </c>
      <c r="Z6" s="190" t="str">
        <f>input!U15</f>
        <v>MAT</v>
      </c>
    </row>
    <row r="7" spans="1:26" s="191" customFormat="1" ht="46" x14ac:dyDescent="0.25">
      <c r="A7" s="191">
        <v>2</v>
      </c>
      <c r="B7" s="877" t="str">
        <f>input!C16</f>
        <v>JULUIS M. FANGGOT</v>
      </c>
      <c r="C7" s="878"/>
      <c r="D7" s="186">
        <f>input!D16</f>
        <v>9027</v>
      </c>
      <c r="E7" s="186" t="str">
        <f>input!E16</f>
        <v>Assistant Miner</v>
      </c>
      <c r="F7" s="879" t="str">
        <f>input!F16</f>
        <v>Caught in Between</v>
      </c>
      <c r="G7" s="880"/>
      <c r="H7" s="186" t="str">
        <f>input!G16</f>
        <v>Raise</v>
      </c>
      <c r="I7" s="186" t="str">
        <f>input!H16</f>
        <v>1000L</v>
      </c>
      <c r="J7" s="883" t="str">
        <f>input!I16</f>
        <v>February 11, 2026</v>
      </c>
      <c r="K7" s="884"/>
      <c r="L7" s="881">
        <f>input!J16</f>
        <v>0.72569444444444453</v>
      </c>
      <c r="M7" s="882"/>
      <c r="N7" s="187" t="str">
        <f>input!K16</f>
        <v>Third</v>
      </c>
      <c r="O7" s="188" t="str">
        <f>input!L16</f>
        <v>Venancio A. Bad-ay</v>
      </c>
      <c r="P7" s="188" t="str">
        <f>input!M16</f>
        <v>June O. Golocan</v>
      </c>
      <c r="Q7" s="188" t="str">
        <f>input!N16</f>
        <v>Jerry I. Garwageo</v>
      </c>
      <c r="R7" s="189" t="str">
        <f>input!O16</f>
        <v>LTA-NF</v>
      </c>
      <c r="S7" s="189" t="str">
        <f>input!P16</f>
        <v>Hand Mucking</v>
      </c>
      <c r="T7" s="889" t="str">
        <f>input!Q16</f>
        <v>RWV / FPP</v>
      </c>
      <c r="U7" s="890"/>
      <c r="V7" s="186" t="str">
        <f>input!R16</f>
        <v>MOG</v>
      </c>
      <c r="W7" s="186" t="str">
        <f>input!S16</f>
        <v>Dept. 1</v>
      </c>
      <c r="X7" s="186"/>
      <c r="Y7" s="186" t="str">
        <f>input!T16</f>
        <v>Section 3</v>
      </c>
      <c r="Z7" s="190" t="str">
        <f>input!U16</f>
        <v>MAT</v>
      </c>
    </row>
    <row r="8" spans="1:26" s="191" customFormat="1" ht="46" x14ac:dyDescent="0.25">
      <c r="A8" s="191">
        <v>3</v>
      </c>
      <c r="B8" s="877" t="str">
        <f>input!C17</f>
        <v>ALJON J. VALDEZ</v>
      </c>
      <c r="C8" s="878"/>
      <c r="D8" s="186">
        <f>input!D17</f>
        <v>1</v>
      </c>
      <c r="E8" s="186" t="str">
        <f>input!E17</f>
        <v>Lead Miner</v>
      </c>
      <c r="F8" s="879" t="str">
        <f>input!F17</f>
        <v>Occupational Illness / Pain</v>
      </c>
      <c r="G8" s="880"/>
      <c r="H8" s="186" t="str">
        <f>input!G17</f>
        <v>Shaft Station / Resting Area</v>
      </c>
      <c r="I8" s="186" t="str">
        <f>input!H17</f>
        <v>900L</v>
      </c>
      <c r="J8" s="883" t="str">
        <f>input!I17</f>
        <v>February 15, 2026</v>
      </c>
      <c r="K8" s="884"/>
      <c r="L8" s="881">
        <f>input!J17</f>
        <v>0.90277777777777779</v>
      </c>
      <c r="M8" s="882"/>
      <c r="N8" s="187" t="str">
        <f>input!K17</f>
        <v>Third</v>
      </c>
      <c r="O8" s="188" t="str">
        <f>input!L17</f>
        <v>Venancio A. Bad-ay</v>
      </c>
      <c r="P8" s="188" t="str">
        <f>input!M17</f>
        <v>Dimas S. Gao-ay</v>
      </c>
      <c r="Q8" s="188" t="str">
        <f>input!N17</f>
        <v>Regie D. Espinosa</v>
      </c>
      <c r="R8" s="189" t="str">
        <f>input!O17</f>
        <v>OI</v>
      </c>
      <c r="S8" s="189" t="str">
        <f>input!P17</f>
        <v>Resting</v>
      </c>
      <c r="T8" s="889" t="str">
        <f>input!Q17</f>
        <v>ACBJr.</v>
      </c>
      <c r="U8" s="890"/>
      <c r="V8" s="186" t="str">
        <f>input!R17</f>
        <v>MOG</v>
      </c>
      <c r="W8" s="186" t="str">
        <f>input!S17</f>
        <v>Dept. 1</v>
      </c>
      <c r="X8" s="186"/>
      <c r="Y8" s="186" t="str">
        <f>input!T17</f>
        <v>Section 1</v>
      </c>
      <c r="Z8" s="190" t="str">
        <f>input!U17</f>
        <v>MAT</v>
      </c>
    </row>
    <row r="9" spans="1:26" s="191" customFormat="1" ht="46" x14ac:dyDescent="0.25">
      <c r="A9" s="191">
        <v>4</v>
      </c>
      <c r="B9" s="877" t="str">
        <f>input!C18</f>
        <v>RAMIL A BAYYOC</v>
      </c>
      <c r="C9" s="878"/>
      <c r="D9" s="186">
        <f>input!D18</f>
        <v>7844</v>
      </c>
      <c r="E9" s="186" t="str">
        <f>input!E18</f>
        <v>Maintenance Man (GMS)</v>
      </c>
      <c r="F9" s="879" t="str">
        <f>input!F18</f>
        <v>Occupational Illness / Pain</v>
      </c>
      <c r="G9" s="880"/>
      <c r="H9" s="186" t="str">
        <f>input!G18</f>
        <v>Shaft Station / Resting Area</v>
      </c>
      <c r="I9" s="186" t="str">
        <f>input!H18</f>
        <v>900L</v>
      </c>
      <c r="J9" s="883" t="str">
        <f>input!I18</f>
        <v>February 16, 2027</v>
      </c>
      <c r="K9" s="884"/>
      <c r="L9" s="881">
        <f>input!J18</f>
        <v>0.35416666666666669</v>
      </c>
      <c r="M9" s="882"/>
      <c r="N9" s="187" t="str">
        <f>input!K18</f>
        <v>Second</v>
      </c>
      <c r="O9" s="188" t="str">
        <f>input!L18</f>
        <v>Jayson T. Capia-ao</v>
      </c>
      <c r="P9" s="188" t="str">
        <f>input!M18</f>
        <v>Julius B. Liban</v>
      </c>
      <c r="Q9" s="188" t="str">
        <f>input!N18</f>
        <v>Ephraim K. Pitok</v>
      </c>
      <c r="R9" s="189" t="str">
        <f>input!O18</f>
        <v>OI</v>
      </c>
      <c r="S9" s="189" t="str">
        <f>input!P18</f>
        <v>Waiting for the locomotive to charge</v>
      </c>
      <c r="T9" s="889" t="str">
        <f>input!Q18</f>
        <v>WDL/MAT/ AOV</v>
      </c>
      <c r="U9" s="890"/>
      <c r="V9" s="186" t="str">
        <f>input!R18</f>
        <v>MOG</v>
      </c>
      <c r="W9" s="186" t="str">
        <f>input!S18</f>
        <v>GMS</v>
      </c>
      <c r="X9" s="186"/>
      <c r="Y9" s="186" t="str">
        <f>input!T18</f>
        <v>Nayak Shaft Operation / UG Construction</v>
      </c>
      <c r="Z9" s="190" t="str">
        <f>input!U18</f>
        <v>MAT</v>
      </c>
    </row>
    <row r="10" spans="1:26" s="191" customFormat="1" ht="46" x14ac:dyDescent="0.25">
      <c r="A10" s="191">
        <v>5</v>
      </c>
      <c r="B10" s="877" t="str">
        <f>input!C19</f>
        <v>WILLARD S. BAGYON</v>
      </c>
      <c r="C10" s="878"/>
      <c r="D10" s="186">
        <f>input!D19</f>
        <v>621</v>
      </c>
      <c r="E10" s="186" t="str">
        <f>input!E19</f>
        <v>Assistant Miner</v>
      </c>
      <c r="F10" s="879" t="str">
        <f>input!F19</f>
        <v>Occupational Illness / Pain</v>
      </c>
      <c r="G10" s="880"/>
      <c r="H10" s="186" t="str">
        <f>input!G19</f>
        <v>Mainline / Access</v>
      </c>
      <c r="I10" s="186" t="str">
        <f>input!H19</f>
        <v>980L</v>
      </c>
      <c r="J10" s="883" t="str">
        <f>input!I19</f>
        <v>February 19, 2028</v>
      </c>
      <c r="K10" s="884"/>
      <c r="L10" s="881">
        <f>input!J19</f>
        <v>0.14583333333333334</v>
      </c>
      <c r="M10" s="882"/>
      <c r="N10" s="187" t="str">
        <f>input!K19</f>
        <v>First</v>
      </c>
      <c r="O10" s="188" t="str">
        <f>input!L19</f>
        <v>Venancio A. Bad-ay</v>
      </c>
      <c r="P10" s="188" t="str">
        <f>input!M19</f>
        <v>Mariel T. Ayong</v>
      </c>
      <c r="Q10" s="188" t="str">
        <f>input!N19</f>
        <v>Frank C. Samdao Jr.</v>
      </c>
      <c r="R10" s="189" t="str">
        <f>input!O19</f>
        <v>OI</v>
      </c>
      <c r="S10" s="189" t="str">
        <f>input!P19</f>
        <v>Jack up Activity</v>
      </c>
      <c r="T10" s="889" t="str">
        <f>input!Q19</f>
        <v>JAW</v>
      </c>
      <c r="U10" s="890"/>
      <c r="V10" s="186" t="str">
        <f>input!R19</f>
        <v>MOG</v>
      </c>
      <c r="W10" s="186" t="str">
        <f>input!S19</f>
        <v>Dept. 1</v>
      </c>
      <c r="X10" s="186"/>
      <c r="Y10" s="186" t="str">
        <f>input!T19</f>
        <v>Section 2</v>
      </c>
      <c r="Z10" s="190" t="str">
        <f>input!U19</f>
        <v>MAT</v>
      </c>
    </row>
    <row r="11" spans="1:26" s="191" customFormat="1" ht="46" x14ac:dyDescent="0.25">
      <c r="A11" s="191">
        <v>6</v>
      </c>
      <c r="B11" s="877" t="str">
        <f>input!C20</f>
        <v>JHON JHON B. ANGDASON</v>
      </c>
      <c r="C11" s="878"/>
      <c r="D11" s="186">
        <f>input!D20</f>
        <v>30</v>
      </c>
      <c r="E11" s="186" t="str">
        <f>input!E20</f>
        <v>Assistant Miner</v>
      </c>
      <c r="F11" s="879" t="str">
        <f>input!F20</f>
        <v>Caught in Between</v>
      </c>
      <c r="G11" s="880"/>
      <c r="H11" s="186" t="str">
        <f>input!G20</f>
        <v>Stope</v>
      </c>
      <c r="I11" s="186" t="str">
        <f>input!H20</f>
        <v>870L</v>
      </c>
      <c r="J11" s="883" t="str">
        <f>input!I20</f>
        <v>February 20, 2029</v>
      </c>
      <c r="K11" s="884"/>
      <c r="L11" s="881">
        <f>input!J20</f>
        <v>0.10416666666666667</v>
      </c>
      <c r="M11" s="882"/>
      <c r="N11" s="187" t="str">
        <f>input!K20</f>
        <v>First</v>
      </c>
      <c r="O11" s="188" t="str">
        <f>input!L20</f>
        <v>Hilbert G. Andong</v>
      </c>
      <c r="P11" s="188" t="str">
        <f>input!M20</f>
        <v>Reynaldo P. Kiking</v>
      </c>
      <c r="Q11" s="188" t="str">
        <f>input!N20</f>
        <v>Allan F. Takayeng</v>
      </c>
      <c r="R11" s="189" t="str">
        <f>input!O20</f>
        <v>FAC</v>
      </c>
      <c r="S11" s="189" t="str">
        <f>input!P20</f>
        <v>Hand Mucking</v>
      </c>
      <c r="T11" s="889" t="str">
        <f>input!Q20</f>
        <v>JAW</v>
      </c>
      <c r="U11" s="890"/>
      <c r="V11" s="186" t="str">
        <f>input!R20</f>
        <v>MOG</v>
      </c>
      <c r="W11" s="186" t="str">
        <f>input!S20</f>
        <v>Dept. 2</v>
      </c>
      <c r="X11" s="186"/>
      <c r="Y11" s="186" t="str">
        <f>input!T20</f>
        <v>Section 6</v>
      </c>
      <c r="Z11" s="190" t="str">
        <f>input!U20</f>
        <v>MAT</v>
      </c>
    </row>
    <row r="12" spans="1:26" s="191" customFormat="1" ht="46" x14ac:dyDescent="0.25">
      <c r="A12" s="191">
        <v>7</v>
      </c>
      <c r="B12" s="877" t="str">
        <f>input!C21</f>
        <v>JACKFORD L. PALSAAN</v>
      </c>
      <c r="C12" s="878"/>
      <c r="D12" s="186">
        <f>input!D21</f>
        <v>1858</v>
      </c>
      <c r="E12" s="186" t="str">
        <f>input!E21</f>
        <v>LHD Optr</v>
      </c>
      <c r="F12" s="879" t="str">
        <f>input!F21</f>
        <v>Struck by Falling Rock</v>
      </c>
      <c r="G12" s="880"/>
      <c r="H12" s="186" t="str">
        <f>input!G21</f>
        <v>Stope</v>
      </c>
      <c r="I12" s="186" t="str">
        <f>input!H21</f>
        <v>890L</v>
      </c>
      <c r="J12" s="883">
        <f>input!I21</f>
        <v>46076</v>
      </c>
      <c r="K12" s="884"/>
      <c r="L12" s="881">
        <f>input!J21</f>
        <v>0.85416666666666663</v>
      </c>
      <c r="M12" s="882"/>
      <c r="N12" s="187" t="str">
        <f>input!K21</f>
        <v>Third</v>
      </c>
      <c r="O12" s="188" t="str">
        <f>input!L21</f>
        <v>Venancio A. Bad-ay</v>
      </c>
      <c r="P12" s="188" t="str">
        <f>input!M21</f>
        <v>Dimas S. Gao-ay</v>
      </c>
      <c r="Q12" s="188" t="str">
        <f>input!N21</f>
        <v>Ryan M. Macaburas</v>
      </c>
      <c r="R12" s="189" t="str">
        <f>input!O21</f>
        <v>FAC</v>
      </c>
      <c r="S12" s="189" t="str">
        <f>input!P21</f>
        <v>LHD Mucking Activity</v>
      </c>
      <c r="T12" s="889" t="str">
        <f>input!Q21</f>
        <v>JAW/SAU</v>
      </c>
      <c r="U12" s="890"/>
      <c r="V12" s="186" t="str">
        <f>input!R21</f>
        <v>MOG</v>
      </c>
      <c r="W12" s="186" t="str">
        <f>input!S21</f>
        <v>Dept. 1</v>
      </c>
      <c r="X12" s="186"/>
      <c r="Y12" s="186" t="str">
        <f>input!T21</f>
        <v>Section 1</v>
      </c>
      <c r="Z12" s="190" t="str">
        <f>input!U21</f>
        <v>MAT</v>
      </c>
    </row>
    <row r="13" spans="1:26" s="191" customFormat="1" ht="46" x14ac:dyDescent="0.25">
      <c r="A13" s="191">
        <v>8</v>
      </c>
      <c r="B13" s="877" t="str">
        <f>input!C22</f>
        <v>CRAYTON B. CALSIYAO</v>
      </c>
      <c r="C13" s="878"/>
      <c r="D13" s="186">
        <f>input!D22</f>
        <v>9690</v>
      </c>
      <c r="E13" s="186" t="str">
        <f>input!E22</f>
        <v>Assistant Miner</v>
      </c>
      <c r="F13" s="879" t="str">
        <f>input!F22</f>
        <v>Punctured</v>
      </c>
      <c r="G13" s="880"/>
      <c r="H13" s="186" t="str">
        <f>input!G22</f>
        <v>Stope</v>
      </c>
      <c r="I13" s="186" t="str">
        <f>input!H22</f>
        <v>1000L</v>
      </c>
      <c r="J13" s="883">
        <f>input!I22</f>
        <v>46077</v>
      </c>
      <c r="K13" s="884"/>
      <c r="L13" s="881">
        <f>input!J22</f>
        <v>6.25E-2</v>
      </c>
      <c r="M13" s="882"/>
      <c r="N13" s="187" t="str">
        <f>input!K22</f>
        <v>First</v>
      </c>
      <c r="O13" s="188" t="str">
        <f>input!L22</f>
        <v>Venancio A. Bad-ay</v>
      </c>
      <c r="P13" s="188" t="str">
        <f>input!M22</f>
        <v>June O. Golocan</v>
      </c>
      <c r="Q13" s="188" t="str">
        <f>input!N22</f>
        <v>Bernard M. Itliong</v>
      </c>
      <c r="R13" s="189" t="str">
        <f>input!O22</f>
        <v>FAC</v>
      </c>
      <c r="S13" s="189" t="str">
        <f>input!P22</f>
        <v>Pulling out Timber Logs</v>
      </c>
      <c r="T13" s="889" t="str">
        <f>input!Q22</f>
        <v>RWV</v>
      </c>
      <c r="U13" s="890"/>
      <c r="V13" s="186" t="str">
        <f>input!R22</f>
        <v>MOG</v>
      </c>
      <c r="W13" s="186" t="str">
        <f>input!S22</f>
        <v>Dept. 1</v>
      </c>
      <c r="X13" s="186"/>
      <c r="Y13" s="186" t="str">
        <f>input!T22</f>
        <v>Section 3</v>
      </c>
      <c r="Z13" s="190" t="str">
        <f>input!U22</f>
        <v>MAT</v>
      </c>
    </row>
    <row r="14" spans="1:26" s="191" customFormat="1" ht="46" x14ac:dyDescent="0.25">
      <c r="A14" s="191">
        <v>9</v>
      </c>
      <c r="B14" s="877" t="str">
        <f>input!C23</f>
        <v>LEONARD D. SALINGSING</v>
      </c>
      <c r="C14" s="878"/>
      <c r="D14" s="186">
        <f>input!D23</f>
        <v>9820</v>
      </c>
      <c r="E14" s="186" t="str">
        <f>input!E23</f>
        <v>Geotech Aide</v>
      </c>
      <c r="F14" s="879" t="str">
        <f>input!F23</f>
        <v>Struck by Falling Rock</v>
      </c>
      <c r="G14" s="880"/>
      <c r="H14" s="186" t="str">
        <f>input!G23</f>
        <v>Stope</v>
      </c>
      <c r="I14" s="186" t="str">
        <f>input!H23</f>
        <v>880L</v>
      </c>
      <c r="J14" s="883">
        <f>input!I23</f>
        <v>46077</v>
      </c>
      <c r="K14" s="884"/>
      <c r="L14" s="881">
        <f>input!J23</f>
        <v>0.32291666666666669</v>
      </c>
      <c r="M14" s="882"/>
      <c r="N14" s="187" t="str">
        <f>input!K23</f>
        <v>Second</v>
      </c>
      <c r="O14" s="188" t="str">
        <f>input!L23</f>
        <v>Kurt Linis Ljomir Ursua</v>
      </c>
      <c r="P14" s="188" t="str">
        <f>input!M23</f>
        <v xml:space="preserve">Benito A. Islao Jr. </v>
      </c>
      <c r="Q14" s="188" t="str">
        <f>input!N23</f>
        <v>Romy A. Domyong</v>
      </c>
      <c r="R14" s="189" t="str">
        <f>input!O23</f>
        <v>LTA-NF</v>
      </c>
      <c r="S14" s="189" t="str">
        <f>input!P23</f>
        <v>Ground Condition &amp; Support Assessment</v>
      </c>
      <c r="T14" s="889" t="str">
        <f>input!Q23</f>
        <v>AOV/ACB/WLT</v>
      </c>
      <c r="U14" s="890"/>
      <c r="V14" s="186" t="str">
        <f>input!R23</f>
        <v>MEGG</v>
      </c>
      <c r="W14" s="186" t="str">
        <f>input!S23</f>
        <v>Min Geology</v>
      </c>
      <c r="X14" s="186"/>
      <c r="Y14" s="186" t="str">
        <f>input!T23</f>
        <v>Rock Mechanics</v>
      </c>
      <c r="Z14" s="190" t="str">
        <f>input!U23</f>
        <v>MAT</v>
      </c>
    </row>
    <row r="15" spans="1:26" s="191" customFormat="1" ht="46" x14ac:dyDescent="0.25">
      <c r="A15" s="191">
        <v>10</v>
      </c>
      <c r="B15" s="877" t="str">
        <f>input!C24</f>
        <v>JERRY L. BISTAYOK</v>
      </c>
      <c r="C15" s="878"/>
      <c r="D15" s="186">
        <f>input!D24</f>
        <v>7230</v>
      </c>
      <c r="E15" s="186" t="str">
        <f>input!E24</f>
        <v>Assistant Miner</v>
      </c>
      <c r="F15" s="879" t="str">
        <f>input!F24</f>
        <v>Struck by Falling Rock</v>
      </c>
      <c r="G15" s="880"/>
      <c r="H15" s="186" t="str">
        <f>input!G24</f>
        <v>Development</v>
      </c>
      <c r="I15" s="186" t="str">
        <f>input!H24</f>
        <v>1000L</v>
      </c>
      <c r="J15" s="883">
        <f>input!I24</f>
        <v>46078</v>
      </c>
      <c r="K15" s="884"/>
      <c r="L15" s="881">
        <f>input!J24</f>
        <v>0.40625</v>
      </c>
      <c r="M15" s="882"/>
      <c r="N15" s="187" t="str">
        <f>input!K24</f>
        <v>Second</v>
      </c>
      <c r="O15" s="188" t="str">
        <f>input!L24</f>
        <v>Hilbert G. Andong</v>
      </c>
      <c r="P15" s="188" t="str">
        <f>input!M24</f>
        <v>Ruben T. Saliwey</v>
      </c>
      <c r="Q15" s="188" t="str">
        <f>input!N24</f>
        <v>N/A</v>
      </c>
      <c r="R15" s="189" t="str">
        <f>input!O24</f>
        <v>FAC</v>
      </c>
      <c r="S15" s="189" t="str">
        <f>input!P24</f>
        <v>Bar down</v>
      </c>
      <c r="T15" s="889" t="str">
        <f>input!Q24</f>
        <v>AOV/ACB/WLT/EAR/MAT</v>
      </c>
      <c r="U15" s="890"/>
      <c r="V15" s="186" t="str">
        <f>input!R24</f>
        <v>MOG</v>
      </c>
      <c r="W15" s="186" t="str">
        <f>input!S24</f>
        <v>Dept. 2</v>
      </c>
      <c r="X15" s="186"/>
      <c r="Y15" s="186" t="str">
        <f>input!T24</f>
        <v>Section 5</v>
      </c>
      <c r="Z15" s="190" t="str">
        <f>input!U24</f>
        <v>MAT</v>
      </c>
    </row>
    <row r="16" spans="1:26" ht="60" x14ac:dyDescent="0.25">
      <c r="B16" s="590" t="s">
        <v>51</v>
      </c>
      <c r="C16" s="591"/>
      <c r="D16" s="591"/>
      <c r="E16" s="591"/>
      <c r="F16" s="591"/>
      <c r="G16" s="591"/>
      <c r="H16" s="591"/>
      <c r="I16" s="591"/>
      <c r="J16" s="591"/>
      <c r="K16" s="591"/>
      <c r="L16" s="591"/>
      <c r="M16" s="591"/>
      <c r="N16" s="591"/>
      <c r="O16" s="591"/>
      <c r="P16" s="591"/>
      <c r="Q16" s="591"/>
      <c r="R16" s="591"/>
      <c r="S16" s="591"/>
      <c r="T16" s="591"/>
      <c r="U16" s="591"/>
      <c r="V16" s="591"/>
      <c r="W16" s="591"/>
      <c r="X16" s="591"/>
      <c r="Y16" s="591"/>
      <c r="Z16" s="592"/>
    </row>
    <row r="17" spans="1:26" ht="46" x14ac:dyDescent="0.25">
      <c r="A17" s="191">
        <v>1</v>
      </c>
      <c r="B17" s="885" t="str">
        <f>input!C25</f>
        <v>TALIWAN JR., SIMON A.</v>
      </c>
      <c r="C17" s="886"/>
      <c r="D17" s="186">
        <f>input!D25</f>
        <v>790</v>
      </c>
      <c r="E17" s="186" t="str">
        <f>input!E25</f>
        <v>Laboratory Technician</v>
      </c>
      <c r="F17" s="879" t="str">
        <f>input!F25</f>
        <v>Fall on Lower level</v>
      </c>
      <c r="G17" s="880"/>
      <c r="H17" s="186" t="str">
        <f>input!G25</f>
        <v>Crushing Area</v>
      </c>
      <c r="I17" s="186" t="str">
        <f>input!H25</f>
        <v>S (N/A)</v>
      </c>
      <c r="J17" s="883">
        <f>input!I25</f>
        <v>46077</v>
      </c>
      <c r="K17" s="884"/>
      <c r="L17" s="881">
        <f>input!J25</f>
        <v>0.39583333333333331</v>
      </c>
      <c r="M17" s="882"/>
      <c r="N17" s="187" t="str">
        <f>input!K25</f>
        <v>Second</v>
      </c>
      <c r="O17" s="188" t="str">
        <f>input!L25</f>
        <v>John Paul C. Licot</v>
      </c>
      <c r="P17" s="188" t="str">
        <f>input!M25</f>
        <v>N/A</v>
      </c>
      <c r="Q17" s="188" t="str">
        <f>input!N25</f>
        <v>Marry Joy S. Ronulo</v>
      </c>
      <c r="R17" s="189" t="str">
        <f>input!O25</f>
        <v>NM</v>
      </c>
      <c r="S17" s="189" t="str">
        <f>input!P25</f>
        <v>Descending the ramp</v>
      </c>
      <c r="T17" s="889" t="str">
        <f>input!Q25</f>
        <v>RML / MBK</v>
      </c>
      <c r="U17" s="890"/>
      <c r="V17" s="186" t="str">
        <f>input!R25</f>
        <v>MPG</v>
      </c>
      <c r="W17" s="186" t="str">
        <f>input!S25</f>
        <v>Metallurgy</v>
      </c>
      <c r="X17" s="186"/>
      <c r="Y17" s="186" t="str">
        <f>input!T25</f>
        <v>Laboratory</v>
      </c>
      <c r="Z17" s="190" t="str">
        <f>input!U25</f>
        <v>KTA</v>
      </c>
    </row>
    <row r="18" spans="1:26" ht="60" hidden="1" x14ac:dyDescent="0.25">
      <c r="B18" s="590" t="s">
        <v>80</v>
      </c>
      <c r="C18" s="591"/>
      <c r="D18" s="591"/>
      <c r="E18" s="591"/>
      <c r="F18" s="591"/>
      <c r="G18" s="591"/>
      <c r="H18" s="591"/>
      <c r="I18" s="591"/>
      <c r="J18" s="591"/>
      <c r="K18" s="591"/>
      <c r="L18" s="591"/>
      <c r="M18" s="591"/>
      <c r="N18" s="591"/>
      <c r="O18" s="591"/>
      <c r="P18" s="591"/>
      <c r="Q18" s="591"/>
      <c r="R18" s="591"/>
      <c r="S18" s="591"/>
      <c r="T18" s="591"/>
      <c r="U18" s="591"/>
      <c r="V18" s="591"/>
      <c r="W18" s="591"/>
      <c r="X18" s="591"/>
      <c r="Y18" s="591"/>
      <c r="Z18" s="592"/>
    </row>
    <row r="19" spans="1:26" ht="46" hidden="1" x14ac:dyDescent="0.25">
      <c r="B19" s="885"/>
      <c r="C19" s="886"/>
      <c r="D19" s="70"/>
      <c r="E19" s="70"/>
      <c r="F19" s="887"/>
      <c r="G19" s="888"/>
      <c r="H19" s="71"/>
      <c r="I19" s="186"/>
      <c r="J19" s="920"/>
      <c r="K19" s="921"/>
      <c r="L19" s="881"/>
      <c r="M19" s="882"/>
      <c r="N19" s="187"/>
      <c r="O19" s="188"/>
      <c r="P19" s="188"/>
      <c r="Q19" s="188"/>
      <c r="R19" s="189"/>
      <c r="S19" s="189"/>
      <c r="T19" s="889"/>
      <c r="U19" s="890"/>
      <c r="V19" s="186"/>
      <c r="W19" s="186"/>
      <c r="X19" s="186"/>
      <c r="Y19" s="186"/>
      <c r="Z19" s="190"/>
    </row>
    <row r="20" spans="1:26" ht="60" x14ac:dyDescent="0.25">
      <c r="B20" s="590" t="s">
        <v>675</v>
      </c>
      <c r="C20" s="591"/>
      <c r="D20" s="591"/>
      <c r="E20" s="591"/>
      <c r="F20" s="591"/>
      <c r="G20" s="591"/>
      <c r="H20" s="591"/>
      <c r="I20" s="591"/>
      <c r="J20" s="591"/>
      <c r="K20" s="591"/>
      <c r="L20" s="591"/>
      <c r="M20" s="591"/>
      <c r="N20" s="591"/>
      <c r="O20" s="591"/>
      <c r="P20" s="591"/>
      <c r="Q20" s="591"/>
      <c r="R20" s="591"/>
      <c r="S20" s="591"/>
      <c r="T20" s="591"/>
      <c r="U20" s="591"/>
      <c r="V20" s="591"/>
      <c r="W20" s="591"/>
      <c r="X20" s="591"/>
      <c r="Y20" s="591"/>
      <c r="Z20" s="592"/>
    </row>
    <row r="21" spans="1:26" s="133" customFormat="1" ht="45.5" customHeight="1" x14ac:dyDescent="0.25">
      <c r="A21" s="191">
        <v>1</v>
      </c>
      <c r="B21" s="909" t="str">
        <f>input!C26</f>
        <v>BURNT GARBAGE</v>
      </c>
      <c r="C21" s="910"/>
      <c r="D21" s="70" t="str">
        <f>input!D26</f>
        <v>N/A - EI</v>
      </c>
      <c r="E21" s="70" t="str">
        <f>input!E26</f>
        <v>Forest Fire</v>
      </c>
      <c r="F21" s="887" t="str">
        <f>input!F26</f>
        <v>Fire</v>
      </c>
      <c r="G21" s="888"/>
      <c r="H21" s="71" t="str">
        <f>input!G26</f>
        <v>Gravel Pit, Sapid</v>
      </c>
      <c r="I21" s="186" t="str">
        <f>input!H26</f>
        <v>S (N/A)</v>
      </c>
      <c r="J21" s="920">
        <f>input!I26</f>
        <v>46059</v>
      </c>
      <c r="K21" s="921"/>
      <c r="L21" s="881">
        <f>input!J26</f>
        <v>0.71180555555555547</v>
      </c>
      <c r="M21" s="882"/>
      <c r="N21" s="187" t="str">
        <f>input!K26</f>
        <v>Third</v>
      </c>
      <c r="O21" s="188" t="str">
        <f>input!L26</f>
        <v>N/A</v>
      </c>
      <c r="P21" s="188" t="str">
        <f>input!M26</f>
        <v>N/A</v>
      </c>
      <c r="Q21" s="188" t="str">
        <f>input!N26</f>
        <v>N/A</v>
      </c>
      <c r="R21" s="189" t="str">
        <f>input!O26</f>
        <v>EI</v>
      </c>
      <c r="S21" s="189" t="str">
        <f>input!P26</f>
        <v>IEC at Brgy. Sapid</v>
      </c>
      <c r="T21" s="889" t="str">
        <f>input!Q26</f>
        <v>MBK</v>
      </c>
      <c r="U21" s="890"/>
      <c r="V21" s="186" t="str">
        <f>input!R26</f>
        <v>ASG</v>
      </c>
      <c r="W21" s="186" t="str">
        <f>input!S26</f>
        <v>IOSD</v>
      </c>
      <c r="X21" s="186"/>
      <c r="Y21" s="186" t="str">
        <f>input!T26</f>
        <v>N/A - Community</v>
      </c>
      <c r="Z21" s="190" t="str">
        <f>input!U26</f>
        <v>KTA</v>
      </c>
    </row>
    <row r="22" spans="1:26" s="133" customFormat="1" ht="45.5" customHeight="1" x14ac:dyDescent="0.25">
      <c r="A22" s="191">
        <v>2</v>
      </c>
      <c r="B22" s="909" t="str">
        <f>input!C27</f>
        <v>LMD EMPLOYEES</v>
      </c>
      <c r="C22" s="910"/>
      <c r="D22" s="70" t="str">
        <f>input!D27</f>
        <v>N/A - EI</v>
      </c>
      <c r="E22" s="70" t="str">
        <f>input!E27</f>
        <v>N/A</v>
      </c>
      <c r="F22" s="887" t="str">
        <f>input!F27</f>
        <v>Earthquake</v>
      </c>
      <c r="G22" s="888"/>
      <c r="H22" s="71" t="str">
        <f>input!G27</f>
        <v>Surface LMD Camp</v>
      </c>
      <c r="I22" s="186" t="str">
        <f>input!H27</f>
        <v>S (N/A)</v>
      </c>
      <c r="J22" s="920">
        <f>input!I27</f>
        <v>46069</v>
      </c>
      <c r="K22" s="921"/>
      <c r="L22" s="881">
        <f>input!J27</f>
        <v>0.40277777777777773</v>
      </c>
      <c r="M22" s="882"/>
      <c r="N22" s="187" t="str">
        <f>input!K27</f>
        <v>Second</v>
      </c>
      <c r="O22" s="188" t="str">
        <f>input!L27</f>
        <v>N/A</v>
      </c>
      <c r="P22" s="188" t="str">
        <f>input!M27</f>
        <v>N/A</v>
      </c>
      <c r="Q22" s="188" t="str">
        <f>input!N27</f>
        <v>N/A</v>
      </c>
      <c r="R22" s="189" t="str">
        <f>input!O27</f>
        <v>EI</v>
      </c>
      <c r="S22" s="189" t="str">
        <f>input!P27</f>
        <v>Normal Surface Operations</v>
      </c>
      <c r="T22" s="889" t="str">
        <f>input!Q27</f>
        <v>RML</v>
      </c>
      <c r="U22" s="890"/>
      <c r="V22" s="186" t="str">
        <f>input!R27</f>
        <v>ASG</v>
      </c>
      <c r="W22" s="186" t="str">
        <f>input!S27</f>
        <v>IOSD</v>
      </c>
      <c r="X22" s="186"/>
      <c r="Y22" s="186" t="str">
        <f>input!T27</f>
        <v>N/A - Community</v>
      </c>
      <c r="Z22" s="190" t="str">
        <f>input!U27</f>
        <v>KTA</v>
      </c>
    </row>
    <row r="23" spans="1:26" s="133" customFormat="1" ht="45.5" customHeight="1" x14ac:dyDescent="0.25">
      <c r="A23" s="191">
        <v>3</v>
      </c>
      <c r="B23" s="909" t="str">
        <f>input!C28</f>
        <v>PINE TREES</v>
      </c>
      <c r="C23" s="910"/>
      <c r="D23" s="70" t="str">
        <f>input!D28</f>
        <v>N/A - EI</v>
      </c>
      <c r="E23" s="70" t="str">
        <f>input!E28</f>
        <v>Forest Fire</v>
      </c>
      <c r="F23" s="887" t="str">
        <f>input!F28</f>
        <v>Fire</v>
      </c>
      <c r="G23" s="888"/>
      <c r="H23" s="71" t="str">
        <f>input!G28</f>
        <v>Golf Course, Sapid</v>
      </c>
      <c r="I23" s="186" t="str">
        <f>input!H28</f>
        <v>S (N/A)</v>
      </c>
      <c r="J23" s="920">
        <f>input!I28</f>
        <v>46074</v>
      </c>
      <c r="K23" s="921"/>
      <c r="L23" s="881">
        <f>input!J28</f>
        <v>0.69791666666666663</v>
      </c>
      <c r="M23" s="882"/>
      <c r="N23" s="187" t="str">
        <f>input!K28</f>
        <v>Third</v>
      </c>
      <c r="O23" s="188" t="str">
        <f>input!L28</f>
        <v>N/A</v>
      </c>
      <c r="P23" s="188" t="str">
        <f>input!M28</f>
        <v>N/A</v>
      </c>
      <c r="Q23" s="188" t="str">
        <f>input!N28</f>
        <v>N/A</v>
      </c>
      <c r="R23" s="189" t="str">
        <f>input!O28</f>
        <v>EI</v>
      </c>
      <c r="S23" s="189" t="str">
        <f>input!P28</f>
        <v>Normal Surface Operations</v>
      </c>
      <c r="T23" s="889" t="str">
        <f>input!Q28</f>
        <v>MBK</v>
      </c>
      <c r="U23" s="890"/>
      <c r="V23" s="186" t="str">
        <f>input!R28</f>
        <v>ASG</v>
      </c>
      <c r="W23" s="186" t="str">
        <f>input!S28</f>
        <v>IOSD</v>
      </c>
      <c r="X23" s="186"/>
      <c r="Y23" s="186" t="str">
        <f>input!T28</f>
        <v>N/A - Community</v>
      </c>
      <c r="Z23" s="190" t="str">
        <f>input!U28</f>
        <v>KTA</v>
      </c>
    </row>
    <row r="24" spans="1:26" s="133" customFormat="1" ht="45.5" customHeight="1" x14ac:dyDescent="0.25">
      <c r="A24" s="191">
        <v>4</v>
      </c>
      <c r="B24" s="909" t="str">
        <f>input!C29</f>
        <v>PINE TREES</v>
      </c>
      <c r="C24" s="910"/>
      <c r="D24" s="70" t="str">
        <f>input!D29</f>
        <v>N/A - EI</v>
      </c>
      <c r="E24" s="70" t="str">
        <f>input!E29</f>
        <v>Forest Fire</v>
      </c>
      <c r="F24" s="887" t="str">
        <f>input!F29</f>
        <v>Fire</v>
      </c>
      <c r="G24" s="888"/>
      <c r="H24" s="71" t="str">
        <f>input!G29</f>
        <v>Tagumbao, Sapid</v>
      </c>
      <c r="I24" s="186" t="str">
        <f>input!H29</f>
        <v>S (N/A)</v>
      </c>
      <c r="J24" s="920" t="str">
        <f>input!I29</f>
        <v>February 26, 2026</v>
      </c>
      <c r="K24" s="921"/>
      <c r="L24" s="881">
        <f>input!J29</f>
        <v>0.85763888888888884</v>
      </c>
      <c r="M24" s="882"/>
      <c r="N24" s="187" t="str">
        <f>input!K29</f>
        <v>Third</v>
      </c>
      <c r="O24" s="188" t="str">
        <f>input!L29</f>
        <v>N/A</v>
      </c>
      <c r="P24" s="188" t="str">
        <f>input!M29</f>
        <v>N/A</v>
      </c>
      <c r="Q24" s="188" t="str">
        <f>input!N29</f>
        <v>N/A</v>
      </c>
      <c r="R24" s="189" t="str">
        <f>input!O29</f>
        <v>EI</v>
      </c>
      <c r="S24" s="189" t="str">
        <f>input!P29</f>
        <v>Normal Surface Operations</v>
      </c>
      <c r="T24" s="889" t="str">
        <f>input!Q29</f>
        <v>ACG</v>
      </c>
      <c r="U24" s="890"/>
      <c r="V24" s="186" t="str">
        <f>input!R29</f>
        <v>ASG</v>
      </c>
      <c r="W24" s="186" t="str">
        <f>input!S29</f>
        <v>IOSD</v>
      </c>
      <c r="X24" s="186"/>
      <c r="Y24" s="186" t="str">
        <f>input!T29</f>
        <v>N/A - Community</v>
      </c>
      <c r="Z24" s="190" t="str">
        <f>input!U29</f>
        <v>KTA</v>
      </c>
    </row>
    <row r="25" spans="1:26" s="133" customFormat="1" ht="45.5" customHeight="1" thickBot="1" x14ac:dyDescent="0.3">
      <c r="A25" s="191">
        <v>5</v>
      </c>
      <c r="B25" s="909" t="str">
        <f>input!C30</f>
        <v>HOSE</v>
      </c>
      <c r="C25" s="910"/>
      <c r="D25" s="70" t="str">
        <f>input!D30</f>
        <v>N/A - EI</v>
      </c>
      <c r="E25" s="70" t="str">
        <f>input!E30</f>
        <v>Forest Fire</v>
      </c>
      <c r="F25" s="887" t="str">
        <f>input!F30</f>
        <v>Fire</v>
      </c>
      <c r="G25" s="888"/>
      <c r="H25" s="71" t="str">
        <f>input!G30</f>
        <v>Aerodome Area</v>
      </c>
      <c r="I25" s="186" t="str">
        <f>input!H30</f>
        <v>S (N/A)</v>
      </c>
      <c r="J25" s="920" t="str">
        <f>input!I30</f>
        <v>February 28, 2026</v>
      </c>
      <c r="K25" s="921"/>
      <c r="L25" s="881">
        <f>input!J30</f>
        <v>0.48888888888888887</v>
      </c>
      <c r="M25" s="882"/>
      <c r="N25" s="187" t="str">
        <f>input!K30</f>
        <v>Second</v>
      </c>
      <c r="O25" s="188" t="str">
        <f>input!L30</f>
        <v>N/A</v>
      </c>
      <c r="P25" s="188" t="str">
        <f>input!M30</f>
        <v>N/A</v>
      </c>
      <c r="Q25" s="188" t="str">
        <f>input!N30</f>
        <v>N/A</v>
      </c>
      <c r="R25" s="189" t="str">
        <f>input!O30</f>
        <v>EI</v>
      </c>
      <c r="S25" s="189" t="str">
        <f>input!P30</f>
        <v>Normal Surface Operations</v>
      </c>
      <c r="T25" s="889" t="str">
        <f>input!Q30</f>
        <v>RML</v>
      </c>
      <c r="U25" s="890"/>
      <c r="V25" s="186" t="str">
        <f>input!R30</f>
        <v>ASG</v>
      </c>
      <c r="W25" s="186" t="str">
        <f>input!S30</f>
        <v>IOSD</v>
      </c>
      <c r="X25" s="186"/>
      <c r="Y25" s="186" t="str">
        <f>input!T30</f>
        <v>N/A - Community</v>
      </c>
      <c r="Z25" s="190" t="str">
        <f>input!U30</f>
        <v>KTA</v>
      </c>
    </row>
    <row r="26" spans="1:26" x14ac:dyDescent="0.25">
      <c r="B26" s="873" t="s">
        <v>22</v>
      </c>
      <c r="C26" s="874"/>
      <c r="D26" s="22" t="s">
        <v>6</v>
      </c>
      <c r="E26" s="22" t="s">
        <v>2</v>
      </c>
      <c r="F26" s="22" t="s">
        <v>3</v>
      </c>
      <c r="G26" s="22" t="s">
        <v>1</v>
      </c>
      <c r="H26" s="22" t="s">
        <v>0</v>
      </c>
      <c r="I26" s="22" t="s">
        <v>53</v>
      </c>
      <c r="J26" s="22" t="s">
        <v>12</v>
      </c>
      <c r="K26" s="22" t="s">
        <v>693</v>
      </c>
      <c r="L26" s="22" t="s">
        <v>5</v>
      </c>
      <c r="M26" s="23" t="s">
        <v>40</v>
      </c>
      <c r="N26" s="824" t="s">
        <v>11</v>
      </c>
      <c r="O26" s="824"/>
      <c r="P26" s="823"/>
      <c r="Q26" s="24" t="s">
        <v>6</v>
      </c>
      <c r="R26" s="24" t="s">
        <v>2</v>
      </c>
      <c r="S26" s="24" t="s">
        <v>3</v>
      </c>
      <c r="T26" s="24" t="s">
        <v>1</v>
      </c>
      <c r="U26" s="24" t="s">
        <v>0</v>
      </c>
      <c r="V26" s="24" t="s">
        <v>53</v>
      </c>
      <c r="W26" s="24" t="s">
        <v>12</v>
      </c>
      <c r="X26" s="24" t="s">
        <v>693</v>
      </c>
      <c r="Y26" s="24" t="s">
        <v>5</v>
      </c>
      <c r="Z26" s="25" t="s">
        <v>40</v>
      </c>
    </row>
    <row r="27" spans="1:26" ht="33" x14ac:dyDescent="0.25">
      <c r="B27" s="875" t="s">
        <v>33</v>
      </c>
      <c r="C27" s="876"/>
      <c r="D27" s="26">
        <f>COUNTIFS(input!$O:$O,February!$D$26,input!$E:$E,February!B27,input!$A:$A,February!$B$2)</f>
        <v>0</v>
      </c>
      <c r="E27" s="26">
        <f>COUNTIFS(input!$O:$O,February!$E$26,input!$E:$E,February!B27,input!$A:$A,February!$B$2)</f>
        <v>1</v>
      </c>
      <c r="F27" s="26">
        <f>COUNTIFS(input!$O:$O,February!$F$26,input!$E:$E,February!B27,input!$A:$A,February!$B$2)</f>
        <v>0</v>
      </c>
      <c r="G27" s="27">
        <f>COUNTIFS(input!$O:$O,February!$G$26,input!$E:$E,February!B27,input!$A:$A,February!$B$2)</f>
        <v>3</v>
      </c>
      <c r="H27" s="27">
        <f>COUNTIFS(input!$O:$O,February!$H$26,input!$E:$E,February!B27,input!$A:$A,February!$B$2)</f>
        <v>0</v>
      </c>
      <c r="I27" s="27">
        <f>COUNTIFS(input!$O:$O,February!$I$26,input!$E:$E,February!B27,input!$A:$A,February!$B$2)</f>
        <v>1</v>
      </c>
      <c r="J27" s="27">
        <f>COUNTIFS(input!$O:$O,February!$K$26,input!$E:$E,February!B27,input!$A:$A,February!$B$2)</f>
        <v>0</v>
      </c>
      <c r="K27" s="27">
        <f>COUNTIFS(input!$O:$O,February!$K$26,input!$E:$E,February!B27,input!$A:$A,February!$B$2)</f>
        <v>0</v>
      </c>
      <c r="L27" s="28">
        <f>SUM(D27:K27)</f>
        <v>5</v>
      </c>
      <c r="M27" s="29" cm="1">
        <f t="array" ref="M27">_xlfn.IFS(L27=0,0,L27&gt;=1,L27/L49)</f>
        <v>0.3125</v>
      </c>
      <c r="N27" s="858" t="s">
        <v>86</v>
      </c>
      <c r="O27" s="858"/>
      <c r="P27" s="859"/>
      <c r="Q27" s="26">
        <f>COUNTIFS(input!$O:$O,February!$Q$26,input!$F:$F,February!N27,input!$A:$A,February!$B$2)</f>
        <v>0</v>
      </c>
      <c r="R27" s="26">
        <f>COUNTIFS(input!$O:$O,February!$R$26,input!$F:$F,February!N27,input!$A:$A,February!$B$2)</f>
        <v>1</v>
      </c>
      <c r="S27" s="26">
        <f>COUNTIFS(input!$O:$O,February!$S$26,input!$F:$F,February!N27,input!$A:$A,February!$B$2)</f>
        <v>0</v>
      </c>
      <c r="T27" s="30">
        <f>COUNTIFS(input!$O:$O,February!$T$26,input!$F:$F,February!N27,input!$A:$A,February!$B$2)</f>
        <v>2</v>
      </c>
      <c r="U27" s="30">
        <f>COUNTIFS(input!$O:$O,February!$U$26,input!$F:$F,February!N27,input!$A:$A,February!$B$2)</f>
        <v>0</v>
      </c>
      <c r="V27" s="30">
        <f>COUNTIFS(input!$O:$O,February!$V$26,input!$F:$F,February!N27,input!$A:$A,February!$B$2)</f>
        <v>0</v>
      </c>
      <c r="W27" s="30">
        <f>COUNTIFS(input!$O:$O,February!$W$26,input!$F:$F,February!N27,input!$A:$A,February!$B$2)</f>
        <v>0</v>
      </c>
      <c r="X27" s="30">
        <f>COUNTIFS(input!$O:$O,February!$X$26,input!$F:$F,February!N27,input!$A:$A,February!$B$2)</f>
        <v>0</v>
      </c>
      <c r="Y27" s="28">
        <f>SUM(Q27:X27)</f>
        <v>3</v>
      </c>
      <c r="Z27" s="32" cm="1">
        <f t="array" ref="Z27">_xlfn.IFS(Y27=0,0,Y27&gt;=1,Y27/Y49)</f>
        <v>0.1875</v>
      </c>
    </row>
    <row r="28" spans="1:26" ht="33" x14ac:dyDescent="0.25">
      <c r="B28" s="871" t="s">
        <v>18</v>
      </c>
      <c r="C28" s="821"/>
      <c r="D28" s="33">
        <f>COUNTIFS(input!$O:$O,February!$D$26,input!$E:$E,February!B28,input!$A:$A,February!$B$2)</f>
        <v>0</v>
      </c>
      <c r="E28" s="33">
        <f>COUNTIFS(input!$O:$O,February!$E$26,input!$E:$E,February!B28,input!$A:$A,February!$B$2)</f>
        <v>0</v>
      </c>
      <c r="F28" s="34">
        <f>COUNTIFS(input!$O:$O,February!$F$26,input!$E:$E,February!B28,input!$A:$A,February!$B$2)</f>
        <v>0</v>
      </c>
      <c r="G28" s="35">
        <f>COUNTIFS(input!$O:$O,February!$G$26,input!$E:$E,February!B28,input!$A:$A,February!$B$2)</f>
        <v>0</v>
      </c>
      <c r="H28" s="35">
        <f>COUNTIFS(input!$O:$O,February!$H$26,input!$E:$E,February!B28,input!$A:$A,February!$B$2)</f>
        <v>0</v>
      </c>
      <c r="I28" s="35">
        <f>COUNTIFS(input!$O:$O,February!$I$26,input!$E:$E,February!B28,input!$A:$A,February!$B$2)</f>
        <v>1</v>
      </c>
      <c r="J28" s="35">
        <f>COUNTIFS(input!$O:$O,February!$J$26,input!$E:$E,February!B28,input!$A:$A,February!$B$2)</f>
        <v>0</v>
      </c>
      <c r="K28" s="296">
        <f>COUNTIFS(input!$O:$O,February!$K$26,input!$E:$E,February!B28,input!$A:$A,February!$B$2)</f>
        <v>0</v>
      </c>
      <c r="L28" s="28">
        <f t="shared" ref="L28:L47" si="0">SUM(D28:K28)</f>
        <v>1</v>
      </c>
      <c r="M28" s="36" cm="1">
        <f t="array" ref="M28">_xlfn.IFS(L28=0,0,L28&gt;=1,L28/L49)</f>
        <v>6.25E-2</v>
      </c>
      <c r="N28" s="769" t="s">
        <v>138</v>
      </c>
      <c r="O28" s="769"/>
      <c r="P28" s="770"/>
      <c r="Q28" s="33">
        <f>COUNTIFS(input!$O:$O,February!$Q$26,input!$F:$F,February!N28,input!$A:$A,February!$B$2)</f>
        <v>0</v>
      </c>
      <c r="R28" s="33">
        <f>COUNTIFS(input!$O:$O,February!$R$26,input!$F:$F,February!N28,input!$A:$A,February!$B$2)</f>
        <v>0</v>
      </c>
      <c r="S28" s="33">
        <f>COUNTIFS(input!$O:$O,February!$S$26,input!$F:$F,February!N28,input!$A:$A,February!$B$2)</f>
        <v>0</v>
      </c>
      <c r="T28" s="37">
        <f>COUNTIFS(input!$O:$O,February!$T$26,input!$F:$F,February!N28,input!$A:$A,February!$B$2)</f>
        <v>0</v>
      </c>
      <c r="U28" s="38">
        <f>COUNTIFS(input!$O:$O,February!$U$26,input!$F:$F,February!N28,input!$A:$A,February!$B$2)</f>
        <v>0</v>
      </c>
      <c r="V28" s="38">
        <f>COUNTIFS(input!$O:$O,February!$V$26,input!$F:$F,February!N28,input!$A:$A,February!$B$2)</f>
        <v>0</v>
      </c>
      <c r="W28" s="39">
        <f>COUNTIFS(input!$O:$O,February!$W$26,input!$F:$F,February!N28,input!$A:$A,February!$B$2)</f>
        <v>0</v>
      </c>
      <c r="X28" s="299">
        <f>COUNTIFS(input!$O:$O,February!$X$26,input!$F:$F,February!N28,input!$A:$A,February!$B$2)</f>
        <v>0</v>
      </c>
      <c r="Y28" s="28">
        <f t="shared" ref="Y28:Y48" si="1">SUM(Q28:X28)</f>
        <v>0</v>
      </c>
      <c r="Z28" s="32" cm="1">
        <f t="array" ref="Z28">_xlfn.IFS(Y28=0,0,Y28&gt;=1,Y28/Y49)</f>
        <v>0</v>
      </c>
    </row>
    <row r="29" spans="1:26" ht="33" x14ac:dyDescent="0.25">
      <c r="B29" s="872" t="s">
        <v>411</v>
      </c>
      <c r="C29" s="818"/>
      <c r="D29" s="33">
        <f>COUNTIFS(input!$O:$O,February!$D$26,input!$E:$E,February!B29,input!$A:$A,February!$B$2)</f>
        <v>0</v>
      </c>
      <c r="E29" s="33">
        <f>COUNTIFS(input!$O:$O,February!$E$26,input!$E:$E,February!B29,input!$A:$A,February!$B$2)</f>
        <v>0</v>
      </c>
      <c r="F29" s="33">
        <f>COUNTIFS(input!$O:$O,February!$F$26,input!$E:$E,February!B29,input!$A:$A,February!$B$2)</f>
        <v>0</v>
      </c>
      <c r="G29" s="35">
        <f>COUNTIFS(input!$O:$O,February!$G$26,input!$E:$E,February!B29,input!$A:$A,February!$B$2)</f>
        <v>0</v>
      </c>
      <c r="H29" s="35">
        <f>COUNTIFS(input!$O:$O,February!$H$26,input!$E:$E,February!B29,input!$A:$A,February!$B$2)</f>
        <v>0</v>
      </c>
      <c r="I29" s="35">
        <f>COUNTIFS(input!$O:$O,February!$I$26,input!$E:$E,February!B29,input!$A:$A,February!$B$2)</f>
        <v>0</v>
      </c>
      <c r="J29" s="35">
        <f>COUNTIFS(input!$O:$O,February!$J$26,input!$E:$E,February!B29,input!$A:$A,February!$B$2)</f>
        <v>0</v>
      </c>
      <c r="K29" s="296">
        <f>COUNTIFS(input!$O:$O,February!$K$26,input!$E:$E,February!B29,input!$A:$A,February!$B$2)</f>
        <v>0</v>
      </c>
      <c r="L29" s="28">
        <f t="shared" si="0"/>
        <v>0</v>
      </c>
      <c r="M29" s="36" cm="1">
        <f t="array" ref="M29">_xlfn.IFS(L29=0,0,L29&gt;=1,L29/L49)</f>
        <v>0</v>
      </c>
      <c r="N29" s="773" t="s">
        <v>17</v>
      </c>
      <c r="O29" s="773"/>
      <c r="P29" s="772"/>
      <c r="Q29" s="33">
        <f>COUNTIFS(input!$O:$O,February!$Q$26,input!$F:$F,February!N29,input!$A:$A,February!$B$2)</f>
        <v>0</v>
      </c>
      <c r="R29" s="33">
        <f>COUNTIFS(input!$O:$O,February!$R$26,input!$F:$F,February!N29,input!$A:$A,February!$B$2)</f>
        <v>0</v>
      </c>
      <c r="S29" s="33">
        <f>COUNTIFS(input!$O:$O,February!$S$26,input!$F:$F,February!N29,input!$A:$A,February!$B$2)</f>
        <v>0</v>
      </c>
      <c r="T29" s="38">
        <f>COUNTIFS(input!$O:$O,February!$T$26,input!$F:$F,February!N29,input!$A:$A,February!$B$2)</f>
        <v>1</v>
      </c>
      <c r="U29" s="38">
        <f>COUNTIFS(input!$O:$O,February!$U$26,input!$F:$F,February!N29,input!$A:$A,February!$B$2)</f>
        <v>0</v>
      </c>
      <c r="V29" s="38">
        <f>COUNTIFS(input!$O:$O,February!$V$26,input!$F:$F,February!N29,input!$A:$A,February!$B$2)</f>
        <v>0</v>
      </c>
      <c r="W29" s="39">
        <f>COUNTIFS(input!$O:$O,February!$W$26,input!$F:$F,February!N29,input!$A:$A,February!$B$2)</f>
        <v>0</v>
      </c>
      <c r="X29" s="299">
        <f>COUNTIFS(input!$O:$O,February!$X$26,input!$F:$F,February!N29,input!$A:$A,February!$B$2)</f>
        <v>0</v>
      </c>
      <c r="Y29" s="28">
        <f t="shared" si="1"/>
        <v>1</v>
      </c>
      <c r="Z29" s="32" cm="1">
        <f t="array" ref="Z29">_xlfn.IFS(Y29=0,0,Y29&gt;=1,Y29/Y49)</f>
        <v>6.25E-2</v>
      </c>
    </row>
    <row r="30" spans="1:26" ht="33" x14ac:dyDescent="0.25">
      <c r="B30" s="871" t="s">
        <v>410</v>
      </c>
      <c r="C30" s="821"/>
      <c r="D30" s="33">
        <f>COUNTIFS(input!$O:$O,February!$D$26,input!$E:$E,February!B30,input!$A:$A,February!$B$2)</f>
        <v>0</v>
      </c>
      <c r="E30" s="33">
        <f>COUNTIFS(input!$O:$O,February!$E$26,input!$E:$E,February!B30,input!$A:$A,February!$B$2)</f>
        <v>0</v>
      </c>
      <c r="F30" s="34">
        <f>COUNTIFS(input!$O:$O,February!$F$26,input!$E:$E,February!B30,input!$A:$A,February!$B$2)</f>
        <v>0</v>
      </c>
      <c r="G30" s="35">
        <f>COUNTIFS(input!$O:$O,February!$G$26,input!$E:$E,February!B30,input!$A:$A,February!$B$2)</f>
        <v>1</v>
      </c>
      <c r="H30" s="35">
        <f>COUNTIFS(input!$O:$O,February!$H$26,input!$E:$E,February!B30,input!$A:$A,February!$B$2)</f>
        <v>0</v>
      </c>
      <c r="I30" s="35">
        <f>COUNTIFS(input!$O:$O,February!$I$26,input!$E:$E,February!B30,input!$A:$A,February!$B$2)</f>
        <v>0</v>
      </c>
      <c r="J30" s="35">
        <f>COUNTIFS(input!$O:$O,February!$J$26,input!$E:$E,February!B30,input!$A:$A,February!$B$2)</f>
        <v>0</v>
      </c>
      <c r="K30" s="296">
        <f>COUNTIFS(input!$O:$O,February!$K$26,input!$E:$E,February!B30,input!$A:$A,February!$B$2)</f>
        <v>0</v>
      </c>
      <c r="L30" s="28">
        <f t="shared" si="0"/>
        <v>1</v>
      </c>
      <c r="M30" s="36" cm="1">
        <f t="array" ref="M30">_xlfn.IFS(L30=0,0,L30&gt;=1,L30/L49)</f>
        <v>6.25E-2</v>
      </c>
      <c r="N30" s="773" t="s">
        <v>20</v>
      </c>
      <c r="O30" s="773"/>
      <c r="P30" s="772"/>
      <c r="Q30" s="33">
        <f>COUNTIFS(input!$O:$O,February!$Q$26,input!$F:$F,February!N30,input!$A:$A,February!$B$2)</f>
        <v>0</v>
      </c>
      <c r="R30" s="33">
        <f>COUNTIFS(input!$O:$O,February!$R$26,input!$F:$F,February!N30,input!$A:$A,February!$B$2)</f>
        <v>1</v>
      </c>
      <c r="S30" s="33">
        <f>COUNTIFS(input!$O:$O,February!$S$26,input!$F:$F,February!N30,input!$A:$A,February!$B$2)</f>
        <v>0</v>
      </c>
      <c r="T30" s="38">
        <f>COUNTIFS(input!$O:$O,February!$T$26,input!$F:$F,February!N30,input!$A:$A,February!$B$2)</f>
        <v>1</v>
      </c>
      <c r="U30" s="38">
        <f>COUNTIFS(input!$O:$O,February!$U$26,input!$F:$F,February!N30,input!$A:$A,February!$B$2)</f>
        <v>0</v>
      </c>
      <c r="V30" s="38">
        <f>COUNTIFS(input!$O:$O,February!$V$26,input!$F:$F,February!N30,input!$A:$A,February!$B$2)</f>
        <v>0</v>
      </c>
      <c r="W30" s="39">
        <f>COUNTIFS(input!$O:$O,February!$W$26,input!$F:$F,February!N30,input!$A:$A,February!$B$2)</f>
        <v>0</v>
      </c>
      <c r="X30" s="299">
        <f>COUNTIFS(input!$O:$O,February!$X$26,input!$F:$F,February!N30,input!$A:$A,February!$B$2)</f>
        <v>0</v>
      </c>
      <c r="Y30" s="28">
        <f t="shared" si="1"/>
        <v>2</v>
      </c>
      <c r="Z30" s="32" cm="1">
        <f t="array" ref="Z30">_xlfn.IFS(Y30=0,0,Y30&gt;=1,Y30/Y49)</f>
        <v>0.125</v>
      </c>
    </row>
    <row r="31" spans="1:26" ht="33" x14ac:dyDescent="0.25">
      <c r="B31" s="872" t="s">
        <v>50</v>
      </c>
      <c r="C31" s="818"/>
      <c r="D31" s="33">
        <f>COUNTIFS(input!$O:$O,February!$D$26,input!$E:$E,February!B31,input!$A:$A,February!$B$2)</f>
        <v>0</v>
      </c>
      <c r="E31" s="33">
        <f>COUNTIFS(input!$O:$O,February!$E$26,input!$E:$E,February!B31,input!$A:$A,February!$B$2)</f>
        <v>0</v>
      </c>
      <c r="F31" s="34">
        <f>COUNTIFS(input!$O:$O,February!$F$26,input!$E:$E,February!B31,input!$A:$A,February!$B$2)</f>
        <v>0</v>
      </c>
      <c r="G31" s="35">
        <f>COUNTIFS(input!$O:$O,February!$G$26,input!$E:$E,February!B31,input!$A:$A,February!$B$2)</f>
        <v>0</v>
      </c>
      <c r="H31" s="35">
        <f>COUNTIFS(input!$O:$O,February!$H$26,input!$E:$E,February!B31,input!$A:$A,February!$B$2)</f>
        <v>0</v>
      </c>
      <c r="I31" s="35">
        <f>COUNTIFS(input!$O:$O,February!$I$26,input!$E:$E,February!B31,input!$A:$A,February!$B$2)</f>
        <v>0</v>
      </c>
      <c r="J31" s="35">
        <f>COUNTIFS(input!$O:$O,February!$J$26,input!$E:$E,February!B31,input!$A:$A,February!$B$2)</f>
        <v>0</v>
      </c>
      <c r="K31" s="296">
        <f>COUNTIFS(input!$O:$O,February!$K$26,input!$E:$E,February!B31,input!$A:$A,February!$B$2)</f>
        <v>0</v>
      </c>
      <c r="L31" s="28">
        <f t="shared" si="0"/>
        <v>0</v>
      </c>
      <c r="M31" s="36" cm="1">
        <f t="array" ref="M31">_xlfn.IFS(L31=0,0,L31&gt;=1,L31/L49)</f>
        <v>0</v>
      </c>
      <c r="N31" s="769" t="s">
        <v>25</v>
      </c>
      <c r="O31" s="769"/>
      <c r="P31" s="770"/>
      <c r="Q31" s="33">
        <f>COUNTIFS(input!$O:$O,February!$Q$26,input!$F:$F,February!N31,input!$A:$A,February!$B$2)</f>
        <v>0</v>
      </c>
      <c r="R31" s="33">
        <f>COUNTIFS(input!$O:$O,February!$R$26,input!$F:$F,February!N31,input!$A:$A,February!$B$2)</f>
        <v>0</v>
      </c>
      <c r="S31" s="33">
        <f>COUNTIFS(input!$O:$O,February!$S$26,input!$F:$F,February!N31,input!$A:$A,February!$B$2)</f>
        <v>0</v>
      </c>
      <c r="T31" s="38">
        <f>COUNTIFS(input!$O:$O,February!$T$26,input!$F:$F,February!N31,input!$A:$A,February!$B$2)</f>
        <v>0</v>
      </c>
      <c r="U31" s="38">
        <f>COUNTIFS(input!$O:$O,February!$U$26,input!$F:$F,February!N31,input!$A:$A,February!$B$2)</f>
        <v>0</v>
      </c>
      <c r="V31" s="38">
        <f>COUNTIFS(input!$O:$O,February!$V$26,input!$F:$F,February!N31,input!$A:$A,February!$B$2)</f>
        <v>0</v>
      </c>
      <c r="W31" s="39">
        <f>COUNTIFS(input!$O:$O,February!$W$26,input!$F:$F,February!N31,input!$A:$A,February!$B$2)</f>
        <v>0</v>
      </c>
      <c r="X31" s="299">
        <f>COUNTIFS(input!$O:$O,February!$X$26,input!$F:$F,February!N31,input!$A:$A,February!$B$2)</f>
        <v>0</v>
      </c>
      <c r="Y31" s="28">
        <f t="shared" si="1"/>
        <v>0</v>
      </c>
      <c r="Z31" s="32" cm="1">
        <f t="array" ref="Z31">_xlfn.IFS(Y31=0,0,Y31&gt;=1,Y31/Y49)</f>
        <v>0</v>
      </c>
    </row>
    <row r="32" spans="1:26" ht="33" x14ac:dyDescent="0.25">
      <c r="B32" s="771" t="s">
        <v>41</v>
      </c>
      <c r="C32" s="772"/>
      <c r="D32" s="33">
        <f>COUNTIFS(input!$O:$O,February!$D$26,input!$E:$E,February!B32,input!$A:$A,February!$B$2)</f>
        <v>0</v>
      </c>
      <c r="E32" s="33">
        <f>COUNTIFS(input!$O:$O,February!$E$26,input!$E:$E,February!B32,input!$A:$A,February!$B$2)</f>
        <v>0</v>
      </c>
      <c r="F32" s="34">
        <f>COUNTIFS(input!$O:$O,February!$F$26,input!$E:$E,February!B32,input!$A:$A,February!$B$2)</f>
        <v>0</v>
      </c>
      <c r="G32" s="40">
        <f>COUNTIFS(input!$O:$O,February!$G$26,input!$E:$E,February!B32,input!$A:$A,February!$B$2)</f>
        <v>0</v>
      </c>
      <c r="H32" s="35">
        <f>COUNTIFS(input!$O:$O,February!$H$26,input!$E:$E,February!B32,input!$A:$A,February!$B$2)</f>
        <v>0</v>
      </c>
      <c r="I32" s="35">
        <f>COUNTIFS(input!$O:$O,February!$I$26,input!$E:$E,February!B32,input!$A:$A,February!$B$2)</f>
        <v>0</v>
      </c>
      <c r="J32" s="35">
        <f>COUNTIFS(input!$O:$O,February!$J$26,input!$E:$E,February!B32,input!$A:$A,February!$B$2)</f>
        <v>0</v>
      </c>
      <c r="K32" s="296">
        <f>COUNTIFS(input!$O:$O,February!$K$26,input!$E:$E,February!B32,input!$A:$A,February!$B$2)</f>
        <v>0</v>
      </c>
      <c r="L32" s="28">
        <f t="shared" si="0"/>
        <v>0</v>
      </c>
      <c r="M32" s="36" cm="1">
        <f t="array" ref="M32">_xlfn.IFS(L32=0,0,L32&gt;=1,L32/L49)</f>
        <v>0</v>
      </c>
      <c r="N32" s="769" t="s">
        <v>19</v>
      </c>
      <c r="O32" s="769"/>
      <c r="P32" s="770"/>
      <c r="Q32" s="33">
        <f>COUNTIFS(input!$O:$O,February!$Q$26,input!$F:$F,February!N32,input!$A:$A,February!$B$2)</f>
        <v>0</v>
      </c>
      <c r="R32" s="33">
        <f>COUNTIFS(input!$O:$O,February!$R$26,input!$F:$F,February!N32,input!$A:$A,February!$B$2)</f>
        <v>0</v>
      </c>
      <c r="S32" s="33">
        <f>COUNTIFS(input!$O:$O,February!$S$26,input!$F:$F,February!N32,input!$A:$A,February!$B$2)</f>
        <v>0</v>
      </c>
      <c r="T32" s="38">
        <f>COUNTIFS(input!$O:$O,February!$T$26,input!$F:$F,February!N32,input!$A:$A,February!$B$2)</f>
        <v>0</v>
      </c>
      <c r="U32" s="38">
        <f>COUNTIFS(input!$O:$O,February!$U$26,input!$F:$F,February!N32,input!$A:$A,February!$B$2)</f>
        <v>0</v>
      </c>
      <c r="V32" s="38">
        <f>COUNTIFS(input!$O:$O,February!$V$26,input!$F:$F,February!N32,input!$A:$A,February!$B$2)</f>
        <v>0</v>
      </c>
      <c r="W32" s="39">
        <f>COUNTIFS(input!$O:$O,February!$W$26,input!$F:$F,February!N32,input!$A:$A,February!$B$2)</f>
        <v>0</v>
      </c>
      <c r="X32" s="299">
        <f>COUNTIFS(input!$O:$O,February!$X$26,input!$F:$F,February!N32,input!$A:$A,February!$B$2)</f>
        <v>0</v>
      </c>
      <c r="Y32" s="28">
        <f t="shared" si="1"/>
        <v>0</v>
      </c>
      <c r="Z32" s="32" cm="1">
        <f t="array" ref="Z32">_xlfn.IFS(Y32=0,0,Y32&gt;=1,Y32/Y49)</f>
        <v>0</v>
      </c>
    </row>
    <row r="33" spans="2:26" ht="33" customHeight="1" x14ac:dyDescent="0.25">
      <c r="B33" s="771" t="s">
        <v>482</v>
      </c>
      <c r="C33" s="772"/>
      <c r="D33" s="33">
        <f>COUNTIFS(input!$O:$O,February!$D$26,input!$E:$E,February!B33,input!$A:$A,February!$B$2)</f>
        <v>0</v>
      </c>
      <c r="E33" s="33">
        <f>COUNTIFS(input!$O:$O,February!$E$26,input!$E:$E,February!B33,input!$A:$A,February!$B$2)</f>
        <v>0</v>
      </c>
      <c r="F33" s="34">
        <f>COUNTIFS(input!$O:$O,February!$F$26,input!$E:$E,February!B33,input!$A:$A,February!$B$2)</f>
        <v>0</v>
      </c>
      <c r="G33" s="35">
        <f>COUNTIFS(input!$O:$O,February!$G$26,input!$E:$E,February!B33,input!$A:$A,February!$B$2)</f>
        <v>0</v>
      </c>
      <c r="H33" s="35">
        <f>COUNTIFS(input!$O:$O,February!$H$26,input!$E:$E,February!B33,input!$A:$A,February!$B$2)</f>
        <v>0</v>
      </c>
      <c r="I33" s="35">
        <f>COUNTIFS(input!$O:$O,February!$I$26,input!$E:$E,February!B33,input!$A:$A,February!$B$2)</f>
        <v>0</v>
      </c>
      <c r="J33" s="35">
        <f>COUNTIFS(input!$O:$O,February!$J$26,input!$E:$E,February!B33,input!$A:$A,February!$B$2)</f>
        <v>0</v>
      </c>
      <c r="K33" s="296">
        <f>COUNTIFS(input!$O:$O,February!$K$26,input!$E:$E,February!B33,input!$A:$A,February!$B$2)</f>
        <v>0</v>
      </c>
      <c r="L33" s="28">
        <f t="shared" si="0"/>
        <v>0</v>
      </c>
      <c r="M33" s="36" cm="1">
        <f t="array" ref="M33">_xlfn.IFS(L33=0,0,L33&gt;=1,L33/L49)</f>
        <v>0</v>
      </c>
      <c r="N33" s="773" t="s">
        <v>27</v>
      </c>
      <c r="O33" s="773"/>
      <c r="P33" s="772"/>
      <c r="Q33" s="33">
        <f>COUNTIFS(input!$O:$O,February!$Q$26,input!$F:$F,February!N33,input!$A:$A,February!$B$2)</f>
        <v>0</v>
      </c>
      <c r="R33" s="33">
        <f>COUNTIFS(input!$O:$O,February!$R$26,input!$F:$F,February!N33,input!$A:$A,February!$B$2)</f>
        <v>0</v>
      </c>
      <c r="S33" s="33">
        <f>COUNTIFS(input!$O:$O,February!$S$26,input!$F:$F,February!N33,input!$A:$A,February!$B$2)</f>
        <v>0</v>
      </c>
      <c r="T33" s="38">
        <f>COUNTIFS(input!$O:$O,February!$T$26,input!$F:$F,February!N33,input!$A:$A,February!$B$2)</f>
        <v>0</v>
      </c>
      <c r="U33" s="38">
        <f>COUNTIFS(input!$O:$O,February!$U$26,input!$F:$F,February!N33,input!$A:$A,February!$B$2)</f>
        <v>1</v>
      </c>
      <c r="V33" s="38">
        <f>COUNTIFS(input!$O:$O,February!$V$26,input!$F:$F,February!N33,input!$A:$A,February!$B$2)</f>
        <v>0</v>
      </c>
      <c r="W33" s="39">
        <f>COUNTIFS(input!$O:$O,February!$W$26,input!$F:$F,February!N33,input!$A:$A,February!$B$2)</f>
        <v>0</v>
      </c>
      <c r="X33" s="299">
        <f>COUNTIFS(input!$O:$O,February!$X$26,input!$F:$F,February!N33,input!$A:$A,February!$B$2)</f>
        <v>0</v>
      </c>
      <c r="Y33" s="28">
        <f t="shared" si="1"/>
        <v>1</v>
      </c>
      <c r="Z33" s="32" cm="1">
        <f t="array" ref="Z33">_xlfn.IFS(Y33=0,0,Y33&gt;=1,Y33/Y49)</f>
        <v>6.25E-2</v>
      </c>
    </row>
    <row r="34" spans="2:26" ht="33" x14ac:dyDescent="0.25">
      <c r="B34" s="771" t="s">
        <v>460</v>
      </c>
      <c r="C34" s="772"/>
      <c r="D34" s="33">
        <f>COUNTIFS(input!$O:$O,February!$D$26,input!$E:$E,February!B34,input!$A:$A,February!$B$2)</f>
        <v>0</v>
      </c>
      <c r="E34" s="33">
        <f>COUNTIFS(input!$O:$O,February!$E$26,input!$E:$E,February!B34,input!$A:$A,February!$B$2)</f>
        <v>0</v>
      </c>
      <c r="F34" s="34">
        <f>COUNTIFS(input!$O:$O,February!$F$26,input!$E:$E,February!B34,input!$A:$A,February!$B$2)</f>
        <v>0</v>
      </c>
      <c r="G34" s="35">
        <f>COUNTIFS(input!$O:$O,February!$G$26,input!$E:$E,February!B34,input!$A:$A,February!$B$2)</f>
        <v>0</v>
      </c>
      <c r="H34" s="35">
        <f>COUNTIFS(input!$O:$O,February!$H$26,input!$E:$E,February!B34,input!$A:$A,February!$B$2)</f>
        <v>0</v>
      </c>
      <c r="I34" s="35">
        <f>COUNTIFS(input!$O:$O,February!$I$26,input!$E:$E,February!B34,input!$A:$A,February!$B$2)</f>
        <v>0</v>
      </c>
      <c r="J34" s="35">
        <f>COUNTIFS(input!$O:$O,February!$J$26,input!$E:$E,February!B34,input!$A:$A,February!$B$2)</f>
        <v>0</v>
      </c>
      <c r="K34" s="296">
        <f>COUNTIFS(input!$O:$O,February!$K$26,input!$E:$E,February!B34,input!$A:$A,February!$B$2)</f>
        <v>0</v>
      </c>
      <c r="L34" s="28">
        <f t="shared" si="0"/>
        <v>0</v>
      </c>
      <c r="M34" s="36" cm="1">
        <f t="array" ref="M34">_xlfn.IFS(L34=0,0,L34&gt;=1,L34/L49)</f>
        <v>0</v>
      </c>
      <c r="N34" s="769" t="s">
        <v>64</v>
      </c>
      <c r="O34" s="769"/>
      <c r="P34" s="770"/>
      <c r="Q34" s="33">
        <f>COUNTIFS(input!$O:$O,February!$Q$26,input!$F:$F,February!N34,input!$A:$A,February!$B$2)</f>
        <v>0</v>
      </c>
      <c r="R34" s="33">
        <f>COUNTIFS(input!$O:$O,February!$R$26,input!$F:$F,February!N34,input!$A:$A,February!$B$2)</f>
        <v>0</v>
      </c>
      <c r="S34" s="33">
        <f>COUNTIFS(input!$O:$O,February!$S$26,input!$F:$F,February!N34,input!$A:$A,February!$B$2)</f>
        <v>0</v>
      </c>
      <c r="T34" s="38">
        <f>COUNTIFS(input!$O:$O,February!$T$26,input!$F:$F,February!N34,input!$A:$A,February!$B$2)</f>
        <v>0</v>
      </c>
      <c r="U34" s="38">
        <f>COUNTIFS(input!$O:$O,February!$U$26,input!$F:$F,February!N34,input!$A:$A,February!$B$2)</f>
        <v>0</v>
      </c>
      <c r="V34" s="38">
        <f>COUNTIFS(input!$O:$O,February!$V$26,input!$F:$F,February!N34,input!$A:$A,February!$B$2)</f>
        <v>0</v>
      </c>
      <c r="W34" s="39">
        <f>COUNTIFS(input!$O:$O,February!$W$26,input!$F:$F,February!N34,input!$A:$A,February!$B$2)</f>
        <v>0</v>
      </c>
      <c r="X34" s="299">
        <f>COUNTIFS(input!$O:$O,February!$X$26,input!$F:$F,February!N34,input!$A:$A,February!$B$2)</f>
        <v>0</v>
      </c>
      <c r="Y34" s="28">
        <f t="shared" si="1"/>
        <v>0</v>
      </c>
      <c r="Z34" s="32" cm="1">
        <f t="array" ref="Z34">_xlfn.IFS(Y34=0,0,Y34&gt;=1,Y34/Y49)</f>
        <v>0</v>
      </c>
    </row>
    <row r="35" spans="2:26" ht="33" x14ac:dyDescent="0.25">
      <c r="B35" s="771" t="s">
        <v>413</v>
      </c>
      <c r="C35" s="772"/>
      <c r="D35" s="33">
        <f>COUNTIFS(input!$O:$O,February!$D$26,input!$E:$E,February!B35,input!$A:$A,February!$B$2)</f>
        <v>0</v>
      </c>
      <c r="E35" s="33">
        <f>COUNTIFS(input!$O:$O,February!$E$26,input!$E:$E,February!B35,input!$A:$A,February!$B$2)</f>
        <v>0</v>
      </c>
      <c r="F35" s="34">
        <f>COUNTIFS(input!$O:$O,February!$F$26,input!$E:$E,February!B35,input!$A:$A,February!$B$2)</f>
        <v>0</v>
      </c>
      <c r="G35" s="35">
        <f>COUNTIFS(input!$O:$O,February!$G$26,input!$E:$E,February!B35,input!$A:$A,February!$B$2)</f>
        <v>0</v>
      </c>
      <c r="H35" s="35">
        <f>COUNTIFS(input!$O:$O,February!$H$26,input!$E:$E,February!B35,input!$A:$A,February!$B$2)</f>
        <v>0</v>
      </c>
      <c r="I35" s="35">
        <f>COUNTIFS(input!$O:$O,February!$I$26,input!$E:$E,February!B35,input!$A:$A,February!$B$2)</f>
        <v>0</v>
      </c>
      <c r="J35" s="35">
        <f>COUNTIFS(input!$O:$O,February!$J$26,input!$E:$E,February!B35,input!$A:$A,February!$B$2)</f>
        <v>0</v>
      </c>
      <c r="K35" s="296">
        <f>COUNTIFS(input!$O:$O,February!$K$26,input!$E:$E,February!B35,input!$A:$A,February!$B$2)</f>
        <v>0</v>
      </c>
      <c r="L35" s="28">
        <f t="shared" si="0"/>
        <v>0</v>
      </c>
      <c r="M35" s="36" cm="1">
        <f t="array" ref="M35">_xlfn.IFS(L35=0,0,L35&gt;=1,L35/L49)</f>
        <v>0</v>
      </c>
      <c r="N35" s="769" t="s">
        <v>24</v>
      </c>
      <c r="O35" s="769"/>
      <c r="P35" s="770"/>
      <c r="Q35" s="33">
        <f>COUNTIFS(input!$O:$O,February!$Q$26,input!$F:$F,February!N35,input!$A:$A,February!$B$2)</f>
        <v>0</v>
      </c>
      <c r="R35" s="33">
        <f>COUNTIFS(input!$O:$O,February!$R$26,input!$F:$F,February!N35,input!$A:$A,February!$B$2)</f>
        <v>0</v>
      </c>
      <c r="S35" s="33">
        <f>COUNTIFS(input!$O:$O,February!$S$26,input!$F:$F,February!N35,input!$A:$A,February!$B$2)</f>
        <v>0</v>
      </c>
      <c r="T35" s="38">
        <f>COUNTIFS(input!$O:$O,February!$T$26,input!$F:$F,February!N35,input!$A:$A,February!$B$2)</f>
        <v>1</v>
      </c>
      <c r="U35" s="38">
        <f>COUNTIFS(input!$O:$O,February!$U$26,input!$F:$F,February!N35,input!$A:$A,February!$B$2)</f>
        <v>0</v>
      </c>
      <c r="V35" s="38">
        <f>COUNTIFS(input!$O:$O,February!$V$26,input!$F:$F,February!N35,input!$A:$A,February!$B$2)</f>
        <v>0</v>
      </c>
      <c r="W35" s="39">
        <f>COUNTIFS(input!$O:$O,February!$W$26,input!$F:$F,February!N35,input!$A:$A,February!$B$2)</f>
        <v>0</v>
      </c>
      <c r="X35" s="299">
        <f>COUNTIFS(input!$O:$O,February!$X$26,input!$F:$F,February!N35,input!$A:$A,February!$B$2)</f>
        <v>0</v>
      </c>
      <c r="Y35" s="28">
        <f t="shared" si="1"/>
        <v>1</v>
      </c>
      <c r="Z35" s="32" cm="1">
        <f t="array" ref="Z35">_xlfn.IFS(Y35=0,0,Y35&gt;=1,Y35/Y49)</f>
        <v>6.25E-2</v>
      </c>
    </row>
    <row r="36" spans="2:26" ht="33" customHeight="1" x14ac:dyDescent="0.25">
      <c r="B36" s="771" t="s">
        <v>472</v>
      </c>
      <c r="C36" s="772"/>
      <c r="D36" s="33">
        <f>COUNTIFS(input!$O:$O,February!$D$26,input!$E:$E,February!B36,input!$A:$A,February!$B$2)</f>
        <v>0</v>
      </c>
      <c r="E36" s="33">
        <f>COUNTIFS(input!$O:$O,February!$E$26,input!$E:$E,February!B36,input!$A:$A,February!$B$2)</f>
        <v>0</v>
      </c>
      <c r="F36" s="34">
        <f>COUNTIFS(input!$O:$O,February!$F$26,input!$E:$E,February!B36,input!$A:$A,February!$B$2)</f>
        <v>0</v>
      </c>
      <c r="G36" s="35">
        <f>COUNTIFS(input!$O:$O,February!$G$26,input!$E:$E,February!B36,input!$A:$A,February!$B$2)</f>
        <v>0</v>
      </c>
      <c r="H36" s="35">
        <f>COUNTIFS(input!$O:$O,February!$H$26,input!$E:$E,February!B36,input!$A:$A,February!$B$2)</f>
        <v>0</v>
      </c>
      <c r="I36" s="35">
        <f>COUNTIFS(input!$O:$O,February!$I$26,input!$E:$E,February!B36,input!$A:$A,February!$B$2)</f>
        <v>0</v>
      </c>
      <c r="J36" s="35">
        <f>COUNTIFS(input!$O:$O,February!$J$26,input!$E:$E,February!B36,input!$A:$A,February!$B$2)</f>
        <v>0</v>
      </c>
      <c r="K36" s="296">
        <f>COUNTIFS(input!$O:$O,February!$K$26,input!$E:$E,February!B36,input!$A:$A,February!$B$2)</f>
        <v>0</v>
      </c>
      <c r="L36" s="28">
        <f t="shared" si="0"/>
        <v>0</v>
      </c>
      <c r="M36" s="36" cm="1">
        <f t="array" ref="M36">_xlfn.IFS(L36=0,0,L36&gt;=1,L36/L49)</f>
        <v>0</v>
      </c>
      <c r="N36" s="769" t="s">
        <v>65</v>
      </c>
      <c r="O36" s="769"/>
      <c r="P36" s="770"/>
      <c r="Q36" s="33">
        <f>COUNTIFS(input!$O:$O,February!$Q$26,input!$F:$F,February!N36,input!$A:$A,February!$B$2)</f>
        <v>0</v>
      </c>
      <c r="R36" s="33">
        <f>COUNTIFS(input!$O:$O,February!$R$26,input!$F:$F,February!N36,input!$A:$A,February!$B$2)</f>
        <v>0</v>
      </c>
      <c r="S36" s="33">
        <f>COUNTIFS(input!$O:$O,February!$S$26,input!$F:$F,February!N36,input!$A:$A,February!$B$2)</f>
        <v>0</v>
      </c>
      <c r="T36" s="38">
        <f>COUNTIFS(input!$O:$O,February!$T$26,input!$F:$F,February!N36,input!$A:$A,February!$B$2)</f>
        <v>0</v>
      </c>
      <c r="U36" s="38">
        <f>COUNTIFS(input!$O:$O,February!$U$26,input!$F:$F,February!N36,input!$A:$A,February!$B$2)</f>
        <v>0</v>
      </c>
      <c r="V36" s="38">
        <f>COUNTIFS(input!$O:$O,February!$V$26,input!$F:$F,February!N36,input!$A:$A,February!$B$2)</f>
        <v>0</v>
      </c>
      <c r="W36" s="39">
        <f>COUNTIFS(input!$O:$O,February!$W$26,input!$F:$F,February!N36,input!$A:$A,February!$B$2)</f>
        <v>0</v>
      </c>
      <c r="X36" s="299">
        <f>COUNTIFS(input!$O:$O,February!$X$26,input!$F:$F,February!N36,input!$A:$A,February!$B$2)</f>
        <v>0</v>
      </c>
      <c r="Y36" s="28">
        <f t="shared" si="1"/>
        <v>0</v>
      </c>
      <c r="Z36" s="32" cm="1">
        <f t="array" ref="Z36">_xlfn.IFS(Y36=0,0,Y36&gt;=1,Y36/Y49)</f>
        <v>0</v>
      </c>
    </row>
    <row r="37" spans="2:26" ht="33" customHeight="1" x14ac:dyDescent="0.25">
      <c r="B37" s="771" t="s">
        <v>334</v>
      </c>
      <c r="C37" s="772"/>
      <c r="D37" s="33">
        <f>COUNTIFS(input!$O:$O,February!$D$26,input!$E:$E,February!B37,input!$A:$A,February!$B$2)</f>
        <v>0</v>
      </c>
      <c r="E37" s="33">
        <f>COUNTIFS(input!$O:$O,February!$E$26,input!$E:$E,February!B37,input!$A:$A,February!$B$2)</f>
        <v>0</v>
      </c>
      <c r="F37" s="34">
        <f>COUNTIFS(input!$O:$O,February!$F$26,input!$E:$E,February!B37,input!$A:$A,February!$B$2)</f>
        <v>0</v>
      </c>
      <c r="G37" s="35">
        <f>COUNTIFS(input!$O:$O,February!$G$26,input!$E:$E,February!B37,input!$A:$A,February!$B$2)</f>
        <v>0</v>
      </c>
      <c r="H37" s="35">
        <f>COUNTIFS(input!$O:$O,February!$H$26,input!$E:$E,February!B37,input!$A:$A,February!$B$2)</f>
        <v>0</v>
      </c>
      <c r="I37" s="35">
        <f>COUNTIFS(input!$O:$O,February!$I$26,input!$E:$E,February!B37,input!$A:$A,February!$B$2)</f>
        <v>0</v>
      </c>
      <c r="J37" s="35">
        <f>COUNTIFS(input!$O:$O,February!$J$26,input!$E:$E,February!B37,input!$A:$A,February!$B$2)</f>
        <v>0</v>
      </c>
      <c r="K37" s="296">
        <f>COUNTIFS(input!$O:$O,February!$K$26,input!$E:$E,February!B37,input!$A:$A,February!$B$2)</f>
        <v>0</v>
      </c>
      <c r="L37" s="28">
        <f t="shared" si="0"/>
        <v>0</v>
      </c>
      <c r="M37" s="36" cm="1">
        <f t="array" ref="M37">_xlfn.IFS(L37=0,0,L37&gt;=1,L37/L49)</f>
        <v>0</v>
      </c>
      <c r="N37" s="769" t="s">
        <v>66</v>
      </c>
      <c r="O37" s="769"/>
      <c r="P37" s="770"/>
      <c r="Q37" s="33">
        <f>COUNTIFS(input!$O:$O,February!$Q$26,input!$F:$F,February!N37,input!$A:$A,February!$B$2)</f>
        <v>0</v>
      </c>
      <c r="R37" s="33">
        <f>COUNTIFS(input!$O:$O,February!$R$26,input!$F:$F,February!N37,input!$A:$A,February!$B$2)</f>
        <v>0</v>
      </c>
      <c r="S37" s="33">
        <f>COUNTIFS(input!$O:$O,February!$S$26,input!$F:$F,February!N37,input!$A:$A,February!$B$2)</f>
        <v>0</v>
      </c>
      <c r="T37" s="38">
        <f>COUNTIFS(input!$O:$O,February!$T$26,input!$F:$F,February!N37,input!$A:$A,February!$B$2)</f>
        <v>0</v>
      </c>
      <c r="U37" s="38">
        <f>COUNTIFS(input!$O:$O,February!$U$26,input!$F:$F,February!N37,input!$A:$A,February!$B$2)</f>
        <v>0</v>
      </c>
      <c r="V37" s="38">
        <f>COUNTIFS(input!$O:$O,February!$V$26,input!$F:$F,February!N37,input!$A:$A,February!$B$2)</f>
        <v>0</v>
      </c>
      <c r="W37" s="39">
        <f>COUNTIFS(input!$O:$O,February!$W$26,input!$F:$F,February!N37,input!$A:$A,February!$B$2)</f>
        <v>0</v>
      </c>
      <c r="X37" s="299">
        <f>COUNTIFS(input!$O:$O,February!$X$26,input!$F:$F,February!N37,input!$A:$A,February!$B$2)</f>
        <v>0</v>
      </c>
      <c r="Y37" s="28">
        <f t="shared" si="1"/>
        <v>0</v>
      </c>
      <c r="Z37" s="32" cm="1">
        <f t="array" ref="Z37">_xlfn.IFS(Y37=0,0,Y37&gt;=1,Y37/Y49)</f>
        <v>0</v>
      </c>
    </row>
    <row r="38" spans="2:26" ht="33" customHeight="1" x14ac:dyDescent="0.25">
      <c r="B38" s="771" t="s">
        <v>93</v>
      </c>
      <c r="C38" s="772"/>
      <c r="D38" s="33">
        <f>COUNTIFS(input!$O:$O,February!$D$26,input!$E:$E,February!B38,input!$A:$A,February!$B$2)</f>
        <v>0</v>
      </c>
      <c r="E38" s="33">
        <f>COUNTIFS(input!$O:$O,February!$E$26,input!$E:$E,February!B38,input!$A:$A,February!$B$2)</f>
        <v>0</v>
      </c>
      <c r="F38" s="34">
        <f>COUNTIFS(input!$O:$O,February!$F$26,input!$E:$E,February!B38,input!$A:$A,February!$B$2)</f>
        <v>0</v>
      </c>
      <c r="G38" s="35">
        <f>COUNTIFS(input!$O:$O,February!$G$26,input!$E:$E,February!B38,input!$A:$A,February!$B$2)</f>
        <v>0</v>
      </c>
      <c r="H38" s="35">
        <f>COUNTIFS(input!$O:$O,February!$H$26,input!$E:$E,February!B38,input!$A:$A,February!$B$2)</f>
        <v>0</v>
      </c>
      <c r="I38" s="35">
        <f>COUNTIFS(input!$O:$O,February!$I$26,input!$E:$E,February!B38,input!$A:$A,February!$B$2)</f>
        <v>1</v>
      </c>
      <c r="J38" s="35">
        <f>COUNTIFS(input!$O:$O,February!$J$26,input!$E:$E,February!B38,input!$A:$A,February!$B$2)</f>
        <v>0</v>
      </c>
      <c r="K38" s="296">
        <f>COUNTIFS(input!$O:$O,February!$K$26,input!$E:$E,February!B38,input!$A:$A,February!$B$2)</f>
        <v>0</v>
      </c>
      <c r="L38" s="28">
        <f t="shared" si="0"/>
        <v>1</v>
      </c>
      <c r="M38" s="36" cm="1">
        <f t="array" ref="M38">_xlfn.IFS(L38=0,0,L38&gt;=1,L38/L49)</f>
        <v>6.25E-2</v>
      </c>
      <c r="N38" s="769" t="s">
        <v>67</v>
      </c>
      <c r="O38" s="769"/>
      <c r="P38" s="770"/>
      <c r="Q38" s="33">
        <f>COUNTIFS(input!$O:$O,February!$Q$26,input!$F:$F,February!N38,input!$A:$A,February!$B$2)</f>
        <v>0</v>
      </c>
      <c r="R38" s="33">
        <f>COUNTIFS(input!$O:$O,February!$R$26,input!$F:$F,February!N38,input!$A:$A,February!$B$2)</f>
        <v>0</v>
      </c>
      <c r="S38" s="33">
        <f>COUNTIFS(input!$O:$O,February!$S$26,input!$F:$F,February!N38,input!$A:$A,February!$B$2)</f>
        <v>0</v>
      </c>
      <c r="T38" s="38">
        <f>COUNTIFS(input!$O:$O,February!$T$26,input!$F:$F,February!N38,input!$A:$A,February!$B$2)</f>
        <v>0</v>
      </c>
      <c r="U38" s="38">
        <f>COUNTIFS(input!$O:$O,February!$U$26,input!$F:$F,February!N38,input!$A:$A,February!$B$2)</f>
        <v>0</v>
      </c>
      <c r="V38" s="38">
        <f>COUNTIFS(input!$O:$O,February!$V$26,input!$F:$F,February!N38,input!$A:$A,February!$B$2)</f>
        <v>0</v>
      </c>
      <c r="W38" s="39">
        <f>COUNTIFS(input!$O:$O,February!$W$26,input!$F:$F,February!N38,input!$A:$A,February!$B$2)</f>
        <v>0</v>
      </c>
      <c r="X38" s="299">
        <f>COUNTIFS(input!$O:$O,February!$X$26,input!$F:$F,February!N38,input!$A:$A,February!$B$2)</f>
        <v>0</v>
      </c>
      <c r="Y38" s="28">
        <f t="shared" si="1"/>
        <v>0</v>
      </c>
      <c r="Z38" s="32" cm="1">
        <f t="array" ref="Z38">_xlfn.IFS(Y38=0,0,Y38&gt;=1,Y38/Y49)</f>
        <v>0</v>
      </c>
    </row>
    <row r="39" spans="2:26" ht="33" x14ac:dyDescent="0.25">
      <c r="B39" s="771" t="s">
        <v>1536</v>
      </c>
      <c r="C39" s="772"/>
      <c r="D39" s="33">
        <f>COUNTIFS(input!$O:$O,February!$D$26,input!$E:$E,February!B39,input!$A:$A,February!$B$2)</f>
        <v>0</v>
      </c>
      <c r="E39" s="33">
        <f>COUNTIFS(input!$O:$O,February!$E$26,input!$E:$E,February!B39,input!$A:$A,February!$B$2)</f>
        <v>0</v>
      </c>
      <c r="F39" s="34">
        <f>COUNTIFS(input!$O:$O,February!$F$26,input!$E:$E,February!B39,input!$A:$A,February!$B$2)</f>
        <v>0</v>
      </c>
      <c r="G39" s="35">
        <f>COUNTIFS(input!$O:$O,February!$G$26,input!$E:$E,February!B39,input!$A:$A,February!$B$2)</f>
        <v>1</v>
      </c>
      <c r="H39" s="35">
        <f>COUNTIFS(input!$O:$O,February!$H$26,input!$E:$E,February!B39,input!$A:$A,February!$B$2)</f>
        <v>0</v>
      </c>
      <c r="I39" s="35">
        <f>COUNTIFS(input!$O:$O,February!$I$26,input!$E:$E,February!B39,input!$A:$A,February!$B$2)</f>
        <v>0</v>
      </c>
      <c r="J39" s="35">
        <f>COUNTIFS(input!$O:$O,February!$J$26,input!$E:$E,February!B39,input!$A:$A,February!$B$2)</f>
        <v>0</v>
      </c>
      <c r="K39" s="296">
        <f>COUNTIFS(input!$O:$O,February!$K$26,input!$E:$E,February!B39,input!$A:$A,February!$B$2)</f>
        <v>0</v>
      </c>
      <c r="L39" s="28">
        <f t="shared" si="0"/>
        <v>1</v>
      </c>
      <c r="M39" s="36" cm="1">
        <f t="array" ref="M39">_xlfn.IFS(L39=0,0,L39&gt;=1,L39/L49)</f>
        <v>6.25E-2</v>
      </c>
      <c r="N39" s="773" t="s">
        <v>122</v>
      </c>
      <c r="O39" s="773"/>
      <c r="P39" s="772"/>
      <c r="Q39" s="33">
        <f>COUNTIFS(input!$O:$O,February!$Q$26,input!$F:$F,February!N39,input!$A:$A,February!$B$2)</f>
        <v>0</v>
      </c>
      <c r="R39" s="33">
        <f>COUNTIFS(input!$O:$O,February!$R$26,input!$F:$F,February!N39,input!$A:$A,February!$B$2)</f>
        <v>0</v>
      </c>
      <c r="S39" s="33">
        <f>COUNTIFS(input!$O:$O,February!$S$26,input!$F:$F,February!N39,input!$A:$A,February!$B$2)</f>
        <v>0</v>
      </c>
      <c r="T39" s="38">
        <f>COUNTIFS(input!$O:$O,February!$T$26,input!$F:$F,February!N39,input!$A:$A,February!$B$2)</f>
        <v>0</v>
      </c>
      <c r="U39" s="38">
        <f>COUNTIFS(input!$O:$O,February!$U$26,input!$F:$F,February!N39,input!$A:$A,February!$B$2)</f>
        <v>0</v>
      </c>
      <c r="V39" s="38">
        <f>COUNTIFS(input!$O:$O,February!$V$26,input!$F:$F,February!N39,input!$A:$A,February!$B$2)</f>
        <v>0</v>
      </c>
      <c r="W39" s="39">
        <f>COUNTIFS(input!$O:$O,February!$W$26,input!$F:$F,February!N39,input!$A:$A,February!$B$2)</f>
        <v>0</v>
      </c>
      <c r="X39" s="299">
        <f>COUNTIFS(input!$O:$O,February!$X$26,input!$F:$F,February!N39,input!$A:$A,February!$B$2)</f>
        <v>4</v>
      </c>
      <c r="Y39" s="28">
        <f t="shared" si="1"/>
        <v>4</v>
      </c>
      <c r="Z39" s="32" cm="1">
        <f t="array" ref="Z39">_xlfn.IFS(Y39=0,0,Y39&gt;=1,Y39/Y49)</f>
        <v>0.25</v>
      </c>
    </row>
    <row r="40" spans="2:26" ht="30" customHeight="1" x14ac:dyDescent="0.25">
      <c r="B40" s="771" t="s">
        <v>658</v>
      </c>
      <c r="C40" s="772"/>
      <c r="D40" s="33">
        <f>COUNTIFS(input!$O:$O,February!$D$26,input!$E:$E,February!B40,input!$A:$A,February!$B$2)</f>
        <v>0</v>
      </c>
      <c r="E40" s="33">
        <f>COUNTIFS(input!$O:$O,February!$E$26,input!$E:$E,February!B40,input!$A:$A,February!$B$2)</f>
        <v>0</v>
      </c>
      <c r="F40" s="34">
        <f>COUNTIFS(input!$O:$O,February!$F$26,input!$E:$E,February!B40,input!$A:$A,February!$B$2)</f>
        <v>0</v>
      </c>
      <c r="G40" s="35">
        <f>COUNTIFS(input!$O:$O,February!$G$26,input!$E:$E,February!B40,input!$A:$A,February!$B$2)</f>
        <v>0</v>
      </c>
      <c r="H40" s="35">
        <f>COUNTIFS(input!$O:$O,February!$H$26,input!$E:$E,February!B40,input!$A:$A,February!$B$2)</f>
        <v>1</v>
      </c>
      <c r="I40" s="35">
        <f>COUNTIFS(input!$O:$O,February!$I$26,input!$E:$E,February!B40,input!$A:$A,February!$B$2)</f>
        <v>0</v>
      </c>
      <c r="J40" s="35">
        <f>COUNTIFS(input!$O:$O,February!$J$26,input!$E:$E,February!B40,input!$A:$A,February!$B$2)</f>
        <v>0</v>
      </c>
      <c r="K40" s="296">
        <f>COUNTIFS(input!$O:$O,February!$K$26,input!$E:$E,February!B40,input!$A:$A,February!$B$2)</f>
        <v>0</v>
      </c>
      <c r="L40" s="28">
        <f t="shared" si="0"/>
        <v>1</v>
      </c>
      <c r="M40" s="36" cm="1">
        <f t="array" ref="M40">_xlfn.IFS(L40=0,0,L40&gt;=1,L40/L49)</f>
        <v>6.25E-2</v>
      </c>
      <c r="N40" s="773" t="s">
        <v>135</v>
      </c>
      <c r="O40" s="773"/>
      <c r="P40" s="772"/>
      <c r="Q40" s="41">
        <f>COUNTIFS(input!$O:$O,February!$Q$26,input!$F:$F,February!N40,input!$A:$A,February!$B$2)</f>
        <v>0</v>
      </c>
      <c r="R40" s="41">
        <f>COUNTIFS(input!$O:$O,February!$R$26,input!$F:$F,February!N40,input!$A:$A,February!$B$2)</f>
        <v>0</v>
      </c>
      <c r="S40" s="41">
        <f>COUNTIFS(input!$O:$O,February!$S$26,input!$F:$F,February!N40,input!$A:$A,February!$B$2)</f>
        <v>0</v>
      </c>
      <c r="T40" s="42">
        <f>COUNTIFS(input!$O:$O,February!$T$26,input!$F:$F,February!N40,input!$A:$A,February!$B$2)</f>
        <v>0</v>
      </c>
      <c r="U40" s="42">
        <f>COUNTIFS(input!$O:$O,February!$U$26,input!$F:$F,February!N40,input!$A:$A,February!$B$2)</f>
        <v>0</v>
      </c>
      <c r="V40" s="42">
        <f>COUNTIFS(input!$O:$O,February!$V$26,input!$F:$F,February!N40,input!$A:$A,February!$B$2)</f>
        <v>0</v>
      </c>
      <c r="W40" s="43">
        <f>COUNTIFS(input!$O:$O,February!$W$26,input!$F:$F,February!N40,input!$A:$A,February!$B$2)</f>
        <v>0</v>
      </c>
      <c r="X40" s="299">
        <f>COUNTIFS(input!$O:$O,February!$X$26,input!$F:$F,February!N40,input!$A:$A,February!$B$2)</f>
        <v>0</v>
      </c>
      <c r="Y40" s="28">
        <f t="shared" si="1"/>
        <v>0</v>
      </c>
      <c r="Z40" s="32" cm="1">
        <f t="array" ref="Z40">_xlfn.IFS(Y40=0,0,Y40&gt;=1,Y40/Y49)</f>
        <v>0</v>
      </c>
    </row>
    <row r="41" spans="2:26" ht="33" x14ac:dyDescent="0.25">
      <c r="B41" s="771" t="s">
        <v>622</v>
      </c>
      <c r="C41" s="772"/>
      <c r="D41" s="33">
        <f>COUNTIFS(input!$O:$O,February!$D$26,input!$E:$E,February!B41,input!$A:$A,February!$B$2)</f>
        <v>0</v>
      </c>
      <c r="E41" s="33">
        <f>COUNTIFS(input!$O:$O,February!$E$26,input!$E:$E,February!B41,input!$A:$A,February!$B$2)</f>
        <v>1</v>
      </c>
      <c r="F41" s="34">
        <f>COUNTIFS(input!$O:$O,February!$F$26,input!$E:$E,February!B41,input!$A:$A,February!$B$2)</f>
        <v>0</v>
      </c>
      <c r="G41" s="35">
        <f>COUNTIFS(input!$O:$O,February!$G$26,input!$E:$E,February!B41,input!$A:$A,February!$B$2)</f>
        <v>0</v>
      </c>
      <c r="H41" s="35">
        <f>COUNTIFS(input!$O:$O,February!$H$26,input!$E:$E,February!B41,input!$A:$A,February!$B$2)</f>
        <v>0</v>
      </c>
      <c r="I41" s="35">
        <f>COUNTIFS(input!$O:$O,February!$I$26,input!$E:$E,February!B41,input!$A:$A,February!$B$2)</f>
        <v>0</v>
      </c>
      <c r="J41" s="35">
        <f>COUNTIFS(input!$O:$O,February!$J$26,input!$E:$E,February!B41,input!$A:$A,February!$B$2)</f>
        <v>0</v>
      </c>
      <c r="K41" s="296">
        <f>COUNTIFS(input!$O:$O,February!$K$26,input!$E:$E,February!B41,input!$A:$A,February!$B$2)</f>
        <v>0</v>
      </c>
      <c r="L41" s="28">
        <f t="shared" si="0"/>
        <v>1</v>
      </c>
      <c r="M41" s="36" cm="1">
        <f t="array" ref="M41">_xlfn.IFS(L41=0,0,L41&gt;=1,L41/L49)</f>
        <v>6.25E-2</v>
      </c>
      <c r="N41" s="769" t="s">
        <v>95</v>
      </c>
      <c r="O41" s="769"/>
      <c r="P41" s="770"/>
      <c r="Q41" s="33">
        <f>COUNTIFS(input!$O:$O,February!$Q$26,input!$F:$F,February!N41,input!$A:$A,February!$B$2)</f>
        <v>0</v>
      </c>
      <c r="R41" s="33">
        <f>COUNTIFS(input!$O:$O,February!$R$26,input!$F:$F,February!N41,input!$A:$A,February!$B$2)</f>
        <v>0</v>
      </c>
      <c r="S41" s="33">
        <f>COUNTIFS(input!$O:$O,February!$S$26,input!$F:$F,February!N41,input!$A:$A,February!$B$2)</f>
        <v>0</v>
      </c>
      <c r="T41" s="38">
        <f>COUNTIFS(input!$O:$O,February!$T$26,input!$F:$F,February!N41,input!$A:$A,February!$B$2)</f>
        <v>0</v>
      </c>
      <c r="U41" s="38">
        <f>COUNTIFS(input!$O:$O,February!$U$26,input!$F:$F,February!N41,input!$A:$A,February!$B$2)</f>
        <v>0</v>
      </c>
      <c r="V41" s="38">
        <f>COUNTIFS(input!$O:$O,February!$V$26,input!$F:$F,February!N41,input!$A:$A,February!$B$2)</f>
        <v>0</v>
      </c>
      <c r="W41" s="39">
        <f>COUNTIFS(input!$O:$O,February!$W$26,input!$F:$F,February!N41,input!$A:$A,February!$B$2)</f>
        <v>0</v>
      </c>
      <c r="X41" s="299">
        <f>COUNTIFS(input!$O:$O,February!$X$26,input!$F:$F,February!N41,input!$A:$A,February!$B$2)</f>
        <v>0</v>
      </c>
      <c r="Y41" s="28">
        <f t="shared" si="1"/>
        <v>0</v>
      </c>
      <c r="Z41" s="32" cm="1">
        <f t="array" ref="Z41">_xlfn.IFS(Y41=0,0,Y41&gt;=1,Y41/Y49)</f>
        <v>0</v>
      </c>
    </row>
    <row r="42" spans="2:26" ht="33" x14ac:dyDescent="0.25">
      <c r="B42" s="812" t="s">
        <v>189</v>
      </c>
      <c r="C42" s="770"/>
      <c r="D42" s="33">
        <f>COUNTIFS(input!$O:$O,February!$D$26,input!$E:$E,February!B42,input!$A:$A,February!$B$2)</f>
        <v>0</v>
      </c>
      <c r="E42" s="33">
        <f>COUNTIFS(input!$O:$O,February!$E$26,input!$E:$E,February!B42,input!$A:$A,February!$B$2)</f>
        <v>0</v>
      </c>
      <c r="F42" s="34">
        <f>COUNTIFS(input!$O:$O,February!$F$26,input!$E:$E,February!B42,input!$A:$A,February!$B$2)</f>
        <v>0</v>
      </c>
      <c r="G42" s="35">
        <f>COUNTIFS(input!$O:$O,February!$G$26,input!$E:$E,February!B42,input!$A:$A,February!$B$2)</f>
        <v>0</v>
      </c>
      <c r="H42" s="35">
        <f>COUNTIFS(input!$O:$O,February!$H$26,input!$E:$E,February!B42,input!$A:$A,February!$B$2)</f>
        <v>0</v>
      </c>
      <c r="I42" s="35">
        <f>COUNTIFS(input!$O:$O,February!$I$26,input!$E:$E,February!B42,input!$A:$A,February!$B$2)</f>
        <v>0</v>
      </c>
      <c r="J42" s="35">
        <f>COUNTIFS(input!$O:$O,February!$J$26,input!$E:$E,February!B42,input!$A:$A,February!$B$2)</f>
        <v>0</v>
      </c>
      <c r="K42" s="296">
        <f>COUNTIFS(input!$O:$O,February!$K$26,input!$E:$E,February!B42,input!$A:$A,February!$B$2)</f>
        <v>0</v>
      </c>
      <c r="L42" s="28">
        <f t="shared" si="0"/>
        <v>0</v>
      </c>
      <c r="M42" s="36" cm="1">
        <f t="array" ref="M42">_xlfn.IFS(L42=0,0,L42&gt;=1,L42/L49)</f>
        <v>0</v>
      </c>
      <c r="N42" s="769" t="s">
        <v>68</v>
      </c>
      <c r="O42" s="769"/>
      <c r="P42" s="770"/>
      <c r="Q42" s="33">
        <f>COUNTIFS(input!$O:$O,February!$Q$26,input!$F:$F,February!N42,input!$A:$A,February!$B$2)</f>
        <v>0</v>
      </c>
      <c r="R42" s="33">
        <f>COUNTIFS(input!$O:$O,February!$R$26,input!$F:$F,February!N42,input!$A:$A,February!$B$2)</f>
        <v>0</v>
      </c>
      <c r="S42" s="33">
        <f>COUNTIFS(input!$O:$O,February!$S$26,input!$F:$F,February!N42,input!$A:$A,February!$B$2)</f>
        <v>0</v>
      </c>
      <c r="T42" s="38">
        <f>COUNTIFS(input!$O:$O,February!$T$26,input!$F:$F,February!N42,input!$A:$A,February!$B$2)</f>
        <v>0</v>
      </c>
      <c r="U42" s="38">
        <f>COUNTIFS(input!$O:$O,February!$U$26,input!$F:$F,February!N42,input!$A:$A,February!$B$2)</f>
        <v>0</v>
      </c>
      <c r="V42" s="38">
        <f>COUNTIFS(input!$O:$O,February!$V$26,input!$F:$F,February!N42,input!$A:$A,February!$B$2)</f>
        <v>0</v>
      </c>
      <c r="W42" s="39">
        <f>COUNTIFS(input!$O:$O,February!$W$26,input!$F:$F,February!N42,input!$A:$A,February!$B$2)</f>
        <v>0</v>
      </c>
      <c r="X42" s="299">
        <f>COUNTIFS(input!$O:$O,February!$X$26,input!$F:$F,February!N42,input!$A:$A,February!$B$2)</f>
        <v>0</v>
      </c>
      <c r="Y42" s="28">
        <f t="shared" si="1"/>
        <v>0</v>
      </c>
      <c r="Z42" s="32" cm="1">
        <f t="array" ref="Z42">_xlfn.IFS(Y42=0,0,Y42&gt;=1,Y42/Y49)</f>
        <v>0</v>
      </c>
    </row>
    <row r="43" spans="2:26" ht="33" x14ac:dyDescent="0.25">
      <c r="B43" s="771" t="s">
        <v>57</v>
      </c>
      <c r="C43" s="772"/>
      <c r="D43" s="33">
        <f>COUNTIFS(input!$O:$O,February!$D$26,input!$E:$E,February!B43,input!$A:$A,February!$B$2)</f>
        <v>0</v>
      </c>
      <c r="E43" s="33">
        <f>COUNTIFS(input!$O:$O,February!$E$26,input!$E:$E,February!B43,input!$A:$A,February!$B$2)</f>
        <v>0</v>
      </c>
      <c r="F43" s="34">
        <f>COUNTIFS(input!$O:$O,February!$F$26,input!$E:$E,February!B43,input!$A:$A,February!$B$2)</f>
        <v>0</v>
      </c>
      <c r="G43" s="35">
        <f>COUNTIFS(input!$O:$O,February!$G$26,input!$E:$E,February!B43,input!$A:$A,February!$B$2)</f>
        <v>0</v>
      </c>
      <c r="H43" s="35">
        <f>COUNTIFS(input!$O:$O,February!$H$26,input!$E:$E,February!B43,input!$A:$A,February!$B$2)</f>
        <v>0</v>
      </c>
      <c r="I43" s="35">
        <f>COUNTIFS(input!$O:$O,February!$I$26,input!$E:$E,February!B43,input!$A:$A,February!$B$2)</f>
        <v>0</v>
      </c>
      <c r="J43" s="35">
        <f>COUNTIFS(input!$O:$O,February!$J$26,input!$E:$E,February!B43,input!$A:$A,February!$B$2)</f>
        <v>0</v>
      </c>
      <c r="K43" s="296">
        <f>COUNTIFS(input!$O:$O,February!$K$26,input!$E:$E,February!B43,input!$A:$A,February!$B$2)</f>
        <v>1</v>
      </c>
      <c r="L43" s="28">
        <f t="shared" si="0"/>
        <v>1</v>
      </c>
      <c r="M43" s="36" cm="1">
        <f t="array" ref="M43">_xlfn.IFS(L43=0,0,L43&gt;=1,L43/L49)</f>
        <v>6.25E-2</v>
      </c>
      <c r="N43" s="769" t="s">
        <v>69</v>
      </c>
      <c r="O43" s="769"/>
      <c r="P43" s="770"/>
      <c r="Q43" s="33">
        <f>COUNTIFS(input!$O:$O,February!$Q$26,input!$F:$F,February!N43,input!$A:$A,February!$B$2)</f>
        <v>0</v>
      </c>
      <c r="R43" s="33">
        <f>COUNTIFS(input!$O:$O,February!$R$26,input!$F:$F,February!N43,input!$A:$A,February!$B$2)</f>
        <v>0</v>
      </c>
      <c r="S43" s="33">
        <f>COUNTIFS(input!$O:$O,February!$S$26,input!$F:$F,February!N43,input!$A:$A,February!$B$2)</f>
        <v>0</v>
      </c>
      <c r="T43" s="38">
        <f>COUNTIFS(input!$O:$O,February!$T$26,input!$F:$F,February!N43,input!$A:$A,February!$B$2)</f>
        <v>0</v>
      </c>
      <c r="U43" s="38">
        <f>COUNTIFS(input!$O:$O,February!$U$26,input!$F:$F,February!N43,input!$A:$A,February!$B$2)</f>
        <v>0</v>
      </c>
      <c r="V43" s="38">
        <f>COUNTIFS(input!$O:$O,February!$V$26,input!$F:$F,February!N43,input!$A:$A,February!$B$2)</f>
        <v>0</v>
      </c>
      <c r="W43" s="39">
        <f>COUNTIFS(input!$O:$O,February!$W$26,input!$F:$F,February!N43,input!$A:$A,February!$B$2)</f>
        <v>0</v>
      </c>
      <c r="X43" s="299">
        <f>COUNTIFS(input!$O:$O,February!$X$26,input!$F:$F,February!N43,input!$A:$A,February!$B$2)</f>
        <v>0</v>
      </c>
      <c r="Y43" s="28">
        <f t="shared" si="1"/>
        <v>0</v>
      </c>
      <c r="Z43" s="32" cm="1">
        <f t="array" ref="Z43">_xlfn.IFS(Y43=0,0,Y43&gt;=1,Y43/Y49)</f>
        <v>0</v>
      </c>
    </row>
    <row r="44" spans="2:26" ht="33" x14ac:dyDescent="0.25">
      <c r="B44" s="771" t="s">
        <v>681</v>
      </c>
      <c r="C44" s="772"/>
      <c r="D44" s="33">
        <f>COUNTIFS(input!$O:$O,February!$D$26,input!$E:$E,February!B44,input!$A:$A,February!$B$2)</f>
        <v>0</v>
      </c>
      <c r="E44" s="33">
        <f>COUNTIFS(input!$O:$O,February!$E$26,input!$E:$E,February!B44,input!$A:$A,February!$B$2)</f>
        <v>0</v>
      </c>
      <c r="F44" s="34">
        <f>COUNTIFS(input!$O:$O,February!$F$26,input!$E:$E,February!B44,input!$A:$A,February!$B$2)</f>
        <v>0</v>
      </c>
      <c r="G44" s="35">
        <f>COUNTIFS(input!$O:$O,February!$G$26,input!$E:$E,February!B44,input!$A:$A,February!$B$2)</f>
        <v>0</v>
      </c>
      <c r="H44" s="35">
        <f>COUNTIFS(input!$O:$O,February!$H$26,input!$E:$E,February!B44,input!$A:$A,February!$B$2)</f>
        <v>0</v>
      </c>
      <c r="I44" s="35">
        <f>COUNTIFS(input!$O:$O,February!$I$26,input!$E:$E,February!B44,input!$A:$A,February!$B$2)</f>
        <v>0</v>
      </c>
      <c r="J44" s="35">
        <f>COUNTIFS(input!$O:$O,February!$J$26,input!$E:$E,February!B44,input!$A:$A,February!$B$2)</f>
        <v>0</v>
      </c>
      <c r="K44" s="296">
        <f>COUNTIFS(input!$O:$O,February!$K$26,input!$E:$E,February!B44,input!$A:$A,February!$B$2)</f>
        <v>0</v>
      </c>
      <c r="L44" s="28">
        <f t="shared" si="0"/>
        <v>0</v>
      </c>
      <c r="M44" s="36" cm="1">
        <f t="array" ref="M44">_xlfn.IFS(L44=0,0,L44&gt;=1,L44/L49)</f>
        <v>0</v>
      </c>
      <c r="N44" s="769" t="s">
        <v>84</v>
      </c>
      <c r="O44" s="769"/>
      <c r="P44" s="770"/>
      <c r="Q44" s="33">
        <f>COUNTIFS(input!$O:$O,February!$Q$26,input!$F:$F,February!N44,input!$A:$A,February!$B$2)</f>
        <v>0</v>
      </c>
      <c r="R44" s="33">
        <f>COUNTIFS(input!$O:$O,February!$R$26,input!$F:$F,February!N44,input!$A:$A,February!$B$2)</f>
        <v>0</v>
      </c>
      <c r="S44" s="33">
        <f>COUNTIFS(input!$O:$O,February!$S$26,input!$F:$F,February!N44,input!$A:$A,February!$B$2)</f>
        <v>0</v>
      </c>
      <c r="T44" s="38">
        <f>COUNTIFS(input!$O:$O,February!$T$26,input!$F:$F,February!N44,input!$A:$A,February!$B$2)</f>
        <v>0</v>
      </c>
      <c r="U44" s="38">
        <f>COUNTIFS(input!$O:$O,February!$U$26,input!$F:$F,February!N44,input!$A:$A,February!$B$2)</f>
        <v>0</v>
      </c>
      <c r="V44" s="38">
        <f>COUNTIFS(input!$O:$O,February!$V$26,input!$F:$F,February!N44,input!$A:$A,February!$B$2)</f>
        <v>0</v>
      </c>
      <c r="W44" s="39">
        <f>COUNTIFS(input!$O:$O,February!$W$26,input!$F:$F,February!N44,input!$A:$A,February!$B$2)</f>
        <v>0</v>
      </c>
      <c r="X44" s="299">
        <f>COUNTIFS(input!$O:$O,February!$X$26,input!$F:$F,February!N44,input!$A:$A,February!$B$2)</f>
        <v>0</v>
      </c>
      <c r="Y44" s="28">
        <f t="shared" si="1"/>
        <v>0</v>
      </c>
      <c r="Z44" s="32" cm="1">
        <f t="array" ref="Z44">_xlfn.IFS(Y44=0,0,Y44&gt;=1,Y44/Y49)</f>
        <v>0</v>
      </c>
    </row>
    <row r="45" spans="2:26" ht="33" x14ac:dyDescent="0.25">
      <c r="B45" s="771" t="s">
        <v>682</v>
      </c>
      <c r="C45" s="772"/>
      <c r="D45" s="33">
        <f>COUNTIFS(input!$O:$O,February!$D$26,input!$E:$E,February!B45,input!$A:$A,February!$B$2)</f>
        <v>0</v>
      </c>
      <c r="E45" s="41">
        <f>COUNTIFS(input!$O:$O,February!$E$26,input!$E:$E,February!B45,input!$A:$A,February!$B$2)</f>
        <v>0</v>
      </c>
      <c r="F45" s="44">
        <f>COUNTIFS(input!$O:$O,February!$F$26,input!$E:$E,February!B45,input!$A:$A,February!$B$2)</f>
        <v>0</v>
      </c>
      <c r="G45" s="45">
        <f>COUNTIFS(input!$O:$O,February!$G$26,input!$E:$E,February!B45,input!$A:$A,February!$B$2)</f>
        <v>0</v>
      </c>
      <c r="H45" s="128"/>
      <c r="I45" s="45">
        <f>COUNTIFS(input!$O:$O,February!$I$26,input!$E:$E,February!B45,input!$A:$A,February!$B$2)</f>
        <v>0</v>
      </c>
      <c r="J45" s="45">
        <f>COUNTIFS(input!$O:$O,February!$J$26,input!$E:$E,February!B45,input!$A:$A,February!$B$2)</f>
        <v>0</v>
      </c>
      <c r="K45" s="45">
        <f>COUNTIFS(input!$O:$O,February!$K$26,input!$E:$E,February!B45,input!$A:$A,February!$B$2)</f>
        <v>4</v>
      </c>
      <c r="L45" s="28">
        <f t="shared" si="0"/>
        <v>4</v>
      </c>
      <c r="M45" s="36" cm="1">
        <f t="array" ref="M45">_xlfn.IFS(L45=0,0,L45&gt;=1,L45/L49)</f>
        <v>0.25</v>
      </c>
      <c r="N45" s="769" t="s">
        <v>56</v>
      </c>
      <c r="O45" s="769"/>
      <c r="P45" s="770"/>
      <c r="Q45" s="33">
        <f>COUNTIFS(input!$O:$O,February!$Q$26,input!$F:$F,February!N45,input!$A:$A,February!$B$2)</f>
        <v>0</v>
      </c>
      <c r="R45" s="33">
        <f>COUNTIFS(input!$O:$O,February!$R$26,input!$F:$F,February!N45,input!$A:$A,February!$B$2)</f>
        <v>0</v>
      </c>
      <c r="S45" s="33">
        <f>COUNTIFS(input!$O:$O,February!$S$26,input!$F:$F,February!N45,input!$A:$A,February!$B$2)</f>
        <v>0</v>
      </c>
      <c r="T45" s="38">
        <f>COUNTIFS(input!$O:$O,February!$T$26,input!$F:$F,February!N45,input!$A:$A,February!$B$2)</f>
        <v>0</v>
      </c>
      <c r="U45" s="38">
        <f>COUNTIFS(input!$O:$O,February!$U$26,input!$F:$F,February!N45,input!$A:$A,February!$B$2)</f>
        <v>0</v>
      </c>
      <c r="V45" s="38">
        <f>COUNTIFS(input!$O:$O,February!$V$26,input!$F:$F,February!N45,input!$A:$A,February!$B$2)</f>
        <v>0</v>
      </c>
      <c r="W45" s="39">
        <f>COUNTIFS(input!$O:$O,February!$W$26,input!$F:$F,February!N45,input!$A:$A,February!$B$2)</f>
        <v>0</v>
      </c>
      <c r="X45" s="299">
        <f>COUNTIFS(input!$O:$O,February!$X$26,input!$F:$F,February!N45,input!$A:$A,February!$B$2)</f>
        <v>0</v>
      </c>
      <c r="Y45" s="28">
        <f t="shared" si="1"/>
        <v>0</v>
      </c>
      <c r="Z45" s="32" cm="1">
        <f t="array" ref="Z45">_xlfn.IFS(Y45=0,0,Y45&gt;=1,Y45/Y50)</f>
        <v>0</v>
      </c>
    </row>
    <row r="46" spans="2:26" ht="33" customHeight="1" x14ac:dyDescent="0.25">
      <c r="B46" s="771" t="s">
        <v>711</v>
      </c>
      <c r="C46" s="772"/>
      <c r="D46" s="33">
        <f>COUNTIFS(input!$O:$O,February!$D$26,input!$E:$E,February!B46,input!$A:$A,February!$B$2)</f>
        <v>0</v>
      </c>
      <c r="E46" s="41">
        <f>COUNTIFS(input!$O:$O,February!$E$26,input!$E:$E,February!B46,input!$A:$A,February!$B$2)</f>
        <v>0</v>
      </c>
      <c r="F46" s="44">
        <f>COUNTIFS(input!$O:$O,February!$F$26,input!$E:$E,February!B46,input!$A:$A,February!$B$2)</f>
        <v>0</v>
      </c>
      <c r="G46" s="45">
        <f>COUNTIFS(input!$O:$O,February!$G$26,input!$E:$E,February!B46,input!$A:$A,February!$B$2)</f>
        <v>0</v>
      </c>
      <c r="H46" s="45">
        <f>COUNTIFS(input!$O:$O,February!$H$26,input!$E:$E,February!B45,input!$A:$A,February!$B$2)</f>
        <v>0</v>
      </c>
      <c r="I46" s="45">
        <f>COUNTIFS(input!$O:$O,February!$I$26,input!$E:$E,February!B46,input!$A:$A,February!$B$2)</f>
        <v>0</v>
      </c>
      <c r="J46" s="45">
        <f>COUNTIFS(input!$O:$O,February!$J$26,input!$E:$E,February!B46,input!$A:$A,February!$B$2)</f>
        <v>0</v>
      </c>
      <c r="K46" s="45">
        <f>COUNTIFS(input!$O:$O,February!$K$26,input!$E:$E,February!B46,input!$A:$A,February!$B$2)</f>
        <v>0</v>
      </c>
      <c r="L46" s="28">
        <f t="shared" si="0"/>
        <v>0</v>
      </c>
      <c r="M46" s="36" cm="1">
        <f t="array" ref="M46">_xlfn.IFS(L46=0,0,L46&gt;=1,L46/L49)</f>
        <v>0</v>
      </c>
      <c r="N46" s="811" t="s">
        <v>203</v>
      </c>
      <c r="O46" s="773"/>
      <c r="P46" s="772"/>
      <c r="Q46" s="41">
        <f>COUNTIFS(input!$O:$O,February!$Q$26,input!$F:$F,February!N46,input!$A:$A,February!$B$2)</f>
        <v>0</v>
      </c>
      <c r="R46" s="41">
        <f>COUNTIFS(input!$O:$O,February!$R$26,input!$F:$F,February!N46,input!$A:$A,February!$B$2)</f>
        <v>0</v>
      </c>
      <c r="S46" s="41">
        <f>COUNTIFS(input!$O:$O,February!$S$26,input!$F:$F,February!N46,input!$A:$A,February!$B$2)</f>
        <v>0</v>
      </c>
      <c r="T46" s="42">
        <f>COUNTIFS(input!$O:$O,February!$T$26,input!$F:$F,February!N46,input!$A:$A,February!$B$2)</f>
        <v>0</v>
      </c>
      <c r="U46" s="42">
        <f>COUNTIFS(input!$O:$O,February!$U$26,input!$F:$F,February!N46,input!$A:$A,February!$B$2)</f>
        <v>0</v>
      </c>
      <c r="V46" s="42">
        <f>COUNTIFS(input!$O:$O,February!$V$26,input!$F:$F,February!N46,input!$A:$A,February!$B$2)</f>
        <v>3</v>
      </c>
      <c r="W46" s="43">
        <f>COUNTIFS(input!$O:$O,February!$W$26,input!$F:$F,February!N46,input!$A:$A,February!$B$2)</f>
        <v>0</v>
      </c>
      <c r="X46" s="299">
        <f>COUNTIFS(input!$O:$O,February!$X$26,input!$F:$F,February!N46,input!$A:$A,February!$B$2)</f>
        <v>0</v>
      </c>
      <c r="Y46" s="28">
        <f t="shared" si="1"/>
        <v>3</v>
      </c>
      <c r="Z46" s="32" cm="1">
        <f t="array" ref="Z46">_xlfn.IFS(Y46=0,0,Y46&gt;=1,Y46/Y49)</f>
        <v>0.1875</v>
      </c>
    </row>
    <row r="47" spans="2:26" ht="33" customHeight="1" x14ac:dyDescent="0.25">
      <c r="B47" s="771" t="s">
        <v>493</v>
      </c>
      <c r="C47" s="772"/>
      <c r="D47" s="33">
        <f>COUNTIFS(input!$O:$O,February!$D$26,input!$E:$E,February!B47,input!$A:$A,February!$B$2)</f>
        <v>0</v>
      </c>
      <c r="E47" s="41">
        <f>COUNTIFS(input!$O:$O,February!$E$26,input!$E:$E,February!B47,input!$A:$A,February!$B$2)</f>
        <v>0</v>
      </c>
      <c r="F47" s="44">
        <f>COUNTIFS(input!$O:$O,February!$F$26,input!$E:$E,February!B47,input!$A:$A,February!$B$2)</f>
        <v>0</v>
      </c>
      <c r="G47" s="45">
        <f>COUNTIFS(input!$O:$O,February!$G$26,input!$E:$E,February!B47,input!$A:$A,February!$B$2)</f>
        <v>0</v>
      </c>
      <c r="H47" s="45">
        <f>COUNTIFS(input!$O:$O,February!$H$26,input!$E:$E,February!B47,input!$A:$A,February!$B$2)</f>
        <v>0</v>
      </c>
      <c r="I47" s="45">
        <f>COUNTIFS(input!$O:$O,February!$I$26,input!$E:$E,February!B47,input!$A:$A,February!$B$2)</f>
        <v>0</v>
      </c>
      <c r="J47" s="45">
        <f>COUNTIFS(input!$O:$O,February!$J$26,input!$E:$E,February!B47,input!$A:$A,February!$B$2)</f>
        <v>0</v>
      </c>
      <c r="K47" s="45">
        <f>COUNTIFS(input!$O:$O,February!$K$26,input!$E:$E,February!B47,input!$A:$A,February!$B$2)</f>
        <v>0</v>
      </c>
      <c r="L47" s="28">
        <f t="shared" si="0"/>
        <v>0</v>
      </c>
      <c r="M47" s="36" cm="1">
        <f t="array" ref="M47">_xlfn.IFS(L47=0,0,L47&gt;=1,L47/L49)</f>
        <v>0</v>
      </c>
      <c r="N47" s="811" t="s">
        <v>42</v>
      </c>
      <c r="O47" s="773"/>
      <c r="P47" s="772"/>
      <c r="Q47" s="41">
        <f>COUNTIFS(input!$O:$O,February!$Q$26,input!$F:$F,February!N47,input!$A:$A,February!$B$2)</f>
        <v>0</v>
      </c>
      <c r="R47" s="41">
        <f>COUNTIFS(input!$O:$O,February!$R$26,input!$F:$F,February!N47,input!$A:$A,February!$B$2)</f>
        <v>0</v>
      </c>
      <c r="S47" s="41">
        <f>COUNTIFS(input!$O:$O,February!$S$26,input!$F:$F,February!N47,input!$A:$A,February!$B$2)</f>
        <v>0</v>
      </c>
      <c r="T47" s="42">
        <f>COUNTIFS(input!$O:$O,February!$T$26,input!$F:$F,February!N47,input!$A:$A,February!$B$2)</f>
        <v>0</v>
      </c>
      <c r="U47" s="42">
        <f>COUNTIFS(input!$O:$O,February!$U$26,input!$F:$F,February!N47,input!$A:$A,February!$B$2)</f>
        <v>0</v>
      </c>
      <c r="V47" s="42">
        <f>COUNTIFS(input!$O:$O,February!$V$26,input!$F:$F,February!N47,input!$A:$A,February!$B$2)</f>
        <v>0</v>
      </c>
      <c r="W47" s="43">
        <f>COUNTIFS(input!$O:$O,February!$W$26,input!$F:$F,February!N47,input!$A:$A,February!$B$2)</f>
        <v>0</v>
      </c>
      <c r="X47" s="299">
        <f>COUNTIFS(input!$O:$O,February!$X$26,input!$F:$F,February!N47,input!$A:$A,February!$B$2)</f>
        <v>0</v>
      </c>
      <c r="Y47" s="28">
        <f t="shared" si="1"/>
        <v>0</v>
      </c>
      <c r="Z47" s="32" cm="1">
        <f t="array" ref="Z47">_xlfn.IFS(Y47=0,0,Y47&gt;=1,Y47/Y49)</f>
        <v>0</v>
      </c>
    </row>
    <row r="48" spans="2:26" ht="33" customHeight="1" x14ac:dyDescent="0.25">
      <c r="B48" s="771"/>
      <c r="C48" s="772"/>
      <c r="D48" s="33"/>
      <c r="E48" s="41"/>
      <c r="F48" s="44"/>
      <c r="G48" s="45"/>
      <c r="H48" s="45"/>
      <c r="I48" s="45"/>
      <c r="J48" s="45"/>
      <c r="K48" s="45"/>
      <c r="L48" s="28"/>
      <c r="M48" s="302"/>
      <c r="N48" s="898" t="s">
        <v>703</v>
      </c>
      <c r="O48" s="839"/>
      <c r="P48" s="839"/>
      <c r="Q48" s="41">
        <f>COUNTIFS(input!$O:$O,February!$Q$26,input!$F:$F,February!N48,input!$A:$A,February!$B$2)</f>
        <v>0</v>
      </c>
      <c r="R48" s="41">
        <f>COUNTIFS(input!$O:$O,February!$R$26,input!$F:$F,February!N48,input!$A:$A,February!$B$2)</f>
        <v>0</v>
      </c>
      <c r="S48" s="41">
        <f>COUNTIFS(input!$O:$O,February!$S$26,input!$F:$F,February!N48,input!$A:$A,February!$B$2)</f>
        <v>0</v>
      </c>
      <c r="T48" s="42">
        <f>COUNTIFS(input!$O:$O,February!$T$26,input!$F:$F,February!N48,input!$A:$A,February!$B$2)</f>
        <v>0</v>
      </c>
      <c r="U48" s="42">
        <f>COUNTIFS(input!$O:$O,February!$U$26,input!$F:$F,February!N48,input!$A:$A,February!$B$2)</f>
        <v>0</v>
      </c>
      <c r="V48" s="42">
        <f>COUNTIFS(input!$O:$O,February!$V$26,input!$F:$F,February!N48,input!$A:$A,February!$B$2)</f>
        <v>0</v>
      </c>
      <c r="W48" s="43">
        <f>COUNTIFS(input!$O:$O,February!$W$26,input!$F:$F,February!N48,input!$A:$A,February!$B$2)</f>
        <v>0</v>
      </c>
      <c r="X48" s="299">
        <f>COUNTIFS(input!$O:$O,February!$X$26,input!$F:$F,February!N48,input!$A:$A,February!$B$2)</f>
        <v>1</v>
      </c>
      <c r="Y48" s="28">
        <f t="shared" si="1"/>
        <v>1</v>
      </c>
      <c r="Z48" s="32" cm="1">
        <f t="array" ref="Z48">_xlfn.IFS(Y48=0,0,Y48&gt;=1,Y48/Y49)</f>
        <v>6.25E-2</v>
      </c>
    </row>
    <row r="49" spans="2:26" ht="33" thickBot="1" x14ac:dyDescent="0.3">
      <c r="B49" s="868" t="s">
        <v>4</v>
      </c>
      <c r="C49" s="869"/>
      <c r="D49" s="49">
        <f>SUM(D27:D47)</f>
        <v>0</v>
      </c>
      <c r="E49" s="49">
        <f t="shared" ref="E49:M49" si="2">SUM(E27:E47)</f>
        <v>2</v>
      </c>
      <c r="F49" s="49">
        <f t="shared" si="2"/>
        <v>0</v>
      </c>
      <c r="G49" s="49">
        <f t="shared" si="2"/>
        <v>5</v>
      </c>
      <c r="H49" s="49">
        <f t="shared" si="2"/>
        <v>1</v>
      </c>
      <c r="I49" s="49">
        <f t="shared" si="2"/>
        <v>3</v>
      </c>
      <c r="J49" s="49">
        <f t="shared" si="2"/>
        <v>0</v>
      </c>
      <c r="K49" s="49">
        <f t="shared" si="2"/>
        <v>5</v>
      </c>
      <c r="L49" s="28">
        <f>SUM(L27:L47)</f>
        <v>16</v>
      </c>
      <c r="M49" s="50">
        <f t="shared" si="2"/>
        <v>1</v>
      </c>
      <c r="N49" s="870" t="s">
        <v>4</v>
      </c>
      <c r="O49" s="870"/>
      <c r="P49" s="869"/>
      <c r="Q49" s="49">
        <f>SUM(Q27:Q48)</f>
        <v>0</v>
      </c>
      <c r="R49" s="49">
        <f t="shared" ref="R49:X49" si="3">SUM(R27:R48)</f>
        <v>2</v>
      </c>
      <c r="S49" s="49">
        <f t="shared" si="3"/>
        <v>0</v>
      </c>
      <c r="T49" s="49">
        <f t="shared" si="3"/>
        <v>5</v>
      </c>
      <c r="U49" s="49">
        <f t="shared" si="3"/>
        <v>1</v>
      </c>
      <c r="V49" s="49">
        <f t="shared" si="3"/>
        <v>3</v>
      </c>
      <c r="W49" s="49">
        <f t="shared" si="3"/>
        <v>0</v>
      </c>
      <c r="X49" s="49">
        <f t="shared" si="3"/>
        <v>5</v>
      </c>
      <c r="Y49" s="49">
        <f>SUM(Y27:Y48)</f>
        <v>16</v>
      </c>
      <c r="Z49" s="51">
        <f>SUM(Z27:Z48)</f>
        <v>1</v>
      </c>
    </row>
    <row r="50" spans="2:26" x14ac:dyDescent="0.25">
      <c r="B50" s="899" t="s">
        <v>34</v>
      </c>
      <c r="C50" s="900"/>
      <c r="D50" s="52" t="s">
        <v>6</v>
      </c>
      <c r="E50" s="52" t="s">
        <v>2</v>
      </c>
      <c r="F50" s="52" t="s">
        <v>3</v>
      </c>
      <c r="G50" s="52" t="s">
        <v>1</v>
      </c>
      <c r="H50" s="52" t="s">
        <v>0</v>
      </c>
      <c r="I50" s="52" t="s">
        <v>53</v>
      </c>
      <c r="J50" s="52" t="s">
        <v>12</v>
      </c>
      <c r="K50" s="52" t="s">
        <v>693</v>
      </c>
      <c r="L50" s="52" t="s">
        <v>5</v>
      </c>
      <c r="M50" s="53" t="s">
        <v>40</v>
      </c>
      <c r="N50" s="901" t="s">
        <v>59</v>
      </c>
      <c r="O50" s="901"/>
      <c r="P50" s="902"/>
      <c r="Q50" s="54" t="s">
        <v>6</v>
      </c>
      <c r="R50" s="54" t="s">
        <v>2</v>
      </c>
      <c r="S50" s="54" t="s">
        <v>3</v>
      </c>
      <c r="T50" s="54" t="s">
        <v>1</v>
      </c>
      <c r="U50" s="54" t="s">
        <v>0</v>
      </c>
      <c r="V50" s="54" t="s">
        <v>53</v>
      </c>
      <c r="W50" s="54" t="s">
        <v>12</v>
      </c>
      <c r="X50" s="54" t="s">
        <v>693</v>
      </c>
      <c r="Y50" s="54" t="s">
        <v>5</v>
      </c>
      <c r="Z50" s="55" t="s">
        <v>40</v>
      </c>
    </row>
    <row r="51" spans="2:26" ht="33" x14ac:dyDescent="0.25">
      <c r="B51" s="903" t="s">
        <v>13</v>
      </c>
      <c r="C51" s="904"/>
      <c r="D51" s="906">
        <f>COUNTIFS(input!$O:$O,February!$D$50,input!$K:$K,February!B51,input!$A:$A,February!$B$2)</f>
        <v>0</v>
      </c>
      <c r="E51" s="906">
        <f>COUNTIFS(input!$O:$O,February!$E$50,input!$K:$K,February!B51,input!$A:$A,February!$B$2)</f>
        <v>0</v>
      </c>
      <c r="F51" s="906">
        <f>COUNTIFS(input!$O:$O,February!$F$50,input!$K:$K,February!B51,input!$A:$A,February!$B$2)</f>
        <v>0</v>
      </c>
      <c r="G51" s="904">
        <f>COUNTIFS(input!$O:$O,February!$G$50,input!$K:$K,February!B51,input!$A:$A,February!$B$2)</f>
        <v>2</v>
      </c>
      <c r="H51" s="904">
        <f>COUNTIFS(input!$O:$O,February!$H$50,input!$K:$K,February!B51,input!$A:$A,February!$B$2)</f>
        <v>0</v>
      </c>
      <c r="I51" s="904">
        <f>COUNTIFS(input!$O:$O,February!$I$50,input!$K:$K,February!B51,input!$A:$A,February!$B$2)</f>
        <v>1</v>
      </c>
      <c r="J51" s="904">
        <f>COUNTIFS(input!$O:$O,February!$J$50,input!$K:$K,February!B51,input!$A:$A,February!$B$2)</f>
        <v>0</v>
      </c>
      <c r="K51" s="904">
        <f>COUNTIFS(input!$O:$O,February!$K$50,input!$K:$K,February!B51,input!$A:$A,February!$B$2)</f>
        <v>0</v>
      </c>
      <c r="L51" s="911">
        <f>SUM(D51:K55)</f>
        <v>3</v>
      </c>
      <c r="M51" s="913" cm="1">
        <f t="array" ref="M51">_xlfn.IFS(L51=0,0,L51&gt;=1,L51/L68)</f>
        <v>0.1875</v>
      </c>
      <c r="N51" s="858" t="s">
        <v>23</v>
      </c>
      <c r="O51" s="858"/>
      <c r="P51" s="859"/>
      <c r="Q51" s="26">
        <f>COUNTIFS(input!$O:$O,February!$Q$50,input!$G:$G,February!N51,input!$A:$A,February!$B$2)</f>
        <v>0</v>
      </c>
      <c r="R51" s="26">
        <f>COUNTIFS(input!$O:$O,February!$R$50,input!$G:$G,February!N51,input!$A:$A,February!$B$2)</f>
        <v>1</v>
      </c>
      <c r="S51" s="26">
        <f>COUNTIFS(input!$O:$O,February!$S$50,input!$G:$G,February!N51,input!$A:$A,February!$B$2)</f>
        <v>0</v>
      </c>
      <c r="T51" s="30">
        <f>COUNTIFS(input!$O:$O,February!$T$50,input!$G:$G,February!N51,input!$A:$A,February!$B$2)</f>
        <v>3</v>
      </c>
      <c r="U51" s="30">
        <f>COUNTIFS(input!$O:$O,February!$U$50,input!$G:$G,February!N51,input!$A:$A,February!$B$2)</f>
        <v>0</v>
      </c>
      <c r="V51" s="30">
        <f>COUNTIFS(input!$O:$O,February!$V$50,input!$G:$G,February!N51,input!$A:$A,February!$B$2)</f>
        <v>0</v>
      </c>
      <c r="W51" s="30">
        <f>COUNTIFS(input!$O:$O,February!$W$50,input!$G:$G,February!N51,input!$A:$A,February!$B$2)</f>
        <v>0</v>
      </c>
      <c r="X51" s="30">
        <f>COUNTIFS(input!$O:$O,February!$X$50,input!$G:$G,February!N51,input!$A:$A,February!$B$2)</f>
        <v>0</v>
      </c>
      <c r="Y51" s="28">
        <f>SUM(Q51:X51)</f>
        <v>4</v>
      </c>
      <c r="Z51" s="56" cm="1">
        <f t="array" ref="Z51">_xlfn.IFS(Y51=0,0,Y51&gt;=1,Y51/Y$68)</f>
        <v>0.26666666666666666</v>
      </c>
    </row>
    <row r="52" spans="2:26" ht="33" x14ac:dyDescent="0.25">
      <c r="B52" s="905"/>
      <c r="C52" s="860"/>
      <c r="D52" s="907">
        <f>COUNTIFS(input!O:O,February!$D$26,input!E:E,February!B52)</f>
        <v>0</v>
      </c>
      <c r="E52" s="907">
        <f>COUNTIFS(input!P:P,February!$D$26,input!F:F,February!C52)</f>
        <v>0</v>
      </c>
      <c r="F52" s="907">
        <f>COUNTIFS(input!Q:Q,February!$D$26,input!G:G,February!D52)</f>
        <v>0</v>
      </c>
      <c r="G52" s="860">
        <f>COUNTIFS(input!R:R,February!$D$26,input!H:H,February!E52)</f>
        <v>0</v>
      </c>
      <c r="H52" s="860">
        <f>COUNTIFS(input!S:S,February!$D$26,input!I:I,February!F52)</f>
        <v>0</v>
      </c>
      <c r="I52" s="860">
        <f>COUNTIFS(input!T:T,February!$D$26,input!J:J,February!G52)</f>
        <v>0</v>
      </c>
      <c r="J52" s="860">
        <f>COUNTIFS(input!U:U,February!$D$26,input!K:K,February!H52)</f>
        <v>0</v>
      </c>
      <c r="K52" s="860">
        <f>COUNTIFS(input!V:V,February!$D$26,input!L:L,February!I52)</f>
        <v>0</v>
      </c>
      <c r="L52" s="912"/>
      <c r="M52" s="914"/>
      <c r="N52" s="773" t="s">
        <v>103</v>
      </c>
      <c r="O52" s="773"/>
      <c r="P52" s="772"/>
      <c r="Q52" s="33">
        <f>COUNTIFS(input!$O:$O,February!$Q$50,input!$G:$G,February!N52,input!$A:$A,February!$B$2)</f>
        <v>0</v>
      </c>
      <c r="R52" s="33">
        <f>COUNTIFS(input!$O:$O,February!$R$50,input!$G:$G,February!N52,input!$A:$A,February!$B$2)</f>
        <v>0</v>
      </c>
      <c r="S52" s="33">
        <f>COUNTIFS(input!$O:$O,February!$S$50,input!$G:$G,February!N52,input!$A:$A,February!$B$2)</f>
        <v>0</v>
      </c>
      <c r="T52" s="38">
        <f>COUNTIFS(input!$O:$O,February!$T$50,input!$G:$G,February!N52,input!$A:$A,February!$B$2)</f>
        <v>1</v>
      </c>
      <c r="U52" s="38">
        <f>COUNTIFS(input!$O:$O,February!$U$50,input!$G:$G,February!N52,input!$A:$A,February!$B$2)</f>
        <v>0</v>
      </c>
      <c r="V52" s="38">
        <f>COUNTIFS(input!$O:$O,February!$V$50,input!$G:$G,February!N52,input!$A:$A,February!$B$2)</f>
        <v>0</v>
      </c>
      <c r="W52" s="38">
        <f>COUNTIFS(input!$O:$O,February!$W$50,input!$G:$G,February!N52,input!$A:$A,February!$B$2)</f>
        <v>0</v>
      </c>
      <c r="X52" s="300">
        <f>COUNTIFS(input!$O:$O,February!$X$50,input!$G:$G,February!N52,input!$A:$A,February!$B$2)</f>
        <v>0</v>
      </c>
      <c r="Y52" s="28">
        <f t="shared" ref="Y52:Y67" si="4">SUM(Q52:X52)</f>
        <v>1</v>
      </c>
      <c r="Z52" s="56" cm="1">
        <f t="array" ref="Z52">_xlfn.IFS(Y52=0,0,Y52&gt;=1,Y52/Y$68)</f>
        <v>6.6666666666666666E-2</v>
      </c>
    </row>
    <row r="53" spans="2:26" ht="33" x14ac:dyDescent="0.25">
      <c r="B53" s="905"/>
      <c r="C53" s="860"/>
      <c r="D53" s="907">
        <f>COUNTIFS(input!O:O,February!$D$26,input!E:E,February!B53)</f>
        <v>0</v>
      </c>
      <c r="E53" s="907">
        <f>COUNTIFS(input!P:P,February!$D$26,input!F:F,February!C53)</f>
        <v>0</v>
      </c>
      <c r="F53" s="907">
        <f>COUNTIFS(input!Q:Q,February!$D$26,input!G:G,February!D53)</f>
        <v>0</v>
      </c>
      <c r="G53" s="860">
        <f>COUNTIFS(input!R:R,February!$D$26,input!H:H,February!E53)</f>
        <v>0</v>
      </c>
      <c r="H53" s="860">
        <f>COUNTIFS(input!S:S,February!$D$26,input!I:I,February!F53)</f>
        <v>0</v>
      </c>
      <c r="I53" s="860">
        <f>COUNTIFS(input!T:T,February!$D$26,input!J:J,February!G53)</f>
        <v>0</v>
      </c>
      <c r="J53" s="860">
        <f>COUNTIFS(input!U:U,February!$D$26,input!K:K,February!H53)</f>
        <v>0</v>
      </c>
      <c r="K53" s="860">
        <f>COUNTIFS(input!V:V,February!$D$26,input!L:L,February!I53)</f>
        <v>0</v>
      </c>
      <c r="L53" s="912"/>
      <c r="M53" s="914"/>
      <c r="N53" s="773" t="s">
        <v>55</v>
      </c>
      <c r="O53" s="773"/>
      <c r="P53" s="772"/>
      <c r="Q53" s="33">
        <f>COUNTIFS(input!$O:$O,February!$Q$50,input!$G:$G,February!N53,input!$A:$A,February!$B$2)</f>
        <v>0</v>
      </c>
      <c r="R53" s="33">
        <f>COUNTIFS(input!$O:$O,February!$R$50,input!$G:$G,February!N53,input!$A:$A,February!$B$2)</f>
        <v>1</v>
      </c>
      <c r="S53" s="33">
        <f>COUNTIFS(input!$O:$O,February!$S$50,input!$G:$G,February!N53,input!$A:$A,February!$B$2)</f>
        <v>0</v>
      </c>
      <c r="T53" s="38">
        <f>COUNTIFS(input!$O:$O,February!$T$50,input!$G:$G,February!N53,input!$A:$A,February!$B$2)</f>
        <v>0</v>
      </c>
      <c r="U53" s="38">
        <f>COUNTIFS(input!$O:$O,February!$U$50,input!$G:$G,February!N53,input!$A:$A,February!$B$2)</f>
        <v>0</v>
      </c>
      <c r="V53" s="38">
        <f>COUNTIFS(input!$O:$O,February!$V$50,input!$G:$G,February!N53,input!$A:$A,February!$B$2)</f>
        <v>0</v>
      </c>
      <c r="W53" s="38">
        <f>COUNTIFS(input!$O:$O,February!$W$50,input!$G:$G,February!N53,input!$A:$A,February!$B$2)</f>
        <v>0</v>
      </c>
      <c r="X53" s="300">
        <f>COUNTIFS(input!$O:$O,February!$X$50,input!$G:$G,February!N53,input!$A:$A,February!$B$2)</f>
        <v>0</v>
      </c>
      <c r="Y53" s="28">
        <f t="shared" si="4"/>
        <v>1</v>
      </c>
      <c r="Z53" s="56" cm="1">
        <f t="array" ref="Z53">_xlfn.IFS(Y53=0,0,Y53&gt;=1,Y53/Y$68)</f>
        <v>6.6666666666666666E-2</v>
      </c>
    </row>
    <row r="54" spans="2:26" ht="33" x14ac:dyDescent="0.25">
      <c r="B54" s="905"/>
      <c r="C54" s="860"/>
      <c r="D54" s="907"/>
      <c r="E54" s="907"/>
      <c r="F54" s="907"/>
      <c r="G54" s="860"/>
      <c r="H54" s="860"/>
      <c r="I54" s="860"/>
      <c r="J54" s="860"/>
      <c r="K54" s="860"/>
      <c r="L54" s="912"/>
      <c r="M54" s="914"/>
      <c r="N54" s="811" t="s">
        <v>285</v>
      </c>
      <c r="O54" s="773"/>
      <c r="P54" s="772"/>
      <c r="Q54" s="33">
        <f>COUNTIFS(input!$O:$O,February!$Q$50,input!$G:$G,February!N54,input!$A:$A,February!$B$2)</f>
        <v>0</v>
      </c>
      <c r="R54" s="33">
        <f>COUNTIFS(input!$O:$O,February!$R$50,input!$G:$G,February!N54,input!$A:$A,February!$B$2)</f>
        <v>0</v>
      </c>
      <c r="S54" s="33">
        <f>COUNTIFS(input!$O:$O,February!$S$50,input!$G:$G,February!N54,input!$A:$A,February!$B$2)</f>
        <v>0</v>
      </c>
      <c r="T54" s="38">
        <f>COUNTIFS(input!$O:$O,February!$T$50,input!$G:$G,February!N54,input!$A:$A,February!$B$2)</f>
        <v>0</v>
      </c>
      <c r="U54" s="38">
        <f>COUNTIFS(input!$O:$O,February!$U$50,input!$G:$G,February!N54,input!$A:$A,February!$B$2)</f>
        <v>0</v>
      </c>
      <c r="V54" s="38">
        <f>COUNTIFS(input!$O:$O,February!$V$50,input!$G:$G,February!N54,input!$A:$A,February!$B$2)</f>
        <v>0</v>
      </c>
      <c r="W54" s="38">
        <f>COUNTIFS(input!$O:$O,February!$W$50,input!$G:$G,February!N54,input!$A:$A,February!$B$2)</f>
        <v>0</v>
      </c>
      <c r="X54" s="300">
        <f>COUNTIFS(input!$O:$O,February!$X$50,input!$G:$G,February!N54,input!$A:$A,February!$B$2)</f>
        <v>0</v>
      </c>
      <c r="Y54" s="28">
        <f>SUM(Q54:X54)</f>
        <v>0</v>
      </c>
      <c r="Z54" s="56" cm="1">
        <f t="array" ref="Z54">_xlfn.IFS(Y54=0,0,Y54&gt;=1,Y54/Y$68)</f>
        <v>0</v>
      </c>
    </row>
    <row r="55" spans="2:26" ht="33" x14ac:dyDescent="0.25">
      <c r="B55" s="905"/>
      <c r="C55" s="860"/>
      <c r="D55" s="907">
        <f>COUNTIFS(input!O:O,February!$D$26,input!E:E,February!B55)</f>
        <v>0</v>
      </c>
      <c r="E55" s="907">
        <f>COUNTIFS(input!P:P,February!$D$26,input!F:F,February!C55)</f>
        <v>0</v>
      </c>
      <c r="F55" s="907">
        <f>COUNTIFS(input!Q:Q,February!$D$26,input!G:G,February!D55)</f>
        <v>0</v>
      </c>
      <c r="G55" s="860">
        <f>COUNTIFS(input!R:R,February!$D$26,input!H:H,February!E55)</f>
        <v>0</v>
      </c>
      <c r="H55" s="860">
        <f>COUNTIFS(input!S:S,February!$D$26,input!I:I,February!F55)</f>
        <v>0</v>
      </c>
      <c r="I55" s="860">
        <f>COUNTIFS(input!T:T,February!$D$26,input!J:J,February!G55)</f>
        <v>0</v>
      </c>
      <c r="J55" s="860">
        <f>COUNTIFS(input!U:U,February!$D$26,input!K:K,February!H55)</f>
        <v>0</v>
      </c>
      <c r="K55" s="860">
        <f>COUNTIFS(input!V:V,February!$D$26,input!L:L,February!I55)</f>
        <v>0</v>
      </c>
      <c r="L55" s="912"/>
      <c r="M55" s="914"/>
      <c r="N55" s="811" t="s">
        <v>83</v>
      </c>
      <c r="O55" s="773"/>
      <c r="P55" s="772"/>
      <c r="Q55" s="33">
        <f>COUNTIFS(input!$O:$O,February!$Q$50,input!$G:$G,February!N55,input!$A:$A,February!$B$2)</f>
        <v>0</v>
      </c>
      <c r="R55" s="33">
        <f>COUNTIFS(input!$O:$O,February!$R$50,input!$G:$G,February!N55,input!$A:$A,February!$B$2)</f>
        <v>0</v>
      </c>
      <c r="S55" s="33">
        <f>COUNTIFS(input!$O:$O,February!$S$50,input!$G:$G,February!N55,input!$A:$A,February!$B$2)</f>
        <v>0</v>
      </c>
      <c r="T55" s="38">
        <f>COUNTIFS(input!$O:$O,February!$T$50,input!$G:$G,February!N55,input!$A:$A,February!$B$2)</f>
        <v>0</v>
      </c>
      <c r="U55" s="38">
        <f>COUNTIFS(input!$O:$O,February!$U$50,input!$G:$G,February!N55,input!$A:$A,February!$B$2)</f>
        <v>0</v>
      </c>
      <c r="V55" s="38">
        <f>COUNTIFS(input!$O:$O,February!$V$50,input!$G:$G,February!N55,input!$A:$A,February!$B$2)</f>
        <v>1</v>
      </c>
      <c r="W55" s="38">
        <f>COUNTIFS(input!$O:$O,February!$W$50,input!$G:$G,February!N55,input!$A:$A,February!$B$2)</f>
        <v>0</v>
      </c>
      <c r="X55" s="300">
        <f>COUNTIFS(input!$O:$O,February!$X$50,input!$G:$G,February!N55,input!$A:$A,February!$B$2)</f>
        <v>0</v>
      </c>
      <c r="Y55" s="28">
        <f t="shared" si="4"/>
        <v>1</v>
      </c>
      <c r="Z55" s="56" cm="1">
        <f t="array" ref="Z55">_xlfn.IFS(Y55=0,0,Y55&gt;=1,Y55/Y$68)</f>
        <v>6.6666666666666666E-2</v>
      </c>
    </row>
    <row r="56" spans="2:26" ht="33" customHeight="1" x14ac:dyDescent="0.25">
      <c r="B56" s="905" t="s">
        <v>14</v>
      </c>
      <c r="C56" s="860"/>
      <c r="D56" s="827">
        <f>COUNTIFS(input!$O:$O,February!$D$50,input!$K:$K,February!B56,input!$A:$A,February!$B$2)</f>
        <v>0</v>
      </c>
      <c r="E56" s="907">
        <f>COUNTIFS(input!$O:$O,February!$E$50,input!$K:$K,February!B56,input!$A:$A,February!$B$2)</f>
        <v>1</v>
      </c>
      <c r="F56" s="907">
        <f>COUNTIFS(input!$O:$O,February!$F$50,input!$K:$K,February!B56,input!$A:$A,February!$B$2)</f>
        <v>0</v>
      </c>
      <c r="G56" s="861">
        <f>COUNTIFS(input!$O:$O,February!$G$50,input!$K:$K,February!B56,input!$A:$A,February!$B$2)</f>
        <v>2</v>
      </c>
      <c r="H56" s="861">
        <f>COUNTIFS(input!$O:$O,February!$H$50,input!$K:$K,February!B56,input!$A:$A,February!$B$2)</f>
        <v>1</v>
      </c>
      <c r="I56" s="860">
        <f>COUNTIFS(input!$O:$O,February!$I$50,input!$K:$K,February!B56,input!$A:$A,February!$B$2)</f>
        <v>1</v>
      </c>
      <c r="J56" s="861">
        <f>COUNTIFS(input!$O:$O,February!$J$50,input!$K:$K,February!B56,input!$A:$A,February!$B$2)</f>
        <v>0</v>
      </c>
      <c r="K56" s="861">
        <f>COUNTIFS(input!$O:$O,February!$K$50,input!$K:$K,February!B56,input!$A:$A,February!$B$2)</f>
        <v>2</v>
      </c>
      <c r="L56" s="862">
        <f>SUM(D56:K61)</f>
        <v>7</v>
      </c>
      <c r="M56" s="865">
        <f>_xlfn.IFS(L56=0,0,L56&gt;=1,L56/L68)</f>
        <v>0.4375</v>
      </c>
      <c r="N56" s="811" t="s">
        <v>356</v>
      </c>
      <c r="O56" s="773"/>
      <c r="P56" s="772"/>
      <c r="Q56" s="33">
        <f>COUNTIFS(input!$O:$O,February!$Q$50,input!$G:$G,February!N56,input!$A:$A,February!$B$2)</f>
        <v>0</v>
      </c>
      <c r="R56" s="33">
        <f>COUNTIFS(input!$O:$O,February!$R$50,input!$G:$G,February!N56,input!$A:$A,February!$B$2)</f>
        <v>0</v>
      </c>
      <c r="S56" s="33">
        <f>COUNTIFS(input!$O:$O,February!$S$50,input!$G:$G,February!N56,input!$A:$A,February!$B$2)</f>
        <v>0</v>
      </c>
      <c r="T56" s="38">
        <f>COUNTIFS(input!$O:$O,February!$T$50,input!$G:$G,February!N56,input!$A:$A,February!$B$2)</f>
        <v>0</v>
      </c>
      <c r="U56" s="38">
        <f>COUNTIFS(input!$O:$O,February!$U$50,input!$G:$G,February!N56,input!$A:$A,February!$B$2)</f>
        <v>0</v>
      </c>
      <c r="V56" s="38">
        <f>COUNTIFS(input!$O:$O,February!$V$50,input!$G:$G,February!N56,input!$A:$A,February!$B$2)</f>
        <v>2</v>
      </c>
      <c r="W56" s="38">
        <f>COUNTIFS(input!$O:$O,February!$W$50,input!$G:$G,February!N56,input!$A:$A,February!$B$2)</f>
        <v>0</v>
      </c>
      <c r="X56" s="300">
        <f>COUNTIFS(input!$O:$O,February!$X$50,input!$G:$G,February!N56,input!$A:$A,February!$B$2)</f>
        <v>0</v>
      </c>
      <c r="Y56" s="28">
        <f t="shared" si="4"/>
        <v>2</v>
      </c>
      <c r="Z56" s="56" cm="1">
        <f t="array" ref="Z56">_xlfn.IFS(Y56=0,0,Y56&gt;=1,Y56/Y$68)</f>
        <v>0.13333333333333333</v>
      </c>
    </row>
    <row r="57" spans="2:26" ht="33" customHeight="1" x14ac:dyDescent="0.25">
      <c r="B57" s="905"/>
      <c r="C57" s="860"/>
      <c r="D57" s="828">
        <f>COUNTIFS(input!O:O,February!$D$26,input!E:E,February!B57)</f>
        <v>0</v>
      </c>
      <c r="E57" s="907">
        <f>COUNTIFS(input!P:P,February!$D$26,input!F:F,February!C57)</f>
        <v>0</v>
      </c>
      <c r="F57" s="907">
        <f>COUNTIFS(input!Q:Q,February!$D$26,input!G:G,February!D57)</f>
        <v>0</v>
      </c>
      <c r="G57" s="861">
        <f>COUNTIFS(input!R:R,February!$D$26,input!H:H,February!E57)</f>
        <v>0</v>
      </c>
      <c r="H57" s="861">
        <f>COUNTIFS(input!S:S,February!$D$26,input!I:I,February!F57)</f>
        <v>0</v>
      </c>
      <c r="I57" s="860">
        <f>COUNTIFS(input!T:T,February!$D$26,input!J:J,February!G57)</f>
        <v>0</v>
      </c>
      <c r="J57" s="861">
        <f>COUNTIFS(input!U:U,February!$D$26,input!K:K,February!H57)</f>
        <v>0</v>
      </c>
      <c r="K57" s="861">
        <f>COUNTIFS(input!V:V,February!$D$26,input!L:L,February!I57)</f>
        <v>0</v>
      </c>
      <c r="L57" s="863"/>
      <c r="M57" s="866"/>
      <c r="N57" s="819" t="s">
        <v>181</v>
      </c>
      <c r="O57" s="820"/>
      <c r="P57" s="821"/>
      <c r="Q57" s="33">
        <f>COUNTIFS(input!$O:$O,February!$Q$50,input!$G:$G,February!N57,input!$A:$A,February!$B$2)</f>
        <v>0</v>
      </c>
      <c r="R57" s="33">
        <f>COUNTIFS(input!$O:$O,February!$R$50,input!$G:$G,February!N57,input!$A:$A,February!$B$2)</f>
        <v>0</v>
      </c>
      <c r="S57" s="33">
        <f>COUNTIFS(input!$O:$O,February!$S$50,input!$G:$G,February!N57,input!$A:$A,February!$B$2)</f>
        <v>0</v>
      </c>
      <c r="T57" s="38">
        <f>COUNTIFS(input!$O:$O,February!$T$50,input!$G:$G,February!N57,input!$A:$A,February!$B$2)</f>
        <v>0</v>
      </c>
      <c r="U57" s="38">
        <f>COUNTIFS(input!$O:$O,February!$U$50,input!$G:$G,February!N57,input!$A:$A,February!$B$2)</f>
        <v>0</v>
      </c>
      <c r="V57" s="38">
        <f>COUNTIFS(input!$O:$O,February!$V$50,input!$G:$G,February!N57,input!$A:$A,February!$B$2)</f>
        <v>0</v>
      </c>
      <c r="W57" s="38">
        <f>COUNTIFS(input!$O:$O,February!$W$50,input!$G:$G,February!N57,input!$A:$A,February!$B$2)</f>
        <v>0</v>
      </c>
      <c r="X57" s="300">
        <f>COUNTIFS(input!$O:$O,February!$X$50,input!$G:$G,February!N57,input!$A:$A,February!$B$2)</f>
        <v>0</v>
      </c>
      <c r="Y57" s="28">
        <f t="shared" si="4"/>
        <v>0</v>
      </c>
      <c r="Z57" s="56" cm="1">
        <f t="array" ref="Z57">_xlfn.IFS(Y57=0,0,Y57&gt;=1,Y57/Y$68)</f>
        <v>0</v>
      </c>
    </row>
    <row r="58" spans="2:26" ht="33" customHeight="1" x14ac:dyDescent="0.25">
      <c r="B58" s="905"/>
      <c r="C58" s="860"/>
      <c r="D58" s="828">
        <f>COUNTIFS(input!O:O,February!$D$26,input!E:E,February!B58)</f>
        <v>0</v>
      </c>
      <c r="E58" s="907">
        <f>COUNTIFS(input!P:P,February!$D$26,input!F:F,February!C58)</f>
        <v>0</v>
      </c>
      <c r="F58" s="907">
        <f>COUNTIFS(input!Q:Q,February!$D$26,input!G:G,February!D58)</f>
        <v>0</v>
      </c>
      <c r="G58" s="861">
        <f>COUNTIFS(input!R:R,February!$D$26,input!H:H,February!E58)</f>
        <v>0</v>
      </c>
      <c r="H58" s="861">
        <f>COUNTIFS(input!S:S,February!$D$26,input!I:I,February!F58)</f>
        <v>0</v>
      </c>
      <c r="I58" s="860">
        <f>COUNTIFS(input!T:T,February!$D$26,input!J:J,February!G58)</f>
        <v>0</v>
      </c>
      <c r="J58" s="861">
        <f>COUNTIFS(input!U:U,February!$D$26,input!K:K,February!H58)</f>
        <v>0</v>
      </c>
      <c r="K58" s="861">
        <f>COUNTIFS(input!V:V,February!$D$26,input!L:L,February!I58)</f>
        <v>0</v>
      </c>
      <c r="L58" s="863"/>
      <c r="M58" s="866"/>
      <c r="N58" s="819" t="s">
        <v>415</v>
      </c>
      <c r="O58" s="820"/>
      <c r="P58" s="821"/>
      <c r="Q58" s="33">
        <f>COUNTIFS(input!$O:$O,February!$Q$50,input!$G:$G,February!N58,input!$A:$A,February!$B$2)</f>
        <v>0</v>
      </c>
      <c r="R58" s="33">
        <f>COUNTIFS(input!$O:$O,February!$R$50,input!$G:$G,February!N58,input!$A:$A,February!$B$2)</f>
        <v>0</v>
      </c>
      <c r="S58" s="33">
        <f>COUNTIFS(input!$O:$O,February!$S$50,input!$G:$G,February!N58,input!$A:$A,February!$B$2)</f>
        <v>0</v>
      </c>
      <c r="T58" s="38">
        <f>COUNTIFS(input!$O:$O,February!$T$50,input!$G:$G,February!N58,input!$A:$A,February!$B$2)</f>
        <v>0</v>
      </c>
      <c r="U58" s="38">
        <f>COUNTIFS(input!$O:$O,February!$U$50,input!$G:$G,February!N58,input!$A:$A,February!$B$2)</f>
        <v>0</v>
      </c>
      <c r="V58" s="38">
        <f>COUNTIFS(input!$O:$O,February!$V$50,input!$G:$G,February!N58,input!$A:$A,February!$B$2)</f>
        <v>0</v>
      </c>
      <c r="W58" s="38">
        <f>COUNTIFS(input!$O:$O,February!$W$50,input!$G:$G,February!N58,input!$A:$A,February!$B$2)</f>
        <v>0</v>
      </c>
      <c r="X58" s="300">
        <f>COUNTIFS(input!$O:$O,February!$X$50,input!$G:$G,February!N58,input!$A:$A,February!$B$2)</f>
        <v>0</v>
      </c>
      <c r="Y58" s="28">
        <f t="shared" si="4"/>
        <v>0</v>
      </c>
      <c r="Z58" s="56" cm="1">
        <f t="array" ref="Z58">_xlfn.IFS(Y58=0,0,Y58&gt;=1,Y58/Y$68)</f>
        <v>0</v>
      </c>
    </row>
    <row r="59" spans="2:26" ht="33" customHeight="1" x14ac:dyDescent="0.25">
      <c r="B59" s="905"/>
      <c r="C59" s="860"/>
      <c r="D59" s="828"/>
      <c r="E59" s="907"/>
      <c r="F59" s="907"/>
      <c r="G59" s="861"/>
      <c r="H59" s="861"/>
      <c r="I59" s="860"/>
      <c r="J59" s="861"/>
      <c r="K59" s="861"/>
      <c r="L59" s="863"/>
      <c r="M59" s="866"/>
      <c r="N59" s="773" t="s">
        <v>414</v>
      </c>
      <c r="O59" s="773"/>
      <c r="P59" s="772"/>
      <c r="Q59" s="33">
        <f>COUNTIFS(input!$O:$O,February!$Q$50,input!$G:$G,February!N59,input!$A:$A,February!$B$2)</f>
        <v>0</v>
      </c>
      <c r="R59" s="33">
        <f>COUNTIFS(input!$O:$O,February!$R$50,input!$G:$G,February!N59,input!$A:$A,February!$B$2)</f>
        <v>0</v>
      </c>
      <c r="S59" s="33">
        <f>COUNTIFS(input!$O:$O,February!$S$50,input!$G:$G,February!N59,input!$A:$A,February!$B$2)</f>
        <v>0</v>
      </c>
      <c r="T59" s="38">
        <f>COUNTIFS(input!$O:$O,February!$T$50,input!$G:$G,February!N59,input!$A:$A,February!$B$2)</f>
        <v>0</v>
      </c>
      <c r="U59" s="38">
        <f>COUNTIFS(input!$O:$O,February!$U$50,input!$G:$G,February!N59,input!$A:$A,February!$B$2)</f>
        <v>0</v>
      </c>
      <c r="V59" s="38">
        <f>COUNTIFS(input!$O:$O,February!$V$50,input!$G:$G,February!N59,input!$A:$A,February!$B$2)</f>
        <v>0</v>
      </c>
      <c r="W59" s="38">
        <f>COUNTIFS(input!$O:$O,February!$W$50,input!$G:$G,February!N59,input!$A:$A,February!$B$2)</f>
        <v>0</v>
      </c>
      <c r="X59" s="300">
        <f>COUNTIFS(input!$O:$O,February!$X$50,input!$G:$G,February!N59,input!$A:$A,February!$B$2)</f>
        <v>0</v>
      </c>
      <c r="Y59" s="28">
        <f t="shared" si="4"/>
        <v>0</v>
      </c>
      <c r="Z59" s="56" cm="1">
        <f t="array" ref="Z59">_xlfn.IFS(Y59=0,0,Y59&gt;=1,Y59/Y$68)</f>
        <v>0</v>
      </c>
    </row>
    <row r="60" spans="2:26" ht="33" customHeight="1" x14ac:dyDescent="0.25">
      <c r="B60" s="905"/>
      <c r="C60" s="860"/>
      <c r="D60" s="828"/>
      <c r="E60" s="907"/>
      <c r="F60" s="907"/>
      <c r="G60" s="861"/>
      <c r="H60" s="861"/>
      <c r="I60" s="860"/>
      <c r="J60" s="861"/>
      <c r="K60" s="861"/>
      <c r="L60" s="863"/>
      <c r="M60" s="866"/>
      <c r="N60" s="773" t="s">
        <v>398</v>
      </c>
      <c r="O60" s="773"/>
      <c r="P60" s="772"/>
      <c r="Q60" s="33">
        <f>COUNTIFS(input!$O:$O,February!$Q$50,input!$G:$G,February!N60,input!$A:$A,February!$B$2)</f>
        <v>0</v>
      </c>
      <c r="R60" s="33">
        <f>COUNTIFS(input!$O:$O,February!$R$50,input!$G:$G,February!N60,input!$A:$A,February!$B$2)</f>
        <v>0</v>
      </c>
      <c r="S60" s="33">
        <f>COUNTIFS(input!$O:$O,February!$S$50,input!$G:$G,February!N60,input!$A:$A,February!$B$2)</f>
        <v>0</v>
      </c>
      <c r="T60" s="38">
        <f>COUNTIFS(input!$O:$O,February!$T$50,input!$G:$G,February!N60,input!$A:$A,February!$B$2)</f>
        <v>0</v>
      </c>
      <c r="U60" s="38">
        <f>COUNTIFS(input!$O:$O,February!$U$50,input!$G:$G,February!N60,input!$A:$A,February!$B$2)</f>
        <v>0</v>
      </c>
      <c r="V60" s="38">
        <f>COUNTIFS(input!$O:$O,February!$V$50,input!$G:$G,February!N60,input!$A:$A,February!$B$2)</f>
        <v>0</v>
      </c>
      <c r="W60" s="38">
        <f>COUNTIFS(input!$O:$O,February!$W$50,input!$G:$G,February!N60,input!$A:$A,February!$B$2)</f>
        <v>0</v>
      </c>
      <c r="X60" s="300">
        <f>COUNTIFS(input!$O:$O,February!$X$50,input!$G:$G,February!N60,input!$A:$A,February!$B$2)</f>
        <v>0</v>
      </c>
      <c r="Y60" s="28">
        <f t="shared" si="4"/>
        <v>0</v>
      </c>
      <c r="Z60" s="56" cm="1">
        <f t="array" ref="Z60">_xlfn.IFS(Y60=0,0,Y60&gt;=1,Y60/Y$68)</f>
        <v>0</v>
      </c>
    </row>
    <row r="61" spans="2:26" ht="33" customHeight="1" x14ac:dyDescent="0.25">
      <c r="B61" s="905"/>
      <c r="C61" s="860"/>
      <c r="D61" s="908">
        <f>COUNTIFS(input!O:O,February!$D$26,input!E:E,February!B61)</f>
        <v>0</v>
      </c>
      <c r="E61" s="907">
        <f>COUNTIFS(input!P:P,February!$D$26,input!F:F,February!C61)</f>
        <v>0</v>
      </c>
      <c r="F61" s="907">
        <f>COUNTIFS(input!Q:Q,February!$D$26,input!G:G,February!D61)</f>
        <v>0</v>
      </c>
      <c r="G61" s="861">
        <f>COUNTIFS(input!R:R,February!$D$26,input!H:H,February!E61)</f>
        <v>0</v>
      </c>
      <c r="H61" s="861">
        <f>COUNTIFS(input!S:S,February!$D$26,input!I:I,February!F61)</f>
        <v>0</v>
      </c>
      <c r="I61" s="860">
        <f>COUNTIFS(input!T:T,February!$D$26,input!J:J,February!G61)</f>
        <v>0</v>
      </c>
      <c r="J61" s="861">
        <f>COUNTIFS(input!U:U,February!$D$26,input!K:K,February!H61)</f>
        <v>0</v>
      </c>
      <c r="K61" s="861">
        <f>COUNTIFS(input!V:V,February!$D$26,input!L:L,February!I61)</f>
        <v>0</v>
      </c>
      <c r="L61" s="864"/>
      <c r="M61" s="867"/>
      <c r="N61" s="773" t="s">
        <v>483</v>
      </c>
      <c r="O61" s="773"/>
      <c r="P61" s="772"/>
      <c r="Q61" s="33">
        <f>COUNTIFS(input!$O:$O,February!$Q$50,input!$G:$G,February!N61,input!$A:$A,February!$B$2)</f>
        <v>0</v>
      </c>
      <c r="R61" s="33">
        <f>COUNTIFS(input!$O:$O,February!$R$50,input!$G:$G,February!N61,input!$A:$A,February!$B$2)</f>
        <v>0</v>
      </c>
      <c r="S61" s="33">
        <f>COUNTIFS(input!$O:$O,February!$S$50,input!$G:$G,February!N61,input!$A:$A,February!$B$2)</f>
        <v>0</v>
      </c>
      <c r="T61" s="38">
        <f>COUNTIFS(input!$O:$O,February!$T$50,input!$G:$G,February!N61,input!$A:$A,February!$B$2)</f>
        <v>0</v>
      </c>
      <c r="U61" s="38">
        <f>COUNTIFS(input!$O:$O,February!$U$50,input!$G:$G,February!N61,input!$A:$A,February!$B$2)</f>
        <v>0</v>
      </c>
      <c r="V61" s="38">
        <f>COUNTIFS(input!$O:$O,February!$V$50,input!$G:$G,February!N61,input!$A:$A,February!$B$2)</f>
        <v>0</v>
      </c>
      <c r="W61" s="38">
        <f>COUNTIFS(input!$O:$O,February!$W$50,input!$G:$G,February!N61,input!$A:$A,February!$B$2)</f>
        <v>0</v>
      </c>
      <c r="X61" s="300">
        <f>COUNTIFS(input!$O:$O,February!$X$50,input!$G:$G,February!N61,input!$A:$A,February!$B$2)</f>
        <v>0</v>
      </c>
      <c r="Y61" s="28">
        <f t="shared" si="4"/>
        <v>0</v>
      </c>
      <c r="Z61" s="56" cm="1">
        <f t="array" ref="Z61">_xlfn.IFS(Y61=0,0,Y61&gt;=1,Y61/Y$68)</f>
        <v>0</v>
      </c>
    </row>
    <row r="62" spans="2:26" ht="33" customHeight="1" x14ac:dyDescent="0.25">
      <c r="B62" s="833" t="s">
        <v>15</v>
      </c>
      <c r="C62" s="834"/>
      <c r="D62" s="830">
        <f>COUNTIFS(input!$O:$O,February!$D$50,input!$K:$K,February!B62,input!$A:$A,February!$B$2)</f>
        <v>0</v>
      </c>
      <c r="E62" s="827">
        <f>COUNTIFS(input!$O:$O,February!$E$50,input!$K:$K,February!B62,input!$A:$A,February!$B$2)</f>
        <v>1</v>
      </c>
      <c r="F62" s="827">
        <f>COUNTIFS(input!$O:$O,February!$F$50,input!$K:$K,February!B62,input!$A:$A,February!$B$2)</f>
        <v>0</v>
      </c>
      <c r="G62" s="855">
        <f>COUNTIFS(input!$O:$O,February!$G$50,input!$K:$K,February!B62,input!$A:$A,February!$B$2)</f>
        <v>1</v>
      </c>
      <c r="H62" s="852">
        <f>COUNTIFS(input!$O:$O,February!$H$50,input!$K:$K,February!B62,input!$A:$A,February!$B$2)</f>
        <v>0</v>
      </c>
      <c r="I62" s="849">
        <f>COUNTIFS(input!$O:$O,February!$I$50,input!$K:$K,February!B62,input!$A:$A,February!$B$2)</f>
        <v>1</v>
      </c>
      <c r="J62" s="846">
        <f>COUNTIFS(input!$O:$O,February!$J$50,input!$K:$K,February!B62,input!$A:$A,February!$B$2)</f>
        <v>0</v>
      </c>
      <c r="K62" s="846">
        <f>COUNTIFS(input!$O:$O,February!$K$50,input!$K:$K,February!B62,input!$A:$A,February!$B$2)</f>
        <v>3</v>
      </c>
      <c r="L62" s="844">
        <f>SUM(D62:K67)</f>
        <v>6</v>
      </c>
      <c r="M62" s="841">
        <f>_xlfn.IFS(L62=0,0,L62&gt;=1,L62/L68)</f>
        <v>0.375</v>
      </c>
      <c r="N62" s="811" t="s">
        <v>659</v>
      </c>
      <c r="O62" s="773"/>
      <c r="P62" s="772"/>
      <c r="Q62" s="33">
        <f>COUNTIFS(input!$O:$O,February!$Q$50,input!$G:$G,February!N62,input!$A:$A,February!$B$2)</f>
        <v>0</v>
      </c>
      <c r="R62" s="33">
        <f>COUNTIFS(input!$O:$O,February!$R$50,input!$G:$G,February!N62,input!$A:$A,February!$B$2)</f>
        <v>0</v>
      </c>
      <c r="S62" s="33">
        <f>COUNTIFS(input!$O:$O,February!$S$50,input!$G:$G,February!N62,input!$A:$A,February!$B$2)</f>
        <v>0</v>
      </c>
      <c r="T62" s="38">
        <f>COUNTIFS(input!$O:$O,February!$T$50,input!$G:$G,February!N62,input!$A:$A,February!$B$2)</f>
        <v>0</v>
      </c>
      <c r="U62" s="38">
        <f>COUNTIFS(input!$O:$O,February!$U$50,input!$G:$G,February!N62,input!$A:$A,February!$B$2)</f>
        <v>1</v>
      </c>
      <c r="V62" s="38">
        <f>COUNTIFS(input!$O:$O,February!$V$50,input!$G:$G,February!N62,input!$A:$A,February!$B$2)</f>
        <v>0</v>
      </c>
      <c r="W62" s="38">
        <f>COUNTIFS(input!$O:$O,February!$W$50,input!$G:$G,February!N62,input!$A:$A,February!$B$2)</f>
        <v>0</v>
      </c>
      <c r="X62" s="300">
        <f>COUNTIFS(input!$O:$O,February!$X$50,input!$G:$G,February!N62,input!$A:$A,February!$B$2)</f>
        <v>0</v>
      </c>
      <c r="Y62" s="28">
        <f t="shared" si="4"/>
        <v>1</v>
      </c>
      <c r="Z62" s="56" cm="1">
        <f t="array" ref="Z62">_xlfn.IFS(Y62=0,0,Y62&gt;=1,Y62/Y$68)</f>
        <v>6.6666666666666666E-2</v>
      </c>
    </row>
    <row r="63" spans="2:26" ht="33" customHeight="1" x14ac:dyDescent="0.25">
      <c r="B63" s="835"/>
      <c r="C63" s="836"/>
      <c r="D63" s="831"/>
      <c r="E63" s="828"/>
      <c r="F63" s="828"/>
      <c r="G63" s="856"/>
      <c r="H63" s="853"/>
      <c r="I63" s="850"/>
      <c r="J63" s="847"/>
      <c r="K63" s="847"/>
      <c r="L63" s="844"/>
      <c r="M63" s="842"/>
      <c r="N63" s="773" t="s">
        <v>694</v>
      </c>
      <c r="O63" s="773"/>
      <c r="P63" s="772"/>
      <c r="Q63" s="33">
        <f>COUNTIFS(input!$O:$O,February!$Q$50,input!$G:$G,February!N63,input!$A:$A,February!$B$2)</f>
        <v>0</v>
      </c>
      <c r="R63" s="33">
        <f>COUNTIFS(input!$O:$O,February!$R$50,input!$G:$G,February!N63,input!$A:$A,February!$B$2)</f>
        <v>0</v>
      </c>
      <c r="S63" s="33">
        <f>COUNTIFS(input!$O:$O,February!$S$50,input!$G:$G,February!N63,input!$A:$A,February!$B$2)</f>
        <v>0</v>
      </c>
      <c r="T63" s="38">
        <f>COUNTIFS(input!$O:$O,February!$T$50,input!$G:$G,February!N63,input!$A:$A,February!$B$2)</f>
        <v>0</v>
      </c>
      <c r="U63" s="38">
        <f>COUNTIFS(input!$O:$O,February!$U$50,input!$G:$G,February!N63,input!$A:$A,February!$B$2)</f>
        <v>0</v>
      </c>
      <c r="V63" s="38">
        <f>COUNTIFS(input!$O:$O,February!$V$50,input!$G:$G,February!N63,input!$A:$A,February!$B$2)</f>
        <v>0</v>
      </c>
      <c r="W63" s="38">
        <f>COUNTIFS(input!$O:$O,February!$W$50,input!$G:$G,February!N63,input!$A:$A,February!$B$2)</f>
        <v>0</v>
      </c>
      <c r="X63" s="300">
        <f>COUNTIFS(input!$O:$O,February!$X$50,input!$G:$G,February!N63,input!$A:$A,February!$B$2)</f>
        <v>1</v>
      </c>
      <c r="Y63" s="28">
        <f t="shared" si="4"/>
        <v>1</v>
      </c>
      <c r="Z63" s="56" cm="1">
        <f t="array" ref="Z63">_xlfn.IFS(Y63=0,0,Y63&gt;=1,Y63/Y$68)</f>
        <v>6.6666666666666666E-2</v>
      </c>
    </row>
    <row r="64" spans="2:26" ht="33" x14ac:dyDescent="0.25">
      <c r="B64" s="835"/>
      <c r="C64" s="836"/>
      <c r="D64" s="831"/>
      <c r="E64" s="828"/>
      <c r="F64" s="828"/>
      <c r="G64" s="856"/>
      <c r="H64" s="853"/>
      <c r="I64" s="850"/>
      <c r="J64" s="847"/>
      <c r="K64" s="847"/>
      <c r="L64" s="844"/>
      <c r="M64" s="842"/>
      <c r="N64" s="773" t="s">
        <v>678</v>
      </c>
      <c r="O64" s="773"/>
      <c r="P64" s="772"/>
      <c r="Q64" s="33">
        <f>COUNTIFS(input!$O:$O,February!$Q$50,input!$G:$G,February!N64,input!$A:$A,February!$B$2)</f>
        <v>0</v>
      </c>
      <c r="R64" s="33">
        <f>COUNTIFS(input!$O:$O,February!$R$50,input!$G:$G,February!N64,input!$A:$A,February!$B$2)</f>
        <v>0</v>
      </c>
      <c r="S64" s="33">
        <f>COUNTIFS(input!$O:$O,February!$S$50,input!$G:$G,February!N64,input!$A:$A,February!$B$2)</f>
        <v>0</v>
      </c>
      <c r="T64" s="38">
        <f>COUNTIFS(input!$O:$O,February!$T$50,input!$G:$G,February!N64,input!$A:$A,February!$B$2)</f>
        <v>0</v>
      </c>
      <c r="U64" s="38">
        <f>COUNTIFS(input!$O:$O,February!$U$50,input!$G:$G,February!N64,input!$A:$A,February!$B$2)</f>
        <v>0</v>
      </c>
      <c r="V64" s="38">
        <f>COUNTIFS(input!$O:$O,February!$V$50,input!$G:$G,February!N64,input!$A:$A,February!$B$2)</f>
        <v>0</v>
      </c>
      <c r="W64" s="38">
        <f>COUNTIFS(input!$O:$O,February!$W$50,input!$G:$G,February!N64,input!$A:$A,February!$B$2)</f>
        <v>0</v>
      </c>
      <c r="X64" s="300">
        <f>COUNTIFS(input!$O:$O,February!$X$50,input!$G:$G,February!N64,input!$A:$A,February!$B$2)</f>
        <v>1</v>
      </c>
      <c r="Y64" s="28">
        <f t="shared" si="4"/>
        <v>1</v>
      </c>
      <c r="Z64" s="56" cm="1">
        <f t="array" ref="Z64">_xlfn.IFS(Y64=0,0,Y64&gt;=1,Y64/Y$68)</f>
        <v>6.6666666666666666E-2</v>
      </c>
    </row>
    <row r="65" spans="2:26" ht="33" customHeight="1" x14ac:dyDescent="0.25">
      <c r="B65" s="835"/>
      <c r="C65" s="836"/>
      <c r="D65" s="831"/>
      <c r="E65" s="828"/>
      <c r="F65" s="828"/>
      <c r="G65" s="856"/>
      <c r="H65" s="853"/>
      <c r="I65" s="850"/>
      <c r="J65" s="847"/>
      <c r="K65" s="847"/>
      <c r="L65" s="844"/>
      <c r="M65" s="842"/>
      <c r="N65" s="773" t="s">
        <v>710</v>
      </c>
      <c r="O65" s="773"/>
      <c r="P65" s="772"/>
      <c r="Q65" s="33">
        <f>COUNTIFS(input!$O:$O,February!$Q$50,input!$G:$G,February!N65,input!$A:$A,February!$B$2)</f>
        <v>0</v>
      </c>
      <c r="R65" s="33">
        <f>COUNTIFS(input!$O:$O,February!$R$50,input!$G:$G,February!N65,input!$A:$A,February!$B$2)</f>
        <v>0</v>
      </c>
      <c r="S65" s="33">
        <f>COUNTIFS(input!$O:$O,February!$S$50,input!$G:$G,February!N65,input!$A:$A,February!$B$2)</f>
        <v>0</v>
      </c>
      <c r="T65" s="38">
        <f>COUNTIFS(input!$O:$O,February!$T$50,input!$G:$G,February!N65,input!$A:$A,February!$B$2)</f>
        <v>0</v>
      </c>
      <c r="U65" s="38">
        <f>COUNTIFS(input!$O:$O,February!$U$50,input!$G:$G,February!N65,input!$A:$A,February!$B$2)</f>
        <v>0</v>
      </c>
      <c r="V65" s="38">
        <f>COUNTIFS(input!$O:$O,February!$V$50,input!$G:$G,February!N65,input!$A:$A,February!$B$2)</f>
        <v>0</v>
      </c>
      <c r="W65" s="38">
        <f>COUNTIFS(input!$O:$O,February!$W$50,input!$G:$G,February!N65,input!$A:$A,February!$B$2)</f>
        <v>0</v>
      </c>
      <c r="X65" s="300">
        <f>COUNTIFS(input!$O:$O,February!$X$50,input!$G:$G,February!N65,input!$A:$A,February!$B$2)</f>
        <v>1</v>
      </c>
      <c r="Y65" s="28">
        <f t="shared" si="4"/>
        <v>1</v>
      </c>
      <c r="Z65" s="56" cm="1">
        <f t="array" ref="Z65">_xlfn.IFS(Y65=0,0,Y65&gt;=1,Y65/Y$68)</f>
        <v>6.6666666666666666E-2</v>
      </c>
    </row>
    <row r="66" spans="2:26" ht="33" customHeight="1" x14ac:dyDescent="0.25">
      <c r="B66" s="835"/>
      <c r="C66" s="836"/>
      <c r="D66" s="831"/>
      <c r="E66" s="828"/>
      <c r="F66" s="828"/>
      <c r="G66" s="856"/>
      <c r="H66" s="853"/>
      <c r="I66" s="850"/>
      <c r="J66" s="847"/>
      <c r="K66" s="847"/>
      <c r="L66" s="844"/>
      <c r="M66" s="842"/>
      <c r="N66" s="819" t="s">
        <v>715</v>
      </c>
      <c r="O66" s="820"/>
      <c r="P66" s="821"/>
      <c r="Q66" s="33">
        <f>COUNTIFS(input!$O:$O,February!$Q$50,input!$G:$G,February!N66,input!$A:$A,February!$B$2)</f>
        <v>0</v>
      </c>
      <c r="R66" s="33">
        <f>COUNTIFS(input!$O:$O,February!$R$50,input!$G:$G,February!N66,input!$A:$A,February!$B$2)</f>
        <v>0</v>
      </c>
      <c r="S66" s="33">
        <f>COUNTIFS(input!$O:$O,February!$S$50,input!$G:$G,February!N66,input!$A:$A,February!$B$2)</f>
        <v>0</v>
      </c>
      <c r="T66" s="38">
        <f>COUNTIFS(input!$O:$O,February!$T$50,input!$G:$G,February!N66,input!$A:$A,February!$B$2)</f>
        <v>0</v>
      </c>
      <c r="U66" s="38">
        <f>COUNTIFS(input!$O:$O,February!$U$50,input!$G:$G,February!N66,input!$A:$A,February!$B$2)</f>
        <v>0</v>
      </c>
      <c r="V66" s="38">
        <f>COUNTIFS(input!$O:$O,February!$V$50,input!$G:$G,February!N66,input!$A:$A,February!$B$2)</f>
        <v>0</v>
      </c>
      <c r="W66" s="38">
        <f>COUNTIFS(input!$O:$O,February!$W$50,input!$G:$G,February!N66,input!$A:$A,February!$B$2)</f>
        <v>0</v>
      </c>
      <c r="X66" s="300">
        <f>COUNTIFS(input!$O:$O,February!$X$50,input!$G:$G,February!N66,input!$A:$A,February!$B$2)</f>
        <v>1</v>
      </c>
      <c r="Y66" s="28">
        <f t="shared" si="4"/>
        <v>1</v>
      </c>
      <c r="Z66" s="56" cm="1">
        <f t="array" ref="Z66">_xlfn.IFS(Y66=0,0,Y66&gt;=1,Y66/Y$68)</f>
        <v>6.6666666666666666E-2</v>
      </c>
    </row>
    <row r="67" spans="2:26" ht="33" x14ac:dyDescent="0.25">
      <c r="B67" s="837"/>
      <c r="C67" s="838"/>
      <c r="D67" s="832"/>
      <c r="E67" s="829"/>
      <c r="F67" s="829"/>
      <c r="G67" s="857"/>
      <c r="H67" s="854"/>
      <c r="I67" s="851"/>
      <c r="J67" s="848"/>
      <c r="K67" s="848"/>
      <c r="L67" s="845"/>
      <c r="M67" s="843"/>
      <c r="N67" s="839" t="s">
        <v>704</v>
      </c>
      <c r="O67" s="839"/>
      <c r="P67" s="840"/>
      <c r="Q67" s="46">
        <f>COUNTIFS(input!$O:$O,February!$Q$50,input!$G:$G,February!N67,input!$A:$A,February!$B$2)</f>
        <v>0</v>
      </c>
      <c r="R67" s="46">
        <f>COUNTIFS(input!$O:$O,February!$R$50,input!$G:$G,February!N67,input!$A:$A,February!$B$2)</f>
        <v>0</v>
      </c>
      <c r="S67" s="46">
        <f>COUNTIFS(input!$O:$O,February!$S$50,input!$G:$G,February!N67,input!$A:$A,February!$B$2)</f>
        <v>0</v>
      </c>
      <c r="T67" s="48">
        <f>COUNTIFS(input!$O:$O,February!$T$50,input!$G:$G,February!N67,input!$A:$A,February!$B$2)</f>
        <v>0</v>
      </c>
      <c r="U67" s="48">
        <f>COUNTIFS(input!$O:$O,February!$U$50,input!$G:$G,February!N67,input!$A:$A,February!$B$2)</f>
        <v>0</v>
      </c>
      <c r="V67" s="48">
        <f>COUNTIFS(input!$O:$O,February!$V$50,input!$G:$G,February!N67,input!$A:$A,February!$B$2)</f>
        <v>0</v>
      </c>
      <c r="W67" s="48">
        <f>COUNTIFS(input!$O:$O,February!$W$50,input!$G:$G,February!N67,input!$A:$A,February!$B$2)</f>
        <v>0</v>
      </c>
      <c r="X67" s="301">
        <f>COUNTIFS(input!$O:$O,February!$X$50,input!$G:$G,February!N67,input!$A:$A,February!$B$2)</f>
        <v>1</v>
      </c>
      <c r="Y67" s="28">
        <f t="shared" si="4"/>
        <v>1</v>
      </c>
      <c r="Z67" s="56" cm="1">
        <f t="array" ref="Z67">_xlfn.IFS(Y67=0,0,Y67&gt;=1,Y67/Y$68)</f>
        <v>6.6666666666666666E-2</v>
      </c>
    </row>
    <row r="68" spans="2:26" ht="33" thickBot="1" x14ac:dyDescent="0.3">
      <c r="B68" s="915" t="s">
        <v>4</v>
      </c>
      <c r="C68" s="808"/>
      <c r="D68" s="57">
        <f t="shared" ref="D68:K68" si="5">SUM(D51:D65)</f>
        <v>0</v>
      </c>
      <c r="E68" s="57">
        <f t="shared" si="5"/>
        <v>2</v>
      </c>
      <c r="F68" s="57">
        <f t="shared" si="5"/>
        <v>0</v>
      </c>
      <c r="G68" s="57">
        <f t="shared" si="5"/>
        <v>5</v>
      </c>
      <c r="H68" s="57">
        <f t="shared" si="5"/>
        <v>1</v>
      </c>
      <c r="I68" s="57">
        <f t="shared" si="5"/>
        <v>3</v>
      </c>
      <c r="J68" s="57">
        <f t="shared" si="5"/>
        <v>0</v>
      </c>
      <c r="K68" s="57">
        <f t="shared" si="5"/>
        <v>5</v>
      </c>
      <c r="L68" s="57">
        <f>SUM(L51:L65)</f>
        <v>16</v>
      </c>
      <c r="M68" s="66">
        <f>SUM(M51:M65)</f>
        <v>1</v>
      </c>
      <c r="N68" s="807" t="s">
        <v>4</v>
      </c>
      <c r="O68" s="807"/>
      <c r="P68" s="808"/>
      <c r="Q68" s="57">
        <f>SUM(Q51:Q65)</f>
        <v>0</v>
      </c>
      <c r="R68" s="57">
        <f t="shared" ref="R68:W68" si="6">SUM(R51:R65)</f>
        <v>2</v>
      </c>
      <c r="S68" s="57">
        <f t="shared" si="6"/>
        <v>0</v>
      </c>
      <c r="T68" s="57">
        <f t="shared" si="6"/>
        <v>4</v>
      </c>
      <c r="U68" s="57">
        <f t="shared" si="6"/>
        <v>1</v>
      </c>
      <c r="V68" s="57">
        <f t="shared" si="6"/>
        <v>3</v>
      </c>
      <c r="W68" s="57">
        <f t="shared" si="6"/>
        <v>0</v>
      </c>
      <c r="X68" s="57">
        <f>SUM(X51:X67)</f>
        <v>5</v>
      </c>
      <c r="Y68" s="57">
        <f>SUM(Y51:Y67)</f>
        <v>15</v>
      </c>
      <c r="Z68" s="67">
        <f>SUM(Z51:Z67)</f>
        <v>0.99999999999999989</v>
      </c>
    </row>
    <row r="69" spans="2:26" ht="61.5" customHeight="1" x14ac:dyDescent="0.25">
      <c r="B69" s="822" t="s">
        <v>44</v>
      </c>
      <c r="C69" s="823"/>
      <c r="D69" s="24" t="s">
        <v>6</v>
      </c>
      <c r="E69" s="24" t="s">
        <v>2</v>
      </c>
      <c r="F69" s="24" t="s">
        <v>3</v>
      </c>
      <c r="G69" s="24" t="s">
        <v>1</v>
      </c>
      <c r="H69" s="24" t="s">
        <v>0</v>
      </c>
      <c r="I69" s="24" t="s">
        <v>53</v>
      </c>
      <c r="J69" s="24" t="s">
        <v>12</v>
      </c>
      <c r="K69" s="24" t="s">
        <v>693</v>
      </c>
      <c r="L69" s="24" t="s">
        <v>5</v>
      </c>
      <c r="M69" s="58" t="s">
        <v>40</v>
      </c>
      <c r="N69" s="824" t="s">
        <v>70</v>
      </c>
      <c r="O69" s="824"/>
      <c r="P69" s="823"/>
      <c r="Q69" s="24" t="s">
        <v>6</v>
      </c>
      <c r="R69" s="24" t="s">
        <v>2</v>
      </c>
      <c r="S69" s="24" t="s">
        <v>3</v>
      </c>
      <c r="T69" s="24" t="s">
        <v>1</v>
      </c>
      <c r="U69" s="24" t="s">
        <v>0</v>
      </c>
      <c r="V69" s="24" t="s">
        <v>53</v>
      </c>
      <c r="W69" s="24" t="s">
        <v>12</v>
      </c>
      <c r="X69" s="24" t="s">
        <v>693</v>
      </c>
      <c r="Y69" s="24" t="s">
        <v>5</v>
      </c>
      <c r="Z69" s="25" t="s">
        <v>40</v>
      </c>
    </row>
    <row r="70" spans="2:26" ht="33" customHeight="1" x14ac:dyDescent="0.25">
      <c r="B70" s="771" t="s">
        <v>357</v>
      </c>
      <c r="C70" s="772"/>
      <c r="D70" s="26">
        <f>COUNTIFS(input!$O:$O,February!$D$69,input!$W:$W,February!B70,input!$A:$A,February!$B$2)</f>
        <v>0</v>
      </c>
      <c r="E70" s="26">
        <f>COUNTIFS(input!$O:$O,February!$E$69,input!$W:$W,February!B70,input!$A:$A,February!$B$2)</f>
        <v>0</v>
      </c>
      <c r="F70" s="26">
        <f>COUNTIFS(input!$O:$O,February!$F$69,input!$W:$W,February!B70,input!$A:$A,February!$B$2)</f>
        <v>0</v>
      </c>
      <c r="G70" s="30">
        <f>COUNTIFS(input!$O:$O,February!$G$69,input!$W:$W,February!B70,input!$A:$A,February!$B$2)</f>
        <v>0</v>
      </c>
      <c r="H70" s="30">
        <f>COUNTIFS(input!$O:$O,February!$H$69,input!$W:$W,February!B70,input!$A:$A,February!$B$2)</f>
        <v>0</v>
      </c>
      <c r="I70" s="30">
        <f>COUNTIFS(input!$O:$O,February!$I$69,input!$W:$W,February!B70,input!$A:$A,February!$B$2)</f>
        <v>0</v>
      </c>
      <c r="J70" s="30">
        <f>COUNTIFS(input!$O:$O,February!$J$69,input!$W:$W,February!B70,input!$A:$A,February!$B$2)</f>
        <v>0</v>
      </c>
      <c r="K70" s="30">
        <f>COUNTIFS(input!$O:$O,February!$K$69,input!$W:$W,February!B70,input!$A:$A,February!$B$2)</f>
        <v>0</v>
      </c>
      <c r="L70" s="28">
        <f>SUM(D70:K70)</f>
        <v>0</v>
      </c>
      <c r="M70" s="29" cm="1">
        <f t="array" ref="M70">_xlfn.IFS(L70=0,0,L70&gt;=1,L70/L94)</f>
        <v>0</v>
      </c>
      <c r="N70" s="825" t="s">
        <v>370</v>
      </c>
      <c r="O70" s="825"/>
      <c r="P70" s="826"/>
      <c r="Q70" s="26">
        <f>COUNTIFS(input!$O:$O,February!$Q$69,input!$X:$X,February!N70,input!$A:$A,February!$B$2)</f>
        <v>0</v>
      </c>
      <c r="R70" s="26">
        <f>COUNTIFS(input!$O:$O,February!$R$69,input!$X:$X,February!N70,input!$A:$A,February!$B$2)</f>
        <v>0</v>
      </c>
      <c r="S70" s="26">
        <f>COUNTIFS(input!$O:$O,February!$S$69,input!$X:$X,February!N70,input!$A:$A,February!$B$2)</f>
        <v>0</v>
      </c>
      <c r="T70" s="30">
        <f>COUNTIFS(input!$O:$O,February!$T$69,input!$X:$X,February!N70,input!$A:$A,February!$B$2)</f>
        <v>1</v>
      </c>
      <c r="U70" s="30">
        <f>COUNTIFS(input!$O:$O,February!$U$69,input!$X:$X,February!N70,input!$A:$A,February!$B$2)</f>
        <v>0</v>
      </c>
      <c r="V70" s="31">
        <f>COUNTIFS(input!$O:$O,February!$V$69,input!$X:$X,February!N70,input!$A:$A,February!$B$2)</f>
        <v>1</v>
      </c>
      <c r="W70" s="31">
        <f>COUNTIFS(input!$O:$O,February!$W$69,input!$X:$X,February!N70,input!$A:$A,February!$B$2)</f>
        <v>0</v>
      </c>
      <c r="X70" s="31"/>
      <c r="Y70" s="28">
        <f>SUM(Q70:W70)</f>
        <v>2</v>
      </c>
      <c r="Z70" s="32" cm="1">
        <f t="array" ref="Z70">_xlfn.IFS(Y70=0,0,Y70&gt;=1,Y70/Y$94)</f>
        <v>0.22222222222222221</v>
      </c>
    </row>
    <row r="71" spans="2:26" ht="33" customHeight="1" x14ac:dyDescent="0.25">
      <c r="B71" s="809" t="s">
        <v>605</v>
      </c>
      <c r="C71" s="810"/>
      <c r="D71" s="33">
        <f>COUNTIFS(input!$O:$O,February!$D$69,input!$W:$W,February!B71,input!$A:$A,February!$B$2)</f>
        <v>0</v>
      </c>
      <c r="E71" s="33">
        <f>COUNTIFS(input!$O:$O,February!$E$69,input!$W:$W,February!B71,input!$A:$A,February!$B$2)</f>
        <v>0</v>
      </c>
      <c r="F71" s="33">
        <f>COUNTIFS(input!$O:$O,February!$F$69,input!$W:$W,February!B71,input!$A:$A,February!$B$2)</f>
        <v>0</v>
      </c>
      <c r="G71" s="38">
        <f>COUNTIFS(input!$O:$O,February!$G$69,input!$W:$W,February!B71,input!$A:$A,February!$B$2)</f>
        <v>1</v>
      </c>
      <c r="H71" s="37">
        <f>COUNTIFS(input!$O:$O,February!$H$69,input!$W:$W,February!B71,input!$A:$A,February!$B$2)</f>
        <v>0</v>
      </c>
      <c r="I71" s="37">
        <f>COUNTIFS(input!$O:$O,February!$I$69,input!$W:$W,February!B71,input!$A:$A,February!$B$2)</f>
        <v>0</v>
      </c>
      <c r="J71" s="37">
        <f>COUNTIFS(input!$O:$O,February!$J$69,input!$W:$W,February!B71,input!$A:$A,February!$B$2)</f>
        <v>0</v>
      </c>
      <c r="K71" s="297">
        <f>COUNTIFS(input!$O:$O,February!$K$69,input!$W:$W,February!B71,input!$A:$A,February!$B$2)</f>
        <v>0</v>
      </c>
      <c r="L71" s="28">
        <f>SUM(D71:K71)</f>
        <v>1</v>
      </c>
      <c r="M71" s="36" cm="1">
        <f t="array" ref="M71">_xlfn.IFS(L71=0,0,L71&gt;=1,L71/L94)</f>
        <v>6.25E-2</v>
      </c>
      <c r="N71" s="819" t="s">
        <v>371</v>
      </c>
      <c r="O71" s="820"/>
      <c r="P71" s="821"/>
      <c r="Q71" s="33">
        <f>COUNTIFS(input!$O:$O,February!$Q$69,input!$X:$X,February!N71,input!$A:$A,February!$B$2)</f>
        <v>0</v>
      </c>
      <c r="R71" s="33">
        <f>COUNTIFS(input!$O:$O,February!$R$69,input!$X:$X,February!N71,input!$A:$A,February!$B$2)</f>
        <v>0</v>
      </c>
      <c r="S71" s="33">
        <f>COUNTIFS(input!$O:$O,February!$S$69,input!$X:$X,February!N71,input!$A:$A,February!$B$2)</f>
        <v>0</v>
      </c>
      <c r="T71" s="38">
        <f>COUNTIFS(input!$O:$O,February!$T$69,input!$X:$X,February!N71,input!$A:$A,February!$B$2)</f>
        <v>0</v>
      </c>
      <c r="U71" s="38">
        <f>COUNTIFS(input!$O:$O,February!$U$69,input!$X:$X,February!N71,input!$A:$A,February!$B$2)</f>
        <v>0</v>
      </c>
      <c r="V71" s="39">
        <f>COUNTIFS(input!$O:$O,February!$V$69,input!$X:$X,February!N71,input!$A:$A,February!$B$2)</f>
        <v>1</v>
      </c>
      <c r="W71" s="39">
        <f>COUNTIFS(input!$O:$O,February!$W$69,input!$X:$X,February!N71,input!$A:$A,February!$B$2)</f>
        <v>0</v>
      </c>
      <c r="X71" s="299"/>
      <c r="Y71" s="28">
        <f>SUM(Q71:W71)</f>
        <v>1</v>
      </c>
      <c r="Z71" s="32" cm="1">
        <f t="array" ref="Z71">_xlfn.IFS(Y71=0,0,Y71&gt;=1,Y71/Y$94)</f>
        <v>0.1111111111111111</v>
      </c>
    </row>
    <row r="72" spans="2:26" ht="33" customHeight="1" x14ac:dyDescent="0.25">
      <c r="B72" s="771" t="s">
        <v>359</v>
      </c>
      <c r="C72" s="772"/>
      <c r="D72" s="33">
        <f>COUNTIFS(input!$O:$O,February!$D$69,input!$W:$W,February!B72,input!$A:$A,February!$B$2)</f>
        <v>0</v>
      </c>
      <c r="E72" s="33">
        <f>COUNTIFS(input!$O:$O,February!$E$69,input!$W:$W,February!B72,input!$A:$A,February!$B$2)</f>
        <v>0</v>
      </c>
      <c r="F72" s="33">
        <f>COUNTIFS(input!$O:$O,February!$F$69,input!$W:$W,February!B72,input!$A:$A,February!$B$2)</f>
        <v>0</v>
      </c>
      <c r="G72" s="38">
        <f>COUNTIFS(input!$O:$O,February!$G$69,input!$W:$W,February!B72,input!$A:$A,February!$B$2)</f>
        <v>0</v>
      </c>
      <c r="H72" s="37">
        <f>COUNTIFS(input!$O:$O,February!$H$69,input!$W:$W,February!B72,input!$A:$A,February!$B$2)</f>
        <v>0</v>
      </c>
      <c r="I72" s="37">
        <f>COUNTIFS(input!$O:$O,February!$I$69,input!$W:$W,February!B72,input!$A:$A,February!$B$2)</f>
        <v>0</v>
      </c>
      <c r="J72" s="37">
        <f>COUNTIFS(input!$O:$O,February!$J$69,input!$W:$W,February!B72,input!$A:$A,February!$B$2)</f>
        <v>0</v>
      </c>
      <c r="K72" s="297">
        <f>COUNTIFS(input!$O:$O,February!$K$69,input!$W:$W,February!B72,input!$A:$A,February!$B$2)</f>
        <v>0</v>
      </c>
      <c r="L72" s="28">
        <f t="shared" ref="L72:L93" si="7">SUM(D72:K72)</f>
        <v>0</v>
      </c>
      <c r="M72" s="36" cm="1">
        <f t="array" ref="M72">_xlfn.IFS(L72=0,0,L72&gt;=1,L72/L94)</f>
        <v>0</v>
      </c>
      <c r="N72" s="819" t="s">
        <v>372</v>
      </c>
      <c r="O72" s="820"/>
      <c r="P72" s="821"/>
      <c r="Q72" s="33">
        <f>COUNTIFS(input!$O:$O,February!$Q$69,input!$X:$X,February!N72,input!$A:$A,February!$B$2)</f>
        <v>0</v>
      </c>
      <c r="R72" s="33">
        <f>COUNTIFS(input!$O:$O,February!$R$69,input!$X:$X,February!N72,input!$A:$A,February!$B$2)</f>
        <v>1</v>
      </c>
      <c r="S72" s="33">
        <f>COUNTIFS(input!$O:$O,February!$S$69,input!$X:$X,February!N72,input!$A:$A,February!$B$2)</f>
        <v>0</v>
      </c>
      <c r="T72" s="38">
        <f>COUNTIFS(input!$O:$O,February!$T$69,input!$X:$X,February!N72,input!$A:$A,February!$B$2)</f>
        <v>1</v>
      </c>
      <c r="U72" s="38">
        <f>COUNTIFS(input!$O:$O,February!$U$69,input!$X:$X,February!N72,input!$A:$A,February!$B$2)</f>
        <v>0</v>
      </c>
      <c r="V72" s="39">
        <f>COUNTIFS(input!$O:$O,February!$V$69,input!$X:$X,February!N72,input!$A:$A,February!$B$2)</f>
        <v>0</v>
      </c>
      <c r="W72" s="39">
        <f>COUNTIFS(input!$O:$O,February!$W$69,input!$X:$X,February!N72,input!$A:$A,February!$B$2)</f>
        <v>0</v>
      </c>
      <c r="X72" s="299"/>
      <c r="Y72" s="28">
        <f>SUM(Q72:W72)</f>
        <v>2</v>
      </c>
      <c r="Z72" s="32" cm="1">
        <f t="array" ref="Z72">_xlfn.IFS(Y72=0,0,Y72&gt;=1,Y72/Y$94)</f>
        <v>0.22222222222222221</v>
      </c>
    </row>
    <row r="73" spans="2:26" ht="33" customHeight="1" x14ac:dyDescent="0.25">
      <c r="B73" s="809" t="s">
        <v>648</v>
      </c>
      <c r="C73" s="810"/>
      <c r="D73" s="33">
        <f>COUNTIFS(input!$O:$O,February!$D$69,input!$W:$W,February!B73,input!$A:$A,February!$B$2)</f>
        <v>0</v>
      </c>
      <c r="E73" s="33">
        <f>COUNTIFS(input!$O:$O,February!$E$69,input!$W:$W,February!B73,input!$A:$A,February!$B$2)</f>
        <v>0</v>
      </c>
      <c r="F73" s="33">
        <f>COUNTIFS(input!$O:$O,February!$F$69,input!$W:$W,February!B73,input!$A:$A,February!$B$2)</f>
        <v>0</v>
      </c>
      <c r="G73" s="38">
        <f>COUNTIFS(input!$O:$O,February!$G$69,input!$W:$W,February!B73,input!$A:$A,February!$B$2)</f>
        <v>1</v>
      </c>
      <c r="H73" s="37">
        <f>COUNTIFS(input!$O:$O,February!$H$69,input!$W:$W,February!B73,input!$A:$A,February!$B$2)</f>
        <v>0</v>
      </c>
      <c r="I73" s="37">
        <f>COUNTIFS(input!$O:$O,February!$I$69,input!$W:$W,February!B73,input!$A:$A,February!$B$2)</f>
        <v>0</v>
      </c>
      <c r="J73" s="37">
        <f>COUNTIFS(input!$O:$O,February!$J$69,input!$W:$W,February!B73,input!$A:$A,February!$B$2)</f>
        <v>0</v>
      </c>
      <c r="K73" s="297">
        <f>COUNTIFS(input!$O:$O,February!$K$69,input!$W:$W,February!B73,input!$A:$A,February!$B$2)</f>
        <v>0</v>
      </c>
      <c r="L73" s="28">
        <f t="shared" si="7"/>
        <v>1</v>
      </c>
      <c r="M73" s="36" cm="1">
        <f t="array" ref="M73">_xlfn.IFS(L73=0,0,L73&gt;=1,L73/L94)</f>
        <v>6.25E-2</v>
      </c>
      <c r="N73" s="819" t="s">
        <v>373</v>
      </c>
      <c r="O73" s="820"/>
      <c r="P73" s="821"/>
      <c r="Q73" s="33">
        <f>COUNTIFS(input!$O:$O,February!$Q$69,input!$X:$X,February!N73,input!$A:$A,February!$B$2)</f>
        <v>0</v>
      </c>
      <c r="R73" s="33">
        <f>COUNTIFS(input!$O:$O,February!$R$69,input!$X:$X,February!N73,input!$A:$A,February!$B$2)</f>
        <v>0</v>
      </c>
      <c r="S73" s="33">
        <f>COUNTIFS(input!$O:$O,February!$S$69,input!$X:$X,February!N73,input!$A:$A,February!$B$2)</f>
        <v>0</v>
      </c>
      <c r="T73" s="38">
        <f>COUNTIFS(input!$O:$O,February!$T$69,input!$X:$X,February!N73,input!$A:$A,February!$B$2)</f>
        <v>0</v>
      </c>
      <c r="U73" s="38">
        <f>COUNTIFS(input!$O:$O,February!$U$69,input!$X:$X,February!N73,input!$A:$A,February!$B$2)</f>
        <v>0</v>
      </c>
      <c r="V73" s="39">
        <f>COUNTIFS(input!$O:$O,February!$V$69,input!$X:$X,February!N73,input!$A:$A,February!$B$2)</f>
        <v>0</v>
      </c>
      <c r="W73" s="39">
        <f>COUNTIFS(input!$O:$O,February!$W$69,input!$X:$X,February!N73,input!$A:$A,February!$B$2)</f>
        <v>0</v>
      </c>
      <c r="X73" s="299"/>
      <c r="Y73" s="28">
        <f t="shared" ref="Y73:Y93" si="8">SUM(Q73:W73)</f>
        <v>0</v>
      </c>
      <c r="Z73" s="32" cm="1">
        <f t="array" ref="Z73">_xlfn.IFS(Y73=0,0,Y73&gt;=1,Y73/Y$94)</f>
        <v>0</v>
      </c>
    </row>
    <row r="74" spans="2:26" ht="33" customHeight="1" x14ac:dyDescent="0.25">
      <c r="B74" s="771" t="s">
        <v>358</v>
      </c>
      <c r="C74" s="772"/>
      <c r="D74" s="33">
        <f>COUNTIFS(input!$O:$O,February!$D$69,input!$W:$W,February!B74,input!$A:$A,February!$B$2)</f>
        <v>0</v>
      </c>
      <c r="E74" s="33">
        <f>COUNTIFS(input!$O:$O,February!$E$69,input!$W:$W,February!B74,input!$A:$A,February!$B$2)</f>
        <v>0</v>
      </c>
      <c r="F74" s="33">
        <f>COUNTIFS(input!$O:$O,February!$F$69,input!$W:$W,February!B74,input!$A:$A,February!$B$2)</f>
        <v>0</v>
      </c>
      <c r="G74" s="38">
        <f>COUNTIFS(input!$O:$O,February!$G$69,input!$W:$W,February!B74,input!$A:$A,February!$B$2)</f>
        <v>0</v>
      </c>
      <c r="H74" s="37">
        <f>COUNTIFS(input!$O:$O,February!$H$69,input!$W:$W,February!B74,input!$A:$A,February!$B$2)</f>
        <v>0</v>
      </c>
      <c r="I74" s="37">
        <f>COUNTIFS(input!$O:$O,February!$I$69,input!$W:$W,February!B74,input!$A:$A,February!$B$2)</f>
        <v>0</v>
      </c>
      <c r="J74" s="37">
        <f>COUNTIFS(input!$O:$O,February!$J$69,input!$W:$W,February!B74,input!$A:$A,February!$B$2)</f>
        <v>0</v>
      </c>
      <c r="K74" s="297">
        <f>COUNTIFS(input!$O:$O,February!$K$69,input!$W:$W,February!B74,input!$A:$A,February!$B$2)</f>
        <v>0</v>
      </c>
      <c r="L74" s="28">
        <f t="shared" si="7"/>
        <v>0</v>
      </c>
      <c r="M74" s="36" cm="1">
        <f t="array" ref="M74">_xlfn.IFS(L74=0,0,L74&gt;=1,L74/L94)</f>
        <v>0</v>
      </c>
      <c r="N74" s="816" t="s">
        <v>374</v>
      </c>
      <c r="O74" s="817"/>
      <c r="P74" s="818"/>
      <c r="Q74" s="33">
        <f>COUNTIFS(input!$O:$O,February!$Q$69,input!$X:$X,February!N74,input!$A:$A,February!$B$2)</f>
        <v>0</v>
      </c>
      <c r="R74" s="33">
        <f>COUNTIFS(input!$O:$O,February!$R$69,input!$X:$X,February!N74,input!$A:$A,February!$B$2)</f>
        <v>0</v>
      </c>
      <c r="S74" s="33">
        <f>COUNTIFS(input!$O:$O,February!$S$69,input!$X:$X,February!N74,input!$A:$A,February!$B$2)</f>
        <v>0</v>
      </c>
      <c r="T74" s="38">
        <f>COUNTIFS(input!$O:$O,February!$T$69,input!$X:$X,February!N74,input!$A:$A,February!$B$2)</f>
        <v>1</v>
      </c>
      <c r="U74" s="38">
        <f>COUNTIFS(input!$O:$O,February!$U$69,input!$X:$X,February!N74,input!$A:$A,February!$B$2)</f>
        <v>0</v>
      </c>
      <c r="V74" s="39">
        <f>COUNTIFS(input!$O:$O,February!$V$69,input!$X:$X,February!N74,input!$A:$A,February!$B$2)</f>
        <v>0</v>
      </c>
      <c r="W74" s="39">
        <f>COUNTIFS(input!$O:$O,February!$W$69,input!$X:$X,February!N74,input!$A:$A,February!$B$2)</f>
        <v>0</v>
      </c>
      <c r="X74" s="299"/>
      <c r="Y74" s="28">
        <f t="shared" si="8"/>
        <v>1</v>
      </c>
      <c r="Z74" s="32" cm="1">
        <f t="array" ref="Z74">_xlfn.IFS(Y74=0,0,Y74&gt;=1,Y74/Y$94)</f>
        <v>0.1111111111111111</v>
      </c>
    </row>
    <row r="75" spans="2:26" ht="33" customHeight="1" x14ac:dyDescent="0.25">
      <c r="B75" s="283" t="s">
        <v>360</v>
      </c>
      <c r="C75" s="284"/>
      <c r="D75" s="33">
        <f>COUNTIFS(input!$O:$O,February!$D$69,input!$W:$W,February!B75,input!$A:$A,February!$B$2)</f>
        <v>0</v>
      </c>
      <c r="E75" s="33">
        <f>COUNTIFS(input!$O:$O,February!$E$69,input!$W:$W,February!B75,input!$A:$A,February!$B$2)</f>
        <v>0</v>
      </c>
      <c r="F75" s="33">
        <f>COUNTIFS(input!$O:$O,February!$F$69,input!$W:$W,February!B75,input!$A:$A,February!$B$2)</f>
        <v>0</v>
      </c>
      <c r="G75" s="38">
        <f>COUNTIFS(input!$O:$O,February!$G$69,input!$W:$W,February!B75,input!$A:$A,February!$B$2)</f>
        <v>0</v>
      </c>
      <c r="H75" s="37">
        <f>COUNTIFS(input!$O:$O,February!$H$69,input!$W:$W,February!B75,input!$A:$A,February!$B$2)</f>
        <v>0</v>
      </c>
      <c r="I75" s="37">
        <f>COUNTIFS(input!$O:$O,February!$I$69,input!$W:$W,February!B75,input!$A:$A,February!$B$2)</f>
        <v>0</v>
      </c>
      <c r="J75" s="37">
        <f>COUNTIFS(input!$O:$O,February!$J$69,input!$W:$W,February!B75,input!$A:$A,February!$B$2)</f>
        <v>0</v>
      </c>
      <c r="K75" s="297">
        <f>COUNTIFS(input!$O:$O,February!$K$69,input!$W:$W,February!B75,input!$A:$A,February!$B$2)</f>
        <v>0</v>
      </c>
      <c r="L75" s="28">
        <f t="shared" si="7"/>
        <v>0</v>
      </c>
      <c r="M75" s="36" cm="1">
        <f t="array" ref="M75">_xlfn.IFS(L75=0,0,L75&gt;=1,L75/L94)</f>
        <v>0</v>
      </c>
      <c r="N75" s="819" t="s">
        <v>375</v>
      </c>
      <c r="O75" s="820"/>
      <c r="P75" s="821"/>
      <c r="Q75" s="33">
        <f>COUNTIFS(input!$O:$O,February!$Q$69,input!$X:$X,February!N75,input!$A:$A,February!$B$2)</f>
        <v>0</v>
      </c>
      <c r="R75" s="33">
        <f>COUNTIFS(input!$O:$O,February!$R$69,input!$X:$X,February!N75,input!$A:$A,February!$B$2)</f>
        <v>0</v>
      </c>
      <c r="S75" s="33">
        <f>COUNTIFS(input!$O:$O,February!$S$69,input!$X:$X,February!N75,input!$A:$A,February!$B$2)</f>
        <v>0</v>
      </c>
      <c r="T75" s="38">
        <f>COUNTIFS(input!$O:$O,February!$T$69,input!$X:$X,February!N75,input!$A:$A,February!$B$2)</f>
        <v>1</v>
      </c>
      <c r="U75" s="38">
        <f>COUNTIFS(input!$O:$O,February!$U$69,input!$X:$X,February!N75,input!$A:$A,February!$B$2)</f>
        <v>0</v>
      </c>
      <c r="V75" s="39">
        <f>COUNTIFS(input!$O:$O,February!$V$69,input!$X:$X,February!N75,input!$A:$A,February!$B$2)</f>
        <v>0</v>
      </c>
      <c r="W75" s="39">
        <f>COUNTIFS(input!$O:$O,February!$W$69,input!$X:$X,February!N75,input!$A:$A,February!$B$2)</f>
        <v>0</v>
      </c>
      <c r="X75" s="299"/>
      <c r="Y75" s="28">
        <f t="shared" si="8"/>
        <v>1</v>
      </c>
      <c r="Z75" s="32" cm="1">
        <f t="array" ref="Z75">_xlfn.IFS(Y75=0,0,Y75&gt;=1,Y75/Y$94)</f>
        <v>0.1111111111111111</v>
      </c>
    </row>
    <row r="76" spans="2:26" ht="33" customHeight="1" x14ac:dyDescent="0.25">
      <c r="B76" s="896" t="s">
        <v>600</v>
      </c>
      <c r="C76" s="897"/>
      <c r="D76" s="33">
        <f>COUNTIFS(input!$O:$O,February!$D$69,input!$W:$W,February!B76,input!$A:$A,February!$B$2)</f>
        <v>0</v>
      </c>
      <c r="E76" s="33">
        <f>COUNTIFS(input!$O:$O,February!$E$69,input!$W:$W,February!B76,input!$A:$A,February!$B$2)</f>
        <v>1</v>
      </c>
      <c r="F76" s="33">
        <f>COUNTIFS(input!$O:$O,February!$F$69,input!$W:$W,February!B76,input!$A:$A,February!$B$2)</f>
        <v>0</v>
      </c>
      <c r="G76" s="38">
        <f>COUNTIFS(input!$O:$O,February!$G$69,input!$W:$W,February!B76,input!$A:$A,February!$B$2)</f>
        <v>0</v>
      </c>
      <c r="H76" s="37">
        <f>COUNTIFS(input!$O:$O,February!$H$69,input!$W:$W,February!B76,input!$A:$A,February!$B$2)</f>
        <v>0</v>
      </c>
      <c r="I76" s="37">
        <f>COUNTIFS(input!$O:$O,February!$I$69,input!$W:$W,February!B76,input!$A:$A,February!$B$2)</f>
        <v>0</v>
      </c>
      <c r="J76" s="37">
        <f>COUNTIFS(input!$O:$O,February!$J$69,input!$W:$W,February!B76,input!$A:$A,February!$B$2)</f>
        <v>0</v>
      </c>
      <c r="K76" s="297">
        <f>COUNTIFS(input!$O:$O,February!$K$69,input!$W:$W,February!B76,input!$A:$A,February!$B$2)</f>
        <v>0</v>
      </c>
      <c r="L76" s="28">
        <f t="shared" si="7"/>
        <v>1</v>
      </c>
      <c r="M76" s="36" cm="1">
        <f t="array" ref="M76">_xlfn.IFS(L76=0,0,L76&gt;=1,L76/L94)</f>
        <v>6.25E-2</v>
      </c>
      <c r="N76" s="819" t="s">
        <v>376</v>
      </c>
      <c r="O76" s="820"/>
      <c r="P76" s="821"/>
      <c r="Q76" s="33">
        <f>COUNTIFS(input!$O:$O,February!$Q$69,input!$X:$X,February!N76,input!$A:$A,February!$B$2)</f>
        <v>0</v>
      </c>
      <c r="R76" s="33">
        <f>COUNTIFS(input!$O:$O,February!$R$69,input!$X:$X,February!N76,input!$A:$A,February!$B$2)</f>
        <v>0</v>
      </c>
      <c r="S76" s="33">
        <f>COUNTIFS(input!$O:$O,February!$S$69,input!$X:$X,February!N76,input!$A:$A,February!$B$2)</f>
        <v>0</v>
      </c>
      <c r="T76" s="38">
        <f>COUNTIFS(input!$O:$O,February!$T$69,input!$X:$X,February!N76,input!$A:$A,February!$B$2)</f>
        <v>0</v>
      </c>
      <c r="U76" s="38">
        <f>COUNTIFS(input!$O:$O,February!$U$69,input!$X:$X,February!N76,input!$A:$A,February!$B$2)</f>
        <v>0</v>
      </c>
      <c r="V76" s="39">
        <f>COUNTIFS(input!$O:$O,February!$V$69,input!$X:$X,February!N76,input!$A:$A,February!$B$2)</f>
        <v>0</v>
      </c>
      <c r="W76" s="39">
        <f>COUNTIFS(input!$O:$O,February!$W$69,input!$X:$X,February!N76,input!$A:$A,February!$B$2)</f>
        <v>0</v>
      </c>
      <c r="X76" s="299"/>
      <c r="Y76" s="28">
        <f t="shared" si="8"/>
        <v>0</v>
      </c>
      <c r="Z76" s="32" cm="1">
        <f t="array" ref="Z76">_xlfn.IFS(Y76=0,0,Y76&gt;=1,Y76/Y$94)</f>
        <v>0</v>
      </c>
    </row>
    <row r="77" spans="2:26" ht="33" customHeight="1" x14ac:dyDescent="0.25">
      <c r="B77" s="896" t="s">
        <v>561</v>
      </c>
      <c r="C77" s="897"/>
      <c r="D77" s="33">
        <f>COUNTIFS(input!$O:$O,February!$D$69,input!$W:$W,February!B77,input!$A:$A,February!$B$2)</f>
        <v>0</v>
      </c>
      <c r="E77" s="33">
        <f>COUNTIFS(input!$O:$O,February!$E$69,input!$W:$W,February!B77,input!$A:$A,February!$B$2)</f>
        <v>0</v>
      </c>
      <c r="F77" s="33">
        <f>COUNTIFS(input!$O:$O,February!$F$69,input!$W:$W,February!B77,input!$A:$A,February!$B$2)</f>
        <v>0</v>
      </c>
      <c r="G77" s="38">
        <f>COUNTIFS(input!$O:$O,February!$G$69,input!$W:$W,February!B77,input!$A:$A,February!$B$2)</f>
        <v>1</v>
      </c>
      <c r="H77" s="37">
        <f>COUNTIFS(input!$O:$O,February!$H$69,input!$W:$W,February!B77,input!$A:$A,February!$B$2)</f>
        <v>0</v>
      </c>
      <c r="I77" s="37">
        <f>COUNTIFS(input!$O:$O,February!$I$69,input!$W:$W,February!B77,input!$A:$A,February!$B$2)</f>
        <v>0</v>
      </c>
      <c r="J77" s="37">
        <f>COUNTIFS(input!$O:$O,February!$J$69,input!$W:$W,February!B77,input!$A:$A,February!$B$2)</f>
        <v>0</v>
      </c>
      <c r="K77" s="297">
        <f>COUNTIFS(input!$O:$O,February!$K$69,input!$W:$W,February!B77,input!$A:$A,February!$B$2)</f>
        <v>0</v>
      </c>
      <c r="L77" s="28">
        <f t="shared" si="7"/>
        <v>1</v>
      </c>
      <c r="M77" s="36" cm="1">
        <f t="array" ref="M77">_xlfn.IFS(L77=0,0,L77&gt;=1,L77/L94)</f>
        <v>6.25E-2</v>
      </c>
      <c r="N77" s="799" t="s">
        <v>378</v>
      </c>
      <c r="O77" s="769"/>
      <c r="P77" s="770"/>
      <c r="Q77" s="33">
        <f>COUNTIFS(input!$O:$O,February!$Q$69,input!$X:$X,February!N77,input!$A:$A,February!$B$2)</f>
        <v>0</v>
      </c>
      <c r="R77" s="33">
        <f>COUNTIFS(input!$O:$O,February!$R$69,input!$X:$X,February!N77,input!$A:$A,February!$B$2)</f>
        <v>0</v>
      </c>
      <c r="S77" s="33">
        <f>COUNTIFS(input!$O:$O,February!$S$69,input!$X:$X,February!N77,input!$A:$A,February!$B$2)</f>
        <v>0</v>
      </c>
      <c r="T77" s="38">
        <f>COUNTIFS(input!$O:$O,February!$T$69,input!$X:$X,February!N77,input!$A:$A,February!$B$2)</f>
        <v>0</v>
      </c>
      <c r="U77" s="38">
        <f>COUNTIFS(input!$O:$O,February!$U$69,input!$X:$X,February!N77,input!$A:$A,February!$B$2)</f>
        <v>0</v>
      </c>
      <c r="V77" s="39">
        <f>COUNTIFS(input!$O:$O,February!$V$69,input!$X:$X,February!N77,input!$A:$A,February!$B$2)</f>
        <v>0</v>
      </c>
      <c r="W77" s="39">
        <f>COUNTIFS(input!$O:$O,February!$W$69,input!$X:$X,February!N77,input!$A:$A,February!$B$2)</f>
        <v>0</v>
      </c>
      <c r="X77" s="299"/>
      <c r="Y77" s="28">
        <f t="shared" si="8"/>
        <v>0</v>
      </c>
      <c r="Z77" s="32" cm="1">
        <f t="array" ref="Z77">_xlfn.IFS(Y77=0,0,Y77&gt;=1,Y77/Y$94)</f>
        <v>0</v>
      </c>
    </row>
    <row r="78" spans="2:26" ht="33" customHeight="1" x14ac:dyDescent="0.25">
      <c r="B78" s="896" t="s">
        <v>601</v>
      </c>
      <c r="C78" s="897"/>
      <c r="D78" s="33">
        <f>COUNTIFS(input!$O:$O,February!$D$69,input!$W:$W,February!B78,input!$A:$A,February!$B$2)</f>
        <v>0</v>
      </c>
      <c r="E78" s="33">
        <f>COUNTIFS(input!$O:$O,February!$E$69,input!$W:$W,February!B78,input!$A:$A,February!$B$2)</f>
        <v>0</v>
      </c>
      <c r="F78" s="33">
        <f>COUNTIFS(input!$O:$O,February!$F$69,input!$W:$W,February!B78,input!$A:$A,February!$B$2)</f>
        <v>0</v>
      </c>
      <c r="G78" s="38">
        <f>COUNTIFS(input!$O:$O,February!$G$69,input!$W:$W,February!B78,input!$A:$A,February!$B$2)</f>
        <v>0</v>
      </c>
      <c r="H78" s="37">
        <f>COUNTIFS(input!$O:$O,February!$H$69,input!$W:$W,February!B78,input!$A:$A,February!$B$2)</f>
        <v>0</v>
      </c>
      <c r="I78" s="37">
        <f>COUNTIFS(input!$O:$O,February!$I$69,input!$W:$W,February!B78,input!$A:$A,February!$B$2)</f>
        <v>1</v>
      </c>
      <c r="J78" s="37">
        <f>COUNTIFS(input!$O:$O,February!$J$69,input!$W:$W,February!B78,input!$A:$A,February!$B$2)</f>
        <v>0</v>
      </c>
      <c r="K78" s="297">
        <f>COUNTIFS(input!$O:$O,February!$K$69,input!$W:$W,February!B78,input!$A:$A,February!$B$2)</f>
        <v>0</v>
      </c>
      <c r="L78" s="28">
        <f t="shared" si="7"/>
        <v>1</v>
      </c>
      <c r="M78" s="36" cm="1">
        <f t="array" ref="M78">_xlfn.IFS(L78=0,0,L78&gt;=1,L78/L94)</f>
        <v>6.25E-2</v>
      </c>
      <c r="N78" s="811" t="s">
        <v>379</v>
      </c>
      <c r="O78" s="773"/>
      <c r="P78" s="772"/>
      <c r="Q78" s="33">
        <f>COUNTIFS(input!$O:$O,February!$Q$69,input!$X:$X,February!N78,input!$A:$A,February!$B$2)</f>
        <v>0</v>
      </c>
      <c r="R78" s="33">
        <f>COUNTIFS(input!$O:$O,February!$R$69,input!$X:$X,February!N78,input!$A:$A,February!$B$2)</f>
        <v>0</v>
      </c>
      <c r="S78" s="33">
        <f>COUNTIFS(input!$O:$O,February!$S$69,input!$X:$X,February!N78,input!$A:$A,February!$B$2)</f>
        <v>0</v>
      </c>
      <c r="T78" s="38">
        <f>COUNTIFS(input!$O:$O,February!$T$69,input!$X:$X,February!N78,input!$A:$A,February!$B$2)</f>
        <v>0</v>
      </c>
      <c r="U78" s="38">
        <f>COUNTIFS(input!$O:$O,February!$U$69,input!$X:$X,February!N78,input!$A:$A,February!$B$2)</f>
        <v>0</v>
      </c>
      <c r="V78" s="39">
        <f>COUNTIFS(input!$O:$O,February!$V$69,input!$X:$X,February!N78,input!$A:$A,February!$B$2)</f>
        <v>0</v>
      </c>
      <c r="W78" s="39">
        <f>COUNTIFS(input!$O:$O,February!$W$69,input!$X:$X,February!N78,input!$A:$A,February!$B$2)</f>
        <v>0</v>
      </c>
      <c r="X78" s="299"/>
      <c r="Y78" s="28">
        <f t="shared" si="8"/>
        <v>0</v>
      </c>
      <c r="Z78" s="32" cm="1">
        <f t="array" ref="Z78">_xlfn.IFS(Y78=0,0,Y78&gt;=1,Y78/Y$94)</f>
        <v>0</v>
      </c>
    </row>
    <row r="79" spans="2:26" ht="33" customHeight="1" x14ac:dyDescent="0.25">
      <c r="B79" s="896" t="s">
        <v>645</v>
      </c>
      <c r="C79" s="897"/>
      <c r="D79" s="33">
        <f>COUNTIFS(input!$O:$O,February!$D$69,input!$W:$W,February!B79,input!$A:$A,February!$B$2)</f>
        <v>0</v>
      </c>
      <c r="E79" s="33">
        <f>COUNTIFS(input!$O:$O,February!$E$69,input!$W:$W,February!B79,input!$A:$A,February!$B$2)</f>
        <v>0</v>
      </c>
      <c r="F79" s="33">
        <f>COUNTIFS(input!$O:$O,February!$F$69,input!$W:$W,February!B79,input!$A:$A,February!$B$2)</f>
        <v>0</v>
      </c>
      <c r="G79" s="38">
        <f>COUNTIFS(input!$O:$O,February!$G$69,input!$W:$W,February!B79,input!$A:$A,February!$B$2)</f>
        <v>1</v>
      </c>
      <c r="H79" s="37">
        <f>COUNTIFS(input!$O:$O,February!$H$69,input!$W:$W,February!B79,input!$A:$A,February!$B$2)</f>
        <v>0</v>
      </c>
      <c r="I79" s="37">
        <f>COUNTIFS(input!$O:$O,February!$I$69,input!$W:$W,February!B79,input!$A:$A,February!$B$2)</f>
        <v>0</v>
      </c>
      <c r="J79" s="37">
        <f>COUNTIFS(input!$O:$O,February!$J$69,input!$W:$W,February!B79,input!$A:$A,February!$B$2)</f>
        <v>0</v>
      </c>
      <c r="K79" s="297">
        <f>COUNTIFS(input!$O:$O,February!$K$69,input!$W:$W,February!B79,input!$A:$A,February!$B$2)</f>
        <v>0</v>
      </c>
      <c r="L79" s="28">
        <f t="shared" si="7"/>
        <v>1</v>
      </c>
      <c r="M79" s="36" cm="1">
        <f t="array" ref="M79">_xlfn.IFS(L79=0,0,L79&gt;=1,L79/L94)</f>
        <v>6.25E-2</v>
      </c>
      <c r="N79" s="811" t="s">
        <v>606</v>
      </c>
      <c r="O79" s="773"/>
      <c r="P79" s="772"/>
      <c r="Q79" s="33">
        <f>COUNTIFS(input!$O:$O,February!$Q$69,input!$X:$X,February!N79,input!$A:$A,February!$B$2)</f>
        <v>0</v>
      </c>
      <c r="R79" s="33">
        <f>COUNTIFS(input!$O:$O,February!$R$69,input!$X:$X,February!N79,input!$A:$A,February!$B$2)</f>
        <v>0</v>
      </c>
      <c r="S79" s="33">
        <f>COUNTIFS(input!$O:$O,February!$S$69,input!$X:$X,February!N79,input!$A:$A,February!$B$2)</f>
        <v>0</v>
      </c>
      <c r="T79" s="38">
        <f>COUNTIFS(input!$O:$O,February!$T$69,input!$X:$X,February!N79,input!$A:$A,February!$B$2)</f>
        <v>0</v>
      </c>
      <c r="U79" s="38">
        <f>COUNTIFS(input!$O:$O,February!$U$69,input!$X:$X,February!N79,input!$A:$A,February!$B$2)</f>
        <v>0</v>
      </c>
      <c r="V79" s="39">
        <f>COUNTIFS(input!$O:$O,February!$V$69,input!$X:$X,February!N79,input!$A:$A,February!$B$2)</f>
        <v>1</v>
      </c>
      <c r="W79" s="39">
        <f>COUNTIFS(input!$O:$O,February!$W$69,input!$X:$X,February!N79,input!$A:$A,February!$B$2)</f>
        <v>0</v>
      </c>
      <c r="X79" s="299"/>
      <c r="Y79" s="28">
        <f t="shared" si="8"/>
        <v>1</v>
      </c>
      <c r="Z79" s="32" cm="1">
        <f t="array" ref="Z79">_xlfn.IFS(Y79=0,0,Y79&gt;=1,Y79/Y$94)</f>
        <v>0.1111111111111111</v>
      </c>
    </row>
    <row r="80" spans="2:26" ht="33" customHeight="1" x14ac:dyDescent="0.25">
      <c r="B80" s="896" t="s">
        <v>604</v>
      </c>
      <c r="C80" s="897"/>
      <c r="D80" s="33">
        <f>COUNTIFS(input!$O:$O,February!$D$69,input!$W:$W,February!B80,input!$A:$A,February!$B$2)</f>
        <v>0</v>
      </c>
      <c r="E80" s="33">
        <f>COUNTIFS(input!$O:$O,February!$E$69,input!$W:$W,February!B80,input!$A:$A,February!$B$2)</f>
        <v>0</v>
      </c>
      <c r="F80" s="33">
        <f>COUNTIFS(input!$O:$O,February!$F$69,input!$W:$W,February!B80,input!$A:$A,February!$B$2)</f>
        <v>0</v>
      </c>
      <c r="G80" s="38">
        <f>COUNTIFS(input!$O:$O,February!$G$69,input!$W:$W,February!B80,input!$A:$A,February!$B$2)</f>
        <v>0</v>
      </c>
      <c r="H80" s="37">
        <f>COUNTIFS(input!$O:$O,February!$H$69,input!$W:$W,February!B80,input!$A:$A,February!$B$2)</f>
        <v>0</v>
      </c>
      <c r="I80" s="37">
        <f>COUNTIFS(input!$O:$O,February!$I$69,input!$W:$W,February!B80,input!$A:$A,February!$B$2)</f>
        <v>1</v>
      </c>
      <c r="J80" s="37">
        <f>COUNTIFS(input!$O:$O,February!$J$69,input!$W:$W,February!B80,input!$A:$A,February!$B$2)</f>
        <v>0</v>
      </c>
      <c r="K80" s="297">
        <f>COUNTIFS(input!$O:$O,February!$K$69,input!$W:$W,February!B80,input!$A:$A,February!$B$2)</f>
        <v>0</v>
      </c>
      <c r="L80" s="28">
        <f t="shared" si="7"/>
        <v>1</v>
      </c>
      <c r="M80" s="36" cm="1">
        <f t="array" ref="M80">_xlfn.IFS(L80=0,0,L80&gt;=1,L80/L94)</f>
        <v>6.25E-2</v>
      </c>
      <c r="N80" s="799" t="s">
        <v>75</v>
      </c>
      <c r="O80" s="769"/>
      <c r="P80" s="770"/>
      <c r="Q80" s="33">
        <f>COUNTIFS(input!$O:$O,February!$Q$69,input!$X:$X,February!N80,input!$A:$A,February!$B$2)</f>
        <v>0</v>
      </c>
      <c r="R80" s="33">
        <f>COUNTIFS(input!$O:$O,February!$R$69,input!$X:$X,February!N80,input!$A:$A,February!$B$2)</f>
        <v>0</v>
      </c>
      <c r="S80" s="33">
        <f>COUNTIFS(input!$O:$O,February!$S$69,input!$X:$X,February!N80,input!$A:$A,February!$B$2)</f>
        <v>0</v>
      </c>
      <c r="T80" s="38">
        <f>COUNTIFS(input!$O:$O,February!$T$69,input!$X:$X,February!N80,input!$A:$A,February!$B$2)</f>
        <v>0</v>
      </c>
      <c r="U80" s="38">
        <f>COUNTIFS(input!$O:$O,February!$U$69,input!$X:$X,February!N80,input!$A:$A,February!$B$2)</f>
        <v>0</v>
      </c>
      <c r="V80" s="39">
        <f>COUNTIFS(input!$O:$O,February!$V$69,input!$X:$X,February!N80,input!$A:$A,February!$B$2)</f>
        <v>0</v>
      </c>
      <c r="W80" s="39">
        <f>COUNTIFS(input!$O:$O,February!$W$69,input!$X:$X,February!N80,input!$A:$A,February!$B$2)</f>
        <v>0</v>
      </c>
      <c r="X80" s="299"/>
      <c r="Y80" s="28">
        <f t="shared" si="8"/>
        <v>0</v>
      </c>
      <c r="Z80" s="32" cm="1">
        <f t="array" ref="Z80">_xlfn.IFS(Y80=0,0,Y80&gt;=1,Y80/Y$94)</f>
        <v>0</v>
      </c>
    </row>
    <row r="81" spans="2:26" ht="33" customHeight="1" x14ac:dyDescent="0.25">
      <c r="B81" s="896" t="s">
        <v>646</v>
      </c>
      <c r="C81" s="897"/>
      <c r="D81" s="33">
        <f>COUNTIFS(input!$O:$O,February!$D$69,input!$W:$W,February!B81,input!$A:$A,February!$B$2)</f>
        <v>0</v>
      </c>
      <c r="E81" s="33">
        <f>COUNTIFS(input!$O:$O,February!$E$69,input!$W:$W,February!B81,input!$A:$A,February!$B$2)</f>
        <v>0</v>
      </c>
      <c r="F81" s="33">
        <f>COUNTIFS(input!$O:$O,February!$F$69,input!$W:$W,February!B81,input!$A:$A,February!$B$2)</f>
        <v>0</v>
      </c>
      <c r="G81" s="38">
        <f>COUNTIFS(input!$O:$O,February!$G$69,input!$W:$W,February!B81,input!$A:$A,February!$B$2)</f>
        <v>1</v>
      </c>
      <c r="H81" s="37">
        <f>COUNTIFS(input!$O:$O,February!$H$69,input!$W:$W,February!B81,input!$A:$A,February!$B$2)</f>
        <v>0</v>
      </c>
      <c r="I81" s="37">
        <f>COUNTIFS(input!$O:$O,February!$I$69,input!$W:$W,February!B81,input!$A:$A,February!$B$2)</f>
        <v>0</v>
      </c>
      <c r="J81" s="37">
        <f>COUNTIFS(input!$O:$O,February!$J$69,input!$W:$W,February!B81,input!$A:$A,February!$B$2)</f>
        <v>0</v>
      </c>
      <c r="K81" s="297">
        <f>COUNTIFS(input!$O:$O,February!$K$69,input!$W:$W,February!B81,input!$A:$A,February!$B$2)</f>
        <v>0</v>
      </c>
      <c r="L81" s="28">
        <f t="shared" si="7"/>
        <v>1</v>
      </c>
      <c r="M81" s="36" cm="1">
        <f t="array" ref="M81">_xlfn.IFS(L81=0,0,L81&gt;=1,L81/L94)</f>
        <v>6.25E-2</v>
      </c>
      <c r="N81" s="799" t="s">
        <v>76</v>
      </c>
      <c r="O81" s="769"/>
      <c r="P81" s="770"/>
      <c r="Q81" s="33">
        <f>COUNTIFS(input!$O:$O,February!$Q$69,input!$X:$X,February!N81,input!$A:$A,February!$B$2)</f>
        <v>0</v>
      </c>
      <c r="R81" s="33">
        <f>COUNTIFS(input!$O:$O,February!$R$69,input!$X:$X,February!N81,input!$A:$A,February!$B$2)</f>
        <v>0</v>
      </c>
      <c r="S81" s="33">
        <f>COUNTIFS(input!$O:$O,February!$S$69,input!$X:$X,February!N81,input!$A:$A,February!$B$2)</f>
        <v>0</v>
      </c>
      <c r="T81" s="38">
        <f>COUNTIFS(input!$O:$O,February!$T$69,input!$X:$X,February!N81,input!$A:$A,February!$B$2)</f>
        <v>0</v>
      </c>
      <c r="U81" s="38">
        <f>COUNTIFS(input!$O:$O,February!$U$69,input!$X:$X,February!N81,input!$A:$A,February!$B$2)</f>
        <v>0</v>
      </c>
      <c r="V81" s="39">
        <f>COUNTIFS(input!$O:$O,February!$V$69,input!$X:$X,February!N81,input!$A:$A,February!$B$2)</f>
        <v>0</v>
      </c>
      <c r="W81" s="39">
        <f>COUNTIFS(input!$O:$O,February!$W$69,input!$X:$X,February!N81,input!$A:$A,February!$B$2)</f>
        <v>0</v>
      </c>
      <c r="X81" s="299"/>
      <c r="Y81" s="28">
        <f t="shared" si="8"/>
        <v>0</v>
      </c>
      <c r="Z81" s="32" cm="1">
        <f t="array" ref="Z81">_xlfn.IFS(Y81=0,0,Y81&gt;=1,Y81/Y$94)</f>
        <v>0</v>
      </c>
    </row>
    <row r="82" spans="2:26" ht="33" customHeight="1" x14ac:dyDescent="0.25">
      <c r="B82" s="283" t="s">
        <v>366</v>
      </c>
      <c r="C82" s="284"/>
      <c r="D82" s="33">
        <f>COUNTIFS(input!$O:$O,February!$D$69,input!$W:$W,February!B82,input!$A:$A,February!$B$2)</f>
        <v>0</v>
      </c>
      <c r="E82" s="33">
        <f>COUNTIFS(input!$O:$O,February!$E$69,input!$W:$W,February!B82,input!$A:$A,February!$B$2)</f>
        <v>0</v>
      </c>
      <c r="F82" s="33">
        <f>COUNTIFS(input!$O:$O,February!$F$69,input!$W:$W,February!B82,input!$A:$A,February!$B$2)</f>
        <v>0</v>
      </c>
      <c r="G82" s="38">
        <f>COUNTIFS(input!$O:$O,February!$G$69,input!$W:$W,February!B82,input!$A:$A,February!$B$2)</f>
        <v>0</v>
      </c>
      <c r="H82" s="37">
        <f>COUNTIFS(input!$O:$O,February!$H$69,input!$W:$W,February!B82,input!$A:$A,February!$B$2)</f>
        <v>0</v>
      </c>
      <c r="I82" s="37">
        <f>COUNTIFS(input!$O:$O,February!$I$69,input!$W:$W,February!B82,input!$A:$A,February!$B$2)</f>
        <v>0</v>
      </c>
      <c r="J82" s="37">
        <f>COUNTIFS(input!$O:$O,February!$J$69,input!$W:$W,February!B82,input!$A:$A,February!$B$2)</f>
        <v>0</v>
      </c>
      <c r="K82" s="297">
        <f>COUNTIFS(input!$O:$O,February!$K$69,input!$W:$W,February!B82,input!$A:$A,February!$B$2)</f>
        <v>0</v>
      </c>
      <c r="L82" s="28">
        <f t="shared" si="7"/>
        <v>0</v>
      </c>
      <c r="M82" s="36" cm="1">
        <f t="array" ref="M82">_xlfn.IFS(L82=0,0,L82&gt;=1,L82/L94)</f>
        <v>0</v>
      </c>
      <c r="N82" s="799" t="s">
        <v>77</v>
      </c>
      <c r="O82" s="769"/>
      <c r="P82" s="770"/>
      <c r="Q82" s="41">
        <f>COUNTIFS(input!$O:$O,February!$Q$69,input!$X:$X,February!N82,input!$A:$A,February!$B$2)</f>
        <v>0</v>
      </c>
      <c r="R82" s="41">
        <f>COUNTIFS(input!$O:$O,February!$R$69,input!$X:$X,February!N82,input!$A:$A,February!$B$2)</f>
        <v>0</v>
      </c>
      <c r="S82" s="41">
        <f>COUNTIFS(input!$O:$O,February!$S$69,input!$X:$X,February!N82,input!$A:$A,February!$B$2)</f>
        <v>0</v>
      </c>
      <c r="T82" s="42">
        <f>COUNTIFS(input!$O:$O,February!$T$69,input!$X:$X,February!N82,input!$A:$A,February!$B$2)</f>
        <v>0</v>
      </c>
      <c r="U82" s="42">
        <f>COUNTIFS(input!$O:$O,February!$U$69,input!$X:$X,February!N82,input!$A:$A,February!$B$2)</f>
        <v>0</v>
      </c>
      <c r="V82" s="39">
        <f>COUNTIFS(input!$O:$O,February!$V$69,input!$X:$X,February!N82,input!$A:$A,February!$B$2)</f>
        <v>0</v>
      </c>
      <c r="W82" s="39">
        <f>COUNTIFS(input!$O:$O,February!$W$69,input!$X:$X,February!N82,input!$A:$A,February!$B$2)</f>
        <v>0</v>
      </c>
      <c r="X82" s="299"/>
      <c r="Y82" s="28">
        <f t="shared" si="8"/>
        <v>0</v>
      </c>
      <c r="Z82" s="32" cm="1">
        <f t="array" ref="Z82">_xlfn.IFS(Y82=0,0,Y82&gt;=1,Y82/Y$94)</f>
        <v>0</v>
      </c>
    </row>
    <row r="83" spans="2:26" ht="33" customHeight="1" x14ac:dyDescent="0.25">
      <c r="B83" s="283" t="s">
        <v>498</v>
      </c>
      <c r="C83" s="284"/>
      <c r="D83" s="33">
        <f>COUNTIFS(input!$O:$O,February!$D$69,input!$W:$W,February!B83,input!$A:$A,February!$B$2)</f>
        <v>0</v>
      </c>
      <c r="E83" s="33">
        <f>COUNTIFS(input!$O:$O,February!$E$69,input!$W:$W,February!B83,input!$A:$A,February!$B$2)</f>
        <v>0</v>
      </c>
      <c r="F83" s="33">
        <f>COUNTIFS(input!$O:$O,February!$F$69,input!$W:$W,February!B83,input!$A:$A,February!$B$2)</f>
        <v>0</v>
      </c>
      <c r="G83" s="38">
        <f>COUNTIFS(input!$O:$O,February!$G$69,input!$W:$W,February!B83,input!$A:$A,February!$B$2)</f>
        <v>0</v>
      </c>
      <c r="H83" s="37">
        <f>COUNTIFS(input!$O:$O,February!$H$69,input!$W:$W,February!B83,input!$A:$A,February!$B$2)</f>
        <v>0</v>
      </c>
      <c r="I83" s="37">
        <f>COUNTIFS(input!$O:$O,February!$I$69,input!$W:$W,February!B83,input!$A:$A,February!$B$2)</f>
        <v>0</v>
      </c>
      <c r="J83" s="37">
        <f>COUNTIFS(input!$O:$O,February!$J$69,input!$W:$W,February!B83,input!$A:$A,February!$B$2)</f>
        <v>0</v>
      </c>
      <c r="K83" s="297">
        <f>COUNTIFS(input!$O:$O,February!$K$69,input!$W:$W,February!B83,input!$A:$A,February!$B$2)</f>
        <v>0</v>
      </c>
      <c r="L83" s="28">
        <f t="shared" si="7"/>
        <v>0</v>
      </c>
      <c r="M83" s="36" cm="1">
        <f t="array" ref="M83">_xlfn.IFS(L83=0,0,L83&gt;=1,L83/L94)</f>
        <v>0</v>
      </c>
      <c r="N83" s="799" t="s">
        <v>78</v>
      </c>
      <c r="O83" s="769"/>
      <c r="P83" s="770"/>
      <c r="Q83" s="41">
        <f>COUNTIFS(input!$O:$O,February!$Q$69,input!$X:$X,February!N83,input!$A:$A,February!$B$2)</f>
        <v>0</v>
      </c>
      <c r="R83" s="41">
        <f>COUNTIFS(input!$O:$O,February!$R$69,input!$X:$X,February!N83,input!$A:$A,February!$B$2)</f>
        <v>0</v>
      </c>
      <c r="S83" s="41">
        <f>COUNTIFS(input!$O:$O,February!$S$69,input!$X:$X,February!N83,input!$A:$A,February!$B$2)</f>
        <v>0</v>
      </c>
      <c r="T83" s="42">
        <f>COUNTIFS(input!$O:$O,February!$T$69,input!$X:$X,February!N83,input!$A:$A,February!$B$2)</f>
        <v>0</v>
      </c>
      <c r="U83" s="42">
        <f>COUNTIFS(input!$O:$O,February!$U$69,input!$X:$X,February!N83,input!$A:$A,February!$B$2)</f>
        <v>0</v>
      </c>
      <c r="V83" s="39">
        <f>COUNTIFS(input!$O:$O,February!$V$69,input!$X:$X,February!N83,input!$A:$A,February!$B$2)</f>
        <v>0</v>
      </c>
      <c r="W83" s="39">
        <f>COUNTIFS(input!$O:$O,February!$W$69,input!$X:$X,February!N83,input!$A:$A,February!$B$2)</f>
        <v>0</v>
      </c>
      <c r="X83" s="299"/>
      <c r="Y83" s="28">
        <f t="shared" si="8"/>
        <v>0</v>
      </c>
      <c r="Z83" s="32" cm="1">
        <f t="array" ref="Z83">_xlfn.IFS(Y83=0,0,Y83&gt;=1,Y83/Y$94)</f>
        <v>0</v>
      </c>
    </row>
    <row r="84" spans="2:26" ht="33" customHeight="1" x14ac:dyDescent="0.25">
      <c r="B84" s="283" t="s">
        <v>489</v>
      </c>
      <c r="C84" s="284"/>
      <c r="D84" s="33">
        <f>COUNTIFS(input!$O:$O,February!$D$69,input!$W:$W,February!B84,input!$A:$A,February!$B$2)</f>
        <v>0</v>
      </c>
      <c r="E84" s="33">
        <f>COUNTIFS(input!$O:$O,February!$E$69,input!$W:$W,February!B84,input!$A:$A,February!$B$2)</f>
        <v>0</v>
      </c>
      <c r="F84" s="33">
        <f>COUNTIFS(input!$O:$O,February!$F$69,input!$W:$W,February!B84,input!$A:$A,February!$B$2)</f>
        <v>0</v>
      </c>
      <c r="G84" s="38">
        <f>COUNTIFS(input!$O:$O,February!$G$69,input!$W:$W,February!B84,input!$A:$A,February!$B$2)</f>
        <v>0</v>
      </c>
      <c r="H84" s="37">
        <f>COUNTIFS(input!$O:$O,February!$H$69,input!$W:$W,February!B84,input!$A:$A,February!$B$2)</f>
        <v>0</v>
      </c>
      <c r="I84" s="37">
        <f>COUNTIFS(input!$O:$O,February!$I$69,input!$W:$W,February!B84,input!$A:$A,February!$B$2)</f>
        <v>0</v>
      </c>
      <c r="J84" s="37">
        <f>COUNTIFS(input!$O:$O,February!$J$69,input!$W:$W,February!B84,input!$A:$A,February!$B$2)</f>
        <v>0</v>
      </c>
      <c r="K84" s="297">
        <f>COUNTIFS(input!$O:$O,February!$K$69,input!$W:$W,February!B84,input!$A:$A,February!$B$2)</f>
        <v>0</v>
      </c>
      <c r="L84" s="28">
        <f t="shared" si="7"/>
        <v>0</v>
      </c>
      <c r="M84" s="36" cm="1">
        <f t="array" ref="M84">_xlfn.IFS(L84=0,0,L84&gt;=1,L84/L94)</f>
        <v>0</v>
      </c>
      <c r="N84" s="813" t="s">
        <v>177</v>
      </c>
      <c r="O84" s="814"/>
      <c r="P84" s="815"/>
      <c r="Q84" s="41">
        <f>COUNTIFS(input!$O:$O,February!$Q$69,input!$X:$X,February!N84,input!$A:$A,February!$B$2)</f>
        <v>0</v>
      </c>
      <c r="R84" s="41">
        <f>COUNTIFS(input!$O:$O,February!$R$69,input!$X:$X,February!N84,input!$A:$A,February!$B$2)</f>
        <v>0</v>
      </c>
      <c r="S84" s="41">
        <f>COUNTIFS(input!$O:$O,February!$S$69,input!$X:$X,February!N84,input!$A:$A,February!$B$2)</f>
        <v>0</v>
      </c>
      <c r="T84" s="42">
        <f>COUNTIFS(input!$O:$O,February!$T$69,input!$X:$X,February!N84,input!$A:$A,February!$B$2)</f>
        <v>0</v>
      </c>
      <c r="U84" s="42">
        <f>COUNTIFS(input!$O:$O,February!$U$69,input!$X:$X,February!N84,input!$A:$A,February!$B$2)</f>
        <v>0</v>
      </c>
      <c r="V84" s="39">
        <f>COUNTIFS(input!$O:$O,February!$V$69,input!$X:$X,February!N84,input!$A:$A,February!$B$2)</f>
        <v>0</v>
      </c>
      <c r="W84" s="39">
        <f>COUNTIFS(input!$O:$O,February!$W$69,input!$X:$X,February!N84,input!$A:$A,February!$B$2)</f>
        <v>0</v>
      </c>
      <c r="X84" s="299"/>
      <c r="Y84" s="28">
        <f t="shared" si="8"/>
        <v>0</v>
      </c>
      <c r="Z84" s="32" cm="1">
        <f t="array" ref="Z84">_xlfn.IFS(Y84=0,0,Y84&gt;=1,Y84/Y$94)</f>
        <v>0</v>
      </c>
    </row>
    <row r="85" spans="2:26" ht="33" customHeight="1" x14ac:dyDescent="0.25">
      <c r="B85" s="283" t="s">
        <v>466</v>
      </c>
      <c r="C85" s="284"/>
      <c r="D85" s="33">
        <f>COUNTIFS(input!$O:$O,February!$D$69,input!$W:$W,February!B85,input!$A:$A,February!$B$2)</f>
        <v>0</v>
      </c>
      <c r="E85" s="33">
        <f>COUNTIFS(input!$O:$O,February!$E$69,input!$W:$W,February!B85,input!$A:$A,February!$B$2)</f>
        <v>0</v>
      </c>
      <c r="F85" s="33">
        <f>COUNTIFS(input!$O:$O,February!$F$69,input!$W:$W,February!B85,input!$A:$A,February!$B$2)</f>
        <v>0</v>
      </c>
      <c r="G85" s="38">
        <f>COUNTIFS(input!$O:$O,February!$G$69,input!$W:$W,February!B85,input!$A:$A,February!$B$2)</f>
        <v>0</v>
      </c>
      <c r="H85" s="37">
        <f>COUNTIFS(input!$O:$O,February!$H$69,input!$W:$W,February!B85,input!$A:$A,February!$B$2)</f>
        <v>0</v>
      </c>
      <c r="I85" s="37">
        <f>COUNTIFS(input!$O:$O,February!$I$69,input!$W:$W,February!B85,input!$A:$A,February!$B$2)</f>
        <v>0</v>
      </c>
      <c r="J85" s="37">
        <f>COUNTIFS(input!$O:$O,February!$J$69,input!$W:$W,February!B85,input!$A:$A,February!$B$2)</f>
        <v>0</v>
      </c>
      <c r="K85" s="297">
        <f>COUNTIFS(input!$O:$O,February!$K$69,input!$W:$W,February!B85,input!$A:$A,February!$B$2)</f>
        <v>0</v>
      </c>
      <c r="L85" s="28">
        <f t="shared" si="7"/>
        <v>0</v>
      </c>
      <c r="M85" s="36" cm="1">
        <f t="array" ref="M85">_xlfn.IFS(L85=0,0,L85&gt;=1,L85/L94)</f>
        <v>0</v>
      </c>
      <c r="N85" s="799" t="s">
        <v>479</v>
      </c>
      <c r="O85" s="769"/>
      <c r="P85" s="770"/>
      <c r="Q85" s="41">
        <f>COUNTIFS(input!$O:$O,February!$Q$69,input!$X:$X,February!N85,input!$A:$A,February!$B$2)</f>
        <v>0</v>
      </c>
      <c r="R85" s="41">
        <f>COUNTIFS(input!$O:$O,February!$R$69,input!$X:$X,February!N85,input!$A:$A,February!$B$2)</f>
        <v>0</v>
      </c>
      <c r="S85" s="41">
        <f>COUNTIFS(input!$O:$O,February!$S$69,input!$X:$X,February!N85,input!$A:$A,February!$B$2)</f>
        <v>0</v>
      </c>
      <c r="T85" s="42">
        <f>COUNTIFS(input!$O:$O,February!$T$69,input!$X:$X,February!N85,input!$A:$A,February!$B$2)</f>
        <v>0</v>
      </c>
      <c r="U85" s="42">
        <f>COUNTIFS(input!$O:$O,February!$U$69,input!$X:$X,February!N85,input!$A:$A,February!$B$2)</f>
        <v>0</v>
      </c>
      <c r="V85" s="39">
        <f>COUNTIFS(input!$O:$O,February!$V$69,input!$X:$X,February!N85,input!$A:$A,February!$B$2)</f>
        <v>0</v>
      </c>
      <c r="W85" s="39">
        <f>COUNTIFS(input!$O:$O,February!$W$69,input!$X:$X,February!N85,input!$A:$A,February!$B$2)</f>
        <v>0</v>
      </c>
      <c r="X85" s="299"/>
      <c r="Y85" s="28">
        <f t="shared" si="8"/>
        <v>0</v>
      </c>
      <c r="Z85" s="32" cm="1">
        <f t="array" ref="Z85">_xlfn.IFS(Y85=0,0,Y85&gt;=1,Y85/Y$94)</f>
        <v>0</v>
      </c>
    </row>
    <row r="86" spans="2:26" ht="33" customHeight="1" x14ac:dyDescent="0.25">
      <c r="B86" s="283" t="s">
        <v>458</v>
      </c>
      <c r="C86" s="284"/>
      <c r="D86" s="33">
        <f>COUNTIFS(input!$O:$O,February!$D$69,input!$W:$W,February!B86,input!$A:$A,February!$B$2)</f>
        <v>0</v>
      </c>
      <c r="E86" s="33">
        <f>COUNTIFS(input!$O:$O,February!$E$69,input!$W:$W,February!B86,input!$A:$A,February!$B$2)</f>
        <v>0</v>
      </c>
      <c r="F86" s="33">
        <f>COUNTIFS(input!$O:$O,February!$F$69,input!$W:$W,February!B86,input!$A:$A,February!$B$2)</f>
        <v>0</v>
      </c>
      <c r="G86" s="38">
        <f>COUNTIFS(input!$O:$O,February!$G$69,input!$W:$W,February!B86,input!$A:$A,February!$B$2)</f>
        <v>0</v>
      </c>
      <c r="H86" s="37">
        <f>COUNTIFS(input!$O:$O,February!$H$69,input!$W:$W,February!B86,input!$A:$A,February!$B$2)</f>
        <v>0</v>
      </c>
      <c r="I86" s="37">
        <f>COUNTIFS(input!$O:$O,February!$I$69,input!$W:$W,February!B86,input!$A:$A,February!$B$2)</f>
        <v>0</v>
      </c>
      <c r="J86" s="37">
        <f>COUNTIFS(input!$O:$O,February!$J$69,input!$W:$W,February!B86,input!$A:$A,February!$B$2)</f>
        <v>0</v>
      </c>
      <c r="K86" s="297">
        <f>COUNTIFS(input!$O:$O,February!$K$69,input!$W:$W,February!B86,input!$A:$A,February!$B$2)</f>
        <v>0</v>
      </c>
      <c r="L86" s="28">
        <f t="shared" si="7"/>
        <v>0</v>
      </c>
      <c r="M86" s="36" cm="1">
        <f t="array" ref="M86">_xlfn.IFS(L86=0,0,L86&gt;=1,L86/L94)</f>
        <v>0</v>
      </c>
      <c r="N86" s="811" t="s">
        <v>425</v>
      </c>
      <c r="O86" s="773"/>
      <c r="P86" s="772"/>
      <c r="Q86" s="33">
        <f>COUNTIFS(input!$O:$O,February!$Q$69,input!$X:$X,February!N86,input!$A:$A,February!$B$2)</f>
        <v>0</v>
      </c>
      <c r="R86" s="33">
        <f>COUNTIFS(input!$O:$O,February!$R$69,input!$X:$X,February!N86,input!$A:$A,February!$B$2)</f>
        <v>0</v>
      </c>
      <c r="S86" s="33">
        <f>COUNTIFS(input!$O:$O,February!$S$69,input!$X:$X,February!N86,input!$A:$A,February!$B$2)</f>
        <v>0</v>
      </c>
      <c r="T86" s="38">
        <f>COUNTIFS(input!$O:$O,February!$T$69,input!$X:$X,February!N86,input!$A:$A,February!$B$2)</f>
        <v>0</v>
      </c>
      <c r="U86" s="38">
        <f>COUNTIFS(input!$O:$O,February!$U$69,input!$X:$X,February!N86,input!$A:$A,February!$B$2)</f>
        <v>0</v>
      </c>
      <c r="V86" s="39">
        <f>COUNTIFS(input!$O:$O,February!$V$69,input!$X:$X,February!N86,input!$A:$A,February!$B$2)</f>
        <v>0</v>
      </c>
      <c r="W86" s="39">
        <f>COUNTIFS(input!$O:$O,February!$W$69,input!$X:$X,February!N86,input!$A:$A,February!$B$2)</f>
        <v>0</v>
      </c>
      <c r="X86" s="299"/>
      <c r="Y86" s="28">
        <f t="shared" si="8"/>
        <v>0</v>
      </c>
      <c r="Z86" s="32" cm="1">
        <f t="array" ref="Z86">_xlfn.IFS(Y86=0,0,Y86&gt;=1,Y86/Y$94)</f>
        <v>0</v>
      </c>
    </row>
    <row r="87" spans="2:26" ht="33" customHeight="1" x14ac:dyDescent="0.25">
      <c r="B87" s="809" t="s">
        <v>647</v>
      </c>
      <c r="C87" s="810"/>
      <c r="D87" s="33">
        <f>COUNTIFS(input!$O:$O,February!$D$69,input!$W:$W,February!B87,input!$A:$A,February!$B$2)</f>
        <v>0</v>
      </c>
      <c r="E87" s="33">
        <f>COUNTIFS(input!$O:$O,February!$E$69,input!$W:$W,February!B87,input!$A:$A,February!$B$2)</f>
        <v>1</v>
      </c>
      <c r="F87" s="33">
        <f>COUNTIFS(input!$O:$O,February!$F$69,input!$W:$W,February!B87,input!$A:$A,February!$B$2)</f>
        <v>0</v>
      </c>
      <c r="G87" s="38">
        <f>COUNTIFS(input!$O:$O,February!$G$69,input!$W:$W,February!B87,input!$A:$A,February!$B$2)</f>
        <v>0</v>
      </c>
      <c r="H87" s="37">
        <f>COUNTIFS(input!$O:$O,February!$H$69,input!$W:$W,February!B87,input!$A:$A,February!$B$2)</f>
        <v>0</v>
      </c>
      <c r="I87" s="37">
        <f>COUNTIFS(input!$O:$O,February!$I$69,input!$W:$W,February!B87,input!$A:$A,February!$B$2)</f>
        <v>0</v>
      </c>
      <c r="J87" s="37">
        <f>COUNTIFS(input!$O:$O,February!$J$69,input!$W:$W,February!B87,input!$A:$A,February!$B$2)</f>
        <v>0</v>
      </c>
      <c r="K87" s="297">
        <f>COUNTIFS(input!$O:$O,February!$K$69,input!$W:$W,February!B87,input!$A:$A,February!$B$2)</f>
        <v>0</v>
      </c>
      <c r="L87" s="28">
        <f t="shared" si="7"/>
        <v>1</v>
      </c>
      <c r="M87" s="36" cm="1">
        <f t="array" ref="M87">_xlfn.IFS(L87=0,0,L87&gt;=1,L87/L94)</f>
        <v>6.25E-2</v>
      </c>
      <c r="N87" s="811" t="s">
        <v>481</v>
      </c>
      <c r="O87" s="773"/>
      <c r="P87" s="772"/>
      <c r="Q87" s="60">
        <f>COUNTIFS(input!$O:$O,February!$Q$69,input!$X:$X,February!N87,input!$A:$A,February!$B$2)</f>
        <v>0</v>
      </c>
      <c r="R87" s="60">
        <f>COUNTIFS(input!$O:$O,February!$R$69,input!$X:$X,February!N87,input!$A:$A,February!$B$2)</f>
        <v>0</v>
      </c>
      <c r="S87" s="60">
        <f>COUNTIFS(input!$O:$O,February!$S$69,input!$X:$X,February!N87,input!$A:$A,February!$B$2)</f>
        <v>0</v>
      </c>
      <c r="T87" s="61">
        <f>COUNTIFS(input!$O:$O,February!$T$69,input!$X:$X,February!N87,input!$A:$A,February!$B$2)</f>
        <v>0</v>
      </c>
      <c r="U87" s="61">
        <f>COUNTIFS(input!$O:$O,February!$U$69,input!$X:$X,February!N87,input!$A:$A,February!$B$2)</f>
        <v>0</v>
      </c>
      <c r="V87" s="39">
        <f>COUNTIFS(input!$O:$O,February!$V$69,input!$X:$X,February!N87,input!$A:$A,February!$B$2)</f>
        <v>0</v>
      </c>
      <c r="W87" s="39">
        <f>COUNTIFS(input!$O:$O,February!$W$69,input!$X:$X,February!N87,input!$A:$A,February!$B$2)</f>
        <v>0</v>
      </c>
      <c r="X87" s="299"/>
      <c r="Y87" s="28">
        <f t="shared" si="8"/>
        <v>0</v>
      </c>
      <c r="Z87" s="32" cm="1">
        <f t="array" ref="Z87">_xlfn.IFS(Y87=0,0,Y87&gt;=1,Y87/Y$94)</f>
        <v>0</v>
      </c>
    </row>
    <row r="88" spans="2:26" ht="33" customHeight="1" x14ac:dyDescent="0.25">
      <c r="B88" s="809" t="s">
        <v>603</v>
      </c>
      <c r="C88" s="810"/>
      <c r="D88" s="33">
        <f>COUNTIFS(input!$O:$O,February!$D$69,input!$W:$W,February!B88,input!$A:$A,February!$B$2)</f>
        <v>0</v>
      </c>
      <c r="E88" s="33">
        <f>COUNTIFS(input!$O:$O,February!$E$69,input!$W:$W,February!B88,input!$A:$A,February!$B$2)</f>
        <v>0</v>
      </c>
      <c r="F88" s="33">
        <f>COUNTIFS(input!$O:$O,February!$F$69,input!$W:$W,February!B88,input!$A:$A,February!$B$2)</f>
        <v>0</v>
      </c>
      <c r="G88" s="38">
        <f>COUNTIFS(input!$O:$O,February!$G$69,input!$W:$W,February!B88,input!$A:$A,February!$B$2)</f>
        <v>0</v>
      </c>
      <c r="H88" s="37">
        <f>COUNTIFS(input!$O:$O,February!$H$69,input!$W:$W,February!B88,input!$A:$A,February!$B$2)</f>
        <v>0</v>
      </c>
      <c r="I88" s="37">
        <f>COUNTIFS(input!$O:$O,February!$I$69,input!$W:$W,February!B88,input!$A:$A,February!$B$2)</f>
        <v>1</v>
      </c>
      <c r="J88" s="37">
        <f>COUNTIFS(input!$O:$O,February!$J$69,input!$W:$W,February!B88,input!$A:$A,February!$B$2)</f>
        <v>0</v>
      </c>
      <c r="K88" s="59">
        <f>COUNTIFS(input!$O:$O,February!$K$69,input!$W:$W,February!B88,input!$A:$A,February!$B$2)</f>
        <v>0</v>
      </c>
      <c r="L88" s="28">
        <f t="shared" si="7"/>
        <v>1</v>
      </c>
      <c r="M88" s="36" cm="1">
        <f t="array" ref="M88">_xlfn.IFS(L88=0,0,L88&gt;=1,L88/L94)</f>
        <v>6.25E-2</v>
      </c>
      <c r="N88" s="811" t="s">
        <v>467</v>
      </c>
      <c r="O88" s="773"/>
      <c r="P88" s="772"/>
      <c r="Q88" s="33">
        <f>COUNTIFS(input!$O:$O,February!$Q$69,input!$X:$X,February!N88,input!$A:$A,February!$B$2)</f>
        <v>0</v>
      </c>
      <c r="R88" s="33">
        <f>COUNTIFS(input!$O:$O,February!$R$69,input!$X:$X,February!N88,input!$A:$A,February!$B$2)</f>
        <v>0</v>
      </c>
      <c r="S88" s="33">
        <f>COUNTIFS(input!$O:$O,February!$S$69,input!$X:$X,February!N88,input!$A:$A,February!$B$2)</f>
        <v>0</v>
      </c>
      <c r="T88" s="38">
        <f>COUNTIFS(input!$O:$O,February!$T$69,input!$X:$X,February!N88,input!$A:$A,February!$B$2)</f>
        <v>0</v>
      </c>
      <c r="U88" s="38">
        <f>COUNTIFS(input!$O:$O,February!$U$69,input!$X:$X,February!N88,input!$A:$A,February!$B$2)</f>
        <v>0</v>
      </c>
      <c r="V88" s="38">
        <f>COUNTIFS(input!$O:$O,February!$V$69,input!$X:$X,February!N88,input!$A:$A,February!$B$2)</f>
        <v>0</v>
      </c>
      <c r="W88" s="38">
        <f>COUNTIFS(input!$O:$O,February!$W$69,input!$X:$X,February!N88,input!$A:$A,February!$B$2)</f>
        <v>0</v>
      </c>
      <c r="X88" s="300"/>
      <c r="Y88" s="28">
        <f t="shared" si="8"/>
        <v>0</v>
      </c>
      <c r="Z88" s="32" cm="1">
        <f t="array" ref="Z88">_xlfn.IFS(Y88=0,0,Y88&gt;=1,Y88/Y$94)</f>
        <v>0</v>
      </c>
    </row>
    <row r="89" spans="2:26" ht="33" customHeight="1" x14ac:dyDescent="0.25">
      <c r="B89" s="809" t="s">
        <v>666</v>
      </c>
      <c r="C89" s="810"/>
      <c r="D89" s="33">
        <f>COUNTIFS(input!$O:$O,February!$D$69,input!$W:$W,February!B89,input!$A:$A,February!$B$2)</f>
        <v>0</v>
      </c>
      <c r="E89" s="33">
        <f>COUNTIFS(input!$O:$O,February!$E$69,input!$W:$W,February!B89,input!$A:$A,February!$B$2)</f>
        <v>0</v>
      </c>
      <c r="F89" s="33">
        <f>COUNTIFS(input!$O:$O,February!$F$69,input!$W:$W,February!B89,input!$A:$A,February!$B$2)</f>
        <v>0</v>
      </c>
      <c r="G89" s="38">
        <f>COUNTIFS(input!$O:$O,February!$G$69,input!$W:$W,February!B89,input!$A:$A,February!$B$2)</f>
        <v>0</v>
      </c>
      <c r="H89" s="37">
        <f>COUNTIFS(input!$O:$O,February!$H$69,input!$W:$W,February!B89,input!$A:$A,February!$B$2)</f>
        <v>1</v>
      </c>
      <c r="I89" s="37">
        <f>COUNTIFS(input!$O:$O,February!$I$69,input!$W:$W,February!B89,input!$A:$A,February!$B$2)</f>
        <v>0</v>
      </c>
      <c r="J89" s="37">
        <f>COUNTIFS(input!$O:$O,February!$J$69,input!$W:$W,February!B89,input!$A:$A,February!$B$2)</f>
        <v>0</v>
      </c>
      <c r="K89" s="37">
        <f>COUNTIFS(input!$O:$O,February!$K$69,input!$W:$W,February!B89,input!$A:$A,February!$B$2)</f>
        <v>0</v>
      </c>
      <c r="L89" s="28">
        <f t="shared" si="7"/>
        <v>1</v>
      </c>
      <c r="M89" s="36" cm="1">
        <f t="array" ref="M89">_xlfn.IFS(L89=0,0,L89&gt;=1,L89/L94)</f>
        <v>6.25E-2</v>
      </c>
      <c r="N89" s="811" t="s">
        <v>188</v>
      </c>
      <c r="O89" s="773"/>
      <c r="P89" s="772"/>
      <c r="Q89" s="33">
        <f>COUNTIFS(input!$O:$O,February!$Q$69,input!$X:$X,February!N89,input!$A:$A,February!$B$2)</f>
        <v>0</v>
      </c>
      <c r="R89" s="33">
        <f>COUNTIFS(input!$O:$O,February!$R$69,input!$X:$X,February!N89,input!$A:$A,February!$B$2)</f>
        <v>0</v>
      </c>
      <c r="S89" s="33">
        <f>COUNTIFS(input!$O:$O,February!$S$69,input!$X:$X,February!N89,input!$A:$A,February!$B$2)</f>
        <v>0</v>
      </c>
      <c r="T89" s="38">
        <f>COUNTIFS(input!$O:$O,February!$T$69,input!$X:$X,February!N89,input!$A:$A,February!$B$2)</f>
        <v>1</v>
      </c>
      <c r="U89" s="38">
        <f>COUNTIFS(input!$O:$O,February!$U$69,input!$X:$X,February!N89,input!$A:$A,February!$B$2)</f>
        <v>0</v>
      </c>
      <c r="V89" s="38">
        <f>COUNTIFS(input!$O:$O,February!$V$69,input!$X:$X,February!N89,input!$A:$A,February!$B$2)</f>
        <v>0</v>
      </c>
      <c r="W89" s="38">
        <f>COUNTIFS(input!$O:$O,February!$W$69,input!$X:$X,February!N89,input!$A:$A,February!$B$2)</f>
        <v>0</v>
      </c>
      <c r="X89" s="300"/>
      <c r="Y89" s="28">
        <f t="shared" si="8"/>
        <v>1</v>
      </c>
      <c r="Z89" s="32" cm="1">
        <f t="array" ref="Z89">_xlfn.IFS(Y89=0,0,Y89&gt;=1,Y89/Y$94)</f>
        <v>0.1111111111111111</v>
      </c>
    </row>
    <row r="90" spans="2:26" ht="33" customHeight="1" x14ac:dyDescent="0.25">
      <c r="B90" s="812" t="s">
        <v>363</v>
      </c>
      <c r="C90" s="770"/>
      <c r="D90" s="33">
        <f>COUNTIFS(input!$O:$O,February!$D$69,input!$W:$W,February!B90,input!$A:$A,February!$B$2)</f>
        <v>0</v>
      </c>
      <c r="E90" s="33">
        <f>COUNTIFS(input!$O:$O,February!$E$69,input!$W:$W,February!B90,input!$A:$A,February!$B$2)</f>
        <v>0</v>
      </c>
      <c r="F90" s="33">
        <f>COUNTIFS(input!$O:$O,February!$F$69,input!$W:$W,February!B90,input!$A:$A,February!$B$2)</f>
        <v>0</v>
      </c>
      <c r="G90" s="38">
        <f>COUNTIFS(input!$O:$O,February!$G$69,input!$W:$W,February!B90,input!$A:$A,February!$B$2)</f>
        <v>0</v>
      </c>
      <c r="H90" s="37">
        <f>COUNTIFS(input!$O:$O,February!$H$69,input!$W:$W,February!B90,input!$A:$A,February!$B$2)</f>
        <v>0</v>
      </c>
      <c r="I90" s="37">
        <f>COUNTIFS(input!$O:$O,February!$I$69,input!$W:$W,February!B90,input!$A:$A,February!$B$2)</f>
        <v>0</v>
      </c>
      <c r="J90" s="37">
        <f>COUNTIFS(input!$O:$O,February!$J$69,input!$W:$W,February!B90,input!$A:$A,February!$B$2)</f>
        <v>0</v>
      </c>
      <c r="K90" s="297">
        <f>COUNTIFS(input!$O:$O,February!$K$69,input!$W:$W,February!B90,input!$A:$A,February!$B$2)</f>
        <v>0</v>
      </c>
      <c r="L90" s="28">
        <f t="shared" si="7"/>
        <v>0</v>
      </c>
      <c r="M90" s="36" cm="1">
        <f t="array" ref="M90">_xlfn.IFS(L90=0,0,L90&gt;=1,L90/L94)</f>
        <v>0</v>
      </c>
      <c r="N90" s="811" t="s">
        <v>361</v>
      </c>
      <c r="O90" s="773"/>
      <c r="P90" s="772"/>
      <c r="Q90" s="33">
        <f>COUNTIFS(input!$O:$O,February!$Q$69,input!$X:$X,February!N90,input!$A:$A,February!$B$2)</f>
        <v>0</v>
      </c>
      <c r="R90" s="33">
        <f>COUNTIFS(input!$O:$O,February!$R$69,input!$X:$X,February!N90,input!$A:$A,February!$B$2)</f>
        <v>0</v>
      </c>
      <c r="S90" s="33">
        <f>COUNTIFS(input!$O:$O,February!$S$69,input!$X:$X,February!N90,input!$A:$A,February!$B$2)</f>
        <v>0</v>
      </c>
      <c r="T90" s="38">
        <f>COUNTIFS(input!$O:$O,February!$T$69,input!$X:$X,February!N90,input!$A:$A,February!$B$2)</f>
        <v>0</v>
      </c>
      <c r="U90" s="38">
        <f>COUNTIFS(input!$O:$O,February!$U$69,input!$X:$X,February!N90,input!$A:$A,February!$B$2)</f>
        <v>0</v>
      </c>
      <c r="V90" s="38">
        <f>COUNTIFS(input!$O:$O,February!$V$69,input!$X:$X,February!N90,input!$A:$A,February!$B$2)</f>
        <v>0</v>
      </c>
      <c r="W90" s="38">
        <f>COUNTIFS(input!$O:$O,February!$W$69,input!$X:$X,February!N90,input!$A:$A,February!$B$2)</f>
        <v>0</v>
      </c>
      <c r="X90" s="300"/>
      <c r="Y90" s="28">
        <f t="shared" si="8"/>
        <v>0</v>
      </c>
      <c r="Z90" s="32" cm="1">
        <f t="array" ref="Z90">_xlfn.IFS(Y90=0,0,Y90&gt;=1,Y90/Y$94)</f>
        <v>0</v>
      </c>
    </row>
    <row r="91" spans="2:26" ht="33" x14ac:dyDescent="0.25">
      <c r="B91" s="812" t="s">
        <v>362</v>
      </c>
      <c r="C91" s="770"/>
      <c r="D91" s="33">
        <f>COUNTIFS(input!$O:$O,February!$D$69,input!$W:$W,February!B91,input!$A:$A,February!$B$2)</f>
        <v>0</v>
      </c>
      <c r="E91" s="33">
        <f>COUNTIFS(input!$O:$O,February!$E$69,input!$W:$W,February!B91,input!$A:$A,February!$B$2)</f>
        <v>0</v>
      </c>
      <c r="F91" s="33">
        <f>COUNTIFS(input!$O:$O,February!$F$69,input!$W:$W,February!B91,input!$A:$A,February!$B$2)</f>
        <v>0</v>
      </c>
      <c r="G91" s="38">
        <f>COUNTIFS(input!$O:$O,February!$G$69,input!$W:$W,February!B91,input!$A:$A,February!$B$2)</f>
        <v>0</v>
      </c>
      <c r="H91" s="37">
        <f>COUNTIFS(input!$O:$O,February!$H$69,input!$W:$W,February!B91,input!$A:$A,February!$B$2)</f>
        <v>0</v>
      </c>
      <c r="I91" s="37">
        <f>COUNTIFS(input!$O:$O,February!$I$69,input!$W:$W,February!B91,input!$A:$A,February!$B$2)</f>
        <v>0</v>
      </c>
      <c r="J91" s="37">
        <f>COUNTIFS(input!$O:$O,February!$J$69,input!$W:$W,February!B91,input!$A:$A,February!$B$2)</f>
        <v>0</v>
      </c>
      <c r="K91" s="297">
        <f>COUNTIFS(input!$O:$O,February!$K$69,input!$W:$W,February!B91,input!$A:$A,February!$B$2)</f>
        <v>0</v>
      </c>
      <c r="L91" s="28">
        <f t="shared" si="7"/>
        <v>0</v>
      </c>
      <c r="M91" s="36" cm="1">
        <f t="array" ref="M91">_xlfn.IFS(L91=0,0,L91&gt;=1,L91/L94)</f>
        <v>0</v>
      </c>
      <c r="N91" s="799" t="s">
        <v>362</v>
      </c>
      <c r="O91" s="769"/>
      <c r="P91" s="770"/>
      <c r="Q91" s="33">
        <f>COUNTIFS(input!$O:$O,February!$Q$69,input!$X:$X,February!N91,input!$A:$A,February!$B$2)</f>
        <v>0</v>
      </c>
      <c r="R91" s="33">
        <f>COUNTIFS(input!$O:$O,February!$R$69,input!$X:$X,February!N91,input!$A:$A,February!$B$2)</f>
        <v>0</v>
      </c>
      <c r="S91" s="33">
        <f>COUNTIFS(input!$O:$O,February!$S$69,input!$X:$X,February!N91,input!$A:$A,February!$B$2)</f>
        <v>0</v>
      </c>
      <c r="T91" s="38">
        <f>COUNTIFS(input!$O:$O,February!$T$69,input!$X:$X,February!N91,input!$A:$A,February!$B$2)</f>
        <v>0</v>
      </c>
      <c r="U91" s="38">
        <f>COUNTIFS(input!$O:$O,February!$U$69,input!$X:$X,February!N91,input!$A:$A,February!$B$2)</f>
        <v>0</v>
      </c>
      <c r="V91" s="38">
        <f>COUNTIFS(input!$O:$O,February!$V$69,input!$X:$X,February!N91,input!$A:$A,February!$B$2)</f>
        <v>0</v>
      </c>
      <c r="W91" s="38">
        <f>COUNTIFS(input!$O:$O,February!$W$69,input!$X:$X,February!N91,input!$A:$A,February!$B$2)</f>
        <v>0</v>
      </c>
      <c r="X91" s="300"/>
      <c r="Y91" s="28">
        <f t="shared" si="8"/>
        <v>0</v>
      </c>
      <c r="Z91" s="32" cm="1">
        <f t="array" ref="Z91">_xlfn.IFS(Y91=0,0,Y91&gt;=1,Y91/Y$94)</f>
        <v>0</v>
      </c>
    </row>
    <row r="92" spans="2:26" ht="33" x14ac:dyDescent="0.25">
      <c r="B92" s="771" t="s">
        <v>361</v>
      </c>
      <c r="C92" s="772"/>
      <c r="D92" s="33">
        <f>COUNTIFS(input!$O:$O,February!$D$69,input!$W:$W,February!B92,input!$A:$A,February!$B$2)</f>
        <v>0</v>
      </c>
      <c r="E92" s="33">
        <f>COUNTIFS(input!$O:$O,February!$E$69,input!$W:$W,February!B92,input!$A:$A,February!$B$2)</f>
        <v>0</v>
      </c>
      <c r="F92" s="33">
        <f>COUNTIFS(input!$O:$O,February!$F$69,input!$W:$W,February!B92,input!$A:$A,February!$B$2)</f>
        <v>0</v>
      </c>
      <c r="G92" s="38">
        <f>COUNTIFS(input!$O:$O,February!$G$69,input!$W:$W,February!B92,input!$A:$A,February!$B$2)</f>
        <v>0</v>
      </c>
      <c r="H92" s="37">
        <f>COUNTIFS(input!$O:$O,February!$H$69,input!$W:$W,February!B92,input!$A:$A,February!$B$2)</f>
        <v>0</v>
      </c>
      <c r="I92" s="37">
        <f>COUNTIFS(input!$O:$O,February!$I$69,input!$W:$W,February!B92,input!$A:$A,February!$B$2)</f>
        <v>0</v>
      </c>
      <c r="J92" s="37">
        <f>COUNTIFS(input!$O:$O,February!$J$69,input!$W:$W,February!B92,input!$A:$A,February!$B$2)</f>
        <v>0</v>
      </c>
      <c r="K92" s="297">
        <f>COUNTIFS(input!$O:$O,February!$K$69,input!$W:$W,February!B92,input!$A:$A,February!$B$2)</f>
        <v>0</v>
      </c>
      <c r="L92" s="28">
        <f t="shared" si="7"/>
        <v>0</v>
      </c>
      <c r="M92" s="36" cm="1">
        <f t="array" ref="M92">_xlfn.IFS(L92=0,0,L92&gt;=1,L92/L94)</f>
        <v>0</v>
      </c>
      <c r="N92" s="799" t="s">
        <v>363</v>
      </c>
      <c r="O92" s="769"/>
      <c r="P92" s="770"/>
      <c r="Q92" s="33">
        <f>COUNTIFS(input!$O:$O,February!$Q$69,input!$X:$X,February!N92,input!$A:$A,February!$B$2)</f>
        <v>0</v>
      </c>
      <c r="R92" s="33">
        <f>COUNTIFS(input!$O:$O,February!$R$69,input!$X:$X,February!N92,input!$A:$A,February!$B$2)</f>
        <v>0</v>
      </c>
      <c r="S92" s="33">
        <f>COUNTIFS(input!$O:$O,February!$S$69,input!$X:$X,February!N92,input!$A:$A,February!$B$2)</f>
        <v>0</v>
      </c>
      <c r="T92" s="38">
        <f>COUNTIFS(input!$O:$O,February!$T$69,input!$X:$X,February!N92,input!$A:$A,February!$B$2)</f>
        <v>0</v>
      </c>
      <c r="U92" s="38">
        <f>COUNTIFS(input!$O:$O,February!$U$69,input!$X:$X,February!N92,input!$A:$A,February!$B$2)</f>
        <v>0</v>
      </c>
      <c r="V92" s="38">
        <f>COUNTIFS(input!$O:$O,February!$V$69,input!$X:$X,February!N92,input!$A:$A,February!$B$2)</f>
        <v>0</v>
      </c>
      <c r="W92" s="38">
        <f>COUNTIFS(input!$O:$O,February!$W$69,input!$X:$X,February!N92,input!$A:$A,February!$B$2)</f>
        <v>0</v>
      </c>
      <c r="X92" s="300"/>
      <c r="Y92" s="28">
        <f t="shared" si="8"/>
        <v>0</v>
      </c>
      <c r="Z92" s="32" cm="1">
        <f t="array" ref="Z92">_xlfn.IFS(Y92=0,0,Y92&gt;=1,Y92/Y$94)</f>
        <v>0</v>
      </c>
    </row>
    <row r="93" spans="2:26" ht="33" x14ac:dyDescent="0.25">
      <c r="B93" s="800" t="s">
        <v>57</v>
      </c>
      <c r="C93" s="801"/>
      <c r="D93" s="62">
        <f>COUNTIFS(input!$O:$O,February!$D$69,input!$W:$W,February!B93,input!$A:$A,February!$B$2)</f>
        <v>0</v>
      </c>
      <c r="E93" s="62">
        <f>COUNTIFS(input!$O:$O,February!$E$69,input!$W:$W,February!B93,input!$A:$A,February!$B$2)</f>
        <v>0</v>
      </c>
      <c r="F93" s="62">
        <f>COUNTIFS(input!$O:$O,February!$F$69,input!$W:$W,February!B93,input!$A:$A,February!$B$2)</f>
        <v>0</v>
      </c>
      <c r="G93" s="63">
        <f>COUNTIFS(input!$O:$O,February!$G$69,input!$W:$W,February!B93,input!$A:$A,February!$B$2)</f>
        <v>0</v>
      </c>
      <c r="H93" s="64">
        <f>COUNTIFS(input!$O:$O,February!$H$69,input!$W:$W,February!B93,input!$A:$A,February!$B$2)</f>
        <v>0</v>
      </c>
      <c r="I93" s="64">
        <f>COUNTIFS(input!$O:$O,February!$I$69,input!$W:$W,February!B93,input!$A:$A,February!$B$2)</f>
        <v>0</v>
      </c>
      <c r="J93" s="64">
        <f>COUNTIFS(input!$O:$O,February!$J$69,input!$W:$W,February!B93,input!$A:$A,February!$B$2)</f>
        <v>0</v>
      </c>
      <c r="K93" s="298">
        <f>COUNTIFS(input!$O:$O,February!$K$69,input!$W:$W,February!B93,input!$A:$A,February!$B$2)</f>
        <v>5</v>
      </c>
      <c r="L93" s="28">
        <f t="shared" si="7"/>
        <v>5</v>
      </c>
      <c r="M93" s="47" cm="1">
        <f t="array" ref="M93">_xlfn.IFS(L93=0,0,L93&gt;=1,L93/L94)</f>
        <v>0.3125</v>
      </c>
      <c r="N93" s="802" t="s">
        <v>364</v>
      </c>
      <c r="O93" s="803"/>
      <c r="P93" s="804"/>
      <c r="Q93" s="62">
        <f>COUNTIFS(input!$O:$O,February!$Q$69,input!$X:$X,February!N93,input!$A:$A,February!$B$2)</f>
        <v>0</v>
      </c>
      <c r="R93" s="62">
        <f>COUNTIFS(input!$O:$O,February!$R$69,input!$X:$X,February!N93,input!$A:$A,February!$B$2)</f>
        <v>0</v>
      </c>
      <c r="S93" s="62">
        <f>COUNTIFS(input!$O:$O,February!$S$69,input!$X:$X,February!N93,input!$A:$A,February!$B$2)</f>
        <v>0</v>
      </c>
      <c r="T93" s="63">
        <f>COUNTIFS(input!$O:$O,February!$T$69,input!$X:$X,February!N93,input!$A:$A,February!$B$2)</f>
        <v>0</v>
      </c>
      <c r="U93" s="63">
        <f>COUNTIFS(input!$O:$O,February!$U$69,input!$X:$X,February!N93,input!$A:$A,February!$B$2)</f>
        <v>0</v>
      </c>
      <c r="V93" s="63">
        <f>COUNTIFS(input!$O:$O,February!$V$69,input!$X:$X,February!N93,input!$A:$A,February!$B$2)</f>
        <v>0</v>
      </c>
      <c r="W93" s="63">
        <f>COUNTIFS(input!$O:$O,February!$W$69,input!$X:$X,February!N93,input!$A:$A,February!$B$2)</f>
        <v>0</v>
      </c>
      <c r="X93" s="301"/>
      <c r="Y93" s="28">
        <f t="shared" si="8"/>
        <v>0</v>
      </c>
      <c r="Z93" s="32" cm="1">
        <f t="array" ref="Z93">_xlfn.IFS(Y93=0,0,Y93&gt;=1,Y93/Y$94)</f>
        <v>0</v>
      </c>
    </row>
    <row r="94" spans="2:26" ht="33" thickBot="1" x14ac:dyDescent="0.3">
      <c r="B94" s="805" t="s">
        <v>4</v>
      </c>
      <c r="C94" s="806"/>
      <c r="D94" s="57">
        <f>SUM(D70:D93)</f>
        <v>0</v>
      </c>
      <c r="E94" s="57">
        <f t="shared" ref="E94:K94" si="9">SUM(E70:E93)</f>
        <v>2</v>
      </c>
      <c r="F94" s="57">
        <f t="shared" si="9"/>
        <v>0</v>
      </c>
      <c r="G94" s="57">
        <f t="shared" si="9"/>
        <v>5</v>
      </c>
      <c r="H94" s="57">
        <f t="shared" si="9"/>
        <v>1</v>
      </c>
      <c r="I94" s="57">
        <f t="shared" si="9"/>
        <v>3</v>
      </c>
      <c r="J94" s="57">
        <f t="shared" si="9"/>
        <v>0</v>
      </c>
      <c r="K94" s="57">
        <f t="shared" si="9"/>
        <v>5</v>
      </c>
      <c r="L94" s="57">
        <f>SUM(L70:L93)</f>
        <v>16</v>
      </c>
      <c r="M94" s="68">
        <f>SUM(M70:M93)</f>
        <v>1</v>
      </c>
      <c r="N94" s="807" t="s">
        <v>4</v>
      </c>
      <c r="O94" s="807"/>
      <c r="P94" s="808"/>
      <c r="Q94" s="65">
        <f>SUM(Q70:Q93)</f>
        <v>0</v>
      </c>
      <c r="R94" s="65">
        <f t="shared" ref="R94:X94" si="10">SUM(R70:R93)</f>
        <v>1</v>
      </c>
      <c r="S94" s="65">
        <f t="shared" si="10"/>
        <v>0</v>
      </c>
      <c r="T94" s="65">
        <f t="shared" si="10"/>
        <v>5</v>
      </c>
      <c r="U94" s="65">
        <f t="shared" si="10"/>
        <v>0</v>
      </c>
      <c r="V94" s="65">
        <f t="shared" si="10"/>
        <v>3</v>
      </c>
      <c r="W94" s="65">
        <f t="shared" si="10"/>
        <v>0</v>
      </c>
      <c r="X94" s="65">
        <f t="shared" si="10"/>
        <v>0</v>
      </c>
      <c r="Y94" s="57">
        <f>SUM(Y70:Y93)</f>
        <v>9</v>
      </c>
      <c r="Z94" s="69">
        <f>SUM(Z70:Z93)</f>
        <v>1.0000000000000002</v>
      </c>
    </row>
    <row r="95" spans="2:26" s="133" customFormat="1" ht="46" thickBot="1" x14ac:dyDescent="0.3">
      <c r="B95" s="794"/>
      <c r="C95" s="795"/>
      <c r="D95" s="796" t="s">
        <v>16</v>
      </c>
      <c r="E95" s="797"/>
      <c r="F95" s="797"/>
      <c r="G95" s="797"/>
      <c r="H95" s="797"/>
      <c r="I95" s="797"/>
      <c r="J95" s="797"/>
      <c r="K95" s="797"/>
      <c r="L95" s="797"/>
      <c r="M95" s="798"/>
      <c r="N95" s="796" t="s">
        <v>182</v>
      </c>
      <c r="O95" s="797"/>
      <c r="P95" s="797"/>
      <c r="Q95" s="797"/>
      <c r="R95" s="797"/>
      <c r="S95" s="797"/>
      <c r="T95" s="797"/>
      <c r="U95" s="797"/>
      <c r="V95" s="797"/>
      <c r="W95" s="797"/>
      <c r="X95" s="797"/>
      <c r="Y95" s="797"/>
      <c r="Z95" s="798"/>
    </row>
    <row r="96" spans="2:26" s="130" customFormat="1" ht="70" customHeight="1" x14ac:dyDescent="0.25">
      <c r="B96" s="739" t="str">
        <f>'Description of Incidents'!A42</f>
        <v>Norel Alagon</v>
      </c>
      <c r="C96" s="740"/>
      <c r="D96" s="741" t="s">
        <v>564</v>
      </c>
      <c r="E96" s="742"/>
      <c r="F96" s="742"/>
      <c r="G96" s="742"/>
      <c r="H96" s="742"/>
      <c r="I96" s="742"/>
      <c r="J96" s="742"/>
      <c r="K96" s="742"/>
      <c r="L96" s="742"/>
      <c r="M96" s="743"/>
      <c r="N96" s="741" t="s">
        <v>720</v>
      </c>
      <c r="O96" s="742"/>
      <c r="P96" s="742"/>
      <c r="Q96" s="742"/>
      <c r="R96" s="742"/>
      <c r="S96" s="742"/>
      <c r="T96" s="742"/>
      <c r="U96" s="742"/>
      <c r="V96" s="742"/>
      <c r="W96" s="742"/>
      <c r="X96" s="742"/>
      <c r="Y96" s="742"/>
      <c r="Z96" s="743"/>
    </row>
    <row r="97" spans="2:52" s="130" customFormat="1" ht="70" customHeight="1" x14ac:dyDescent="0.25">
      <c r="B97" s="790" t="str">
        <f>'Description of Incidents'!A43</f>
        <v>FAC - Lower Back</v>
      </c>
      <c r="C97" s="791"/>
      <c r="D97" s="744"/>
      <c r="E97" s="745"/>
      <c r="F97" s="745"/>
      <c r="G97" s="745"/>
      <c r="H97" s="745"/>
      <c r="I97" s="745"/>
      <c r="J97" s="745"/>
      <c r="K97" s="745"/>
      <c r="L97" s="745"/>
      <c r="M97" s="746"/>
      <c r="N97" s="744"/>
      <c r="O97" s="745"/>
      <c r="P97" s="745"/>
      <c r="Q97" s="745"/>
      <c r="R97" s="745"/>
      <c r="S97" s="745"/>
      <c r="T97" s="745"/>
      <c r="U97" s="745"/>
      <c r="V97" s="745"/>
      <c r="W97" s="745"/>
      <c r="X97" s="745"/>
      <c r="Y97" s="745"/>
      <c r="Z97" s="746"/>
      <c r="AC97" s="131"/>
    </row>
    <row r="98" spans="2:52" s="130" customFormat="1" ht="70" customHeight="1" thickBot="1" x14ac:dyDescent="0.3">
      <c r="B98" s="792" t="str">
        <f>'Description of Incidents'!A44</f>
        <v>LM90 1000L Cuddy</v>
      </c>
      <c r="C98" s="793"/>
      <c r="D98" s="747"/>
      <c r="E98" s="748"/>
      <c r="F98" s="748"/>
      <c r="G98" s="748"/>
      <c r="H98" s="748"/>
      <c r="I98" s="748"/>
      <c r="J98" s="748"/>
      <c r="K98" s="748"/>
      <c r="L98" s="748"/>
      <c r="M98" s="749"/>
      <c r="N98" s="747"/>
      <c r="O98" s="748"/>
      <c r="P98" s="748"/>
      <c r="Q98" s="748"/>
      <c r="R98" s="748"/>
      <c r="S98" s="748"/>
      <c r="T98" s="748"/>
      <c r="U98" s="748"/>
      <c r="V98" s="748"/>
      <c r="W98" s="748"/>
      <c r="X98" s="748"/>
      <c r="Y98" s="748"/>
      <c r="Z98" s="749"/>
    </row>
    <row r="99" spans="2:52" s="130" customFormat="1" ht="98" customHeight="1" x14ac:dyDescent="0.25">
      <c r="B99" s="774" t="str">
        <f>'Description of Incidents'!A45</f>
        <v>Julius M. Fanggot</v>
      </c>
      <c r="C99" s="775"/>
      <c r="D99" s="756" t="s">
        <v>766</v>
      </c>
      <c r="E99" s="757"/>
      <c r="F99" s="757"/>
      <c r="G99" s="757"/>
      <c r="H99" s="757"/>
      <c r="I99" s="757"/>
      <c r="J99" s="757"/>
      <c r="K99" s="757"/>
      <c r="L99" s="757"/>
      <c r="M99" s="758"/>
      <c r="N99" s="756" t="s">
        <v>767</v>
      </c>
      <c r="O99" s="757"/>
      <c r="P99" s="757"/>
      <c r="Q99" s="757"/>
      <c r="R99" s="757"/>
      <c r="S99" s="757"/>
      <c r="T99" s="757"/>
      <c r="U99" s="757"/>
      <c r="V99" s="757"/>
      <c r="W99" s="757"/>
      <c r="X99" s="757"/>
      <c r="Y99" s="757"/>
      <c r="Z99" s="758"/>
    </row>
    <row r="100" spans="2:52" s="130" customFormat="1" ht="98" customHeight="1" x14ac:dyDescent="0.25">
      <c r="B100" s="765" t="str">
        <f>'Description of Incidents'!A46</f>
        <v>LTA-NF</v>
      </c>
      <c r="C100" s="776"/>
      <c r="D100" s="759"/>
      <c r="E100" s="760"/>
      <c r="F100" s="760"/>
      <c r="G100" s="760"/>
      <c r="H100" s="760"/>
      <c r="I100" s="760"/>
      <c r="J100" s="760"/>
      <c r="K100" s="760"/>
      <c r="L100" s="760"/>
      <c r="M100" s="761"/>
      <c r="N100" s="759"/>
      <c r="O100" s="760"/>
      <c r="P100" s="760"/>
      <c r="Q100" s="760"/>
      <c r="R100" s="760"/>
      <c r="S100" s="760"/>
      <c r="T100" s="760"/>
      <c r="U100" s="760"/>
      <c r="V100" s="760"/>
      <c r="W100" s="760"/>
      <c r="X100" s="760"/>
      <c r="Y100" s="760"/>
      <c r="Z100" s="761"/>
      <c r="AC100" s="131"/>
      <c r="AZ100" s="131"/>
    </row>
    <row r="101" spans="2:52" s="130" customFormat="1" ht="98" customHeight="1" thickBot="1" x14ac:dyDescent="0.3">
      <c r="B101" s="767" t="s">
        <v>672</v>
      </c>
      <c r="C101" s="777"/>
      <c r="D101" s="762"/>
      <c r="E101" s="763"/>
      <c r="F101" s="763"/>
      <c r="G101" s="763"/>
      <c r="H101" s="763"/>
      <c r="I101" s="763"/>
      <c r="J101" s="763"/>
      <c r="K101" s="763"/>
      <c r="L101" s="763"/>
      <c r="M101" s="764"/>
      <c r="N101" s="762"/>
      <c r="O101" s="763"/>
      <c r="P101" s="763"/>
      <c r="Q101" s="763"/>
      <c r="R101" s="763"/>
      <c r="S101" s="763"/>
      <c r="T101" s="763"/>
      <c r="U101" s="763"/>
      <c r="V101" s="763"/>
      <c r="W101" s="763"/>
      <c r="X101" s="763"/>
      <c r="Y101" s="763"/>
      <c r="Z101" s="764"/>
    </row>
    <row r="102" spans="2:52" s="130" customFormat="1" ht="44" x14ac:dyDescent="0.25">
      <c r="B102" s="739" t="str">
        <f>'Description of Incidents'!A48</f>
        <v>Aljon J. Valdez</v>
      </c>
      <c r="C102" s="740"/>
      <c r="D102" s="741" t="s">
        <v>566</v>
      </c>
      <c r="E102" s="742"/>
      <c r="F102" s="742"/>
      <c r="G102" s="742"/>
      <c r="H102" s="742"/>
      <c r="I102" s="742"/>
      <c r="J102" s="742"/>
      <c r="K102" s="742"/>
      <c r="L102" s="742"/>
      <c r="M102" s="743"/>
      <c r="N102" s="741" t="s">
        <v>724</v>
      </c>
      <c r="O102" s="742"/>
      <c r="P102" s="742"/>
      <c r="Q102" s="742"/>
      <c r="R102" s="742"/>
      <c r="S102" s="742"/>
      <c r="T102" s="742"/>
      <c r="U102" s="742"/>
      <c r="V102" s="742"/>
      <c r="W102" s="742"/>
      <c r="X102" s="742"/>
      <c r="Y102" s="742"/>
      <c r="Z102" s="743"/>
    </row>
    <row r="103" spans="2:52" s="130" customFormat="1" ht="45" x14ac:dyDescent="0.25">
      <c r="B103" s="750" t="str">
        <f>'Description of Incidents'!A49</f>
        <v>OI - Stomach ache &amp; dizziness</v>
      </c>
      <c r="C103" s="751"/>
      <c r="D103" s="744"/>
      <c r="E103" s="745"/>
      <c r="F103" s="745"/>
      <c r="G103" s="745"/>
      <c r="H103" s="745"/>
      <c r="I103" s="745"/>
      <c r="J103" s="745"/>
      <c r="K103" s="745"/>
      <c r="L103" s="745"/>
      <c r="M103" s="746"/>
      <c r="N103" s="744"/>
      <c r="O103" s="745"/>
      <c r="P103" s="745"/>
      <c r="Q103" s="745"/>
      <c r="R103" s="745"/>
      <c r="S103" s="745"/>
      <c r="T103" s="745"/>
      <c r="U103" s="745"/>
      <c r="V103" s="745"/>
      <c r="W103" s="745"/>
      <c r="X103" s="745"/>
      <c r="Y103" s="745"/>
      <c r="Z103" s="746"/>
      <c r="AC103" s="131"/>
    </row>
    <row r="104" spans="2:52" s="130" customFormat="1" ht="45.5" thickBot="1" x14ac:dyDescent="0.3">
      <c r="B104" s="752" t="str">
        <f>'Description of Incidents'!A50</f>
        <v>249 Station</v>
      </c>
      <c r="C104" s="753"/>
      <c r="D104" s="747"/>
      <c r="E104" s="748"/>
      <c r="F104" s="748"/>
      <c r="G104" s="748"/>
      <c r="H104" s="748"/>
      <c r="I104" s="748"/>
      <c r="J104" s="748"/>
      <c r="K104" s="748"/>
      <c r="L104" s="748"/>
      <c r="M104" s="749"/>
      <c r="N104" s="747"/>
      <c r="O104" s="748"/>
      <c r="P104" s="748"/>
      <c r="Q104" s="748"/>
      <c r="R104" s="748"/>
      <c r="S104" s="748"/>
      <c r="T104" s="748"/>
      <c r="U104" s="748"/>
      <c r="V104" s="748"/>
      <c r="W104" s="748"/>
      <c r="X104" s="748"/>
      <c r="Y104" s="748"/>
      <c r="Z104" s="749"/>
    </row>
    <row r="105" spans="2:52" s="130" customFormat="1" ht="44" x14ac:dyDescent="0.25">
      <c r="B105" s="774" t="str">
        <f>'Description of Incidents'!A51</f>
        <v>Ramil A. Bayyoc</v>
      </c>
      <c r="C105" s="775"/>
      <c r="D105" s="756" t="s">
        <v>611</v>
      </c>
      <c r="E105" s="757"/>
      <c r="F105" s="757"/>
      <c r="G105" s="757"/>
      <c r="H105" s="757"/>
      <c r="I105" s="757"/>
      <c r="J105" s="757"/>
      <c r="K105" s="757"/>
      <c r="L105" s="757"/>
      <c r="M105" s="758"/>
      <c r="N105" s="756" t="s">
        <v>725</v>
      </c>
      <c r="O105" s="757"/>
      <c r="P105" s="757"/>
      <c r="Q105" s="757"/>
      <c r="R105" s="757"/>
      <c r="S105" s="757"/>
      <c r="T105" s="757"/>
      <c r="U105" s="757"/>
      <c r="V105" s="757"/>
      <c r="W105" s="757"/>
      <c r="X105" s="757"/>
      <c r="Y105" s="757"/>
      <c r="Z105" s="758"/>
    </row>
    <row r="106" spans="2:52" s="130" customFormat="1" ht="45" x14ac:dyDescent="0.25">
      <c r="B106" s="765" t="str">
        <f>'Description of Incidents'!A52</f>
        <v>OI</v>
      </c>
      <c r="C106" s="776"/>
      <c r="D106" s="759"/>
      <c r="E106" s="760"/>
      <c r="F106" s="760"/>
      <c r="G106" s="760"/>
      <c r="H106" s="760"/>
      <c r="I106" s="760"/>
      <c r="J106" s="760"/>
      <c r="K106" s="760"/>
      <c r="L106" s="760"/>
      <c r="M106" s="761"/>
      <c r="N106" s="759"/>
      <c r="O106" s="760"/>
      <c r="P106" s="760"/>
      <c r="Q106" s="760"/>
      <c r="R106" s="760"/>
      <c r="S106" s="760"/>
      <c r="T106" s="760"/>
      <c r="U106" s="760"/>
      <c r="V106" s="760"/>
      <c r="W106" s="760"/>
      <c r="X106" s="760"/>
      <c r="Y106" s="760"/>
      <c r="Z106" s="761"/>
      <c r="AC106" s="131"/>
      <c r="AZ106" s="131"/>
    </row>
    <row r="107" spans="2:52" s="130" customFormat="1" ht="45.5" thickBot="1" x14ac:dyDescent="0.3">
      <c r="B107" s="767" t="str">
        <f>'Description of Incidents'!A53</f>
        <v>249 Station</v>
      </c>
      <c r="C107" s="777"/>
      <c r="D107" s="762"/>
      <c r="E107" s="763"/>
      <c r="F107" s="763"/>
      <c r="G107" s="763"/>
      <c r="H107" s="763"/>
      <c r="I107" s="763"/>
      <c r="J107" s="763"/>
      <c r="K107" s="763"/>
      <c r="L107" s="763"/>
      <c r="M107" s="764"/>
      <c r="N107" s="762"/>
      <c r="O107" s="763"/>
      <c r="P107" s="763"/>
      <c r="Q107" s="763"/>
      <c r="R107" s="763"/>
      <c r="S107" s="763"/>
      <c r="T107" s="763"/>
      <c r="U107" s="763"/>
      <c r="V107" s="763"/>
      <c r="W107" s="763"/>
      <c r="X107" s="763"/>
      <c r="Y107" s="763"/>
      <c r="Z107" s="764"/>
    </row>
    <row r="108" spans="2:52" s="130" customFormat="1" ht="44" x14ac:dyDescent="0.25">
      <c r="B108" s="739" t="str">
        <f>'Description of Incidents'!A54</f>
        <v>William S. Bagyon</v>
      </c>
      <c r="C108" s="740"/>
      <c r="D108" s="741" t="s">
        <v>614</v>
      </c>
      <c r="E108" s="742"/>
      <c r="F108" s="742"/>
      <c r="G108" s="742"/>
      <c r="H108" s="742"/>
      <c r="I108" s="742"/>
      <c r="J108" s="742"/>
      <c r="K108" s="742"/>
      <c r="L108" s="742"/>
      <c r="M108" s="743"/>
      <c r="N108" s="742"/>
      <c r="O108" s="742"/>
      <c r="P108" s="742"/>
      <c r="Q108" s="742"/>
      <c r="R108" s="742"/>
      <c r="S108" s="742"/>
      <c r="T108" s="742"/>
      <c r="U108" s="742"/>
      <c r="V108" s="742"/>
      <c r="W108" s="742"/>
      <c r="X108" s="742"/>
      <c r="Y108" s="742"/>
      <c r="Z108" s="743"/>
    </row>
    <row r="109" spans="2:52" s="130" customFormat="1" ht="45" x14ac:dyDescent="0.25">
      <c r="B109" s="750" t="str">
        <f>'Description of Incidents'!A55</f>
        <v>OI</v>
      </c>
      <c r="C109" s="751"/>
      <c r="D109" s="744"/>
      <c r="E109" s="745"/>
      <c r="F109" s="745"/>
      <c r="G109" s="745"/>
      <c r="H109" s="745"/>
      <c r="I109" s="745"/>
      <c r="J109" s="745"/>
      <c r="K109" s="745"/>
      <c r="L109" s="745"/>
      <c r="M109" s="746"/>
      <c r="N109" s="745"/>
      <c r="O109" s="745"/>
      <c r="P109" s="745"/>
      <c r="Q109" s="745"/>
      <c r="R109" s="745"/>
      <c r="S109" s="745"/>
      <c r="T109" s="745"/>
      <c r="U109" s="745"/>
      <c r="V109" s="745"/>
      <c r="W109" s="745"/>
      <c r="X109" s="745"/>
      <c r="Y109" s="745"/>
      <c r="Z109" s="746"/>
      <c r="AC109" s="131"/>
    </row>
    <row r="110" spans="2:52" s="130" customFormat="1" ht="45.5" thickBot="1" x14ac:dyDescent="0.3">
      <c r="B110" s="752" t="str">
        <f>'Description of Incidents'!A56</f>
        <v>2091 Access</v>
      </c>
      <c r="C110" s="753"/>
      <c r="D110" s="747"/>
      <c r="E110" s="748"/>
      <c r="F110" s="748"/>
      <c r="G110" s="748"/>
      <c r="H110" s="748"/>
      <c r="I110" s="748"/>
      <c r="J110" s="748"/>
      <c r="K110" s="748"/>
      <c r="L110" s="748"/>
      <c r="M110" s="749"/>
      <c r="N110" s="748"/>
      <c r="O110" s="748"/>
      <c r="P110" s="748"/>
      <c r="Q110" s="748"/>
      <c r="R110" s="748"/>
      <c r="S110" s="748"/>
      <c r="T110" s="748"/>
      <c r="U110" s="748"/>
      <c r="V110" s="748"/>
      <c r="W110" s="748"/>
      <c r="X110" s="748"/>
      <c r="Y110" s="748"/>
      <c r="Z110" s="749"/>
    </row>
    <row r="111" spans="2:52" s="130" customFormat="1" ht="44" x14ac:dyDescent="0.25">
      <c r="B111" s="774" t="str">
        <f>'Description of Incidents'!A57</f>
        <v>Jhon Jhon B. Angdason</v>
      </c>
      <c r="C111" s="775"/>
      <c r="D111" s="756" t="s">
        <v>616</v>
      </c>
      <c r="E111" s="757"/>
      <c r="F111" s="757"/>
      <c r="G111" s="757"/>
      <c r="H111" s="757"/>
      <c r="I111" s="757"/>
      <c r="J111" s="757"/>
      <c r="K111" s="757"/>
      <c r="L111" s="757"/>
      <c r="M111" s="758"/>
      <c r="N111" s="756" t="s">
        <v>726</v>
      </c>
      <c r="O111" s="757"/>
      <c r="P111" s="757"/>
      <c r="Q111" s="757"/>
      <c r="R111" s="757"/>
      <c r="S111" s="757"/>
      <c r="T111" s="757"/>
      <c r="U111" s="757"/>
      <c r="V111" s="757"/>
      <c r="W111" s="757"/>
      <c r="X111" s="757"/>
      <c r="Y111" s="757"/>
      <c r="Z111" s="758"/>
    </row>
    <row r="112" spans="2:52" s="130" customFormat="1" ht="45" x14ac:dyDescent="0.25">
      <c r="B112" s="765" t="str">
        <f>'Description of Incidents'!A58</f>
        <v>FAC</v>
      </c>
      <c r="C112" s="776"/>
      <c r="D112" s="759"/>
      <c r="E112" s="760"/>
      <c r="F112" s="760"/>
      <c r="G112" s="760"/>
      <c r="H112" s="760"/>
      <c r="I112" s="760"/>
      <c r="J112" s="760"/>
      <c r="K112" s="760"/>
      <c r="L112" s="760"/>
      <c r="M112" s="761"/>
      <c r="N112" s="759"/>
      <c r="O112" s="760"/>
      <c r="P112" s="760"/>
      <c r="Q112" s="760"/>
      <c r="R112" s="760"/>
      <c r="S112" s="760"/>
      <c r="T112" s="760"/>
      <c r="U112" s="760"/>
      <c r="V112" s="760"/>
      <c r="W112" s="760"/>
      <c r="X112" s="760"/>
      <c r="Y112" s="760"/>
      <c r="Z112" s="761"/>
      <c r="AC112" s="131"/>
      <c r="AZ112" s="131"/>
    </row>
    <row r="113" spans="2:52" s="130" customFormat="1" ht="45.5" thickBot="1" x14ac:dyDescent="0.3">
      <c r="B113" s="767" t="str">
        <f>'Description of Incidents'!A59</f>
        <v>12541 G31S</v>
      </c>
      <c r="C113" s="777"/>
      <c r="D113" s="762"/>
      <c r="E113" s="763"/>
      <c r="F113" s="763"/>
      <c r="G113" s="763"/>
      <c r="H113" s="763"/>
      <c r="I113" s="763"/>
      <c r="J113" s="763"/>
      <c r="K113" s="763"/>
      <c r="L113" s="763"/>
      <c r="M113" s="764"/>
      <c r="N113" s="762"/>
      <c r="O113" s="763"/>
      <c r="P113" s="763"/>
      <c r="Q113" s="763"/>
      <c r="R113" s="763"/>
      <c r="S113" s="763"/>
      <c r="T113" s="763"/>
      <c r="U113" s="763"/>
      <c r="V113" s="763"/>
      <c r="W113" s="763"/>
      <c r="X113" s="763"/>
      <c r="Y113" s="763"/>
      <c r="Z113" s="764"/>
    </row>
    <row r="114" spans="2:52" s="130" customFormat="1" ht="44" x14ac:dyDescent="0.25">
      <c r="B114" s="788" t="str">
        <f>'Description of Incidents'!A60</f>
        <v>Jackford D. Palsaan</v>
      </c>
      <c r="C114" s="789"/>
      <c r="D114" s="741" t="s">
        <v>667</v>
      </c>
      <c r="E114" s="742"/>
      <c r="F114" s="742"/>
      <c r="G114" s="742"/>
      <c r="H114" s="742"/>
      <c r="I114" s="742"/>
      <c r="J114" s="742"/>
      <c r="K114" s="742"/>
      <c r="L114" s="742"/>
      <c r="M114" s="743"/>
      <c r="N114" s="741" t="s">
        <v>727</v>
      </c>
      <c r="O114" s="742"/>
      <c r="P114" s="742"/>
      <c r="Q114" s="742"/>
      <c r="R114" s="742"/>
      <c r="S114" s="742"/>
      <c r="T114" s="742"/>
      <c r="U114" s="742"/>
      <c r="V114" s="742"/>
      <c r="W114" s="742"/>
      <c r="X114" s="742"/>
      <c r="Y114" s="742"/>
      <c r="Z114" s="743"/>
    </row>
    <row r="115" spans="2:52" s="130" customFormat="1" ht="45" x14ac:dyDescent="0.25">
      <c r="B115" s="790" t="str">
        <f>'Description of Incidents'!A61</f>
        <v>FAC</v>
      </c>
      <c r="C115" s="791"/>
      <c r="D115" s="744"/>
      <c r="E115" s="745"/>
      <c r="F115" s="745"/>
      <c r="G115" s="745"/>
      <c r="H115" s="745"/>
      <c r="I115" s="745"/>
      <c r="J115" s="745"/>
      <c r="K115" s="745"/>
      <c r="L115" s="745"/>
      <c r="M115" s="746"/>
      <c r="N115" s="744"/>
      <c r="O115" s="745"/>
      <c r="P115" s="745"/>
      <c r="Q115" s="745"/>
      <c r="R115" s="745"/>
      <c r="S115" s="745"/>
      <c r="T115" s="745"/>
      <c r="U115" s="745"/>
      <c r="V115" s="745"/>
      <c r="W115" s="745"/>
      <c r="X115" s="745"/>
      <c r="Y115" s="745"/>
      <c r="Z115" s="746"/>
      <c r="AC115" s="131"/>
    </row>
    <row r="116" spans="2:52" s="130" customFormat="1" ht="45.5" customHeight="1" thickBot="1" x14ac:dyDescent="0.3">
      <c r="B116" s="792" t="str">
        <f>'Description of Incidents'!A62</f>
        <v>2325 6M4 890L</v>
      </c>
      <c r="C116" s="793"/>
      <c r="D116" s="747"/>
      <c r="E116" s="748"/>
      <c r="F116" s="748"/>
      <c r="G116" s="748"/>
      <c r="H116" s="748"/>
      <c r="I116" s="748"/>
      <c r="J116" s="748"/>
      <c r="K116" s="748"/>
      <c r="L116" s="748"/>
      <c r="M116" s="749"/>
      <c r="N116" s="747"/>
      <c r="O116" s="748"/>
      <c r="P116" s="748"/>
      <c r="Q116" s="748"/>
      <c r="R116" s="748"/>
      <c r="S116" s="748"/>
      <c r="T116" s="748"/>
      <c r="U116" s="748"/>
      <c r="V116" s="748"/>
      <c r="W116" s="748"/>
      <c r="X116" s="748"/>
      <c r="Y116" s="748"/>
      <c r="Z116" s="749"/>
    </row>
    <row r="117" spans="2:52" s="130" customFormat="1" ht="44" x14ac:dyDescent="0.25">
      <c r="B117" s="754" t="str">
        <f>'Description of Incidents'!A63</f>
        <v>Crayton B. Calsiyao</v>
      </c>
      <c r="C117" s="755"/>
      <c r="D117" s="756" t="s">
        <v>668</v>
      </c>
      <c r="E117" s="757"/>
      <c r="F117" s="757"/>
      <c r="G117" s="757"/>
      <c r="H117" s="757"/>
      <c r="I117" s="757"/>
      <c r="J117" s="757"/>
      <c r="K117" s="757"/>
      <c r="L117" s="757"/>
      <c r="M117" s="758"/>
      <c r="N117" s="757" t="s">
        <v>728</v>
      </c>
      <c r="O117" s="757"/>
      <c r="P117" s="757"/>
      <c r="Q117" s="757"/>
      <c r="R117" s="757"/>
      <c r="S117" s="757"/>
      <c r="T117" s="757"/>
      <c r="U117" s="757"/>
      <c r="V117" s="757"/>
      <c r="W117" s="757"/>
      <c r="X117" s="757"/>
      <c r="Y117" s="757"/>
      <c r="Z117" s="758"/>
    </row>
    <row r="118" spans="2:52" s="130" customFormat="1" ht="45" x14ac:dyDescent="0.25">
      <c r="B118" s="765" t="str">
        <f>'Description of Incidents'!A64</f>
        <v>FAC</v>
      </c>
      <c r="C118" s="766"/>
      <c r="D118" s="759"/>
      <c r="E118" s="760"/>
      <c r="F118" s="760"/>
      <c r="G118" s="760"/>
      <c r="H118" s="760"/>
      <c r="I118" s="760"/>
      <c r="J118" s="760"/>
      <c r="K118" s="760"/>
      <c r="L118" s="760"/>
      <c r="M118" s="761"/>
      <c r="N118" s="760"/>
      <c r="O118" s="760"/>
      <c r="P118" s="760"/>
      <c r="Q118" s="760"/>
      <c r="R118" s="760"/>
      <c r="S118" s="760"/>
      <c r="T118" s="760"/>
      <c r="U118" s="760"/>
      <c r="V118" s="760"/>
      <c r="W118" s="760"/>
      <c r="X118" s="760"/>
      <c r="Y118" s="760"/>
      <c r="Z118" s="761"/>
      <c r="AC118" s="131"/>
      <c r="AZ118" s="131"/>
    </row>
    <row r="119" spans="2:52" s="130" customFormat="1" ht="45.5" thickBot="1" x14ac:dyDescent="0.3">
      <c r="B119" s="767" t="str">
        <f>'Description of Incidents'!A65</f>
        <v>205 4M4 1000L</v>
      </c>
      <c r="C119" s="768"/>
      <c r="D119" s="762"/>
      <c r="E119" s="763"/>
      <c r="F119" s="763"/>
      <c r="G119" s="763"/>
      <c r="H119" s="763"/>
      <c r="I119" s="763"/>
      <c r="J119" s="763"/>
      <c r="K119" s="763"/>
      <c r="L119" s="763"/>
      <c r="M119" s="764"/>
      <c r="N119" s="763"/>
      <c r="O119" s="763"/>
      <c r="P119" s="763"/>
      <c r="Q119" s="763"/>
      <c r="R119" s="763"/>
      <c r="S119" s="763"/>
      <c r="T119" s="763"/>
      <c r="U119" s="763"/>
      <c r="V119" s="763"/>
      <c r="W119" s="763"/>
      <c r="X119" s="763"/>
      <c r="Y119" s="763"/>
      <c r="Z119" s="764"/>
    </row>
    <row r="120" spans="2:52" s="130" customFormat="1" ht="74" customHeight="1" x14ac:dyDescent="0.25">
      <c r="B120" s="787" t="str">
        <f>'Description of Incidents'!A66</f>
        <v>Leaonard D. Salingsing</v>
      </c>
      <c r="C120" s="740"/>
      <c r="D120" s="741" t="s">
        <v>669</v>
      </c>
      <c r="E120" s="742"/>
      <c r="F120" s="742"/>
      <c r="G120" s="742"/>
      <c r="H120" s="742"/>
      <c r="I120" s="742"/>
      <c r="J120" s="742"/>
      <c r="K120" s="742"/>
      <c r="L120" s="742"/>
      <c r="M120" s="743"/>
      <c r="N120" s="741" t="s">
        <v>768</v>
      </c>
      <c r="O120" s="742"/>
      <c r="P120" s="742"/>
      <c r="Q120" s="742"/>
      <c r="R120" s="742"/>
      <c r="S120" s="742"/>
      <c r="T120" s="742"/>
      <c r="U120" s="742"/>
      <c r="V120" s="742"/>
      <c r="W120" s="742"/>
      <c r="X120" s="742"/>
      <c r="Y120" s="742"/>
      <c r="Z120" s="743"/>
    </row>
    <row r="121" spans="2:52" s="130" customFormat="1" ht="74" customHeight="1" x14ac:dyDescent="0.25">
      <c r="B121" s="750" t="str">
        <f>'Description of Incidents'!A67</f>
        <v>LTA-NF</v>
      </c>
      <c r="C121" s="751"/>
      <c r="D121" s="744"/>
      <c r="E121" s="745"/>
      <c r="F121" s="745"/>
      <c r="G121" s="745"/>
      <c r="H121" s="745"/>
      <c r="I121" s="745"/>
      <c r="J121" s="745"/>
      <c r="K121" s="745"/>
      <c r="L121" s="745"/>
      <c r="M121" s="746"/>
      <c r="N121" s="744"/>
      <c r="O121" s="745"/>
      <c r="P121" s="745"/>
      <c r="Q121" s="745"/>
      <c r="R121" s="745"/>
      <c r="S121" s="745"/>
      <c r="T121" s="745"/>
      <c r="U121" s="745"/>
      <c r="V121" s="745"/>
      <c r="W121" s="745"/>
      <c r="X121" s="745"/>
      <c r="Y121" s="745"/>
      <c r="Z121" s="746"/>
      <c r="AC121" s="131"/>
    </row>
    <row r="122" spans="2:52" s="130" customFormat="1" ht="74" customHeight="1" thickBot="1" x14ac:dyDescent="0.3">
      <c r="B122" s="752" t="str">
        <f>'Description of Incidents'!A68</f>
        <v>12508 H31N, 880L</v>
      </c>
      <c r="C122" s="753"/>
      <c r="D122" s="747"/>
      <c r="E122" s="748"/>
      <c r="F122" s="748"/>
      <c r="G122" s="748"/>
      <c r="H122" s="748"/>
      <c r="I122" s="748"/>
      <c r="J122" s="748"/>
      <c r="K122" s="748"/>
      <c r="L122" s="748"/>
      <c r="M122" s="749"/>
      <c r="N122" s="747"/>
      <c r="O122" s="748"/>
      <c r="P122" s="748"/>
      <c r="Q122" s="748"/>
      <c r="R122" s="748"/>
      <c r="S122" s="748"/>
      <c r="T122" s="748"/>
      <c r="U122" s="748"/>
      <c r="V122" s="748"/>
      <c r="W122" s="748"/>
      <c r="X122" s="748"/>
      <c r="Y122" s="748"/>
      <c r="Z122" s="749"/>
    </row>
    <row r="123" spans="2:52" s="130" customFormat="1" ht="64" customHeight="1" x14ac:dyDescent="0.25">
      <c r="B123" s="754" t="str">
        <f>'Description of Incidents'!A69</f>
        <v>Jerry L. Bistayok</v>
      </c>
      <c r="C123" s="755"/>
      <c r="D123" s="756" t="s">
        <v>670</v>
      </c>
      <c r="E123" s="757"/>
      <c r="F123" s="757"/>
      <c r="G123" s="757"/>
      <c r="H123" s="757"/>
      <c r="I123" s="757"/>
      <c r="J123" s="757"/>
      <c r="K123" s="757"/>
      <c r="L123" s="757"/>
      <c r="M123" s="758"/>
      <c r="N123" s="757" t="s">
        <v>729</v>
      </c>
      <c r="O123" s="757"/>
      <c r="P123" s="757"/>
      <c r="Q123" s="757"/>
      <c r="R123" s="757"/>
      <c r="S123" s="757"/>
      <c r="T123" s="757"/>
      <c r="U123" s="757"/>
      <c r="V123" s="757"/>
      <c r="W123" s="757"/>
      <c r="X123" s="757"/>
      <c r="Y123" s="757"/>
      <c r="Z123" s="758"/>
    </row>
    <row r="124" spans="2:52" s="130" customFormat="1" ht="64" customHeight="1" x14ac:dyDescent="0.25">
      <c r="B124" s="765" t="str">
        <f>'Description of Incidents'!A70</f>
        <v>FAC</v>
      </c>
      <c r="C124" s="766"/>
      <c r="D124" s="759"/>
      <c r="E124" s="760"/>
      <c r="F124" s="760"/>
      <c r="G124" s="760"/>
      <c r="H124" s="760"/>
      <c r="I124" s="760"/>
      <c r="J124" s="760"/>
      <c r="K124" s="760"/>
      <c r="L124" s="760"/>
      <c r="M124" s="761"/>
      <c r="N124" s="760"/>
      <c r="O124" s="760"/>
      <c r="P124" s="760"/>
      <c r="Q124" s="760"/>
      <c r="R124" s="760"/>
      <c r="S124" s="760"/>
      <c r="T124" s="760"/>
      <c r="U124" s="760"/>
      <c r="V124" s="760"/>
      <c r="W124" s="760"/>
      <c r="X124" s="760"/>
      <c r="Y124" s="760"/>
      <c r="Z124" s="761"/>
      <c r="AC124" s="131"/>
      <c r="AZ124" s="131"/>
    </row>
    <row r="125" spans="2:52" s="130" customFormat="1" ht="64" customHeight="1" thickBot="1" x14ac:dyDescent="0.3">
      <c r="B125" s="767" t="str">
        <f>'Description of Incidents'!A71</f>
        <v>320 Crosscut</v>
      </c>
      <c r="C125" s="768"/>
      <c r="D125" s="762"/>
      <c r="E125" s="763"/>
      <c r="F125" s="763"/>
      <c r="G125" s="763"/>
      <c r="H125" s="763"/>
      <c r="I125" s="763"/>
      <c r="J125" s="763"/>
      <c r="K125" s="763"/>
      <c r="L125" s="763"/>
      <c r="M125" s="764"/>
      <c r="N125" s="763"/>
      <c r="O125" s="763"/>
      <c r="P125" s="763"/>
      <c r="Q125" s="763"/>
      <c r="R125" s="763"/>
      <c r="S125" s="763"/>
      <c r="T125" s="763"/>
      <c r="U125" s="763"/>
      <c r="V125" s="763"/>
      <c r="W125" s="763"/>
      <c r="X125" s="763"/>
      <c r="Y125" s="763"/>
      <c r="Z125" s="764"/>
    </row>
    <row r="126" spans="2:52" s="130" customFormat="1" ht="44" x14ac:dyDescent="0.25">
      <c r="B126" s="739" t="str">
        <f>'Description of Incidents'!A72</f>
        <v>Simon A. Taliwan Jr.</v>
      </c>
      <c r="C126" s="740"/>
      <c r="D126" s="741" t="s">
        <v>673</v>
      </c>
      <c r="E126" s="742"/>
      <c r="F126" s="742"/>
      <c r="G126" s="742"/>
      <c r="H126" s="742"/>
      <c r="I126" s="742"/>
      <c r="J126" s="742"/>
      <c r="K126" s="742"/>
      <c r="L126" s="742"/>
      <c r="M126" s="743"/>
      <c r="N126" s="778" t="s">
        <v>730</v>
      </c>
      <c r="O126" s="779"/>
      <c r="P126" s="779"/>
      <c r="Q126" s="779"/>
      <c r="R126" s="779"/>
      <c r="S126" s="779"/>
      <c r="T126" s="779"/>
      <c r="U126" s="779"/>
      <c r="V126" s="779"/>
      <c r="W126" s="779"/>
      <c r="X126" s="779"/>
      <c r="Y126" s="779"/>
      <c r="Z126" s="780"/>
    </row>
    <row r="127" spans="2:52" s="130" customFormat="1" ht="45" x14ac:dyDescent="0.25">
      <c r="B127" s="750" t="str">
        <f>'Description of Incidents'!A73</f>
        <v>NM</v>
      </c>
      <c r="C127" s="751"/>
      <c r="D127" s="744"/>
      <c r="E127" s="745"/>
      <c r="F127" s="745"/>
      <c r="G127" s="745"/>
      <c r="H127" s="745"/>
      <c r="I127" s="745"/>
      <c r="J127" s="745"/>
      <c r="K127" s="745"/>
      <c r="L127" s="745"/>
      <c r="M127" s="746"/>
      <c r="N127" s="781"/>
      <c r="O127" s="782"/>
      <c r="P127" s="782"/>
      <c r="Q127" s="782"/>
      <c r="R127" s="782"/>
      <c r="S127" s="782"/>
      <c r="T127" s="782"/>
      <c r="U127" s="782"/>
      <c r="V127" s="782"/>
      <c r="W127" s="782"/>
      <c r="X127" s="782"/>
      <c r="Y127" s="782"/>
      <c r="Z127" s="783"/>
      <c r="AC127" s="131"/>
    </row>
    <row r="128" spans="2:52" s="130" customFormat="1" ht="45.5" thickBot="1" x14ac:dyDescent="0.3">
      <c r="B128" s="752" t="str">
        <f>'Description of Incidents'!A74</f>
        <v>Access Ramp, Crushing Area</v>
      </c>
      <c r="C128" s="753"/>
      <c r="D128" s="747"/>
      <c r="E128" s="748"/>
      <c r="F128" s="748"/>
      <c r="G128" s="748"/>
      <c r="H128" s="748"/>
      <c r="I128" s="748"/>
      <c r="J128" s="748"/>
      <c r="K128" s="748"/>
      <c r="L128" s="748"/>
      <c r="M128" s="749"/>
      <c r="N128" s="784"/>
      <c r="O128" s="785"/>
      <c r="P128" s="785"/>
      <c r="Q128" s="785"/>
      <c r="R128" s="785"/>
      <c r="S128" s="785"/>
      <c r="T128" s="785"/>
      <c r="U128" s="785"/>
      <c r="V128" s="785"/>
      <c r="W128" s="785"/>
      <c r="X128" s="785"/>
      <c r="Y128" s="785"/>
      <c r="Z128" s="786"/>
    </row>
    <row r="129" spans="2:52" s="130" customFormat="1" ht="80" customHeight="1" x14ac:dyDescent="0.25">
      <c r="B129" s="774" t="str">
        <f>'Description of Incidents'!A75</f>
        <v>Community Area</v>
      </c>
      <c r="C129" s="775"/>
      <c r="D129" s="756" t="s">
        <v>695</v>
      </c>
      <c r="E129" s="757"/>
      <c r="F129" s="757"/>
      <c r="G129" s="757"/>
      <c r="H129" s="757"/>
      <c r="I129" s="757"/>
      <c r="J129" s="757"/>
      <c r="K129" s="757"/>
      <c r="L129" s="757"/>
      <c r="M129" s="758"/>
      <c r="N129" s="757" t="s">
        <v>731</v>
      </c>
      <c r="O129" s="757"/>
      <c r="P129" s="757"/>
      <c r="Q129" s="757"/>
      <c r="R129" s="757"/>
      <c r="S129" s="757"/>
      <c r="T129" s="757"/>
      <c r="U129" s="757"/>
      <c r="V129" s="757"/>
      <c r="W129" s="757"/>
      <c r="X129" s="757"/>
      <c r="Y129" s="757"/>
      <c r="Z129" s="758"/>
    </row>
    <row r="130" spans="2:52" s="130" customFormat="1" ht="80" customHeight="1" x14ac:dyDescent="0.25">
      <c r="B130" s="765" t="str">
        <f>'Description of Incidents'!A76</f>
        <v>EI</v>
      </c>
      <c r="C130" s="776"/>
      <c r="D130" s="759"/>
      <c r="E130" s="760"/>
      <c r="F130" s="760"/>
      <c r="G130" s="760"/>
      <c r="H130" s="760"/>
      <c r="I130" s="760"/>
      <c r="J130" s="760"/>
      <c r="K130" s="760"/>
      <c r="L130" s="760"/>
      <c r="M130" s="761"/>
      <c r="N130" s="760"/>
      <c r="O130" s="760"/>
      <c r="P130" s="760"/>
      <c r="Q130" s="760"/>
      <c r="R130" s="760"/>
      <c r="S130" s="760"/>
      <c r="T130" s="760"/>
      <c r="U130" s="760"/>
      <c r="V130" s="760"/>
      <c r="W130" s="760"/>
      <c r="X130" s="760"/>
      <c r="Y130" s="760"/>
      <c r="Z130" s="761"/>
      <c r="AC130" s="131"/>
      <c r="AZ130" s="131"/>
    </row>
    <row r="131" spans="2:52" s="130" customFormat="1" ht="80" customHeight="1" thickBot="1" x14ac:dyDescent="0.3">
      <c r="B131" s="767" t="str">
        <f>'Description of Incidents'!A77</f>
        <v>Gravel Pit, Sapid</v>
      </c>
      <c r="C131" s="777"/>
      <c r="D131" s="762"/>
      <c r="E131" s="763"/>
      <c r="F131" s="763"/>
      <c r="G131" s="763"/>
      <c r="H131" s="763"/>
      <c r="I131" s="763"/>
      <c r="J131" s="763"/>
      <c r="K131" s="763"/>
      <c r="L131" s="763"/>
      <c r="M131" s="764"/>
      <c r="N131" s="763"/>
      <c r="O131" s="763"/>
      <c r="P131" s="763"/>
      <c r="Q131" s="763"/>
      <c r="R131" s="763"/>
      <c r="S131" s="763"/>
      <c r="T131" s="763"/>
      <c r="U131" s="763"/>
      <c r="V131" s="763"/>
      <c r="W131" s="763"/>
      <c r="X131" s="763"/>
      <c r="Y131" s="763"/>
      <c r="Z131" s="764"/>
    </row>
    <row r="132" spans="2:52" s="130" customFormat="1" ht="106" customHeight="1" x14ac:dyDescent="0.25">
      <c r="B132" s="739" t="str">
        <f>'Description of Incidents'!A78</f>
        <v>LMD Employees</v>
      </c>
      <c r="C132" s="740"/>
      <c r="D132" s="741" t="s">
        <v>701</v>
      </c>
      <c r="E132" s="742"/>
      <c r="F132" s="742"/>
      <c r="G132" s="742"/>
      <c r="H132" s="742"/>
      <c r="I132" s="742"/>
      <c r="J132" s="742"/>
      <c r="K132" s="742"/>
      <c r="L132" s="742"/>
      <c r="M132" s="743"/>
      <c r="N132" s="742" t="s">
        <v>57</v>
      </c>
      <c r="O132" s="742"/>
      <c r="P132" s="742"/>
      <c r="Q132" s="742"/>
      <c r="R132" s="742"/>
      <c r="S132" s="742"/>
      <c r="T132" s="742"/>
      <c r="U132" s="742"/>
      <c r="V132" s="742"/>
      <c r="W132" s="742"/>
      <c r="X132" s="742"/>
      <c r="Y132" s="742"/>
      <c r="Z132" s="743"/>
    </row>
    <row r="133" spans="2:52" s="130" customFormat="1" ht="106" customHeight="1" x14ac:dyDescent="0.25">
      <c r="B133" s="750" t="str">
        <f>'Description of Incidents'!A79</f>
        <v>EI</v>
      </c>
      <c r="C133" s="751"/>
      <c r="D133" s="744"/>
      <c r="E133" s="745"/>
      <c r="F133" s="745"/>
      <c r="G133" s="745"/>
      <c r="H133" s="745"/>
      <c r="I133" s="745"/>
      <c r="J133" s="745"/>
      <c r="K133" s="745"/>
      <c r="L133" s="745"/>
      <c r="M133" s="746"/>
      <c r="N133" s="745"/>
      <c r="O133" s="745"/>
      <c r="P133" s="745"/>
      <c r="Q133" s="745"/>
      <c r="R133" s="745"/>
      <c r="S133" s="745"/>
      <c r="T133" s="745"/>
      <c r="U133" s="745"/>
      <c r="V133" s="745"/>
      <c r="W133" s="745"/>
      <c r="X133" s="745"/>
      <c r="Y133" s="745"/>
      <c r="Z133" s="746"/>
      <c r="AC133" s="131"/>
    </row>
    <row r="134" spans="2:52" s="130" customFormat="1" ht="106" customHeight="1" thickBot="1" x14ac:dyDescent="0.3">
      <c r="B134" s="752" t="str">
        <f>'Description of Incidents'!A80</f>
        <v>General Office Area</v>
      </c>
      <c r="C134" s="753"/>
      <c r="D134" s="747"/>
      <c r="E134" s="748"/>
      <c r="F134" s="748"/>
      <c r="G134" s="748"/>
      <c r="H134" s="748"/>
      <c r="I134" s="748"/>
      <c r="J134" s="748"/>
      <c r="K134" s="748"/>
      <c r="L134" s="748"/>
      <c r="M134" s="749"/>
      <c r="N134" s="748"/>
      <c r="O134" s="748"/>
      <c r="P134" s="748"/>
      <c r="Q134" s="748"/>
      <c r="R134" s="748"/>
      <c r="S134" s="748"/>
      <c r="T134" s="748"/>
      <c r="U134" s="748"/>
      <c r="V134" s="748"/>
      <c r="W134" s="748"/>
      <c r="X134" s="748"/>
      <c r="Y134" s="748"/>
      <c r="Z134" s="749"/>
    </row>
    <row r="135" spans="2:52" s="130" customFormat="1" ht="64" customHeight="1" x14ac:dyDescent="0.25">
      <c r="B135" s="754" t="str">
        <f>'Description of Incidents'!A81</f>
        <v>Pine Trees</v>
      </c>
      <c r="C135" s="755"/>
      <c r="D135" s="756" t="s">
        <v>707</v>
      </c>
      <c r="E135" s="757"/>
      <c r="F135" s="757"/>
      <c r="G135" s="757"/>
      <c r="H135" s="757"/>
      <c r="I135" s="757"/>
      <c r="J135" s="757"/>
      <c r="K135" s="757"/>
      <c r="L135" s="757"/>
      <c r="M135" s="758"/>
      <c r="N135" s="757" t="s">
        <v>732</v>
      </c>
      <c r="O135" s="757"/>
      <c r="P135" s="757"/>
      <c r="Q135" s="757"/>
      <c r="R135" s="757"/>
      <c r="S135" s="757"/>
      <c r="T135" s="757"/>
      <c r="U135" s="757"/>
      <c r="V135" s="757"/>
      <c r="W135" s="757"/>
      <c r="X135" s="757"/>
      <c r="Y135" s="757"/>
      <c r="Z135" s="758"/>
    </row>
    <row r="136" spans="2:52" s="130" customFormat="1" ht="64" customHeight="1" x14ac:dyDescent="0.25">
      <c r="B136" s="765" t="str">
        <f>'Description of Incidents'!A82</f>
        <v>EI</v>
      </c>
      <c r="C136" s="766"/>
      <c r="D136" s="759"/>
      <c r="E136" s="760"/>
      <c r="F136" s="760"/>
      <c r="G136" s="760"/>
      <c r="H136" s="760"/>
      <c r="I136" s="760"/>
      <c r="J136" s="760"/>
      <c r="K136" s="760"/>
      <c r="L136" s="760"/>
      <c r="M136" s="761"/>
      <c r="N136" s="760"/>
      <c r="O136" s="760"/>
      <c r="P136" s="760"/>
      <c r="Q136" s="760"/>
      <c r="R136" s="760"/>
      <c r="S136" s="760"/>
      <c r="T136" s="760"/>
      <c r="U136" s="760"/>
      <c r="V136" s="760"/>
      <c r="W136" s="760"/>
      <c r="X136" s="760"/>
      <c r="Y136" s="760"/>
      <c r="Z136" s="761"/>
      <c r="AC136" s="131"/>
      <c r="AZ136" s="131"/>
    </row>
    <row r="137" spans="2:52" s="130" customFormat="1" ht="64" customHeight="1" thickBot="1" x14ac:dyDescent="0.3">
      <c r="B137" s="767" t="str">
        <f>'Description of Incidents'!A83</f>
        <v>Golf Course, Sapid</v>
      </c>
      <c r="C137" s="768"/>
      <c r="D137" s="762"/>
      <c r="E137" s="763"/>
      <c r="F137" s="763"/>
      <c r="G137" s="763"/>
      <c r="H137" s="763"/>
      <c r="I137" s="763"/>
      <c r="J137" s="763"/>
      <c r="K137" s="763"/>
      <c r="L137" s="763"/>
      <c r="M137" s="764"/>
      <c r="N137" s="763"/>
      <c r="O137" s="763"/>
      <c r="P137" s="763"/>
      <c r="Q137" s="763"/>
      <c r="R137" s="763"/>
      <c r="S137" s="763"/>
      <c r="T137" s="763"/>
      <c r="U137" s="763"/>
      <c r="V137" s="763"/>
      <c r="W137" s="763"/>
      <c r="X137" s="763"/>
      <c r="Y137" s="763"/>
      <c r="Z137" s="764"/>
    </row>
    <row r="138" spans="2:52" s="130" customFormat="1" ht="44" x14ac:dyDescent="0.25">
      <c r="B138" s="739" t="str">
        <f>'Description of Incidents'!A84</f>
        <v>Pine Trees</v>
      </c>
      <c r="C138" s="740"/>
      <c r="D138" s="741" t="s">
        <v>709</v>
      </c>
      <c r="E138" s="742"/>
      <c r="F138" s="742"/>
      <c r="G138" s="742"/>
      <c r="H138" s="742"/>
      <c r="I138" s="742"/>
      <c r="J138" s="742"/>
      <c r="K138" s="742"/>
      <c r="L138" s="742"/>
      <c r="M138" s="743"/>
      <c r="N138" s="742" t="s">
        <v>733</v>
      </c>
      <c r="O138" s="742"/>
      <c r="P138" s="742"/>
      <c r="Q138" s="742"/>
      <c r="R138" s="742"/>
      <c r="S138" s="742"/>
      <c r="T138" s="742"/>
      <c r="U138" s="742"/>
      <c r="V138" s="742"/>
      <c r="W138" s="742"/>
      <c r="X138" s="742"/>
      <c r="Y138" s="742"/>
      <c r="Z138" s="743"/>
    </row>
    <row r="139" spans="2:52" s="130" customFormat="1" ht="45" x14ac:dyDescent="0.25">
      <c r="B139" s="750" t="str">
        <f>'Description of Incidents'!A85</f>
        <v>EI</v>
      </c>
      <c r="C139" s="751"/>
      <c r="D139" s="744"/>
      <c r="E139" s="745"/>
      <c r="F139" s="745"/>
      <c r="G139" s="745"/>
      <c r="H139" s="745"/>
      <c r="I139" s="745"/>
      <c r="J139" s="745"/>
      <c r="K139" s="745"/>
      <c r="L139" s="745"/>
      <c r="M139" s="746"/>
      <c r="N139" s="745"/>
      <c r="O139" s="745"/>
      <c r="P139" s="745"/>
      <c r="Q139" s="745"/>
      <c r="R139" s="745"/>
      <c r="S139" s="745"/>
      <c r="T139" s="745"/>
      <c r="U139" s="745"/>
      <c r="V139" s="745"/>
      <c r="W139" s="745"/>
      <c r="X139" s="745"/>
      <c r="Y139" s="745"/>
      <c r="Z139" s="746"/>
      <c r="AC139" s="131"/>
    </row>
    <row r="140" spans="2:52" s="130" customFormat="1" ht="45.5" thickBot="1" x14ac:dyDescent="0.3">
      <c r="B140" s="752" t="str">
        <f>'Description of Incidents'!A86</f>
        <v>Tagumbao, Sapid</v>
      </c>
      <c r="C140" s="753"/>
      <c r="D140" s="747"/>
      <c r="E140" s="748"/>
      <c r="F140" s="748"/>
      <c r="G140" s="748"/>
      <c r="H140" s="748"/>
      <c r="I140" s="748"/>
      <c r="J140" s="748"/>
      <c r="K140" s="748"/>
      <c r="L140" s="748"/>
      <c r="M140" s="749"/>
      <c r="N140" s="748"/>
      <c r="O140" s="748"/>
      <c r="P140" s="748"/>
      <c r="Q140" s="748"/>
      <c r="R140" s="748"/>
      <c r="S140" s="748"/>
      <c r="T140" s="748"/>
      <c r="U140" s="748"/>
      <c r="V140" s="748"/>
      <c r="W140" s="748"/>
      <c r="X140" s="748"/>
      <c r="Y140" s="748"/>
      <c r="Z140" s="749"/>
    </row>
    <row r="141" spans="2:52" s="130" customFormat="1" ht="44" x14ac:dyDescent="0.25">
      <c r="B141" s="754" t="str">
        <f>'Description of Incidents'!A87</f>
        <v>Hoses, and Fences</v>
      </c>
      <c r="C141" s="755"/>
      <c r="D141" s="756" t="s">
        <v>719</v>
      </c>
      <c r="E141" s="757"/>
      <c r="F141" s="757"/>
      <c r="G141" s="757"/>
      <c r="H141" s="757"/>
      <c r="I141" s="757"/>
      <c r="J141" s="757"/>
      <c r="K141" s="757"/>
      <c r="L141" s="757"/>
      <c r="M141" s="758"/>
      <c r="N141" s="757" t="s">
        <v>734</v>
      </c>
      <c r="O141" s="757"/>
      <c r="P141" s="757"/>
      <c r="Q141" s="757"/>
      <c r="R141" s="757"/>
      <c r="S141" s="757"/>
      <c r="T141" s="757"/>
      <c r="U141" s="757"/>
      <c r="V141" s="757"/>
      <c r="W141" s="757"/>
      <c r="X141" s="757"/>
      <c r="Y141" s="757"/>
      <c r="Z141" s="758"/>
    </row>
    <row r="142" spans="2:52" s="130" customFormat="1" ht="45" x14ac:dyDescent="0.25">
      <c r="B142" s="765" t="str">
        <f>'Description of Incidents'!A88</f>
        <v>EI</v>
      </c>
      <c r="C142" s="766"/>
      <c r="D142" s="759"/>
      <c r="E142" s="760"/>
      <c r="F142" s="760"/>
      <c r="G142" s="760"/>
      <c r="H142" s="760"/>
      <c r="I142" s="760"/>
      <c r="J142" s="760"/>
      <c r="K142" s="760"/>
      <c r="L142" s="760"/>
      <c r="M142" s="761"/>
      <c r="N142" s="760"/>
      <c r="O142" s="760"/>
      <c r="P142" s="760"/>
      <c r="Q142" s="760"/>
      <c r="R142" s="760"/>
      <c r="S142" s="760"/>
      <c r="T142" s="760"/>
      <c r="U142" s="760"/>
      <c r="V142" s="760"/>
      <c r="W142" s="760"/>
      <c r="X142" s="760"/>
      <c r="Y142" s="760"/>
      <c r="Z142" s="761"/>
      <c r="AC142" s="131"/>
      <c r="AZ142" s="131"/>
    </row>
    <row r="143" spans="2:52" s="130" customFormat="1" ht="45.5" thickBot="1" x14ac:dyDescent="0.3">
      <c r="B143" s="767" t="str">
        <f>'Description of Incidents'!A89</f>
        <v>Aerodome Area, Pukitan</v>
      </c>
      <c r="C143" s="768"/>
      <c r="D143" s="762"/>
      <c r="E143" s="763"/>
      <c r="F143" s="763"/>
      <c r="G143" s="763"/>
      <c r="H143" s="763"/>
      <c r="I143" s="763"/>
      <c r="J143" s="763"/>
      <c r="K143" s="763"/>
      <c r="L143" s="763"/>
      <c r="M143" s="764"/>
      <c r="N143" s="763"/>
      <c r="O143" s="763"/>
      <c r="P143" s="763"/>
      <c r="Q143" s="763"/>
      <c r="R143" s="763"/>
      <c r="S143" s="763"/>
      <c r="T143" s="763"/>
      <c r="U143" s="763"/>
      <c r="V143" s="763"/>
      <c r="W143" s="763"/>
      <c r="X143" s="763"/>
      <c r="Y143" s="763"/>
      <c r="Z143" s="764"/>
    </row>
  </sheetData>
  <mergeCells count="341">
    <mergeCell ref="J7:K7"/>
    <mergeCell ref="J6:K6"/>
    <mergeCell ref="J3:K4"/>
    <mergeCell ref="J25:K25"/>
    <mergeCell ref="J24:K24"/>
    <mergeCell ref="J23:K23"/>
    <mergeCell ref="J22:K22"/>
    <mergeCell ref="J21:K21"/>
    <mergeCell ref="J19:K19"/>
    <mergeCell ref="B5:Z5"/>
    <mergeCell ref="B6:C6"/>
    <mergeCell ref="F6:G6"/>
    <mergeCell ref="L6:M6"/>
    <mergeCell ref="T6:U6"/>
    <mergeCell ref="B7:C7"/>
    <mergeCell ref="F7:G7"/>
    <mergeCell ref="F10:G10"/>
    <mergeCell ref="F11:G11"/>
    <mergeCell ref="L7:M7"/>
    <mergeCell ref="L8:M8"/>
    <mergeCell ref="L9:M9"/>
    <mergeCell ref="L10:M10"/>
    <mergeCell ref="L11:M11"/>
    <mergeCell ref="T7:U7"/>
    <mergeCell ref="T25:U25"/>
    <mergeCell ref="T24:U24"/>
    <mergeCell ref="T22:U22"/>
    <mergeCell ref="T21:U21"/>
    <mergeCell ref="J17:K17"/>
    <mergeCell ref="J15:K15"/>
    <mergeCell ref="J14:K14"/>
    <mergeCell ref="J13:K13"/>
    <mergeCell ref="J12:K12"/>
    <mergeCell ref="B18:Z18"/>
    <mergeCell ref="B16:Z16"/>
    <mergeCell ref="B17:C17"/>
    <mergeCell ref="F17:G17"/>
    <mergeCell ref="L17:M17"/>
    <mergeCell ref="T17:U17"/>
    <mergeCell ref="B20:Z20"/>
    <mergeCell ref="T23:U23"/>
    <mergeCell ref="B21:C21"/>
    <mergeCell ref="F25:G25"/>
    <mergeCell ref="F24:G24"/>
    <mergeCell ref="F22:G22"/>
    <mergeCell ref="F21:G21"/>
    <mergeCell ref="L25:M25"/>
    <mergeCell ref="L24:M24"/>
    <mergeCell ref="L22:M22"/>
    <mergeCell ref="L21:M21"/>
    <mergeCell ref="B23:C23"/>
    <mergeCell ref="F23:G23"/>
    <mergeCell ref="L23:M23"/>
    <mergeCell ref="B25:C25"/>
    <mergeCell ref="B24:C24"/>
    <mergeCell ref="B22:C22"/>
    <mergeCell ref="B77:C77"/>
    <mergeCell ref="B76:C76"/>
    <mergeCell ref="B29:C29"/>
    <mergeCell ref="B47:C47"/>
    <mergeCell ref="F56:F61"/>
    <mergeCell ref="G56:G61"/>
    <mergeCell ref="H56:H61"/>
    <mergeCell ref="L51:L55"/>
    <mergeCell ref="M51:M55"/>
    <mergeCell ref="B68:C68"/>
    <mergeCell ref="B74:C74"/>
    <mergeCell ref="B35:C35"/>
    <mergeCell ref="B78:C78"/>
    <mergeCell ref="B80:C80"/>
    <mergeCell ref="B79:C79"/>
    <mergeCell ref="B81:C81"/>
    <mergeCell ref="N48:P48"/>
    <mergeCell ref="N54:P54"/>
    <mergeCell ref="N59:P59"/>
    <mergeCell ref="N60:P60"/>
    <mergeCell ref="N66:P66"/>
    <mergeCell ref="B48:C48"/>
    <mergeCell ref="B50:C50"/>
    <mergeCell ref="N50:P50"/>
    <mergeCell ref="B51:C55"/>
    <mergeCell ref="D51:D55"/>
    <mergeCell ref="E51:E55"/>
    <mergeCell ref="F51:F55"/>
    <mergeCell ref="G51:G55"/>
    <mergeCell ref="H51:H55"/>
    <mergeCell ref="I51:I55"/>
    <mergeCell ref="J51:J55"/>
    <mergeCell ref="K51:K55"/>
    <mergeCell ref="B56:C61"/>
    <mergeCell ref="D56:D61"/>
    <mergeCell ref="E56:E61"/>
    <mergeCell ref="T8:U8"/>
    <mergeCell ref="T9:U9"/>
    <mergeCell ref="T10:U10"/>
    <mergeCell ref="T11:U11"/>
    <mergeCell ref="B1:Z1"/>
    <mergeCell ref="B2:Z2"/>
    <mergeCell ref="B3:C4"/>
    <mergeCell ref="D3:D4"/>
    <mergeCell ref="E3:E4"/>
    <mergeCell ref="F3:G4"/>
    <mergeCell ref="H3:H4"/>
    <mergeCell ref="I3:I4"/>
    <mergeCell ref="L3:M4"/>
    <mergeCell ref="T3:U4"/>
    <mergeCell ref="V3:V4"/>
    <mergeCell ref="W3:W4"/>
    <mergeCell ref="Y3:Y4"/>
    <mergeCell ref="Z3:Z4"/>
    <mergeCell ref="N3:N4"/>
    <mergeCell ref="O3:O4"/>
    <mergeCell ref="P3:P4"/>
    <mergeCell ref="Q3:Q4"/>
    <mergeCell ref="R3:R4"/>
    <mergeCell ref="S3:S4"/>
    <mergeCell ref="B19:C19"/>
    <mergeCell ref="F19:G19"/>
    <mergeCell ref="L19:M19"/>
    <mergeCell ref="T19:U19"/>
    <mergeCell ref="B15:C15"/>
    <mergeCell ref="F15:G15"/>
    <mergeCell ref="L15:M15"/>
    <mergeCell ref="T15:U15"/>
    <mergeCell ref="L12:M12"/>
    <mergeCell ref="T14:U14"/>
    <mergeCell ref="T13:U13"/>
    <mergeCell ref="T12:U12"/>
    <mergeCell ref="B12:C12"/>
    <mergeCell ref="B11:C11"/>
    <mergeCell ref="B10:C10"/>
    <mergeCell ref="B9:C9"/>
    <mergeCell ref="B8:C8"/>
    <mergeCell ref="F12:G12"/>
    <mergeCell ref="F13:G13"/>
    <mergeCell ref="F14:G14"/>
    <mergeCell ref="L14:M14"/>
    <mergeCell ref="L13:M13"/>
    <mergeCell ref="B14:C14"/>
    <mergeCell ref="B13:C13"/>
    <mergeCell ref="J11:K11"/>
    <mergeCell ref="J10:K10"/>
    <mergeCell ref="J9:K9"/>
    <mergeCell ref="J8:K8"/>
    <mergeCell ref="F8:G8"/>
    <mergeCell ref="F9:G9"/>
    <mergeCell ref="N29:P29"/>
    <mergeCell ref="B30:C30"/>
    <mergeCell ref="N30:P30"/>
    <mergeCell ref="B31:C31"/>
    <mergeCell ref="N31:P31"/>
    <mergeCell ref="B26:C26"/>
    <mergeCell ref="N26:P26"/>
    <mergeCell ref="B27:C27"/>
    <mergeCell ref="N27:P27"/>
    <mergeCell ref="B28:C28"/>
    <mergeCell ref="N28:P28"/>
    <mergeCell ref="N47:P47"/>
    <mergeCell ref="B49:C49"/>
    <mergeCell ref="N49:P49"/>
    <mergeCell ref="N39:P39"/>
    <mergeCell ref="N40:P40"/>
    <mergeCell ref="N41:P41"/>
    <mergeCell ref="N42:P42"/>
    <mergeCell ref="N43:P43"/>
    <mergeCell ref="N44:P44"/>
    <mergeCell ref="B39:C39"/>
    <mergeCell ref="B46:C46"/>
    <mergeCell ref="B45:C45"/>
    <mergeCell ref="B44:C44"/>
    <mergeCell ref="B43:C43"/>
    <mergeCell ref="B42:C42"/>
    <mergeCell ref="B41:C41"/>
    <mergeCell ref="B40:C40"/>
    <mergeCell ref="N45:P45"/>
    <mergeCell ref="N46:P46"/>
    <mergeCell ref="N51:P51"/>
    <mergeCell ref="N52:P52"/>
    <mergeCell ref="N53:P53"/>
    <mergeCell ref="N55:P55"/>
    <mergeCell ref="I56:I61"/>
    <mergeCell ref="J56:J61"/>
    <mergeCell ref="L56:L61"/>
    <mergeCell ref="M56:M61"/>
    <mergeCell ref="N56:P56"/>
    <mergeCell ref="N57:P57"/>
    <mergeCell ref="N58:P58"/>
    <mergeCell ref="N61:P61"/>
    <mergeCell ref="K56:K61"/>
    <mergeCell ref="N68:P68"/>
    <mergeCell ref="B69:C69"/>
    <mergeCell ref="N69:P69"/>
    <mergeCell ref="B70:C70"/>
    <mergeCell ref="N70:P70"/>
    <mergeCell ref="N62:P62"/>
    <mergeCell ref="N63:P63"/>
    <mergeCell ref="N64:P64"/>
    <mergeCell ref="N65:P65"/>
    <mergeCell ref="E62:E67"/>
    <mergeCell ref="D62:D67"/>
    <mergeCell ref="B62:C67"/>
    <mergeCell ref="N67:P67"/>
    <mergeCell ref="M62:M67"/>
    <mergeCell ref="L62:L67"/>
    <mergeCell ref="J62:J67"/>
    <mergeCell ref="I62:I67"/>
    <mergeCell ref="H62:H67"/>
    <mergeCell ref="G62:G67"/>
    <mergeCell ref="F62:F67"/>
    <mergeCell ref="K62:K67"/>
    <mergeCell ref="N74:P74"/>
    <mergeCell ref="N75:P75"/>
    <mergeCell ref="N76:P76"/>
    <mergeCell ref="B72:C72"/>
    <mergeCell ref="N71:P71"/>
    <mergeCell ref="B71:C71"/>
    <mergeCell ref="N72:P72"/>
    <mergeCell ref="B73:C73"/>
    <mergeCell ref="N73:P73"/>
    <mergeCell ref="N83:P83"/>
    <mergeCell ref="N84:P84"/>
    <mergeCell ref="N85:P85"/>
    <mergeCell ref="N80:P80"/>
    <mergeCell ref="N81:P81"/>
    <mergeCell ref="N82:P82"/>
    <mergeCell ref="N77:P77"/>
    <mergeCell ref="N78:P78"/>
    <mergeCell ref="N79:P79"/>
    <mergeCell ref="B89:C89"/>
    <mergeCell ref="N89:P89"/>
    <mergeCell ref="B90:C90"/>
    <mergeCell ref="N90:P90"/>
    <mergeCell ref="B91:C91"/>
    <mergeCell ref="N91:P91"/>
    <mergeCell ref="N86:P86"/>
    <mergeCell ref="B87:C87"/>
    <mergeCell ref="N87:P87"/>
    <mergeCell ref="B88:C88"/>
    <mergeCell ref="N88:P88"/>
    <mergeCell ref="B95:C95"/>
    <mergeCell ref="D95:M95"/>
    <mergeCell ref="N95:Z95"/>
    <mergeCell ref="B96:C96"/>
    <mergeCell ref="D96:M98"/>
    <mergeCell ref="N96:Z98"/>
    <mergeCell ref="B97:C97"/>
    <mergeCell ref="B98:C98"/>
    <mergeCell ref="B92:C92"/>
    <mergeCell ref="N92:P92"/>
    <mergeCell ref="B93:C93"/>
    <mergeCell ref="N93:P93"/>
    <mergeCell ref="B94:C94"/>
    <mergeCell ref="N94:P94"/>
    <mergeCell ref="B99:C99"/>
    <mergeCell ref="D99:M101"/>
    <mergeCell ref="N99:Z101"/>
    <mergeCell ref="B100:C100"/>
    <mergeCell ref="B101:C101"/>
    <mergeCell ref="B102:C102"/>
    <mergeCell ref="D102:M104"/>
    <mergeCell ref="N102:Z104"/>
    <mergeCell ref="B103:C103"/>
    <mergeCell ref="B104:C104"/>
    <mergeCell ref="B105:C105"/>
    <mergeCell ref="D105:M107"/>
    <mergeCell ref="N105:Z107"/>
    <mergeCell ref="B106:C106"/>
    <mergeCell ref="B107:C107"/>
    <mergeCell ref="B108:C108"/>
    <mergeCell ref="D108:M110"/>
    <mergeCell ref="N108:Z110"/>
    <mergeCell ref="B109:C109"/>
    <mergeCell ref="B110:C110"/>
    <mergeCell ref="B111:C111"/>
    <mergeCell ref="D111:M113"/>
    <mergeCell ref="N111:Z113"/>
    <mergeCell ref="B112:C112"/>
    <mergeCell ref="B113:C113"/>
    <mergeCell ref="B114:C114"/>
    <mergeCell ref="D114:M116"/>
    <mergeCell ref="N114:Z116"/>
    <mergeCell ref="B115:C115"/>
    <mergeCell ref="B116:C116"/>
    <mergeCell ref="B117:C117"/>
    <mergeCell ref="D117:M119"/>
    <mergeCell ref="N117:Z119"/>
    <mergeCell ref="B118:C118"/>
    <mergeCell ref="B119:C119"/>
    <mergeCell ref="B120:C120"/>
    <mergeCell ref="D120:M122"/>
    <mergeCell ref="N120:Z122"/>
    <mergeCell ref="B121:C121"/>
    <mergeCell ref="B122:C122"/>
    <mergeCell ref="B123:C123"/>
    <mergeCell ref="D123:M125"/>
    <mergeCell ref="N123:Z125"/>
    <mergeCell ref="B124:C124"/>
    <mergeCell ref="B125:C125"/>
    <mergeCell ref="B126:C126"/>
    <mergeCell ref="D126:M128"/>
    <mergeCell ref="N126:Z128"/>
    <mergeCell ref="B127:C127"/>
    <mergeCell ref="B128:C128"/>
    <mergeCell ref="B135:C135"/>
    <mergeCell ref="D135:M137"/>
    <mergeCell ref="N135:Z137"/>
    <mergeCell ref="B136:C136"/>
    <mergeCell ref="B137:C137"/>
    <mergeCell ref="B129:C129"/>
    <mergeCell ref="D129:M131"/>
    <mergeCell ref="N129:Z131"/>
    <mergeCell ref="B130:C130"/>
    <mergeCell ref="B131:C131"/>
    <mergeCell ref="B132:C132"/>
    <mergeCell ref="D132:M134"/>
    <mergeCell ref="N132:Z134"/>
    <mergeCell ref="B133:C133"/>
    <mergeCell ref="B134:C134"/>
    <mergeCell ref="N35:P35"/>
    <mergeCell ref="B36:C36"/>
    <mergeCell ref="N36:P36"/>
    <mergeCell ref="N37:P37"/>
    <mergeCell ref="N38:P38"/>
    <mergeCell ref="B32:C32"/>
    <mergeCell ref="N32:P32"/>
    <mergeCell ref="B33:C33"/>
    <mergeCell ref="N33:P33"/>
    <mergeCell ref="B34:C34"/>
    <mergeCell ref="N34:P34"/>
    <mergeCell ref="B38:C38"/>
    <mergeCell ref="B37:C37"/>
    <mergeCell ref="B138:C138"/>
    <mergeCell ref="D138:M140"/>
    <mergeCell ref="N138:Z140"/>
    <mergeCell ref="B139:C139"/>
    <mergeCell ref="B140:C140"/>
    <mergeCell ref="B141:C141"/>
    <mergeCell ref="D141:M143"/>
    <mergeCell ref="N141:Z143"/>
    <mergeCell ref="B142:C142"/>
    <mergeCell ref="B143:C143"/>
  </mergeCells>
  <conditionalFormatting sqref="B27">
    <cfRule type="duplicateValues" dxfId="495" priority="87"/>
  </conditionalFormatting>
  <conditionalFormatting sqref="B28">
    <cfRule type="duplicateValues" dxfId="494" priority="86"/>
  </conditionalFormatting>
  <conditionalFormatting sqref="N28">
    <cfRule type="duplicateValues" dxfId="493" priority="83"/>
  </conditionalFormatting>
  <conditionalFormatting sqref="B29:B30">
    <cfRule type="duplicateValues" dxfId="492" priority="84"/>
  </conditionalFormatting>
  <conditionalFormatting sqref="B32:B33">
    <cfRule type="duplicateValues" dxfId="491" priority="45"/>
  </conditionalFormatting>
  <conditionalFormatting sqref="B36">
    <cfRule type="duplicateValues" dxfId="490" priority="79"/>
  </conditionalFormatting>
  <conditionalFormatting sqref="N70">
    <cfRule type="duplicateValues" dxfId="489" priority="88"/>
    <cfRule type="duplicateValues" dxfId="488" priority="89"/>
  </conditionalFormatting>
  <conditionalFormatting sqref="B73:B75">
    <cfRule type="duplicateValues" dxfId="487" priority="76"/>
  </conditionalFormatting>
  <conditionalFormatting sqref="B79:B81">
    <cfRule type="duplicateValues" dxfId="486" priority="58"/>
    <cfRule type="duplicateValues" dxfId="485" priority="59"/>
    <cfRule type="duplicateValues" dxfId="484" priority="60"/>
  </conditionalFormatting>
  <conditionalFormatting sqref="B80:B81">
    <cfRule type="duplicateValues" dxfId="483" priority="68"/>
    <cfRule type="duplicateValues" dxfId="482" priority="69"/>
    <cfRule type="duplicateValues" dxfId="481" priority="70"/>
  </conditionalFormatting>
  <conditionalFormatting sqref="N80:N83 N85:N93">
    <cfRule type="duplicateValues" dxfId="480" priority="80"/>
    <cfRule type="duplicateValues" dxfId="479" priority="81"/>
  </conditionalFormatting>
  <conditionalFormatting sqref="B27:B36">
    <cfRule type="duplicateValues" dxfId="478" priority="90"/>
  </conditionalFormatting>
  <conditionalFormatting sqref="B28:B36">
    <cfRule type="duplicateValues" dxfId="477" priority="92"/>
  </conditionalFormatting>
  <conditionalFormatting sqref="N27:N48">
    <cfRule type="duplicateValues" dxfId="476" priority="91"/>
  </conditionalFormatting>
  <conditionalFormatting sqref="N30:N48">
    <cfRule type="duplicateValues" dxfId="475" priority="85"/>
  </conditionalFormatting>
  <conditionalFormatting sqref="N70:N82">
    <cfRule type="duplicateValues" dxfId="474" priority="74"/>
    <cfRule type="duplicateValues" dxfId="473" priority="75"/>
  </conditionalFormatting>
  <conditionalFormatting sqref="N77:N82">
    <cfRule type="duplicateValues" dxfId="472" priority="77"/>
    <cfRule type="duplicateValues" dxfId="471" priority="78"/>
  </conditionalFormatting>
  <conditionalFormatting sqref="N77:N82">
    <cfRule type="duplicateValues" dxfId="470" priority="66"/>
    <cfRule type="duplicateValues" dxfId="469" priority="67"/>
  </conditionalFormatting>
  <conditionalFormatting sqref="N77:N83 N85:N93">
    <cfRule type="duplicateValues" dxfId="468" priority="64"/>
    <cfRule type="duplicateValues" dxfId="467" priority="65"/>
  </conditionalFormatting>
  <conditionalFormatting sqref="N51 N54:N67">
    <cfRule type="duplicateValues" dxfId="466" priority="93"/>
    <cfRule type="duplicateValues" dxfId="465" priority="94"/>
    <cfRule type="duplicateValues" dxfId="464" priority="95"/>
  </conditionalFormatting>
  <conditionalFormatting sqref="B87 B89:B93 B80:B81">
    <cfRule type="duplicateValues" dxfId="463" priority="46"/>
    <cfRule type="duplicateValues" dxfId="462" priority="47"/>
    <cfRule type="duplicateValues" dxfId="461" priority="48"/>
  </conditionalFormatting>
  <conditionalFormatting sqref="B18">
    <cfRule type="duplicateValues" dxfId="460" priority="96"/>
  </conditionalFormatting>
  <conditionalFormatting sqref="N78:N82">
    <cfRule type="duplicateValues" dxfId="459" priority="43"/>
    <cfRule type="duplicateValues" dxfId="458" priority="44"/>
  </conditionalFormatting>
  <conditionalFormatting sqref="N79:N83 N85:N90">
    <cfRule type="duplicateValues" dxfId="457" priority="41"/>
    <cfRule type="duplicateValues" dxfId="456" priority="42"/>
  </conditionalFormatting>
  <conditionalFormatting sqref="B19">
    <cfRule type="duplicateValues" dxfId="455" priority="97"/>
  </conditionalFormatting>
  <conditionalFormatting sqref="N87:N88">
    <cfRule type="duplicateValues" dxfId="454" priority="37"/>
    <cfRule type="duplicateValues" dxfId="453" priority="38"/>
  </conditionalFormatting>
  <conditionalFormatting sqref="N87:N88">
    <cfRule type="duplicateValues" dxfId="452" priority="39"/>
    <cfRule type="duplicateValues" dxfId="451" priority="40"/>
  </conditionalFormatting>
  <conditionalFormatting sqref="N87:N88">
    <cfRule type="duplicateValues" dxfId="450" priority="35"/>
    <cfRule type="duplicateValues" dxfId="449" priority="36"/>
  </conditionalFormatting>
  <conditionalFormatting sqref="N87:N88">
    <cfRule type="duplicateValues" dxfId="448" priority="33"/>
    <cfRule type="duplicateValues" dxfId="447" priority="34"/>
  </conditionalFormatting>
  <conditionalFormatting sqref="B45:B48">
    <cfRule type="duplicateValues" dxfId="446" priority="100"/>
    <cfRule type="duplicateValues" dxfId="445" priority="101"/>
  </conditionalFormatting>
  <conditionalFormatting sqref="B33:B48">
    <cfRule type="duplicateValues" dxfId="444" priority="102"/>
  </conditionalFormatting>
  <conditionalFormatting sqref="B81:B86">
    <cfRule type="duplicateValues" dxfId="443" priority="30"/>
    <cfRule type="duplicateValues" dxfId="442" priority="30"/>
    <cfRule type="duplicateValues" dxfId="441" priority="30"/>
  </conditionalFormatting>
  <conditionalFormatting sqref="B85:B86">
    <cfRule type="duplicateValues" dxfId="440" priority="27"/>
    <cfRule type="duplicateValues" dxfId="439" priority="27"/>
    <cfRule type="duplicateValues" dxfId="438" priority="27"/>
  </conditionalFormatting>
  <conditionalFormatting sqref="B86">
    <cfRule type="duplicateValues" dxfId="437" priority="24"/>
    <cfRule type="duplicateValues" dxfId="436" priority="24"/>
    <cfRule type="duplicateValues" dxfId="435" priority="24"/>
  </conditionalFormatting>
  <conditionalFormatting sqref="B85:B86">
    <cfRule type="duplicateValues" dxfId="434" priority="31"/>
    <cfRule type="duplicateValues" dxfId="433" priority="32"/>
  </conditionalFormatting>
  <conditionalFormatting sqref="B85:B86">
    <cfRule type="duplicateValues" dxfId="432" priority="309"/>
  </conditionalFormatting>
  <conditionalFormatting sqref="B74:B77">
    <cfRule type="duplicateValues" dxfId="431" priority="13"/>
  </conditionalFormatting>
  <conditionalFormatting sqref="B74:B77">
    <cfRule type="duplicateValues" dxfId="430" priority="12"/>
  </conditionalFormatting>
  <conditionalFormatting sqref="B74:B77">
    <cfRule type="duplicateValues" dxfId="429" priority="15"/>
    <cfRule type="duplicateValues" dxfId="428" priority="16"/>
  </conditionalFormatting>
  <conditionalFormatting sqref="B74:B77">
    <cfRule type="duplicateValues" dxfId="427" priority="14"/>
  </conditionalFormatting>
  <conditionalFormatting sqref="B70:B74">
    <cfRule type="duplicateValues" dxfId="426" priority="310"/>
  </conditionalFormatting>
  <conditionalFormatting sqref="B70:B75 B79:B81">
    <cfRule type="duplicateValues" dxfId="425" priority="313"/>
    <cfRule type="duplicateValues" dxfId="424" priority="314"/>
  </conditionalFormatting>
  <conditionalFormatting sqref="B70:B75 B79:B81">
    <cfRule type="duplicateValues" dxfId="423" priority="321"/>
  </conditionalFormatting>
  <conditionalFormatting sqref="B76:B81">
    <cfRule type="duplicateValues" dxfId="422" priority="322"/>
    <cfRule type="duplicateValues" dxfId="421" priority="323"/>
    <cfRule type="duplicateValues" dxfId="420" priority="324"/>
  </conditionalFormatting>
  <conditionalFormatting sqref="B6:B15">
    <cfRule type="duplicateValues" dxfId="419" priority="337"/>
  </conditionalFormatting>
  <conditionalFormatting sqref="B88">
    <cfRule type="duplicateValues" dxfId="418" priority="3"/>
    <cfRule type="duplicateValues" dxfId="417" priority="4"/>
    <cfRule type="duplicateValues" dxfId="416" priority="5"/>
  </conditionalFormatting>
  <conditionalFormatting sqref="B88">
    <cfRule type="duplicateValues" dxfId="415" priority="6"/>
    <cfRule type="duplicateValues" dxfId="414" priority="7"/>
  </conditionalFormatting>
  <conditionalFormatting sqref="B88">
    <cfRule type="duplicateValues" dxfId="413" priority="8"/>
  </conditionalFormatting>
  <conditionalFormatting sqref="B88">
    <cfRule type="duplicateValues" dxfId="412" priority="9"/>
    <cfRule type="duplicateValues" dxfId="411" priority="10"/>
    <cfRule type="duplicateValues" dxfId="410" priority="11"/>
  </conditionalFormatting>
  <conditionalFormatting sqref="B17">
    <cfRule type="duplicateValues" dxfId="409" priority="369"/>
  </conditionalFormatting>
  <conditionalFormatting sqref="B21:B25">
    <cfRule type="duplicateValues" dxfId="408" priority="2"/>
  </conditionalFormatting>
  <conditionalFormatting sqref="B20:B25">
    <cfRule type="duplicateValues" dxfId="407" priority="1"/>
  </conditionalFormatting>
  <printOptions horizontalCentered="1" verticalCentered="1"/>
  <pageMargins left="0.19685039370078741" right="0.19685039370078741" top="0.19685039370078741" bottom="0.19685039370078741" header="0.31496062992125984" footer="0.31496062992125984"/>
  <pageSetup paperSize="5" scale="12" fitToHeight="0" orientation="landscape" horizontalDpi="360" verticalDpi="360" r:id="rId1"/>
  <rowBreaks count="2" manualBreakCount="2">
    <brk id="107" max="23" man="1"/>
    <brk id="116" max="2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B6B2-7DA7-41E3-9ECC-AF7CEA671100}">
  <dimension ref="A1:AZ192"/>
  <sheetViews>
    <sheetView workbookViewId="0"/>
  </sheetViews>
  <sheetFormatPr defaultColWidth="9" defaultRowHeight="32.5" x14ac:dyDescent="0.25"/>
  <cols>
    <col min="1" max="1" width="26.453125" style="128" customWidth="1"/>
    <col min="2" max="3" width="82.90625" style="128" customWidth="1"/>
    <col min="4" max="4" width="56.453125" style="128" bestFit="1" customWidth="1"/>
    <col min="5" max="5" width="103.7265625" style="132" bestFit="1" customWidth="1"/>
    <col min="6" max="6" width="40.54296875" style="132" bestFit="1" customWidth="1"/>
    <col min="7" max="7" width="30.81640625" style="132" bestFit="1" customWidth="1"/>
    <col min="8" max="8" width="94.81640625" style="132" bestFit="1" customWidth="1"/>
    <col min="9" max="9" width="46.453125" style="128" bestFit="1" customWidth="1"/>
    <col min="10" max="11" width="44.6328125" style="128" customWidth="1"/>
    <col min="12" max="13" width="34.54296875" style="128" customWidth="1"/>
    <col min="14" max="14" width="42.7265625" style="128" bestFit="1" customWidth="1"/>
    <col min="15" max="15" width="82.1796875" style="128" customWidth="1"/>
    <col min="16" max="16" width="71.08984375" style="128" customWidth="1"/>
    <col min="17" max="17" width="101" style="128" customWidth="1"/>
    <col min="18" max="18" width="54.6328125" style="128" bestFit="1" customWidth="1"/>
    <col min="19" max="19" width="184.6328125" style="128" customWidth="1"/>
    <col min="20" max="21" width="41.08984375" style="128" customWidth="1"/>
    <col min="22" max="22" width="56.453125" style="128" customWidth="1"/>
    <col min="23" max="23" width="95.54296875" style="132" bestFit="1" customWidth="1"/>
    <col min="24" max="25" width="35.6328125" style="132" customWidth="1"/>
    <col min="26" max="26" width="51" style="128" bestFit="1" customWidth="1"/>
    <col min="27" max="36" width="9" style="128"/>
    <col min="37" max="37" width="8.7265625" style="128" customWidth="1"/>
    <col min="38" max="16384" width="9" style="128"/>
  </cols>
  <sheetData>
    <row r="1" spans="1:26" ht="88.5" x14ac:dyDescent="0.25">
      <c r="B1" s="1087" t="s">
        <v>539</v>
      </c>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9"/>
    </row>
    <row r="2" spans="1:26" ht="89" thickBot="1" x14ac:dyDescent="0.3">
      <c r="B2" s="1090" t="s">
        <v>550</v>
      </c>
      <c r="C2" s="1091"/>
      <c r="D2" s="1091"/>
      <c r="E2" s="1091"/>
      <c r="F2" s="1091"/>
      <c r="G2" s="1091"/>
      <c r="H2" s="1091"/>
      <c r="I2" s="1091"/>
      <c r="J2" s="1091"/>
      <c r="K2" s="1091"/>
      <c r="L2" s="1091"/>
      <c r="M2" s="1091"/>
      <c r="N2" s="1091"/>
      <c r="O2" s="1091"/>
      <c r="P2" s="1091"/>
      <c r="Q2" s="1091"/>
      <c r="R2" s="1091"/>
      <c r="S2" s="1091"/>
      <c r="T2" s="1091"/>
      <c r="U2" s="1091"/>
      <c r="V2" s="1091"/>
      <c r="W2" s="1091"/>
      <c r="X2" s="1091"/>
      <c r="Y2" s="1091"/>
      <c r="Z2" s="1092"/>
    </row>
    <row r="3" spans="1:26" s="129" customFormat="1" ht="158.5" customHeight="1" x14ac:dyDescent="0.25">
      <c r="B3" s="1093" t="s">
        <v>38</v>
      </c>
      <c r="C3" s="1070"/>
      <c r="D3" s="1071" t="s">
        <v>39</v>
      </c>
      <c r="E3" s="1071" t="s">
        <v>32</v>
      </c>
      <c r="F3" s="1094" t="s">
        <v>11</v>
      </c>
      <c r="G3" s="1070"/>
      <c r="H3" s="1071" t="s">
        <v>59</v>
      </c>
      <c r="I3" s="1071" t="s">
        <v>21</v>
      </c>
      <c r="J3" s="1095" t="s">
        <v>9</v>
      </c>
      <c r="K3" s="1096"/>
      <c r="L3" s="1094" t="s">
        <v>8</v>
      </c>
      <c r="M3" s="1070"/>
      <c r="N3" s="1070" t="s">
        <v>7</v>
      </c>
      <c r="O3" s="1071" t="s">
        <v>36</v>
      </c>
      <c r="P3" s="1071" t="s">
        <v>37</v>
      </c>
      <c r="Q3" s="1071" t="s">
        <v>45</v>
      </c>
      <c r="R3" s="1071" t="s">
        <v>10</v>
      </c>
      <c r="S3" s="1071" t="s">
        <v>62</v>
      </c>
      <c r="T3" s="1094" t="s">
        <v>35</v>
      </c>
      <c r="U3" s="1070"/>
      <c r="V3" s="1094" t="s">
        <v>60</v>
      </c>
      <c r="W3" s="1094" t="s">
        <v>61</v>
      </c>
      <c r="X3" s="1095" t="s">
        <v>63</v>
      </c>
      <c r="Y3" s="1096"/>
      <c r="Z3" s="1099" t="s">
        <v>43</v>
      </c>
    </row>
    <row r="4" spans="1:26" s="129" customFormat="1" ht="158.5" customHeight="1" x14ac:dyDescent="0.25">
      <c r="B4" s="1093"/>
      <c r="C4" s="1070"/>
      <c r="D4" s="1071"/>
      <c r="E4" s="1071"/>
      <c r="F4" s="1094"/>
      <c r="G4" s="1070"/>
      <c r="H4" s="1071"/>
      <c r="I4" s="1071"/>
      <c r="J4" s="1097"/>
      <c r="K4" s="1098"/>
      <c r="L4" s="1094"/>
      <c r="M4" s="1070"/>
      <c r="N4" s="1070"/>
      <c r="O4" s="1071"/>
      <c r="P4" s="1071"/>
      <c r="Q4" s="1071"/>
      <c r="R4" s="1071"/>
      <c r="S4" s="1071"/>
      <c r="T4" s="1094"/>
      <c r="U4" s="1070"/>
      <c r="V4" s="1094"/>
      <c r="W4" s="1094"/>
      <c r="X4" s="1097"/>
      <c r="Y4" s="1098"/>
      <c r="Z4" s="1099"/>
    </row>
    <row r="5" spans="1:26" ht="90" x14ac:dyDescent="0.25">
      <c r="B5" s="1067" t="s">
        <v>26</v>
      </c>
      <c r="C5" s="1068"/>
      <c r="D5" s="1068"/>
      <c r="E5" s="1068"/>
      <c r="F5" s="1068"/>
      <c r="G5" s="1068"/>
      <c r="H5" s="1068"/>
      <c r="I5" s="1068"/>
      <c r="J5" s="1068"/>
      <c r="K5" s="1068"/>
      <c r="L5" s="1068"/>
      <c r="M5" s="1068"/>
      <c r="N5" s="1068"/>
      <c r="O5" s="1068"/>
      <c r="P5" s="1068"/>
      <c r="Q5" s="1068"/>
      <c r="R5" s="1068"/>
      <c r="S5" s="1068"/>
      <c r="T5" s="1068"/>
      <c r="U5" s="1068"/>
      <c r="V5" s="1068"/>
      <c r="W5" s="1068"/>
      <c r="X5" s="1068"/>
      <c r="Y5" s="1068"/>
      <c r="Z5" s="1069"/>
    </row>
    <row r="6" spans="1:26" s="350" customFormat="1" ht="184" x14ac:dyDescent="0.25">
      <c r="B6" s="1085" t="str">
        <f>input!C36</f>
        <v>JUN JUN G. DAGYO</v>
      </c>
      <c r="C6" s="1086"/>
      <c r="D6" s="305">
        <f>input!D36</f>
        <v>9923</v>
      </c>
      <c r="E6" s="305" t="str">
        <f>input!E36</f>
        <v>Assistant Miner</v>
      </c>
      <c r="F6" s="1077" t="str">
        <f>input!F36</f>
        <v>Occupational Illness / Pain</v>
      </c>
      <c r="G6" s="1078"/>
      <c r="H6" s="305" t="str">
        <f>input!G36</f>
        <v>Stope</v>
      </c>
      <c r="I6" s="305" t="str">
        <f>input!H36</f>
        <v>870L</v>
      </c>
      <c r="J6" s="1079" t="str">
        <f>input!I36</f>
        <v>March 9, 2026</v>
      </c>
      <c r="K6" s="1080"/>
      <c r="L6" s="1081">
        <f>input!J36</f>
        <v>0.45833333333333331</v>
      </c>
      <c r="M6" s="1082"/>
      <c r="N6" s="351" t="str">
        <f>input!K36</f>
        <v>Second</v>
      </c>
      <c r="O6" s="352" t="str">
        <f>input!L36</f>
        <v>Venancio A. Bad-ay</v>
      </c>
      <c r="P6" s="352" t="str">
        <f>input!M36</f>
        <v>Dimas S. Gao-ay</v>
      </c>
      <c r="Q6" s="352" t="str">
        <f>input!N36</f>
        <v>Ryan M. Macaburas</v>
      </c>
      <c r="R6" s="303" t="str">
        <f>input!O36</f>
        <v>OI</v>
      </c>
      <c r="S6" s="303" t="str">
        <f>input!P36</f>
        <v>Hand Mucking</v>
      </c>
      <c r="T6" s="1083" t="str">
        <f>input!Q36</f>
        <v>MAT/WDL/RWV</v>
      </c>
      <c r="U6" s="1084"/>
      <c r="V6" s="305" t="str">
        <f>input!R36</f>
        <v>MOG</v>
      </c>
      <c r="W6" s="305" t="str">
        <f>input!S36</f>
        <v>Dept. 1</v>
      </c>
      <c r="X6" s="1077" t="str">
        <f>input!T36</f>
        <v>Section 1</v>
      </c>
      <c r="Y6" s="1078"/>
      <c r="Z6" s="353" t="str">
        <f>input!U36</f>
        <v>MAT</v>
      </c>
    </row>
    <row r="7" spans="1:26" s="350" customFormat="1" ht="276" x14ac:dyDescent="0.25">
      <c r="B7" s="1085" t="str">
        <f>input!C37</f>
        <v>NESTOR O. DUGAO</v>
      </c>
      <c r="C7" s="1086"/>
      <c r="D7" s="305">
        <f>input!D37</f>
        <v>9771</v>
      </c>
      <c r="E7" s="305" t="str">
        <f>input!E37</f>
        <v>Geologic Sampler</v>
      </c>
      <c r="F7" s="1077" t="str">
        <f>input!F37</f>
        <v>Contact with Smoke</v>
      </c>
      <c r="G7" s="1078"/>
      <c r="H7" s="305" t="str">
        <f>input!G37</f>
        <v>Mainline / Access</v>
      </c>
      <c r="I7" s="305" t="str">
        <f>input!H37</f>
        <v>870L</v>
      </c>
      <c r="J7" s="1079">
        <f>input!I37</f>
        <v>46092</v>
      </c>
      <c r="K7" s="1080"/>
      <c r="L7" s="1081">
        <f>input!J37</f>
        <v>0.38194444444444442</v>
      </c>
      <c r="M7" s="1082"/>
      <c r="N7" s="351" t="str">
        <f>input!K37</f>
        <v>Second</v>
      </c>
      <c r="O7" s="352" t="str">
        <f>input!L37</f>
        <v>Kurt Linis Ljomir Ursua</v>
      </c>
      <c r="P7" s="352" t="str">
        <f>input!M37</f>
        <v>Bullet P. Tangcalagan</v>
      </c>
      <c r="Q7" s="352" t="str">
        <f>input!N37</f>
        <v>Sandro Daniel G. Cababa</v>
      </c>
      <c r="R7" s="303" t="str">
        <f>input!O37</f>
        <v>OI</v>
      </c>
      <c r="S7" s="303" t="str">
        <f>input!P37</f>
        <v>Waiting for the LHD mucking activity</v>
      </c>
      <c r="T7" s="1083" t="str">
        <f>input!Q37</f>
        <v>AOV/WLT/EAR/MAT</v>
      </c>
      <c r="U7" s="1084"/>
      <c r="V7" s="305" t="str">
        <f>input!R37</f>
        <v>MEGG</v>
      </c>
      <c r="W7" s="305" t="str">
        <f>input!S37</f>
        <v>Mine Geology</v>
      </c>
      <c r="X7" s="1077" t="str">
        <f>input!T37</f>
        <v>Mine Geology Operations</v>
      </c>
      <c r="Y7" s="1078"/>
      <c r="Z7" s="353" t="str">
        <f>input!U37</f>
        <v>KTA</v>
      </c>
    </row>
    <row r="8" spans="1:26" s="350" customFormat="1" ht="270" x14ac:dyDescent="0.25">
      <c r="B8" s="1085" t="str">
        <f>input!C38</f>
        <v>JOMEL W. DAWING</v>
      </c>
      <c r="C8" s="1086"/>
      <c r="D8" s="305">
        <f>input!D38</f>
        <v>9697</v>
      </c>
      <c r="E8" s="305" t="str">
        <f>input!E38</f>
        <v>Maintenance Man (MMME)</v>
      </c>
      <c r="F8" s="1077" t="str">
        <f>input!F38</f>
        <v>Struck by Object</v>
      </c>
      <c r="G8" s="1078"/>
      <c r="H8" s="305" t="str">
        <f>input!G38</f>
        <v>Rock Drill Shop</v>
      </c>
      <c r="I8" s="305" t="str">
        <f>input!H38</f>
        <v>1000L</v>
      </c>
      <c r="J8" s="1079">
        <f>input!I38</f>
        <v>46095</v>
      </c>
      <c r="K8" s="1080"/>
      <c r="L8" s="1081">
        <f>input!J38</f>
        <v>0.33333333333333331</v>
      </c>
      <c r="M8" s="1082"/>
      <c r="N8" s="351" t="str">
        <f>input!K38</f>
        <v>Third</v>
      </c>
      <c r="O8" s="352" t="str">
        <f>input!L38</f>
        <v>Fernando A. Bustillo Jr.</v>
      </c>
      <c r="P8" s="352" t="str">
        <f>input!M38</f>
        <v>Baker S. Calbid</v>
      </c>
      <c r="Q8" s="352" t="str">
        <f>input!N38</f>
        <v>N/A</v>
      </c>
      <c r="R8" s="303" t="str">
        <f>input!O38</f>
        <v>FAC</v>
      </c>
      <c r="S8" s="303" t="str">
        <f>input!P38</f>
        <v>In the process of knocking out the control valve assembly of RDM #22013</v>
      </c>
      <c r="T8" s="1083" t="str">
        <f>input!Q38</f>
        <v>SAU</v>
      </c>
      <c r="U8" s="1084"/>
      <c r="V8" s="305" t="str">
        <f>input!R38</f>
        <v>MOG</v>
      </c>
      <c r="W8" s="305" t="str">
        <f>input!S38</f>
        <v>MMME</v>
      </c>
      <c r="X8" s="1077" t="str">
        <f>input!T38</f>
        <v>Non-Mobile</v>
      </c>
      <c r="Y8" s="1078"/>
      <c r="Z8" s="353" t="str">
        <f>input!U38</f>
        <v>MAT</v>
      </c>
    </row>
    <row r="9" spans="1:26" s="350" customFormat="1" ht="184" x14ac:dyDescent="0.25">
      <c r="B9" s="1085" t="str">
        <f>input!C39</f>
        <v>ALBERT M. ALIGA</v>
      </c>
      <c r="C9" s="1086"/>
      <c r="D9" s="305">
        <f>input!D39</f>
        <v>9946</v>
      </c>
      <c r="E9" s="305" t="str">
        <f>input!E39</f>
        <v>Assistant Miner</v>
      </c>
      <c r="F9" s="1077" t="str">
        <f>input!F39</f>
        <v>Struck by Falling Rock</v>
      </c>
      <c r="G9" s="1078"/>
      <c r="H9" s="305" t="str">
        <f>input!G39</f>
        <v>Development</v>
      </c>
      <c r="I9" s="305" t="str">
        <f>input!H39</f>
        <v>1000L</v>
      </c>
      <c r="J9" s="1079">
        <f>input!I39</f>
        <v>46097</v>
      </c>
      <c r="K9" s="1080"/>
      <c r="L9" s="1081">
        <f>input!J39</f>
        <v>0.15625</v>
      </c>
      <c r="M9" s="1082"/>
      <c r="N9" s="351" t="str">
        <f>input!K39</f>
        <v>First</v>
      </c>
      <c r="O9" s="352" t="str">
        <f>input!L39</f>
        <v>Hilbert G. Andong</v>
      </c>
      <c r="P9" s="352" t="str">
        <f>input!M39</f>
        <v>Ruben T. Saliwey</v>
      </c>
      <c r="Q9" s="352" t="str">
        <f>input!N39</f>
        <v>Andy M. Delumen</v>
      </c>
      <c r="R9" s="303" t="str">
        <f>input!O39</f>
        <v>FAC</v>
      </c>
      <c r="S9" s="303" t="str">
        <f>input!P39</f>
        <v>Cleaning of Blast Hole through blow piping</v>
      </c>
      <c r="T9" s="1083" t="str">
        <f>input!Q39</f>
        <v>WDL/RWV</v>
      </c>
      <c r="U9" s="1084"/>
      <c r="V9" s="305" t="str">
        <f>input!R39</f>
        <v>MOG</v>
      </c>
      <c r="W9" s="305" t="str">
        <f>input!S39</f>
        <v>Dept. 2</v>
      </c>
      <c r="X9" s="1077" t="str">
        <f>input!T39</f>
        <v>Section 5</v>
      </c>
      <c r="Y9" s="1078"/>
      <c r="Z9" s="353" t="str">
        <f>input!U39</f>
        <v>MAT</v>
      </c>
    </row>
    <row r="10" spans="1:26" s="350" customFormat="1" ht="184" x14ac:dyDescent="0.25">
      <c r="B10" s="1085" t="str">
        <f>input!C40</f>
        <v>REYMARK L. LANGOEY</v>
      </c>
      <c r="C10" s="1086"/>
      <c r="D10" s="305">
        <f>input!D40</f>
        <v>1930</v>
      </c>
      <c r="E10" s="305" t="str">
        <f>input!E40</f>
        <v>Shaftman</v>
      </c>
      <c r="F10" s="1077" t="str">
        <f>input!F40</f>
        <v>Occupational Illness / Pain</v>
      </c>
      <c r="G10" s="1078"/>
      <c r="H10" s="305" t="str">
        <f>input!G40</f>
        <v>Shaft Station / Resting Area</v>
      </c>
      <c r="I10" s="305" t="str">
        <f>input!H40</f>
        <v>S (N/A)</v>
      </c>
      <c r="J10" s="1079">
        <f>input!I40</f>
        <v>46098</v>
      </c>
      <c r="K10" s="1080"/>
      <c r="L10" s="1081">
        <f>input!J40</f>
        <v>0.5625</v>
      </c>
      <c r="M10" s="1082"/>
      <c r="N10" s="351" t="str">
        <f>input!K40</f>
        <v>Second</v>
      </c>
      <c r="O10" s="352" t="str">
        <f>input!L40</f>
        <v>Jayson T. Capia-ao</v>
      </c>
      <c r="P10" s="352" t="str">
        <f>input!M40</f>
        <v>Edie S. Pacsay</v>
      </c>
      <c r="Q10" s="352" t="str">
        <f>input!N40</f>
        <v>Angelito A. Delim</v>
      </c>
      <c r="R10" s="303" t="str">
        <f>input!O40</f>
        <v>OI</v>
      </c>
      <c r="S10" s="303" t="str">
        <f>input!P40</f>
        <v>Changing his working clothes</v>
      </c>
      <c r="T10" s="1083" t="str">
        <f>input!Q40</f>
        <v>MAT/WLT</v>
      </c>
      <c r="U10" s="1084"/>
      <c r="V10" s="305" t="str">
        <f>input!R40</f>
        <v>MOG</v>
      </c>
      <c r="W10" s="305" t="str">
        <f>input!S40</f>
        <v>GMS</v>
      </c>
      <c r="X10" s="1077" t="str">
        <f>input!T40</f>
        <v>Tubo Shaft Operation / 670L Pumping</v>
      </c>
      <c r="Y10" s="1078"/>
      <c r="Z10" s="353" t="str">
        <f>input!U40</f>
        <v>KTA</v>
      </c>
    </row>
    <row r="11" spans="1:26" s="350" customFormat="1" ht="184" x14ac:dyDescent="0.25">
      <c r="B11" s="1085" t="str">
        <f>input!C41</f>
        <v>KEVIN A. PALANGDAO</v>
      </c>
      <c r="C11" s="1086"/>
      <c r="D11" s="305">
        <f>input!D41</f>
        <v>8489</v>
      </c>
      <c r="E11" s="305" t="str">
        <f>input!E41</f>
        <v>Assistant Miner</v>
      </c>
      <c r="F11" s="1077" t="str">
        <f>input!F41</f>
        <v>Fall on Lower level</v>
      </c>
      <c r="G11" s="1078"/>
      <c r="H11" s="305" t="str">
        <f>input!G41</f>
        <v>Timber Yard, Nayak</v>
      </c>
      <c r="I11" s="305" t="str">
        <f>input!H41</f>
        <v>S (N/A)</v>
      </c>
      <c r="J11" s="1079">
        <f>input!I41</f>
        <v>46099</v>
      </c>
      <c r="K11" s="1080"/>
      <c r="L11" s="1081">
        <f>input!J41</f>
        <v>0.27916666666666667</v>
      </c>
      <c r="M11" s="1082"/>
      <c r="N11" s="351" t="str">
        <f>input!K41</f>
        <v>First</v>
      </c>
      <c r="O11" s="352" t="str">
        <f>input!L41</f>
        <v>Venancio A. Bad-ay</v>
      </c>
      <c r="P11" s="352" t="str">
        <f>input!M41</f>
        <v>Dimas S. Gao-ay</v>
      </c>
      <c r="Q11" s="352" t="str">
        <f>input!N41</f>
        <v>Mauricio D. Bangngayon</v>
      </c>
      <c r="R11" s="303" t="str">
        <f>input!O41</f>
        <v>FAC</v>
      </c>
      <c r="S11" s="303" t="str">
        <f>input!P41</f>
        <v>Going out of the Service Truck</v>
      </c>
      <c r="T11" s="1083" t="str">
        <f>input!Q41</f>
        <v>AOV/WLT/EAR/MAT</v>
      </c>
      <c r="U11" s="1084"/>
      <c r="V11" s="305" t="str">
        <f>input!R41</f>
        <v>MOG</v>
      </c>
      <c r="W11" s="305" t="str">
        <f>input!S41</f>
        <v>Dept. 1</v>
      </c>
      <c r="X11" s="1077" t="str">
        <f>input!T41</f>
        <v>Section 1</v>
      </c>
      <c r="Y11" s="1078"/>
      <c r="Z11" s="353" t="str">
        <f>input!U41</f>
        <v>MAT</v>
      </c>
    </row>
    <row r="12" spans="1:26" s="350" customFormat="1" ht="276" x14ac:dyDescent="0.25">
      <c r="B12" s="1085" t="s">
        <v>871</v>
      </c>
      <c r="C12" s="1086"/>
      <c r="D12" s="305">
        <f>input!D48</f>
        <v>7849</v>
      </c>
      <c r="E12" s="305" t="str">
        <f>input!E48</f>
        <v>Geologic Sampler</v>
      </c>
      <c r="F12" s="1077" t="str">
        <f>input!F48</f>
        <v>Occupational Illness / Pain</v>
      </c>
      <c r="G12" s="1078"/>
      <c r="H12" s="305" t="str">
        <f>input!G48</f>
        <v>Mainline / Access</v>
      </c>
      <c r="I12" s="305" t="str">
        <f>input!H48</f>
        <v>860L</v>
      </c>
      <c r="J12" s="1079" t="str">
        <f>input!I48</f>
        <v>March 26, 2026</v>
      </c>
      <c r="K12" s="1080"/>
      <c r="L12" s="1081">
        <f>input!J48</f>
        <v>0.40277777777777773</v>
      </c>
      <c r="M12" s="1082"/>
      <c r="N12" s="351" t="str">
        <f>input!K48</f>
        <v>Second</v>
      </c>
      <c r="O12" s="352" t="str">
        <f>input!L48</f>
        <v>Kurt Linis Ljomir Ursua</v>
      </c>
      <c r="P12" s="352" t="str">
        <f>input!M48</f>
        <v>Bullet P. Tangcalagan</v>
      </c>
      <c r="Q12" s="352" t="str">
        <f>input!N48</f>
        <v>Sandro Daniel G. Cababa</v>
      </c>
      <c r="R12" s="303" t="str">
        <f>input!O48</f>
        <v>OI</v>
      </c>
      <c r="S12" s="303" t="str">
        <f>input!P48</f>
        <v>Finding for a resting place after sampling on Section 1</v>
      </c>
      <c r="T12" s="1083" t="str">
        <f>input!Q48</f>
        <v>AOV/MAT/JAW/WDL</v>
      </c>
      <c r="U12" s="1084"/>
      <c r="V12" s="305" t="str">
        <f>input!R48</f>
        <v>MEGG</v>
      </c>
      <c r="W12" s="305" t="str">
        <f>input!S48</f>
        <v>Mine Geology</v>
      </c>
      <c r="X12" s="1077" t="str">
        <f>input!T48</f>
        <v>Mine Geology Operations</v>
      </c>
      <c r="Y12" s="1078"/>
      <c r="Z12" s="353" t="str">
        <f>input!U48</f>
        <v>KTA</v>
      </c>
    </row>
    <row r="13" spans="1:26" ht="90" x14ac:dyDescent="0.25">
      <c r="B13" s="1072" t="s">
        <v>51</v>
      </c>
      <c r="C13" s="1073"/>
      <c r="D13" s="1073"/>
      <c r="E13" s="1073"/>
      <c r="F13" s="1073"/>
      <c r="G13" s="1073"/>
      <c r="H13" s="1073"/>
      <c r="I13" s="1073"/>
      <c r="J13" s="1073"/>
      <c r="K13" s="1073"/>
      <c r="L13" s="1073"/>
      <c r="M13" s="1073"/>
      <c r="N13" s="1073"/>
      <c r="O13" s="1073"/>
      <c r="P13" s="1073"/>
      <c r="Q13" s="1073"/>
      <c r="R13" s="1073"/>
      <c r="S13" s="1073"/>
      <c r="T13" s="1073"/>
      <c r="U13" s="1073"/>
      <c r="V13" s="1073"/>
      <c r="W13" s="1073"/>
      <c r="X13" s="1073"/>
      <c r="Y13" s="1073"/>
      <c r="Z13" s="1074"/>
    </row>
    <row r="14" spans="1:26" ht="276" x14ac:dyDescent="0.25">
      <c r="A14" s="350"/>
      <c r="B14" s="1075" t="str">
        <f>input!C42</f>
        <v>GUERICK LEE B. BALONG</v>
      </c>
      <c r="C14" s="1076"/>
      <c r="D14" s="305">
        <f>input!D42</f>
        <v>4127</v>
      </c>
      <c r="E14" s="305" t="str">
        <f>input!E42</f>
        <v>Maintenance Man (TSF)</v>
      </c>
      <c r="F14" s="1077" t="str">
        <f>input!F42</f>
        <v>Fall on Same Level</v>
      </c>
      <c r="G14" s="1078"/>
      <c r="H14" s="305" t="str">
        <f>input!G42</f>
        <v>Bonanza Quarry, TSF</v>
      </c>
      <c r="I14" s="305" t="str">
        <f>input!H42</f>
        <v>S (N/A)</v>
      </c>
      <c r="J14" s="1079">
        <f>input!I42</f>
        <v>46099</v>
      </c>
      <c r="K14" s="1080"/>
      <c r="L14" s="1081">
        <f>input!J42</f>
        <v>0.35416666666666669</v>
      </c>
      <c r="M14" s="1082"/>
      <c r="N14" s="351" t="str">
        <f>input!K42</f>
        <v>Second</v>
      </c>
      <c r="O14" s="352" t="str">
        <f>input!L42</f>
        <v>Fabrian Roderick S. Likigan</v>
      </c>
      <c r="P14" s="352" t="str">
        <f>input!M42</f>
        <v>Jordan P. Masidong</v>
      </c>
      <c r="Q14" s="352" t="str">
        <f>input!N42</f>
        <v>N/A</v>
      </c>
      <c r="R14" s="303" t="str">
        <f>input!O42</f>
        <v>FAC</v>
      </c>
      <c r="S14" s="303" t="str">
        <f>input!P42</f>
        <v>Clearing vegetation</v>
      </c>
      <c r="T14" s="1083" t="str">
        <f>input!Q42</f>
        <v>ENC</v>
      </c>
      <c r="U14" s="1084"/>
      <c r="V14" s="305" t="str">
        <f>input!R42</f>
        <v>GMG</v>
      </c>
      <c r="W14" s="305" t="str">
        <f>input!S42</f>
        <v>TSF 5A</v>
      </c>
      <c r="X14" s="1077">
        <f>input!T42</f>
        <v>0</v>
      </c>
      <c r="Y14" s="1078"/>
      <c r="Z14" s="353" t="str">
        <f>input!U42</f>
        <v>KTA</v>
      </c>
    </row>
    <row r="15" spans="1:26" ht="184" x14ac:dyDescent="0.25">
      <c r="A15" s="350"/>
      <c r="B15" s="1075" t="str">
        <f>input!C43</f>
        <v>NORVY P. FRANCISCO</v>
      </c>
      <c r="C15" s="1076"/>
      <c r="D15" s="305">
        <f>input!D43</f>
        <v>207</v>
      </c>
      <c r="E15" s="305" t="str">
        <f>input!E43</f>
        <v>Mill Mechanical ADH</v>
      </c>
      <c r="F15" s="1077" t="str">
        <f>input!F43</f>
        <v>Struck by Object</v>
      </c>
      <c r="G15" s="1078"/>
      <c r="H15" s="305" t="str">
        <f>input!G43</f>
        <v>Boiler Room Extension</v>
      </c>
      <c r="I15" s="305" t="str">
        <f>input!H43</f>
        <v>S (N/A)</v>
      </c>
      <c r="J15" s="1079" t="str">
        <f>input!I43</f>
        <v>March 24, 2026</v>
      </c>
      <c r="K15" s="1080"/>
      <c r="L15" s="1081">
        <f>input!J43</f>
        <v>0.36458333333333331</v>
      </c>
      <c r="M15" s="1082"/>
      <c r="N15" s="351" t="str">
        <f>input!K43</f>
        <v>Second</v>
      </c>
      <c r="O15" s="352" t="str">
        <f>input!L43</f>
        <v>Kay B. Lacambra</v>
      </c>
      <c r="P15" s="352" t="str">
        <f>input!M43</f>
        <v>Reynaldo G. Cawi</v>
      </c>
      <c r="Q15" s="352" t="str">
        <f>input!N43</f>
        <v>N/A</v>
      </c>
      <c r="R15" s="303" t="str">
        <f>input!O43</f>
        <v>NM</v>
      </c>
      <c r="S15" s="303" t="str">
        <f>input!P43</f>
        <v>Roof Installment</v>
      </c>
      <c r="T15" s="1083" t="str">
        <f>input!Q43</f>
        <v>MBK / RML</v>
      </c>
      <c r="U15" s="1084"/>
      <c r="V15" s="305" t="str">
        <f>input!R43</f>
        <v>MPG</v>
      </c>
      <c r="W15" s="305" t="str">
        <f>input!S43</f>
        <v>Mill Mechanical</v>
      </c>
      <c r="X15" s="1077" t="str">
        <f>input!T43</f>
        <v>Mill Projects</v>
      </c>
      <c r="Y15" s="1078"/>
      <c r="Z15" s="353" t="str">
        <f>input!U43</f>
        <v>KTA</v>
      </c>
    </row>
    <row r="16" spans="1:26" ht="184" x14ac:dyDescent="0.25">
      <c r="A16" s="350"/>
      <c r="B16" s="1075" t="str">
        <f>input!C44</f>
        <v>JOEBERT G. BITOT</v>
      </c>
      <c r="C16" s="1076"/>
      <c r="D16" s="305">
        <f>input!D44</f>
        <v>3618</v>
      </c>
      <c r="E16" s="305" t="str">
        <f>input!E44</f>
        <v>Mill Mechanical Fitter</v>
      </c>
      <c r="F16" s="1077" t="str">
        <f>input!F44</f>
        <v>Struck by Object</v>
      </c>
      <c r="G16" s="1078"/>
      <c r="H16" s="305" t="str">
        <f>input!G44</f>
        <v>Boiler Room Extension</v>
      </c>
      <c r="I16" s="305" t="str">
        <f>input!H44</f>
        <v>S (N/A)</v>
      </c>
      <c r="J16" s="1079" t="str">
        <f>input!I44</f>
        <v>March 24, 2026</v>
      </c>
      <c r="K16" s="1080"/>
      <c r="L16" s="1081">
        <f>input!J44</f>
        <v>0.36458333333333331</v>
      </c>
      <c r="M16" s="1082"/>
      <c r="N16" s="351" t="str">
        <f>input!K44</f>
        <v>Second</v>
      </c>
      <c r="O16" s="352" t="str">
        <f>input!L44</f>
        <v>Kay B. Lacambra</v>
      </c>
      <c r="P16" s="352" t="str">
        <f>input!M44</f>
        <v>Reynaldo G. Cawi</v>
      </c>
      <c r="Q16" s="352" t="str">
        <f>input!N44</f>
        <v>Jefferson V. Ramos</v>
      </c>
      <c r="R16" s="303" t="str">
        <f>input!O44</f>
        <v>NM</v>
      </c>
      <c r="S16" s="303" t="str">
        <f>input!P44</f>
        <v>Roof Installment</v>
      </c>
      <c r="T16" s="1083" t="str">
        <f>input!Q44</f>
        <v>MBK / RML</v>
      </c>
      <c r="U16" s="1084"/>
      <c r="V16" s="305" t="str">
        <f>input!R44</f>
        <v>MPG</v>
      </c>
      <c r="W16" s="305" t="str">
        <f>input!S44</f>
        <v>Mill Engineering</v>
      </c>
      <c r="X16" s="1077" t="str">
        <f>input!T44</f>
        <v>Mill Projects</v>
      </c>
      <c r="Y16" s="1078"/>
      <c r="Z16" s="353" t="str">
        <f>input!U44</f>
        <v>KTA</v>
      </c>
    </row>
    <row r="17" spans="1:26" ht="184" x14ac:dyDescent="0.25">
      <c r="A17" s="350"/>
      <c r="B17" s="1075" t="str">
        <f>input!C52</f>
        <v>LEE L. DEYA-AS JR.</v>
      </c>
      <c r="C17" s="1076"/>
      <c r="D17" s="305">
        <f>input!D52</f>
        <v>8500</v>
      </c>
      <c r="E17" s="305" t="str">
        <f>input!E52</f>
        <v>Maintenance Man (PCES)</v>
      </c>
      <c r="F17" s="1077" t="str">
        <f>input!F52</f>
        <v>Punctured</v>
      </c>
      <c r="G17" s="1078"/>
      <c r="H17" s="305" t="str">
        <f>input!G52</f>
        <v>Carpentry Shop</v>
      </c>
      <c r="I17" s="305" t="str">
        <f>input!H52</f>
        <v>S (N/A)</v>
      </c>
      <c r="J17" s="1079" t="str">
        <f>input!I52</f>
        <v>March 30, 2026</v>
      </c>
      <c r="K17" s="1080"/>
      <c r="L17" s="1081">
        <f>input!J52</f>
        <v>0.45833333333333331</v>
      </c>
      <c r="M17" s="1082"/>
      <c r="N17" s="351" t="str">
        <f>input!K52</f>
        <v>Second</v>
      </c>
      <c r="O17" s="352" t="str">
        <f>input!L52</f>
        <v>Abraham L. Davis</v>
      </c>
      <c r="P17" s="352" t="str">
        <f>input!M52</f>
        <v>N/A</v>
      </c>
      <c r="Q17" s="352" t="str">
        <f>input!N52</f>
        <v>Nathaneal D. Jugal</v>
      </c>
      <c r="R17" s="303" t="str">
        <f>input!O52</f>
        <v>NLTA</v>
      </c>
      <c r="S17" s="303" t="str">
        <f>input!P52</f>
        <v>Resizing salvaged lumber using an arbor saw</v>
      </c>
      <c r="T17" s="1083" t="str">
        <f>input!Q52</f>
        <v>RML / ENC / ACG</v>
      </c>
      <c r="U17" s="1084"/>
      <c r="V17" s="305" t="str">
        <f>input!R52</f>
        <v>TSG</v>
      </c>
      <c r="W17" s="305" t="str">
        <f>input!S52</f>
        <v>PCES</v>
      </c>
      <c r="X17" s="1077" t="str">
        <f>input!T52</f>
        <v>Building Maintenance</v>
      </c>
      <c r="Y17" s="1078"/>
      <c r="Z17" s="353" t="str">
        <f>input!U52</f>
        <v>KTA</v>
      </c>
    </row>
    <row r="18" spans="1:26" ht="90" x14ac:dyDescent="0.25">
      <c r="B18" s="1072" t="s">
        <v>80</v>
      </c>
      <c r="C18" s="1073"/>
      <c r="D18" s="1073"/>
      <c r="E18" s="1073"/>
      <c r="F18" s="1073"/>
      <c r="G18" s="1073"/>
      <c r="H18" s="1073"/>
      <c r="I18" s="1073"/>
      <c r="J18" s="1073"/>
      <c r="K18" s="1073"/>
      <c r="L18" s="1073"/>
      <c r="M18" s="1073"/>
      <c r="N18" s="1073"/>
      <c r="O18" s="1073"/>
      <c r="P18" s="1073"/>
      <c r="Q18" s="1073"/>
      <c r="R18" s="1073"/>
      <c r="S18" s="1073"/>
      <c r="T18" s="1073"/>
      <c r="U18" s="1073"/>
      <c r="V18" s="1073"/>
      <c r="W18" s="1073"/>
      <c r="X18" s="1073"/>
      <c r="Y18" s="1073"/>
      <c r="Z18" s="1074"/>
    </row>
    <row r="19" spans="1:26" ht="184" x14ac:dyDescent="0.25">
      <c r="A19" s="350"/>
      <c r="B19" s="1075" t="str">
        <f>input!C33</f>
        <v>LIME SURGE TANK</v>
      </c>
      <c r="C19" s="1076"/>
      <c r="D19" s="305" t="str">
        <f>input!D33</f>
        <v>N/A - PD</v>
      </c>
      <c r="E19" s="305" t="str">
        <f>input!E33</f>
        <v>Lime Surge Tank</v>
      </c>
      <c r="F19" s="1077" t="str">
        <f>input!F33</f>
        <v>Contact with Object</v>
      </c>
      <c r="G19" s="1078"/>
      <c r="H19" s="305" t="str">
        <f>input!G33</f>
        <v>Lime Plant</v>
      </c>
      <c r="I19" s="305" t="str">
        <f>input!H33</f>
        <v>S (N/A)</v>
      </c>
      <c r="J19" s="1079" t="str">
        <f>input!I33</f>
        <v>March 14, 2026</v>
      </c>
      <c r="K19" s="1080"/>
      <c r="L19" s="1081">
        <f>input!J33</f>
        <v>0.9375</v>
      </c>
      <c r="M19" s="1082"/>
      <c r="N19" s="351" t="str">
        <f>input!K33</f>
        <v>Third</v>
      </c>
      <c r="O19" s="352" t="str">
        <f>input!L33</f>
        <v>Dexter B. Arevalo</v>
      </c>
      <c r="P19" s="352" t="str">
        <f>input!M33</f>
        <v>Jeric T. Dulawan</v>
      </c>
      <c r="Q19" s="352" t="str">
        <f>input!N33</f>
        <v>Lawana Jr., Aquino P.</v>
      </c>
      <c r="R19" s="303" t="str">
        <f>input!O33</f>
        <v>PD</v>
      </c>
      <c r="S19" s="303" t="str">
        <f>input!P33</f>
        <v>Normal Surface Operations</v>
      </c>
      <c r="T19" s="1083" t="str">
        <f>input!Q33</f>
        <v>MBK</v>
      </c>
      <c r="U19" s="1084"/>
      <c r="V19" s="305" t="str">
        <f>input!R33</f>
        <v>MPG</v>
      </c>
      <c r="W19" s="305" t="str">
        <f>input!S33</f>
        <v>Mill Operations</v>
      </c>
      <c r="X19" s="1077" t="str">
        <f>input!T33</f>
        <v>Grinding</v>
      </c>
      <c r="Y19" s="1078"/>
      <c r="Z19" s="353" t="str">
        <f>input!U33</f>
        <v>KTA</v>
      </c>
    </row>
    <row r="20" spans="1:26" ht="90" x14ac:dyDescent="0.25">
      <c r="B20" s="1072" t="s">
        <v>675</v>
      </c>
      <c r="C20" s="1073"/>
      <c r="D20" s="1073"/>
      <c r="E20" s="1073"/>
      <c r="F20" s="1073"/>
      <c r="G20" s="1073"/>
      <c r="H20" s="1073"/>
      <c r="I20" s="1073"/>
      <c r="J20" s="1073"/>
      <c r="K20" s="1073"/>
      <c r="L20" s="1073"/>
      <c r="M20" s="1073"/>
      <c r="N20" s="1073"/>
      <c r="O20" s="1073"/>
      <c r="P20" s="1073"/>
      <c r="Q20" s="1073"/>
      <c r="R20" s="1073"/>
      <c r="S20" s="1073"/>
      <c r="T20" s="1073"/>
      <c r="U20" s="1073"/>
      <c r="V20" s="1073"/>
      <c r="W20" s="1073"/>
      <c r="X20" s="1073"/>
      <c r="Y20" s="1073"/>
      <c r="Z20" s="1074"/>
    </row>
    <row r="21" spans="1:26" s="133" customFormat="1" ht="184" x14ac:dyDescent="0.25">
      <c r="A21" s="350"/>
      <c r="B21" s="1075" t="str">
        <f>input!C31</f>
        <v>FOREST FIRE</v>
      </c>
      <c r="C21" s="1076"/>
      <c r="D21" s="304" t="str">
        <f>input!D31</f>
        <v>N/A - EI</v>
      </c>
      <c r="E21" s="304" t="str">
        <f>input!E31</f>
        <v>Forest Fire</v>
      </c>
      <c r="F21" s="1077" t="str">
        <f>input!F31</f>
        <v>Fire</v>
      </c>
      <c r="G21" s="1078"/>
      <c r="H21" s="305" t="str">
        <f>input!G31</f>
        <v>Golf Course, Sapid</v>
      </c>
      <c r="I21" s="305" t="str">
        <f>input!H31</f>
        <v>S (N/A)</v>
      </c>
      <c r="J21" s="1100" t="str">
        <f>input!I31</f>
        <v>March 6, 2026</v>
      </c>
      <c r="K21" s="1101"/>
      <c r="L21" s="1081">
        <f>input!J31</f>
        <v>0.91041666666666676</v>
      </c>
      <c r="M21" s="1082"/>
      <c r="N21" s="351" t="str">
        <f>input!K31</f>
        <v>Third</v>
      </c>
      <c r="O21" s="352" t="str">
        <f>input!L31</f>
        <v>N/A</v>
      </c>
      <c r="P21" s="352" t="str">
        <f>input!M31</f>
        <v>N/A</v>
      </c>
      <c r="Q21" s="352" t="str">
        <f>input!N31</f>
        <v>N/A</v>
      </c>
      <c r="R21" s="303" t="str">
        <f>input!O31</f>
        <v>EI</v>
      </c>
      <c r="S21" s="303" t="str">
        <f>input!P31</f>
        <v>Burning of dry grass</v>
      </c>
      <c r="T21" s="1083" t="str">
        <f>input!Q31</f>
        <v>ENC</v>
      </c>
      <c r="U21" s="1084"/>
      <c r="V21" s="305" t="str">
        <f>input!R31</f>
        <v>ASG</v>
      </c>
      <c r="W21" s="305" t="str">
        <f>input!S31</f>
        <v>IOSD</v>
      </c>
      <c r="X21" s="1077" t="str">
        <f>input!T31</f>
        <v>N/A - Community</v>
      </c>
      <c r="Y21" s="1078"/>
      <c r="Z21" s="353" t="str">
        <f>input!U31</f>
        <v>KTA</v>
      </c>
    </row>
    <row r="22" spans="1:26" s="133" customFormat="1" ht="184" x14ac:dyDescent="0.25">
      <c r="A22" s="350"/>
      <c r="B22" s="1075" t="str">
        <f>input!C32</f>
        <v>OIL SPILL</v>
      </c>
      <c r="C22" s="1076"/>
      <c r="D22" s="304" t="str">
        <f>input!D32</f>
        <v>TFQ 524</v>
      </c>
      <c r="E22" s="304" t="str">
        <f>input!E32</f>
        <v>Mill Engineering Service Vehicle</v>
      </c>
      <c r="F22" s="1077" t="str">
        <f>input!F32</f>
        <v>Property Damage</v>
      </c>
      <c r="G22" s="1078"/>
      <c r="H22" s="305" t="str">
        <f>input!G32</f>
        <v>LMD Roadway</v>
      </c>
      <c r="I22" s="305" t="str">
        <f>input!H32</f>
        <v>S (N/A)</v>
      </c>
      <c r="J22" s="1100" t="str">
        <f>input!I32</f>
        <v>March 9, 2026</v>
      </c>
      <c r="K22" s="1101"/>
      <c r="L22" s="1081">
        <f>input!J32</f>
        <v>0.40208333333333335</v>
      </c>
      <c r="M22" s="1082"/>
      <c r="N22" s="351" t="str">
        <f>input!K32</f>
        <v>Second</v>
      </c>
      <c r="O22" s="352" t="str">
        <f>input!L32</f>
        <v>Abraham L. Davis</v>
      </c>
      <c r="P22" s="352" t="str">
        <f>input!M32</f>
        <v>Julius K. Finatec</v>
      </c>
      <c r="Q22" s="352" t="str">
        <f>input!N32</f>
        <v>N/A</v>
      </c>
      <c r="R22" s="303" t="str">
        <f>input!O32</f>
        <v>EI</v>
      </c>
      <c r="S22" s="303" t="str">
        <f>input!P32</f>
        <v>Whilst backing: Parking inside GO</v>
      </c>
      <c r="T22" s="1083" t="str">
        <f>input!Q32</f>
        <v>MBK / RML</v>
      </c>
      <c r="U22" s="1084"/>
      <c r="V22" s="305" t="str">
        <f>input!R32</f>
        <v>MPG</v>
      </c>
      <c r="W22" s="305" t="str">
        <f>input!S32</f>
        <v>Mill Engineering</v>
      </c>
      <c r="X22" s="1077">
        <f>input!T32</f>
        <v>0</v>
      </c>
      <c r="Y22" s="1078"/>
      <c r="Z22" s="353" t="str">
        <f>input!U32</f>
        <v>KTA</v>
      </c>
    </row>
    <row r="23" spans="1:26" s="133" customFormat="1" ht="184" x14ac:dyDescent="0.25">
      <c r="A23" s="350"/>
      <c r="B23" s="1075" t="str">
        <f>input!C34</f>
        <v>FOREST FIRE</v>
      </c>
      <c r="C23" s="1076"/>
      <c r="D23" s="304" t="str">
        <f>input!D34</f>
        <v>N/A - EI</v>
      </c>
      <c r="E23" s="304" t="str">
        <f>input!E34</f>
        <v>Forest Fire</v>
      </c>
      <c r="F23" s="1077" t="str">
        <f>input!F34</f>
        <v>Fire</v>
      </c>
      <c r="G23" s="1078"/>
      <c r="H23" s="305" t="str">
        <f>input!G34</f>
        <v>Slaughter, San Roque</v>
      </c>
      <c r="I23" s="305" t="str">
        <f>input!H34</f>
        <v>S (N/A)</v>
      </c>
      <c r="J23" s="1100" t="str">
        <f>input!I34</f>
        <v>March 14, 2026</v>
      </c>
      <c r="K23" s="1101"/>
      <c r="L23" s="1081">
        <f>input!J34</f>
        <v>0.75</v>
      </c>
      <c r="M23" s="1082"/>
      <c r="N23" s="351" t="str">
        <f>input!K34</f>
        <v>Third</v>
      </c>
      <c r="O23" s="352" t="str">
        <f>input!L34</f>
        <v>N/A</v>
      </c>
      <c r="P23" s="352" t="str">
        <f>input!M34</f>
        <v>N/A</v>
      </c>
      <c r="Q23" s="352" t="str">
        <f>input!N34</f>
        <v>N/A</v>
      </c>
      <c r="R23" s="303" t="str">
        <f>input!O34</f>
        <v>EI</v>
      </c>
      <c r="S23" s="303" t="str">
        <f>input!P34</f>
        <v>Burning of dry grass</v>
      </c>
      <c r="T23" s="1083" t="str">
        <f>input!Q34</f>
        <v>MBK</v>
      </c>
      <c r="U23" s="1084"/>
      <c r="V23" s="305" t="str">
        <f>input!R34</f>
        <v>ASG</v>
      </c>
      <c r="W23" s="305" t="str">
        <f>input!S34</f>
        <v>IOSD</v>
      </c>
      <c r="X23" s="1077" t="str">
        <f>input!T34</f>
        <v>N/A - Community</v>
      </c>
      <c r="Y23" s="1078"/>
      <c r="Z23" s="353" t="str">
        <f>input!U34</f>
        <v>KTA</v>
      </c>
    </row>
    <row r="24" spans="1:26" s="133" customFormat="1" ht="184" x14ac:dyDescent="0.25">
      <c r="A24" s="350"/>
      <c r="B24" s="1075" t="str">
        <f>input!C35</f>
        <v>FOREST FIRE</v>
      </c>
      <c r="C24" s="1076"/>
      <c r="D24" s="304" t="str">
        <f>input!D35</f>
        <v>N/A - EI</v>
      </c>
      <c r="E24" s="304" t="str">
        <f>input!E35</f>
        <v>Forest Fire</v>
      </c>
      <c r="F24" s="1077" t="str">
        <f>input!F35</f>
        <v>Fire</v>
      </c>
      <c r="G24" s="1078"/>
      <c r="H24" s="305" t="str">
        <f>input!G35</f>
        <v>Tagumbao, Sapid</v>
      </c>
      <c r="I24" s="305" t="str">
        <f>input!H35</f>
        <v>S (N/A)</v>
      </c>
      <c r="J24" s="1100" t="str">
        <f>input!I35</f>
        <v>March 14, 2026</v>
      </c>
      <c r="K24" s="1101"/>
      <c r="L24" s="1081">
        <f>input!J35</f>
        <v>0.75</v>
      </c>
      <c r="M24" s="1082"/>
      <c r="N24" s="351" t="str">
        <f>input!K35</f>
        <v>Third</v>
      </c>
      <c r="O24" s="352" t="str">
        <f>input!L35</f>
        <v>N/A</v>
      </c>
      <c r="P24" s="352" t="str">
        <f>input!M35</f>
        <v>N/A</v>
      </c>
      <c r="Q24" s="352" t="str">
        <f>input!N35</f>
        <v>N/A</v>
      </c>
      <c r="R24" s="303" t="str">
        <f>input!O35</f>
        <v>EI</v>
      </c>
      <c r="S24" s="303" t="str">
        <f>input!P35</f>
        <v>Burning of Garbage</v>
      </c>
      <c r="T24" s="1083" t="str">
        <f>input!Q35</f>
        <v>MBK</v>
      </c>
      <c r="U24" s="1084"/>
      <c r="V24" s="305" t="str">
        <f>input!R35</f>
        <v>ASG</v>
      </c>
      <c r="W24" s="305" t="str">
        <f>input!S35</f>
        <v>IOSD</v>
      </c>
      <c r="X24" s="1077" t="str">
        <f>input!T35</f>
        <v>N/A - Community</v>
      </c>
      <c r="Y24" s="1078"/>
      <c r="Z24" s="353" t="str">
        <f>input!U35</f>
        <v>KTA</v>
      </c>
    </row>
    <row r="25" spans="1:26" s="133" customFormat="1" ht="92" x14ac:dyDescent="0.25">
      <c r="A25" s="350"/>
      <c r="B25" s="1075" t="str">
        <f>input!C45</f>
        <v>FOREST FIRE</v>
      </c>
      <c r="C25" s="1076"/>
      <c r="D25" s="304" t="str">
        <f>input!D45</f>
        <v>N/A - EI</v>
      </c>
      <c r="E25" s="304" t="str">
        <f>input!E45</f>
        <v>Forest Fire</v>
      </c>
      <c r="F25" s="1077" t="str">
        <f>input!F45</f>
        <v>Fire</v>
      </c>
      <c r="G25" s="1078"/>
      <c r="H25" s="305" t="str">
        <f>input!G45</f>
        <v>Old Gate 3</v>
      </c>
      <c r="I25" s="305" t="str">
        <f>input!H45</f>
        <v>S (N/A)</v>
      </c>
      <c r="J25" s="1100" t="str">
        <f>input!I45</f>
        <v>March 25, 2026</v>
      </c>
      <c r="K25" s="1101"/>
      <c r="L25" s="1081">
        <f>input!J45</f>
        <v>0.75</v>
      </c>
      <c r="M25" s="1082"/>
      <c r="N25" s="351" t="str">
        <f>input!K45</f>
        <v>Third</v>
      </c>
      <c r="O25" s="352" t="str">
        <f>input!L45</f>
        <v>N/A</v>
      </c>
      <c r="P25" s="352" t="str">
        <f>input!M45</f>
        <v>N/A</v>
      </c>
      <c r="Q25" s="352" t="str">
        <f>input!N45</f>
        <v>N/A</v>
      </c>
      <c r="R25" s="303" t="str">
        <f>input!O45</f>
        <v>EI</v>
      </c>
      <c r="S25" s="303" t="str">
        <f>input!P45</f>
        <v>Normal Surface Operations</v>
      </c>
      <c r="T25" s="1083" t="str">
        <f>input!Q45</f>
        <v>ENC</v>
      </c>
      <c r="U25" s="1084"/>
      <c r="V25" s="305" t="str">
        <f>input!R45</f>
        <v>ASG</v>
      </c>
      <c r="W25" s="305" t="str">
        <f>input!S45</f>
        <v>IOSD</v>
      </c>
      <c r="X25" s="1077" t="str">
        <f>input!T45</f>
        <v>N/A - Community</v>
      </c>
      <c r="Y25" s="1078"/>
      <c r="Z25" s="353" t="str">
        <f>input!U45</f>
        <v>KTA</v>
      </c>
    </row>
    <row r="26" spans="1:26" s="133" customFormat="1" ht="184" x14ac:dyDescent="0.25">
      <c r="A26" s="350"/>
      <c r="B26" s="1075" t="str">
        <f>input!C46</f>
        <v>FOREST FIRE</v>
      </c>
      <c r="C26" s="1076"/>
      <c r="D26" s="304" t="str">
        <f>input!D46</f>
        <v>N/A - EI</v>
      </c>
      <c r="E26" s="304" t="str">
        <f>input!E46</f>
        <v>Forest Fire</v>
      </c>
      <c r="F26" s="1077" t="str">
        <f>input!F46</f>
        <v>Fire</v>
      </c>
      <c r="G26" s="1078"/>
      <c r="H26" s="305" t="str">
        <f>input!G46</f>
        <v>Casubigan, Sapid</v>
      </c>
      <c r="I26" s="305" t="str">
        <f>input!H46</f>
        <v>S (N/A)</v>
      </c>
      <c r="J26" s="1100" t="str">
        <f>input!I46</f>
        <v>March 25, 2026</v>
      </c>
      <c r="K26" s="1101"/>
      <c r="L26" s="1081">
        <f>input!J46</f>
        <v>0.75</v>
      </c>
      <c r="M26" s="1082"/>
      <c r="N26" s="351" t="str">
        <f>input!K46</f>
        <v>Third</v>
      </c>
      <c r="O26" s="352" t="str">
        <f>input!L46</f>
        <v>N/A</v>
      </c>
      <c r="P26" s="352" t="str">
        <f>input!M46</f>
        <v>N/A</v>
      </c>
      <c r="Q26" s="352" t="str">
        <f>input!N46</f>
        <v>N/A</v>
      </c>
      <c r="R26" s="303" t="str">
        <f>input!O46</f>
        <v>EI</v>
      </c>
      <c r="S26" s="303" t="str">
        <f>input!P46</f>
        <v>Normal Surface Operations</v>
      </c>
      <c r="T26" s="1083" t="str">
        <f>input!Q46</f>
        <v>ENC</v>
      </c>
      <c r="U26" s="1084"/>
      <c r="V26" s="305" t="str">
        <f>input!R46</f>
        <v>ASG</v>
      </c>
      <c r="W26" s="305" t="str">
        <f>input!S46</f>
        <v>IOSD</v>
      </c>
      <c r="X26" s="1077" t="str">
        <f>input!T46</f>
        <v>N/A - Community</v>
      </c>
      <c r="Y26" s="1078"/>
      <c r="Z26" s="353" t="str">
        <f>input!U46</f>
        <v>KTA</v>
      </c>
    </row>
    <row r="27" spans="1:26" s="133" customFormat="1" ht="92" x14ac:dyDescent="0.25">
      <c r="A27" s="350"/>
      <c r="B27" s="1075" t="str">
        <f>input!C47</f>
        <v>FOREST FIRE</v>
      </c>
      <c r="C27" s="1076"/>
      <c r="D27" s="304" t="str">
        <f>input!D47</f>
        <v>N/A - EI</v>
      </c>
      <c r="E27" s="304" t="str">
        <f>input!E47</f>
        <v>Forest Fire</v>
      </c>
      <c r="F27" s="1077" t="str">
        <f>input!F47</f>
        <v>Fire</v>
      </c>
      <c r="G27" s="1078"/>
      <c r="H27" s="305" t="str">
        <f>input!G47</f>
        <v>Sapid Crusher</v>
      </c>
      <c r="I27" s="305" t="str">
        <f>input!H47</f>
        <v>S (N/A)</v>
      </c>
      <c r="J27" s="1100" t="str">
        <f>input!I47</f>
        <v>March 25, 2026</v>
      </c>
      <c r="K27" s="1101"/>
      <c r="L27" s="1081">
        <f>input!J47</f>
        <v>0.75</v>
      </c>
      <c r="M27" s="1082"/>
      <c r="N27" s="351" t="str">
        <f>input!K47</f>
        <v>Third</v>
      </c>
      <c r="O27" s="352" t="str">
        <f>input!L47</f>
        <v>N/A</v>
      </c>
      <c r="P27" s="352" t="str">
        <f>input!M47</f>
        <v>N/A</v>
      </c>
      <c r="Q27" s="352" t="str">
        <f>input!N47</f>
        <v>N/A</v>
      </c>
      <c r="R27" s="303" t="str">
        <f>input!O47</f>
        <v>EI</v>
      </c>
      <c r="S27" s="303" t="str">
        <f>input!P47</f>
        <v>Normal Surface Operations</v>
      </c>
      <c r="T27" s="1083" t="str">
        <f>input!Q47</f>
        <v>ENC</v>
      </c>
      <c r="U27" s="1084"/>
      <c r="V27" s="305" t="str">
        <f>input!R47</f>
        <v>ASG</v>
      </c>
      <c r="W27" s="305" t="str">
        <f>input!S47</f>
        <v>IOSD</v>
      </c>
      <c r="X27" s="1077" t="str">
        <f>input!T47</f>
        <v>N/A - Community</v>
      </c>
      <c r="Y27" s="1078"/>
      <c r="Z27" s="353" t="str">
        <f>input!U47</f>
        <v>KTA</v>
      </c>
    </row>
    <row r="28" spans="1:26" s="133" customFormat="1" ht="184" x14ac:dyDescent="0.25">
      <c r="A28" s="350"/>
      <c r="B28" s="1075" t="str">
        <f>input!C49</f>
        <v>FOREST FIRE</v>
      </c>
      <c r="C28" s="1076"/>
      <c r="D28" s="304" t="str">
        <f>input!D49</f>
        <v>N/A - EI</v>
      </c>
      <c r="E28" s="304" t="str">
        <f>input!E49</f>
        <v>Forest Fire</v>
      </c>
      <c r="F28" s="1077" t="str">
        <f>input!F49</f>
        <v>Fire</v>
      </c>
      <c r="G28" s="1078"/>
      <c r="H28" s="305" t="str">
        <f>input!G49</f>
        <v>Sapid Crusher</v>
      </c>
      <c r="I28" s="305" t="str">
        <f>input!H49</f>
        <v>S (N/A)</v>
      </c>
      <c r="J28" s="1100" t="str">
        <f>input!I49</f>
        <v>March 28, 2026</v>
      </c>
      <c r="K28" s="1101"/>
      <c r="L28" s="1081">
        <f>input!J49</f>
        <v>0.57638888888888895</v>
      </c>
      <c r="M28" s="1082"/>
      <c r="N28" s="351" t="str">
        <f>input!K48</f>
        <v>Second</v>
      </c>
      <c r="O28" s="352" t="str">
        <f>input!L49</f>
        <v>N/A</v>
      </c>
      <c r="P28" s="352" t="str">
        <f>input!M49</f>
        <v>N/A</v>
      </c>
      <c r="Q28" s="352" t="str">
        <f>input!N49</f>
        <v>N/A</v>
      </c>
      <c r="R28" s="303" t="str">
        <f>input!O49</f>
        <v>EI</v>
      </c>
      <c r="S28" s="303" t="str">
        <f>input!P49</f>
        <v>Normal Surface Operations</v>
      </c>
      <c r="T28" s="1083" t="str">
        <f>input!Q49</f>
        <v>ENC / KTA / ACG</v>
      </c>
      <c r="U28" s="1084"/>
      <c r="V28" s="305" t="str">
        <f>input!R49</f>
        <v>ASG</v>
      </c>
      <c r="W28" s="305" t="str">
        <f>input!S49</f>
        <v>IOSD</v>
      </c>
      <c r="X28" s="1077" t="str">
        <f>input!T49</f>
        <v>N/A - Community</v>
      </c>
      <c r="Y28" s="1078"/>
      <c r="Z28" s="353" t="str">
        <f>input!U49</f>
        <v>KTA</v>
      </c>
    </row>
    <row r="29" spans="1:26" s="133" customFormat="1" ht="184" x14ac:dyDescent="0.25">
      <c r="A29" s="350"/>
      <c r="B29" s="1075" t="str">
        <f>input!C50</f>
        <v>FOREST FIRE</v>
      </c>
      <c r="C29" s="1076"/>
      <c r="D29" s="304" t="str">
        <f>input!D50</f>
        <v>N/A - EI</v>
      </c>
      <c r="E29" s="304" t="str">
        <f>input!E50</f>
        <v>Forest Fire</v>
      </c>
      <c r="F29" s="1077" t="str">
        <f>input!F50</f>
        <v>Fire</v>
      </c>
      <c r="G29" s="1078"/>
      <c r="H29" s="305" t="str">
        <f>input!G50</f>
        <v>Sapid Crusher</v>
      </c>
      <c r="I29" s="305" t="str">
        <f>input!H50</f>
        <v>S (N/A)</v>
      </c>
      <c r="J29" s="1100" t="str">
        <f>input!I50</f>
        <v>March 29, 2026</v>
      </c>
      <c r="K29" s="1101"/>
      <c r="L29" s="1081">
        <f>input!J50</f>
        <v>0.56874999999999998</v>
      </c>
      <c r="M29" s="1082"/>
      <c r="N29" s="351" t="str">
        <f>input!K49</f>
        <v>Second</v>
      </c>
      <c r="O29" s="352" t="str">
        <f>input!L50</f>
        <v>N/A</v>
      </c>
      <c r="P29" s="352" t="str">
        <f>input!M50</f>
        <v>N/A</v>
      </c>
      <c r="Q29" s="352" t="str">
        <f>input!N50</f>
        <v>N/A</v>
      </c>
      <c r="R29" s="303" t="str">
        <f>input!O50</f>
        <v>EI</v>
      </c>
      <c r="S29" s="303" t="str">
        <f>input!P50</f>
        <v>Normal Surface Operations</v>
      </c>
      <c r="T29" s="1083" t="str">
        <f>input!Q50</f>
        <v>ENC</v>
      </c>
      <c r="U29" s="1084"/>
      <c r="V29" s="305" t="str">
        <f>input!R50</f>
        <v>ASG</v>
      </c>
      <c r="W29" s="305" t="str">
        <f>input!S50</f>
        <v>IOSD</v>
      </c>
      <c r="X29" s="1077" t="str">
        <f>input!T50</f>
        <v>N/A - Community</v>
      </c>
      <c r="Y29" s="1078"/>
      <c r="Z29" s="353" t="str">
        <f>input!U50</f>
        <v>KTA</v>
      </c>
    </row>
    <row r="30" spans="1:26" s="133" customFormat="1" ht="184" x14ac:dyDescent="0.25">
      <c r="A30" s="350"/>
      <c r="B30" s="1075" t="str">
        <f>input!C51</f>
        <v>FOREST FIRE</v>
      </c>
      <c r="C30" s="1076"/>
      <c r="D30" s="304" t="str">
        <f>input!D51</f>
        <v>N/A - EI</v>
      </c>
      <c r="E30" s="304" t="str">
        <f>input!E51</f>
        <v>Forest Fire</v>
      </c>
      <c r="F30" s="1077" t="str">
        <f>input!F51</f>
        <v>Fire</v>
      </c>
      <c r="G30" s="1078"/>
      <c r="H30" s="305" t="str">
        <f>input!G51</f>
        <v>Panad Roadway, Poblacion</v>
      </c>
      <c r="I30" s="305" t="str">
        <f>input!H51</f>
        <v>S (N/A)</v>
      </c>
      <c r="J30" s="1100" t="str">
        <f>input!I51</f>
        <v>March 30, 2026</v>
      </c>
      <c r="K30" s="1101"/>
      <c r="L30" s="1081">
        <f>input!J51</f>
        <v>0.40972222222222227</v>
      </c>
      <c r="M30" s="1082"/>
      <c r="N30" s="351" t="str">
        <f>input!K50</f>
        <v>Second</v>
      </c>
      <c r="O30" s="352" t="str">
        <f>input!L51</f>
        <v>N/A</v>
      </c>
      <c r="P30" s="352" t="str">
        <f>input!M51</f>
        <v>N/A</v>
      </c>
      <c r="Q30" s="352" t="str">
        <f>input!N51</f>
        <v>N/A</v>
      </c>
      <c r="R30" s="303" t="str">
        <f>input!O51</f>
        <v>EI</v>
      </c>
      <c r="S30" s="303" t="str">
        <f>input!P51</f>
        <v>Industrial Fire Drill at Carpentry Area</v>
      </c>
      <c r="T30" s="1083" t="str">
        <f>input!Q51</f>
        <v>ENC / RML</v>
      </c>
      <c r="U30" s="1084"/>
      <c r="V30" s="305" t="str">
        <f>input!R51</f>
        <v>ASG</v>
      </c>
      <c r="W30" s="305" t="str">
        <f>input!S51</f>
        <v>IOSD</v>
      </c>
      <c r="X30" s="1077" t="str">
        <f>input!T51</f>
        <v>N/A - Community</v>
      </c>
      <c r="Y30" s="1078"/>
      <c r="Z30" s="353" t="str">
        <f>input!U51</f>
        <v>KTA</v>
      </c>
    </row>
    <row r="31" spans="1:26" s="133" customFormat="1" ht="184" x14ac:dyDescent="0.25">
      <c r="A31" s="350"/>
      <c r="B31" s="1075" t="str">
        <f>input!C53</f>
        <v>FOREST FIRE</v>
      </c>
      <c r="C31" s="1076"/>
      <c r="D31" s="304" t="str">
        <f>input!D53</f>
        <v>N/A - EI</v>
      </c>
      <c r="E31" s="304" t="str">
        <f>input!E53</f>
        <v>Forest Fire</v>
      </c>
      <c r="F31" s="1077" t="str">
        <f>input!F53</f>
        <v>Fire</v>
      </c>
      <c r="G31" s="1078"/>
      <c r="H31" s="305" t="str">
        <f>input!G53</f>
        <v>Casubigan / Marivic Area</v>
      </c>
      <c r="I31" s="305" t="str">
        <f>input!H53</f>
        <v>S (N/A)</v>
      </c>
      <c r="J31" s="1100" t="str">
        <f>input!I53</f>
        <v>March 31, 2026</v>
      </c>
      <c r="K31" s="1101"/>
      <c r="L31" s="1081">
        <f>input!J53</f>
        <v>0.62986111111111109</v>
      </c>
      <c r="M31" s="1082"/>
      <c r="N31" s="351" t="str">
        <f>input!K53</f>
        <v>Second</v>
      </c>
      <c r="O31" s="352" t="str">
        <f>input!L53</f>
        <v>N/A</v>
      </c>
      <c r="P31" s="352" t="str">
        <f>input!M53</f>
        <v>N/A</v>
      </c>
      <c r="Q31" s="352" t="str">
        <f>input!N53</f>
        <v>N/A</v>
      </c>
      <c r="R31" s="303" t="str">
        <f>input!O53</f>
        <v>EI</v>
      </c>
      <c r="S31" s="303" t="str">
        <f>input!P53</f>
        <v>Normal Surface Operations</v>
      </c>
      <c r="T31" s="1083" t="str">
        <f>input!Q53</f>
        <v>ENC / RML</v>
      </c>
      <c r="U31" s="1084"/>
      <c r="V31" s="305" t="str">
        <f>input!R53</f>
        <v>ASG</v>
      </c>
      <c r="W31" s="305" t="str">
        <f>input!S53</f>
        <v>IOSD</v>
      </c>
      <c r="X31" s="1077" t="str">
        <f>input!T53</f>
        <v>N/A - Community</v>
      </c>
      <c r="Y31" s="1078"/>
      <c r="Z31" s="353" t="str">
        <f>input!U53</f>
        <v>KTA</v>
      </c>
    </row>
    <row r="32" spans="1:26" s="373" customFormat="1" ht="184.5" thickBot="1" x14ac:dyDescent="0.3">
      <c r="A32" s="372"/>
      <c r="B32" s="1075" t="str">
        <f>input!C54</f>
        <v>FOREST FIRE</v>
      </c>
      <c r="C32" s="1076"/>
      <c r="D32" s="304" t="str">
        <f>input!D54</f>
        <v>N/A - EI</v>
      </c>
      <c r="E32" s="304" t="str">
        <f>input!E54</f>
        <v>Forest Fire</v>
      </c>
      <c r="F32" s="1077" t="str">
        <f>input!F54</f>
        <v>Fire</v>
      </c>
      <c r="G32" s="1078"/>
      <c r="H32" s="305" t="str">
        <f>input!G54</f>
        <v>LMD Morgue Area</v>
      </c>
      <c r="I32" s="305" t="str">
        <f>input!H54</f>
        <v>S (N/A)</v>
      </c>
      <c r="J32" s="1100" t="str">
        <f>input!I54</f>
        <v>March 31, 2026</v>
      </c>
      <c r="K32" s="1101"/>
      <c r="L32" s="1081">
        <f>input!J54</f>
        <v>0.73749999999999993</v>
      </c>
      <c r="M32" s="1082"/>
      <c r="N32" s="351" t="str">
        <f>input!K54</f>
        <v>Third</v>
      </c>
      <c r="O32" s="352" t="str">
        <f>input!L54</f>
        <v>N/A</v>
      </c>
      <c r="P32" s="352" t="str">
        <f>input!M54</f>
        <v>N/A</v>
      </c>
      <c r="Q32" s="352" t="str">
        <f>input!N54</f>
        <v>N/A</v>
      </c>
      <c r="R32" s="303" t="str">
        <f>input!O54</f>
        <v>EI</v>
      </c>
      <c r="S32" s="303" t="str">
        <f>input!P54</f>
        <v>Normal Surface Operations</v>
      </c>
      <c r="T32" s="1083" t="str">
        <f>input!Q54</f>
        <v>ENC / RML</v>
      </c>
      <c r="U32" s="1084"/>
      <c r="V32" s="305" t="str">
        <f>input!R54</f>
        <v>ASG</v>
      </c>
      <c r="W32" s="305" t="str">
        <f>input!S54</f>
        <v>IOSD</v>
      </c>
      <c r="X32" s="1077" t="str">
        <f>input!T54</f>
        <v>N/A - Community</v>
      </c>
      <c r="Y32" s="1078"/>
      <c r="Z32" s="353" t="str">
        <f>input!U54</f>
        <v>KTA</v>
      </c>
    </row>
    <row r="33" spans="2:26" ht="360" x14ac:dyDescent="0.25">
      <c r="B33" s="1102" t="s">
        <v>22</v>
      </c>
      <c r="C33" s="1103"/>
      <c r="D33" s="306" t="s">
        <v>6</v>
      </c>
      <c r="E33" s="306" t="s">
        <v>2</v>
      </c>
      <c r="F33" s="306" t="s">
        <v>3</v>
      </c>
      <c r="G33" s="306" t="s">
        <v>1</v>
      </c>
      <c r="H33" s="306" t="s">
        <v>0</v>
      </c>
      <c r="I33" s="306" t="s">
        <v>53</v>
      </c>
      <c r="J33" s="306" t="s">
        <v>12</v>
      </c>
      <c r="K33" s="306" t="s">
        <v>693</v>
      </c>
      <c r="L33" s="306" t="s">
        <v>5</v>
      </c>
      <c r="M33" s="307" t="s">
        <v>40</v>
      </c>
      <c r="N33" s="1008" t="s">
        <v>11</v>
      </c>
      <c r="O33" s="1008"/>
      <c r="P33" s="1007"/>
      <c r="Q33" s="308" t="s">
        <v>6</v>
      </c>
      <c r="R33" s="308" t="s">
        <v>2</v>
      </c>
      <c r="S33" s="308" t="s">
        <v>3</v>
      </c>
      <c r="T33" s="308" t="s">
        <v>1</v>
      </c>
      <c r="U33" s="308" t="s">
        <v>0</v>
      </c>
      <c r="V33" s="308" t="s">
        <v>53</v>
      </c>
      <c r="W33" s="308" t="s">
        <v>12</v>
      </c>
      <c r="X33" s="308" t="s">
        <v>693</v>
      </c>
      <c r="Y33" s="308" t="s">
        <v>5</v>
      </c>
      <c r="Z33" s="309" t="s">
        <v>40</v>
      </c>
    </row>
    <row r="34" spans="2:26" ht="92" x14ac:dyDescent="0.25">
      <c r="B34" s="1104" t="s">
        <v>33</v>
      </c>
      <c r="C34" s="1105"/>
      <c r="D34" s="310">
        <f>COUNTIFS(input!$O:$O,March!$D$33,input!$E:$E,March!B34,input!$A:$A,March!$B$2)</f>
        <v>0</v>
      </c>
      <c r="E34" s="310">
        <f>COUNTIFS(input!$O:$O,March!$E$33,input!$E:$E,March!B34,input!$A:$A,March!$B$2)</f>
        <v>0</v>
      </c>
      <c r="F34" s="310">
        <f>COUNTIFS(input!$O:$O,March!$F$33,input!$E:$E,March!B34,input!$A:$A,March!$B$2)</f>
        <v>0</v>
      </c>
      <c r="G34" s="311">
        <f>COUNTIFS(input!$O:$O,March!$G$33,input!$E:$E,March!B34,input!$A:$A,March!$B$2)</f>
        <v>2</v>
      </c>
      <c r="H34" s="311">
        <f>COUNTIFS(input!$O:$O,March!$H$33,input!$E:$E,March!B34,input!$A:$A,March!$B$2)</f>
        <v>0</v>
      </c>
      <c r="I34" s="311">
        <f>COUNTIFS(input!$O:$O,March!$I$33,input!$E:$E,March!B34,input!$A:$A,March!$B$2)</f>
        <v>1</v>
      </c>
      <c r="J34" s="311">
        <f>COUNTIFS(input!$O:$O,March!$K$33,input!$E:$E,March!B34,input!$A:$A,March!$B$2)</f>
        <v>0</v>
      </c>
      <c r="K34" s="311">
        <f>COUNTIFS(input!$O:$O,March!$K$33,input!$E:$E,March!B34,input!$A:$A,March!$B$2)</f>
        <v>0</v>
      </c>
      <c r="L34" s="312">
        <f>SUM(D34:K34)</f>
        <v>3</v>
      </c>
      <c r="M34" s="313" cm="1">
        <f t="array" ref="M34">_xlfn.IFS(L34=0,0,L34&gt;=1,L34/L60)</f>
        <v>0.125</v>
      </c>
      <c r="N34" s="1106" t="s">
        <v>86</v>
      </c>
      <c r="O34" s="1106"/>
      <c r="P34" s="1105"/>
      <c r="Q34" s="310">
        <f>COUNTIFS(input!$O:$O,March!$Q$33,input!$F:$F,March!N34,input!$A:$A,March!$B$2)</f>
        <v>0</v>
      </c>
      <c r="R34" s="310">
        <f>COUNTIFS(input!$O:$O,March!$R$33,input!$F:$F,March!N34,input!$A:$A,March!$B$2)</f>
        <v>0</v>
      </c>
      <c r="S34" s="310">
        <f>COUNTIFS(input!$O:$O,March!$S$33,input!$F:$F,March!N34,input!$A:$A,March!$B$2)</f>
        <v>0</v>
      </c>
      <c r="T34" s="314">
        <f>COUNTIFS(input!$O:$O,March!$T$33,input!$F:$F,March!N34,input!$A:$A,March!$B$2)</f>
        <v>1</v>
      </c>
      <c r="U34" s="314">
        <f>COUNTIFS(input!$O:$O,March!$U$33,input!$F:$F,March!N34,input!$A:$A,March!$B$2)</f>
        <v>0</v>
      </c>
      <c r="V34" s="314">
        <f>COUNTIFS(input!$O:$O,March!$V$33,input!$F:$F,March!N34,input!$A:$A,March!$B$2)</f>
        <v>0</v>
      </c>
      <c r="W34" s="314">
        <f>COUNTIFS(input!$O:$O,March!$W$33,input!$F:$F,March!N34,input!$A:$A,March!$B$2)</f>
        <v>0</v>
      </c>
      <c r="X34" s="314">
        <f>COUNTIFS(input!$O:$O,March!$X$33,input!$F:$F,March!N34,input!$A:$A,March!$B$2)</f>
        <v>0</v>
      </c>
      <c r="Y34" s="312">
        <f>SUM(Q34:X34)</f>
        <v>1</v>
      </c>
      <c r="Z34" s="315" cm="1">
        <f t="array" ref="Z34">_xlfn.IFS(Y34=0,0,Y34&gt;=1,Y34/$Y$60)</f>
        <v>4.1666666666666664E-2</v>
      </c>
    </row>
    <row r="35" spans="2:26" ht="92" x14ac:dyDescent="0.25">
      <c r="B35" s="998" t="s">
        <v>18</v>
      </c>
      <c r="C35" s="994"/>
      <c r="D35" s="316">
        <f>COUNTIFS(input!$O:$O,March!$D$33,input!$E:$E,March!B35,input!$A:$A,March!$B$2)</f>
        <v>0</v>
      </c>
      <c r="E35" s="316">
        <f>COUNTIFS(input!$O:$O,March!$E$33,input!$E:$E,March!B35,input!$A:$A,March!$B$2)</f>
        <v>0</v>
      </c>
      <c r="F35" s="317">
        <f>COUNTIFS(input!$O:$O,March!$F$33,input!$E:$E,March!B35,input!$A:$A,March!$B$2)</f>
        <v>0</v>
      </c>
      <c r="G35" s="318">
        <f>COUNTIFS(input!$O:$O,March!$G$33,input!$E:$E,March!B35,input!$A:$A,March!$B$2)</f>
        <v>0</v>
      </c>
      <c r="H35" s="318">
        <f>COUNTIFS(input!$O:$O,March!$H$33,input!$E:$E,March!B35,input!$A:$A,March!$B$2)</f>
        <v>0</v>
      </c>
      <c r="I35" s="318">
        <f>COUNTIFS(input!$O:$O,March!$I$33,input!$E:$E,March!B35,input!$A:$A,March!$B$2)</f>
        <v>0</v>
      </c>
      <c r="J35" s="318">
        <f>COUNTIFS(input!$O:$O,March!$J$33,input!$E:$E,March!B35,input!$A:$A,March!$B$2)</f>
        <v>0</v>
      </c>
      <c r="K35" s="319">
        <f>COUNTIFS(input!$O:$O,March!$K$33,input!$E:$E,March!B35,input!$A:$A,March!$B$2)</f>
        <v>0</v>
      </c>
      <c r="L35" s="312">
        <f t="shared" ref="L35:L55" si="0">SUM(D35:K35)</f>
        <v>0</v>
      </c>
      <c r="M35" s="320" cm="1">
        <f t="array" ref="M35">_xlfn.IFS(L35=0,0,L35&gt;=1,L35/L60)</f>
        <v>0</v>
      </c>
      <c r="N35" s="1065" t="s">
        <v>138</v>
      </c>
      <c r="O35" s="1065"/>
      <c r="P35" s="1066"/>
      <c r="Q35" s="316">
        <f>COUNTIFS(input!$O:$O,March!$Q$33,input!$F:$F,March!N35,input!$A:$A,March!$B$2)</f>
        <v>0</v>
      </c>
      <c r="R35" s="316">
        <f>COUNTIFS(input!$O:$O,March!$R$33,input!$F:$F,March!N35,input!$A:$A,March!$B$2)</f>
        <v>0</v>
      </c>
      <c r="S35" s="316">
        <f>COUNTIFS(input!$O:$O,March!$S$33,input!$F:$F,March!N35,input!$A:$A,March!$B$2)</f>
        <v>0</v>
      </c>
      <c r="T35" s="321">
        <f>COUNTIFS(input!$O:$O,March!$T$33,input!$F:$F,March!N35,input!$A:$A,March!$B$2)</f>
        <v>0</v>
      </c>
      <c r="U35" s="322">
        <f>COUNTIFS(input!$O:$O,March!$U$33,input!$F:$F,March!N35,input!$A:$A,March!$B$2)</f>
        <v>0</v>
      </c>
      <c r="V35" s="322">
        <f>COUNTIFS(input!$O:$O,March!$V$33,input!$F:$F,March!N35,input!$A:$A,March!$B$2)</f>
        <v>0</v>
      </c>
      <c r="W35" s="323">
        <f>COUNTIFS(input!$O:$O,March!$W$33,input!$F:$F,March!N35,input!$A:$A,March!$B$2)</f>
        <v>0</v>
      </c>
      <c r="X35" s="324">
        <f>COUNTIFS(input!$O:$O,March!$X$33,input!$F:$F,March!N35,input!$A:$A,March!$B$2)</f>
        <v>0</v>
      </c>
      <c r="Y35" s="312">
        <f t="shared" ref="Y35:Y44" si="1">SUM(Q35:X35)</f>
        <v>0</v>
      </c>
      <c r="Z35" s="315" cm="1">
        <f t="array" ref="Z35">_xlfn.IFS(Y35=0,0,Y35&gt;=1,Y35/$Y$60)</f>
        <v>0</v>
      </c>
    </row>
    <row r="36" spans="2:26" ht="92" x14ac:dyDescent="0.25">
      <c r="B36" s="998" t="s">
        <v>410</v>
      </c>
      <c r="C36" s="994"/>
      <c r="D36" s="316">
        <f>COUNTIFS(input!$O:$O,March!$D$33,input!$E:$E,March!B36,input!$A:$A,March!$B$2)</f>
        <v>0</v>
      </c>
      <c r="E36" s="316">
        <f>COUNTIFS(input!$O:$O,March!$E$33,input!$E:$E,March!B36,input!$A:$A,March!$B$2)</f>
        <v>0</v>
      </c>
      <c r="F36" s="316">
        <f>COUNTIFS(input!$O:$O,March!$F$33,input!$E:$E,March!B36,input!$A:$A,March!$B$2)</f>
        <v>0</v>
      </c>
      <c r="G36" s="318">
        <f>COUNTIFS(input!$O:$O,March!$G$33,input!$E:$E,March!B36,input!$A:$A,March!$B$2)</f>
        <v>0</v>
      </c>
      <c r="H36" s="318">
        <f>COUNTIFS(input!$O:$O,March!$H$33,input!$E:$E,March!B36,input!$A:$A,March!$B$2)</f>
        <v>0</v>
      </c>
      <c r="I36" s="318">
        <f>COUNTIFS(input!$O:$O,March!$I$33,input!$E:$E,March!B36,input!$A:$A,March!$B$2)</f>
        <v>0</v>
      </c>
      <c r="J36" s="318">
        <f>COUNTIFS(input!$O:$O,March!$J$33,input!$E:$E,March!B36,input!$A:$A,March!$B$2)</f>
        <v>0</v>
      </c>
      <c r="K36" s="319">
        <f>COUNTIFS(input!$O:$O,March!$K$33,input!$E:$E,March!B36,input!$A:$A,March!$B$2)</f>
        <v>0</v>
      </c>
      <c r="L36" s="312">
        <f t="shared" si="0"/>
        <v>0</v>
      </c>
      <c r="M36" s="320" cm="1">
        <f t="array" ref="M36">_xlfn.IFS(L36=0,0,L36&gt;=1,L36/L60)</f>
        <v>0</v>
      </c>
      <c r="N36" s="1016" t="s">
        <v>17</v>
      </c>
      <c r="O36" s="1016"/>
      <c r="P36" s="991"/>
      <c r="Q36" s="316">
        <f>COUNTIFS(input!$O:$O,March!$Q$33,input!$F:$F,March!N36,input!$A:$A,March!$B$2)</f>
        <v>0</v>
      </c>
      <c r="R36" s="316">
        <f>COUNTIFS(input!$O:$O,March!$R$33,input!$F:$F,March!N36,input!$A:$A,March!$B$2)</f>
        <v>0</v>
      </c>
      <c r="S36" s="316">
        <f>COUNTIFS(input!$O:$O,March!$S$33,input!$F:$F,March!N36,input!$A:$A,March!$B$2)</f>
        <v>0</v>
      </c>
      <c r="T36" s="322">
        <f>COUNTIFS(input!$O:$O,March!$T$33,input!$F:$F,March!N36,input!$A:$A,March!$B$2)</f>
        <v>1</v>
      </c>
      <c r="U36" s="322">
        <f>COUNTIFS(input!$O:$O,March!$U$33,input!$F:$F,March!N36,input!$A:$A,March!$B$2)</f>
        <v>2</v>
      </c>
      <c r="V36" s="322">
        <f>COUNTIFS(input!$O:$O,March!$V$33,input!$F:$F,March!N36,input!$A:$A,March!$B$2)</f>
        <v>0</v>
      </c>
      <c r="W36" s="323">
        <f>COUNTIFS(input!$O:$O,March!$W$33,input!$F:$F,March!N36,input!$A:$A,March!$B$2)</f>
        <v>0</v>
      </c>
      <c r="X36" s="324">
        <f>COUNTIFS(input!$O:$O,March!$X$33,input!$F:$F,March!N36,input!$A:$A,March!$B$2)</f>
        <v>0</v>
      </c>
      <c r="Y36" s="312">
        <f t="shared" si="1"/>
        <v>3</v>
      </c>
      <c r="Z36" s="315" cm="1">
        <f t="array" ref="Z36">_xlfn.IFS(Y36=0,0,Y36&gt;=1,Y36/$Y$60)</f>
        <v>0.125</v>
      </c>
    </row>
    <row r="37" spans="2:26" ht="92" x14ac:dyDescent="0.25">
      <c r="B37" s="990" t="s">
        <v>41</v>
      </c>
      <c r="C37" s="991"/>
      <c r="D37" s="316">
        <f>COUNTIFS(input!$O:$O,March!$D$33,input!$E:$E,March!B37,input!$A:$A,March!$B$2)</f>
        <v>0</v>
      </c>
      <c r="E37" s="316">
        <f>COUNTIFS(input!$O:$O,March!$E$33,input!$E:$E,March!B37,input!$A:$A,March!$B$2)</f>
        <v>0</v>
      </c>
      <c r="F37" s="317">
        <f>COUNTIFS(input!$O:$O,March!$F$33,input!$E:$E,March!B37,input!$A:$A,March!$B$2)</f>
        <v>0</v>
      </c>
      <c r="G37" s="318">
        <f>COUNTIFS(input!$O:$O,March!$G$33,input!$E:$E,March!B37,input!$A:$A,March!$B$2)</f>
        <v>0</v>
      </c>
      <c r="H37" s="318">
        <f>COUNTIFS(input!$O:$O,March!$H$33,input!$E:$E,March!B37,input!$A:$A,March!$B$2)</f>
        <v>0</v>
      </c>
      <c r="I37" s="318">
        <f>COUNTIFS(input!$O:$O,March!$I$33,input!$E:$E,March!B37,input!$A:$A,March!$B$2)</f>
        <v>0</v>
      </c>
      <c r="J37" s="318">
        <f>COUNTIFS(input!$O:$O,March!$J$33,input!$E:$E,March!B37,input!$A:$A,March!$B$2)</f>
        <v>0</v>
      </c>
      <c r="K37" s="319">
        <f>COUNTIFS(input!$O:$O,March!$K$33,input!$E:$E,March!B37,input!$A:$A,March!$B$2)</f>
        <v>0</v>
      </c>
      <c r="L37" s="312">
        <f t="shared" si="0"/>
        <v>0</v>
      </c>
      <c r="M37" s="320" cm="1">
        <f t="array" ref="M37">_xlfn.IFS(L37=0,0,L37&gt;=1,L37/L60)</f>
        <v>0</v>
      </c>
      <c r="N37" s="1016" t="s">
        <v>20</v>
      </c>
      <c r="O37" s="1016"/>
      <c r="P37" s="991"/>
      <c r="Q37" s="316">
        <f>COUNTIFS(input!$O:$O,March!$Q$33,input!$F:$F,March!N37,input!$A:$A,March!$B$2)</f>
        <v>0</v>
      </c>
      <c r="R37" s="316">
        <f>COUNTIFS(input!$O:$O,March!$R$33,input!$F:$F,March!N37,input!$A:$A,March!$B$2)</f>
        <v>0</v>
      </c>
      <c r="S37" s="316">
        <f>COUNTIFS(input!$O:$O,March!$S$33,input!$F:$F,March!N37,input!$A:$A,March!$B$2)</f>
        <v>0</v>
      </c>
      <c r="T37" s="322">
        <f>COUNTIFS(input!$O:$O,March!$T$33,input!$F:$F,March!N37,input!$A:$A,March!$B$2)</f>
        <v>0</v>
      </c>
      <c r="U37" s="322">
        <f>COUNTIFS(input!$O:$O,March!$U$33,input!$F:$F,March!N37,input!$A:$A,March!$B$2)</f>
        <v>0</v>
      </c>
      <c r="V37" s="322">
        <f>COUNTIFS(input!$O:$O,March!$V$33,input!$F:$F,March!N37,input!$A:$A,March!$B$2)</f>
        <v>0</v>
      </c>
      <c r="W37" s="323">
        <f>COUNTIFS(input!$O:$O,March!$W$33,input!$F:$F,March!N37,input!$A:$A,March!$B$2)</f>
        <v>0</v>
      </c>
      <c r="X37" s="324">
        <f>COUNTIFS(input!$O:$O,March!$X$33,input!$F:$F,March!N37,input!$A:$A,March!$B$2)</f>
        <v>0</v>
      </c>
      <c r="Y37" s="312">
        <f t="shared" si="1"/>
        <v>0</v>
      </c>
      <c r="Z37" s="315" cm="1">
        <f t="array" ref="Z37">_xlfn.IFS(Y37=0,0,Y37&gt;=1,Y37/$Y$60)</f>
        <v>0</v>
      </c>
    </row>
    <row r="38" spans="2:26" ht="92" x14ac:dyDescent="0.25">
      <c r="B38" s="990" t="s">
        <v>482</v>
      </c>
      <c r="C38" s="991"/>
      <c r="D38" s="316">
        <f>COUNTIFS(input!$O:$O,March!$D$33,input!$E:$E,March!B38,input!$A:$A,March!$B$2)</f>
        <v>0</v>
      </c>
      <c r="E38" s="316">
        <f>COUNTIFS(input!$O:$O,March!$E$33,input!$E:$E,March!B38,input!$A:$A,March!$B$2)</f>
        <v>0</v>
      </c>
      <c r="F38" s="317">
        <f>COUNTIFS(input!$O:$O,March!$F$33,input!$E:$E,March!B38,input!$A:$A,March!$B$2)</f>
        <v>0</v>
      </c>
      <c r="G38" s="318">
        <f>COUNTIFS(input!$O:$O,March!$G$33,input!$E:$E,March!B38,input!$A:$A,March!$B$2)</f>
        <v>0</v>
      </c>
      <c r="H38" s="318">
        <f>COUNTIFS(input!$O:$O,March!$H$33,input!$E:$E,March!B38,input!$A:$A,March!$B$2)</f>
        <v>0</v>
      </c>
      <c r="I38" s="318">
        <f>COUNTIFS(input!$O:$O,March!$I$33,input!$E:$E,March!B38,input!$A:$A,March!$B$2)</f>
        <v>0</v>
      </c>
      <c r="J38" s="318">
        <f>COUNTIFS(input!$O:$O,March!$J$33,input!$E:$E,March!B38,input!$A:$A,March!$B$2)</f>
        <v>0</v>
      </c>
      <c r="K38" s="319">
        <f>COUNTIFS(input!$O:$O,March!$K$33,input!$E:$E,March!B38,input!$A:$A,March!$B$2)</f>
        <v>0</v>
      </c>
      <c r="L38" s="312">
        <f t="shared" si="0"/>
        <v>0</v>
      </c>
      <c r="M38" s="320" cm="1">
        <f t="array" ref="M38">_xlfn.IFS(L38=0,0,L38&gt;=1,L38/L60)</f>
        <v>0</v>
      </c>
      <c r="N38" s="1065" t="s">
        <v>25</v>
      </c>
      <c r="O38" s="1065"/>
      <c r="P38" s="1066"/>
      <c r="Q38" s="316">
        <f>COUNTIFS(input!$O:$O,March!$Q$33,input!$F:$F,March!N38,input!$A:$A,March!$B$2)</f>
        <v>0</v>
      </c>
      <c r="R38" s="316">
        <f>COUNTIFS(input!$O:$O,March!$R$33,input!$F:$F,March!N38,input!$A:$A,March!$B$2)</f>
        <v>0</v>
      </c>
      <c r="S38" s="316">
        <f>COUNTIFS(input!$O:$O,March!$S$33,input!$F:$F,March!N38,input!$A:$A,March!$B$2)</f>
        <v>0</v>
      </c>
      <c r="T38" s="322">
        <f>COUNTIFS(input!$O:$O,March!$T$33,input!$F:$F,March!N38,input!$A:$A,March!$B$2)</f>
        <v>0</v>
      </c>
      <c r="U38" s="322">
        <f>COUNTIFS(input!$O:$O,March!$U$33,input!$F:$F,March!N38,input!$A:$A,March!$B$2)</f>
        <v>0</v>
      </c>
      <c r="V38" s="322">
        <f>COUNTIFS(input!$O:$O,March!$V$33,input!$F:$F,March!N38,input!$A:$A,March!$B$2)</f>
        <v>0</v>
      </c>
      <c r="W38" s="323">
        <f>COUNTIFS(input!$O:$O,March!$W$33,input!$F:$F,March!N38,input!$A:$A,March!$B$2)</f>
        <v>0</v>
      </c>
      <c r="X38" s="324">
        <f>COUNTIFS(input!$O:$O,March!$X$33,input!$F:$F,March!N38,input!$A:$A,March!$B$2)</f>
        <v>0</v>
      </c>
      <c r="Y38" s="312">
        <f t="shared" si="1"/>
        <v>0</v>
      </c>
      <c r="Z38" s="315" cm="1">
        <f t="array" ref="Z38">_xlfn.IFS(Y38=0,0,Y38&gt;=1,Y38/$Y$60)</f>
        <v>0</v>
      </c>
    </row>
    <row r="39" spans="2:26" ht="92" x14ac:dyDescent="0.25">
      <c r="B39" s="990" t="s">
        <v>460</v>
      </c>
      <c r="C39" s="991"/>
      <c r="D39" s="316">
        <f>COUNTIFS(input!$O:$O,March!$D$33,input!$E:$E,March!B39,input!$A:$A,March!$B$2)</f>
        <v>0</v>
      </c>
      <c r="E39" s="316">
        <f>COUNTIFS(input!$O:$O,March!$E$33,input!$E:$E,March!B39,input!$A:$A,March!$B$2)</f>
        <v>0</v>
      </c>
      <c r="F39" s="317">
        <f>COUNTIFS(input!$O:$O,March!$F$33,input!$E:$E,March!B39,input!$A:$A,March!$B$2)</f>
        <v>0</v>
      </c>
      <c r="G39" s="325">
        <f>COUNTIFS(input!$O:$O,March!$G$33,input!$E:$E,March!B39,input!$A:$A,March!$B$2)</f>
        <v>0</v>
      </c>
      <c r="H39" s="318">
        <f>COUNTIFS(input!$O:$O,March!$H$33,input!$E:$E,March!B39,input!$A:$A,March!$B$2)</f>
        <v>0</v>
      </c>
      <c r="I39" s="318">
        <f>COUNTIFS(input!$O:$O,March!$I$33,input!$E:$E,March!B39,input!$A:$A,March!$B$2)</f>
        <v>0</v>
      </c>
      <c r="J39" s="318">
        <f>COUNTIFS(input!$O:$O,March!$J$33,input!$E:$E,March!B39,input!$A:$A,March!$B$2)</f>
        <v>0</v>
      </c>
      <c r="K39" s="319">
        <f>COUNTIFS(input!$O:$O,March!$K$33,input!$E:$E,March!B39,input!$A:$A,March!$B$2)</f>
        <v>0</v>
      </c>
      <c r="L39" s="312">
        <f t="shared" si="0"/>
        <v>0</v>
      </c>
      <c r="M39" s="320" cm="1">
        <f t="array" ref="M39">_xlfn.IFS(L39=0,0,L39&gt;=1,L39/L60)</f>
        <v>0</v>
      </c>
      <c r="N39" s="1016" t="s">
        <v>19</v>
      </c>
      <c r="O39" s="1016"/>
      <c r="P39" s="991"/>
      <c r="Q39" s="316">
        <f>COUNTIFS(input!$O:$O,March!$Q$33,input!$F:$F,March!N39,input!$A:$A,March!$B$2)</f>
        <v>0</v>
      </c>
      <c r="R39" s="316">
        <f>COUNTIFS(input!$O:$O,March!$R$33,input!$F:$F,March!N39,input!$A:$A,March!$B$2)</f>
        <v>0</v>
      </c>
      <c r="S39" s="316">
        <f>COUNTIFS(input!$O:$O,March!$S$33,input!$F:$F,March!N39,input!$A:$A,March!$B$2)</f>
        <v>0</v>
      </c>
      <c r="T39" s="322">
        <f>COUNTIFS(input!$O:$O,March!$T$33,input!$F:$F,March!N39,input!$A:$A,March!$B$2)</f>
        <v>1</v>
      </c>
      <c r="U39" s="322">
        <f>COUNTIFS(input!$O:$O,March!$U$33,input!$F:$F,March!N39,input!$A:$A,March!$B$2)</f>
        <v>0</v>
      </c>
      <c r="V39" s="322">
        <f>COUNTIFS(input!$O:$O,March!$V$33,input!$F:$F,March!N39,input!$A:$A,March!$B$2)</f>
        <v>0</v>
      </c>
      <c r="W39" s="323">
        <f>COUNTIFS(input!$O:$O,March!$W$33,input!$F:$F,March!N39,input!$A:$A,March!$B$2)</f>
        <v>0</v>
      </c>
      <c r="X39" s="324">
        <f>COUNTIFS(input!$O:$O,March!$X$33,input!$F:$F,March!N39,input!$A:$A,March!$B$2)</f>
        <v>0</v>
      </c>
      <c r="Y39" s="312">
        <f t="shared" si="1"/>
        <v>1</v>
      </c>
      <c r="Z39" s="315" cm="1">
        <f t="array" ref="Z39">_xlfn.IFS(Y39=0,0,Y39&gt;=1,Y39/$Y$60)</f>
        <v>4.1666666666666664E-2</v>
      </c>
    </row>
    <row r="40" spans="2:26" ht="92" x14ac:dyDescent="0.25">
      <c r="B40" s="990" t="s">
        <v>413</v>
      </c>
      <c r="C40" s="991"/>
      <c r="D40" s="316">
        <f>COUNTIFS(input!$O:$O,March!$D$33,input!$E:$E,March!B40,input!$A:$A,March!$B$2)</f>
        <v>0</v>
      </c>
      <c r="E40" s="316">
        <f>COUNTIFS(input!$O:$O,March!$E$33,input!$E:$E,March!B40,input!$A:$A,March!$B$2)</f>
        <v>0</v>
      </c>
      <c r="F40" s="317">
        <f>COUNTIFS(input!$O:$O,March!$F$33,input!$E:$E,March!B40,input!$A:$A,March!$B$2)</f>
        <v>0</v>
      </c>
      <c r="G40" s="318">
        <f>COUNTIFS(input!$O:$O,March!$G$33,input!$E:$E,March!B40,input!$A:$A,March!$B$2)</f>
        <v>0</v>
      </c>
      <c r="H40" s="318">
        <f>COUNTIFS(input!$O:$O,March!$H$33,input!$E:$E,March!B40,input!$A:$A,March!$B$2)</f>
        <v>0</v>
      </c>
      <c r="I40" s="318">
        <f>COUNTIFS(input!$O:$O,March!$I$33,input!$E:$E,March!B40,input!$A:$A,March!$B$2)</f>
        <v>0</v>
      </c>
      <c r="J40" s="318">
        <f>COUNTIFS(input!$O:$O,March!$J$33,input!$E:$E,March!B40,input!$A:$A,March!$B$2)</f>
        <v>0</v>
      </c>
      <c r="K40" s="319">
        <f>COUNTIFS(input!$O:$O,March!$K$33,input!$E:$E,March!B40,input!$A:$A,March!$B$2)</f>
        <v>0</v>
      </c>
      <c r="L40" s="312">
        <f t="shared" si="0"/>
        <v>0</v>
      </c>
      <c r="M40" s="320" cm="1">
        <f t="array" ref="M40">_xlfn.IFS(L40=0,0,L40&gt;=1,L40/L60)</f>
        <v>0</v>
      </c>
      <c r="N40" s="1016" t="s">
        <v>27</v>
      </c>
      <c r="O40" s="1016"/>
      <c r="P40" s="991"/>
      <c r="Q40" s="316">
        <f>COUNTIFS(input!$O:$O,March!$Q$33,input!$F:$F,March!N40,input!$A:$A,March!$B$2)</f>
        <v>0</v>
      </c>
      <c r="R40" s="316">
        <f>COUNTIFS(input!$O:$O,March!$R$33,input!$F:$F,March!N40,input!$A:$A,March!$B$2)</f>
        <v>0</v>
      </c>
      <c r="S40" s="316">
        <f>COUNTIFS(input!$O:$O,March!$S$33,input!$F:$F,March!N40,input!$A:$A,March!$B$2)</f>
        <v>0</v>
      </c>
      <c r="T40" s="322">
        <f>COUNTIFS(input!$O:$O,March!$T$33,input!$F:$F,March!N40,input!$A:$A,March!$B$2)</f>
        <v>1</v>
      </c>
      <c r="U40" s="322">
        <f>COUNTIFS(input!$O:$O,March!$U$33,input!$F:$F,March!N40,input!$A:$A,March!$B$2)</f>
        <v>0</v>
      </c>
      <c r="V40" s="322">
        <f>COUNTIFS(input!$O:$O,March!$V$33,input!$F:$F,March!N40,input!$A:$A,March!$B$2)</f>
        <v>0</v>
      </c>
      <c r="W40" s="323">
        <f>COUNTIFS(input!$O:$O,March!$W$33,input!$F:$F,March!N40,input!$A:$A,March!$B$2)</f>
        <v>0</v>
      </c>
      <c r="X40" s="324">
        <f>COUNTIFS(input!$O:$O,March!$X$33,input!$F:$F,March!N40,input!$A:$A,March!$B$2)</f>
        <v>0</v>
      </c>
      <c r="Y40" s="312">
        <f t="shared" si="1"/>
        <v>1</v>
      </c>
      <c r="Z40" s="315" cm="1">
        <f t="array" ref="Z40">_xlfn.IFS(Y40=0,0,Y40&gt;=1,Y40/$Y$60)</f>
        <v>4.1666666666666664E-2</v>
      </c>
    </row>
    <row r="41" spans="2:26" ht="92" x14ac:dyDescent="0.25">
      <c r="B41" s="990" t="s">
        <v>472</v>
      </c>
      <c r="C41" s="991"/>
      <c r="D41" s="316">
        <f>COUNTIFS(input!$O:$O,March!$D$33,input!$E:$E,March!B41,input!$A:$A,March!$B$2)</f>
        <v>0</v>
      </c>
      <c r="E41" s="316">
        <f>COUNTIFS(input!$O:$O,March!$E$33,input!$E:$E,March!B41,input!$A:$A,March!$B$2)</f>
        <v>0</v>
      </c>
      <c r="F41" s="317">
        <f>COUNTIFS(input!$O:$O,March!$F$33,input!$E:$E,March!B41,input!$A:$A,March!$B$2)</f>
        <v>0</v>
      </c>
      <c r="G41" s="318">
        <f>COUNTIFS(input!$O:$O,March!$G$33,input!$E:$E,March!B41,input!$A:$A,March!$B$2)</f>
        <v>0</v>
      </c>
      <c r="H41" s="318">
        <f>COUNTIFS(input!$O:$O,March!$H$33,input!$E:$E,March!B41,input!$A:$A,March!$B$2)</f>
        <v>0</v>
      </c>
      <c r="I41" s="318">
        <f>COUNTIFS(input!$O:$O,March!$I$33,input!$E:$E,March!B41,input!$A:$A,March!$B$2)</f>
        <v>0</v>
      </c>
      <c r="J41" s="318">
        <f>COUNTIFS(input!$O:$O,March!$J$33,input!$E:$E,March!B41,input!$A:$A,March!$B$2)</f>
        <v>0</v>
      </c>
      <c r="K41" s="319">
        <f>COUNTIFS(input!$O:$O,March!$K$33,input!$E:$E,March!B41,input!$A:$A,March!$B$2)</f>
        <v>0</v>
      </c>
      <c r="L41" s="312">
        <f t="shared" si="0"/>
        <v>0</v>
      </c>
      <c r="M41" s="320" cm="1">
        <f t="array" ref="M41">_xlfn.IFS(L41=0,0,L41&gt;=1,L41/L60)</f>
        <v>0</v>
      </c>
      <c r="N41" s="1065" t="s">
        <v>64</v>
      </c>
      <c r="O41" s="1065"/>
      <c r="P41" s="1066"/>
      <c r="Q41" s="316">
        <f>COUNTIFS(input!$O:$O,March!$Q$33,input!$F:$F,March!N41,input!$A:$A,March!$B$2)</f>
        <v>0</v>
      </c>
      <c r="R41" s="316">
        <f>COUNTIFS(input!$O:$O,March!$R$33,input!$F:$F,March!N41,input!$A:$A,March!$B$2)</f>
        <v>0</v>
      </c>
      <c r="S41" s="316">
        <f>COUNTIFS(input!$O:$O,March!$S$33,input!$F:$F,March!N41,input!$A:$A,March!$B$2)</f>
        <v>0</v>
      </c>
      <c r="T41" s="322">
        <f>COUNTIFS(input!$O:$O,March!$T$33,input!$F:$F,March!N41,input!$A:$A,March!$B$2)</f>
        <v>0</v>
      </c>
      <c r="U41" s="322">
        <f>COUNTIFS(input!$O:$O,March!$U$33,input!$F:$F,March!N41,input!$A:$A,March!$B$2)</f>
        <v>0</v>
      </c>
      <c r="V41" s="322">
        <f>COUNTIFS(input!$O:$O,March!$V$33,input!$F:$F,March!N41,input!$A:$A,March!$B$2)</f>
        <v>0</v>
      </c>
      <c r="W41" s="323">
        <f>COUNTIFS(input!$O:$O,March!$W$33,input!$F:$F,March!N41,input!$A:$A,March!$B$2)</f>
        <v>0</v>
      </c>
      <c r="X41" s="324">
        <f>COUNTIFS(input!$O:$O,March!$X$33,input!$F:$F,March!N41,input!$A:$A,March!$B$2)</f>
        <v>0</v>
      </c>
      <c r="Y41" s="312">
        <f t="shared" si="1"/>
        <v>0</v>
      </c>
      <c r="Z41" s="315" cm="1">
        <f t="array" ref="Z41">_xlfn.IFS(Y41=0,0,Y41&gt;=1,Y41/$Y$60)</f>
        <v>0</v>
      </c>
    </row>
    <row r="42" spans="2:26" ht="92" x14ac:dyDescent="0.25">
      <c r="B42" s="990" t="s">
        <v>334</v>
      </c>
      <c r="C42" s="991"/>
      <c r="D42" s="316">
        <f>COUNTIFS(input!$O:$O,March!$D$33,input!$E:$E,March!B42,input!$A:$A,March!$B$2)</f>
        <v>0</v>
      </c>
      <c r="E42" s="316">
        <f>COUNTIFS(input!$O:$O,March!$E$33,input!$E:$E,March!B42,input!$A:$A,March!$B$2)</f>
        <v>0</v>
      </c>
      <c r="F42" s="317">
        <f>COUNTIFS(input!$O:$O,March!$F$33,input!$E:$E,March!B42,input!$A:$A,March!$B$2)</f>
        <v>0</v>
      </c>
      <c r="G42" s="318">
        <f>COUNTIFS(input!$O:$O,March!$G$33,input!$E:$E,March!B42,input!$A:$A,March!$B$2)</f>
        <v>1</v>
      </c>
      <c r="H42" s="318">
        <f>COUNTIFS(input!$O:$O,March!$H$33,input!$E:$E,March!B42,input!$A:$A,March!$B$2)</f>
        <v>0</v>
      </c>
      <c r="I42" s="318">
        <f>COUNTIFS(input!$O:$O,March!$I$33,input!$E:$E,March!B42,input!$A:$A,March!$B$2)</f>
        <v>0</v>
      </c>
      <c r="J42" s="318">
        <f>COUNTIFS(input!$O:$O,March!$J$33,input!$E:$E,March!B42,input!$A:$A,March!$B$2)</f>
        <v>0</v>
      </c>
      <c r="K42" s="319">
        <f>COUNTIFS(input!$O:$O,March!$K$33,input!$E:$E,March!B42,input!$A:$A,March!$B$2)</f>
        <v>0</v>
      </c>
      <c r="L42" s="312">
        <f t="shared" si="0"/>
        <v>1</v>
      </c>
      <c r="M42" s="320" cm="1">
        <f t="array" ref="M42">_xlfn.IFS(L42=0,0,L42&gt;=1,L42/L60)</f>
        <v>4.1666666666666664E-2</v>
      </c>
      <c r="N42" s="1016" t="s">
        <v>24</v>
      </c>
      <c r="O42" s="1016"/>
      <c r="P42" s="991"/>
      <c r="Q42" s="316">
        <f>COUNTIFS(input!$O:$O,March!$Q$33,input!$F:$F,March!N42,input!$A:$A,March!$B$2)</f>
        <v>0</v>
      </c>
      <c r="R42" s="316">
        <f>COUNTIFS(input!$O:$O,March!$R$33,input!$F:$F,March!N42,input!$A:$A,March!$B$2)</f>
        <v>0</v>
      </c>
      <c r="S42" s="316">
        <f>COUNTIFS(input!$O:$O,March!$S$33,input!$F:$F,March!N42,input!$A:$A,March!$B$2)</f>
        <v>1</v>
      </c>
      <c r="T42" s="322">
        <f>COUNTIFS(input!$O:$O,March!$T$33,input!$F:$F,March!N42,input!$A:$A,March!$B$2)</f>
        <v>0</v>
      </c>
      <c r="U42" s="322">
        <f>COUNTIFS(input!$O:$O,March!$U$33,input!$F:$F,March!N42,input!$A:$A,March!$B$2)</f>
        <v>0</v>
      </c>
      <c r="V42" s="322">
        <f>COUNTIFS(input!$O:$O,March!$V$33,input!$F:$F,March!N42,input!$A:$A,March!$B$2)</f>
        <v>0</v>
      </c>
      <c r="W42" s="323">
        <f>COUNTIFS(input!$O:$O,March!$W$33,input!$F:$F,March!N42,input!$A:$A,March!$B$2)</f>
        <v>0</v>
      </c>
      <c r="X42" s="324">
        <f>COUNTIFS(input!$O:$O,March!$X$33,input!$F:$F,March!N42,input!$A:$A,March!$B$2)</f>
        <v>0</v>
      </c>
      <c r="Y42" s="312">
        <f t="shared" si="1"/>
        <v>1</v>
      </c>
      <c r="Z42" s="315" cm="1">
        <f t="array" ref="Z42">_xlfn.IFS(Y42=0,0,Y42&gt;=1,Y42/$Y$60)</f>
        <v>4.1666666666666664E-2</v>
      </c>
    </row>
    <row r="43" spans="2:26" ht="92" x14ac:dyDescent="0.25">
      <c r="B43" s="990" t="s">
        <v>93</v>
      </c>
      <c r="C43" s="991"/>
      <c r="D43" s="316">
        <f>COUNTIFS(input!$O:$O,March!$D$33,input!$E:$E,March!B43,input!$A:$A,March!$B$2)</f>
        <v>0</v>
      </c>
      <c r="E43" s="316">
        <f>COUNTIFS(input!$O:$O,March!$E$33,input!$E:$E,March!B43,input!$A:$A,March!$B$2)</f>
        <v>0</v>
      </c>
      <c r="F43" s="317">
        <f>COUNTIFS(input!$O:$O,March!$F$33,input!$E:$E,March!B43,input!$A:$A,March!$B$2)</f>
        <v>0</v>
      </c>
      <c r="G43" s="318">
        <f>COUNTIFS(input!$O:$O,March!$G$33,input!$E:$E,March!B43,input!$A:$A,March!$B$2)</f>
        <v>0</v>
      </c>
      <c r="H43" s="318">
        <f>COUNTIFS(input!$O:$O,March!$H$33,input!$E:$E,March!B43,input!$A:$A,March!$B$2)</f>
        <v>0</v>
      </c>
      <c r="I43" s="318">
        <f>COUNTIFS(input!$O:$O,March!$I$33,input!$E:$E,March!B43,input!$A:$A,March!$B$2)</f>
        <v>0</v>
      </c>
      <c r="J43" s="318">
        <f>COUNTIFS(input!$O:$O,March!$J$33,input!$E:$E,March!B43,input!$A:$A,March!$B$2)</f>
        <v>0</v>
      </c>
      <c r="K43" s="319">
        <f>COUNTIFS(input!$O:$O,March!$K$33,input!$E:$E,March!B43,input!$A:$A,March!$B$2)</f>
        <v>0</v>
      </c>
      <c r="L43" s="312">
        <f t="shared" si="0"/>
        <v>0</v>
      </c>
      <c r="M43" s="320" cm="1">
        <f t="array" ref="M43">_xlfn.IFS(L43=0,0,L43&gt;=1,L43/L60)</f>
        <v>0</v>
      </c>
      <c r="N43" s="1065" t="s">
        <v>65</v>
      </c>
      <c r="O43" s="1065"/>
      <c r="P43" s="1066"/>
      <c r="Q43" s="316">
        <f>COUNTIFS(input!$O:$O,March!$Q$33,input!$F:$F,March!N43,input!$A:$A,March!$B$2)</f>
        <v>0</v>
      </c>
      <c r="R43" s="316">
        <f>COUNTIFS(input!$O:$O,March!$R$33,input!$F:$F,March!N43,input!$A:$A,March!$B$2)</f>
        <v>0</v>
      </c>
      <c r="S43" s="316">
        <f>COUNTIFS(input!$O:$O,March!$S$33,input!$F:$F,March!N43,input!$A:$A,March!$B$2)</f>
        <v>0</v>
      </c>
      <c r="T43" s="322">
        <f>COUNTIFS(input!$O:$O,March!$T$33,input!$F:$F,March!N43,input!$A:$A,March!$B$2)</f>
        <v>0</v>
      </c>
      <c r="U43" s="322">
        <f>COUNTIFS(input!$O:$O,March!$U$33,input!$F:$F,March!N43,input!$A:$A,March!$B$2)</f>
        <v>0</v>
      </c>
      <c r="V43" s="322">
        <f>COUNTIFS(input!$O:$O,March!$V$33,input!$F:$F,March!N43,input!$A:$A,March!$B$2)</f>
        <v>0</v>
      </c>
      <c r="W43" s="323">
        <f>COUNTIFS(input!$O:$O,March!$W$33,input!$F:$F,March!N43,input!$A:$A,March!$B$2)</f>
        <v>0</v>
      </c>
      <c r="X43" s="324">
        <f>COUNTIFS(input!$O:$O,March!$X$33,input!$F:$F,March!N43,input!$A:$A,March!$B$2)</f>
        <v>0</v>
      </c>
      <c r="Y43" s="312">
        <f t="shared" si="1"/>
        <v>0</v>
      </c>
      <c r="Z43" s="315" cm="1">
        <f t="array" ref="Z43">_xlfn.IFS(Y43=0,0,Y43&gt;=1,Y43/$Y$60)</f>
        <v>0</v>
      </c>
    </row>
    <row r="44" spans="2:26" ht="92" x14ac:dyDescent="0.25">
      <c r="B44" s="990" t="s">
        <v>813</v>
      </c>
      <c r="C44" s="991"/>
      <c r="D44" s="316">
        <f>COUNTIFS(input!$O:$O,March!$D$33,input!$E:$E,March!B44,input!$A:$A,March!$B$2)</f>
        <v>0</v>
      </c>
      <c r="E44" s="316">
        <f>COUNTIFS(input!$O:$O,March!$E$33,input!$E:$E,March!B44,input!$A:$A,March!$B$2)</f>
        <v>0</v>
      </c>
      <c r="F44" s="317">
        <f>COUNTIFS(input!$O:$O,March!$F$33,input!$E:$E,March!B44,input!$A:$A,March!$B$2)</f>
        <v>0</v>
      </c>
      <c r="G44" s="318">
        <f>COUNTIFS(input!$O:$O,March!$G$33,input!$E:$E,March!B44,input!$A:$A,March!$B$2)</f>
        <v>1</v>
      </c>
      <c r="H44" s="318">
        <f>COUNTIFS(input!$O:$O,March!$H$33,input!$E:$E,March!B44,input!$A:$A,March!$B$2)</f>
        <v>0</v>
      </c>
      <c r="I44" s="318">
        <f>COUNTIFS(input!$O:$O,March!$I$33,input!$E:$E,March!B44,input!$A:$A,March!$B$2)</f>
        <v>0</v>
      </c>
      <c r="J44" s="318">
        <f>COUNTIFS(input!$O:$O,March!$J$33,input!$E:$E,March!B44,input!$A:$A,March!$B$2)</f>
        <v>0</v>
      </c>
      <c r="K44" s="319">
        <f>COUNTIFS(input!$O:$O,March!$K$33,input!$E:$E,March!B44,input!$A:$A,March!$B$2)</f>
        <v>0</v>
      </c>
      <c r="L44" s="312">
        <f t="shared" si="0"/>
        <v>1</v>
      </c>
      <c r="M44" s="320" cm="1">
        <f t="array" ref="M44">_xlfn.IFS(L44=0,0,L44&gt;=1,L44/L60)</f>
        <v>4.1666666666666664E-2</v>
      </c>
      <c r="N44" s="1065" t="s">
        <v>66</v>
      </c>
      <c r="O44" s="1065"/>
      <c r="P44" s="1066"/>
      <c r="Q44" s="316">
        <f>COUNTIFS(input!$O:$O,March!$Q$33,input!$F:$F,March!N44,input!$A:$A,March!$B$2)</f>
        <v>0</v>
      </c>
      <c r="R44" s="316">
        <f>COUNTIFS(input!$O:$O,March!$R$33,input!$F:$F,March!N44,input!$A:$A,March!$B$2)</f>
        <v>0</v>
      </c>
      <c r="S44" s="316">
        <f>COUNTIFS(input!$O:$O,March!$S$33,input!$F:$F,March!N44,input!$A:$A,March!$B$2)</f>
        <v>0</v>
      </c>
      <c r="T44" s="322">
        <f>COUNTIFS(input!$O:$O,March!$T$33,input!$F:$F,March!N44,input!$A:$A,March!$B$2)</f>
        <v>0</v>
      </c>
      <c r="U44" s="322">
        <f>COUNTIFS(input!$O:$O,March!$U$33,input!$F:$F,March!N44,input!$A:$A,March!$B$2)</f>
        <v>0</v>
      </c>
      <c r="V44" s="322">
        <f>COUNTIFS(input!$O:$O,March!$V$33,input!$F:$F,March!N44,input!$A:$A,March!$B$2)</f>
        <v>0</v>
      </c>
      <c r="W44" s="323">
        <f>COUNTIFS(input!$O:$O,March!$W$33,input!$F:$F,March!N44,input!$A:$A,March!$B$2)</f>
        <v>0</v>
      </c>
      <c r="X44" s="324">
        <f>COUNTIFS(input!$O:$O,March!$X$33,input!$F:$F,March!N44,input!$A:$A,March!$B$2)</f>
        <v>0</v>
      </c>
      <c r="Y44" s="312">
        <f t="shared" si="1"/>
        <v>0</v>
      </c>
      <c r="Z44" s="315" cm="1">
        <f t="array" ref="Z44">_xlfn.IFS(Y44=0,0,Y44&gt;=1,Y44/$Y$60)</f>
        <v>0</v>
      </c>
    </row>
    <row r="45" spans="2:26" ht="92" x14ac:dyDescent="0.25">
      <c r="B45" s="990" t="s">
        <v>881</v>
      </c>
      <c r="C45" s="991"/>
      <c r="D45" s="316">
        <f>COUNTIFS(input!$O:$O,March!$D$33,input!$E:$E,March!B45,input!$A:$A,March!$B$2)</f>
        <v>0</v>
      </c>
      <c r="E45" s="316">
        <f>COUNTIFS(input!$O:$O,March!$E$33,input!$E:$E,March!B45,input!$A:$A,March!$B$2)</f>
        <v>0</v>
      </c>
      <c r="F45" s="317">
        <f>COUNTIFS(input!$O:$O,March!$F$33,input!$E:$E,March!B45,input!$A:$A,March!$B$2)</f>
        <v>1</v>
      </c>
      <c r="G45" s="318">
        <f>COUNTIFS(input!$O:$O,March!$G$33,input!$E:$E,March!B45,input!$A:$A,March!$B$2)</f>
        <v>0</v>
      </c>
      <c r="H45" s="318">
        <f>COUNTIFS(input!$O:$O,March!$H$33,input!$E:$E,March!B45,input!$A:$A,March!$B$2)</f>
        <v>0</v>
      </c>
      <c r="I45" s="318">
        <f>COUNTIFS(input!$O:$O,March!$I$33,input!$E:$E,March!B45,input!$A:$A,March!$B$2)</f>
        <v>0</v>
      </c>
      <c r="J45" s="318">
        <f>COUNTIFS(input!$O:$O,March!$J$33,input!$E:$E,March!B45,input!$A:$A,March!$B$2)</f>
        <v>0</v>
      </c>
      <c r="K45" s="319">
        <f>COUNTIFS(input!$O:$O,March!$K$33,input!$E:$E,March!B45,input!$A:$A,March!$B$2)</f>
        <v>0</v>
      </c>
      <c r="L45" s="312">
        <f>SUM(D45:K45)</f>
        <v>1</v>
      </c>
      <c r="M45" s="320" cm="1">
        <f t="array" ref="M45">_xlfn.IFS(L45=0,0,L45&gt;=1,L45/L60)</f>
        <v>4.1666666666666664E-2</v>
      </c>
      <c r="N45" s="1064" t="s">
        <v>67</v>
      </c>
      <c r="O45" s="1065"/>
      <c r="P45" s="1066"/>
      <c r="Q45" s="316">
        <f>COUNTIFS(input!$O:$O,March!$Q$33,input!$F:$F,March!N45,input!$A:$A,March!$B$2)</f>
        <v>0</v>
      </c>
      <c r="R45" s="316">
        <f>COUNTIFS(input!$O:$O,March!$R$33,input!$F:$F,March!N45,input!$A:$A,March!$B$2)</f>
        <v>0</v>
      </c>
      <c r="S45" s="316">
        <f>COUNTIFS(input!$O:$O,March!$S$33,input!$F:$F,March!N45,input!$A:$A,March!$B$2)</f>
        <v>0</v>
      </c>
      <c r="T45" s="322">
        <f>COUNTIFS(input!$O:$O,March!$T$33,input!$F:$F,March!N45,input!$A:$A,March!$B$2)</f>
        <v>0</v>
      </c>
      <c r="U45" s="322">
        <f>COUNTIFS(input!$O:$O,March!$U$33,input!$F:$F,March!N45,input!$A:$A,March!$B$2)</f>
        <v>0</v>
      </c>
      <c r="V45" s="322">
        <f>COUNTIFS(input!$O:$O,March!$V$33,input!$F:$F,March!N45,input!$A:$A,March!$B$2)</f>
        <v>0</v>
      </c>
      <c r="W45" s="323">
        <f>COUNTIFS(input!$O:$O,March!$W$33,input!$F:$F,March!N45,input!$A:$A,March!$B$2)</f>
        <v>0</v>
      </c>
      <c r="X45" s="324">
        <f>COUNTIFS(input!$O:$O,March!$X$33,input!$F:$F,March!N45,input!$A:$A,March!$B$2)</f>
        <v>0</v>
      </c>
      <c r="Y45" s="312">
        <f t="shared" ref="Y45:Y54" si="2">SUM(Q45:X45)</f>
        <v>0</v>
      </c>
      <c r="Z45" s="315" cm="1">
        <f t="array" ref="Z45">_xlfn.IFS(Y45=0,0,Y45&gt;=1,Y45/$Y$60)</f>
        <v>0</v>
      </c>
    </row>
    <row r="46" spans="2:26" ht="92" x14ac:dyDescent="0.25">
      <c r="B46" s="990" t="s">
        <v>544</v>
      </c>
      <c r="C46" s="991"/>
      <c r="D46" s="316">
        <f>COUNTIFS(input!$O:$O,March!$D$33,input!$E:$E,March!B46,input!$A:$A,March!$B$2)</f>
        <v>0</v>
      </c>
      <c r="E46" s="316">
        <f>COUNTIFS(input!$O:$O,March!$E$33,input!$E:$E,March!B46,input!$A:$A,March!$B$2)</f>
        <v>0</v>
      </c>
      <c r="F46" s="317">
        <f>COUNTIFS(input!$O:$O,March!$F$33,input!$E:$E,March!B46,input!$A:$A,March!$B$2)</f>
        <v>0</v>
      </c>
      <c r="G46" s="318">
        <f>COUNTIFS(input!$O:$O,March!$G$33,input!$E:$E,March!B46,input!$A:$A,March!$B$2)</f>
        <v>0</v>
      </c>
      <c r="H46" s="318">
        <f>COUNTIFS(input!$O:$O,March!$H$33,input!$E:$E,March!B46,input!$A:$A,March!$B$2)</f>
        <v>0</v>
      </c>
      <c r="I46" s="318">
        <f>COUNTIFS(input!$O:$O,March!$I$33,input!$E:$E,March!B46,input!$A:$A,March!$B$2)</f>
        <v>0</v>
      </c>
      <c r="J46" s="318">
        <f>COUNTIFS(input!$O:$O,March!$J$33,input!$E:$E,March!B46,input!$A:$A,March!$B$2)</f>
        <v>0</v>
      </c>
      <c r="K46" s="319">
        <f>COUNTIFS(input!$O:$O,March!$K$33,input!$E:$E,March!B46,input!$A:$A,March!$B$2)</f>
        <v>0</v>
      </c>
      <c r="L46" s="312">
        <f t="shared" si="0"/>
        <v>0</v>
      </c>
      <c r="M46" s="320" cm="1">
        <f t="array" ref="M46">_xlfn.IFS(L46=0,0,L46&gt;=1,L46/L60)</f>
        <v>0</v>
      </c>
      <c r="N46" s="1058" t="s">
        <v>122</v>
      </c>
      <c r="O46" s="1016"/>
      <c r="P46" s="991"/>
      <c r="Q46" s="316">
        <f>COUNTIFS(input!$O:$O,March!$Q$33,input!$F:$F,March!N46,input!$A:$A,March!$B$2)</f>
        <v>0</v>
      </c>
      <c r="R46" s="316">
        <f>COUNTIFS(input!$O:$O,March!$R$33,input!$F:$F,March!N46,input!$A:$A,March!$B$2)</f>
        <v>0</v>
      </c>
      <c r="S46" s="316">
        <f>COUNTIFS(input!$O:$O,March!$S$33,input!$F:$F,March!N46,input!$A:$A,March!$B$2)</f>
        <v>0</v>
      </c>
      <c r="T46" s="322">
        <f>COUNTIFS(input!$O:$O,March!$T$33,input!$F:$F,March!N46,input!$A:$A,March!$B$2)</f>
        <v>0</v>
      </c>
      <c r="U46" s="322">
        <f>COUNTIFS(input!$O:$O,March!$U$33,input!$F:$F,March!N46,input!$A:$A,March!$B$2)</f>
        <v>0</v>
      </c>
      <c r="V46" s="322">
        <f>COUNTIFS(input!$O:$O,March!$V$33,input!$F:$F,March!N46,input!$A:$A,March!$B$2)</f>
        <v>0</v>
      </c>
      <c r="W46" s="323">
        <f>COUNTIFS(input!$O:$O,March!$W$33,input!$F:$F,March!N46,input!$A:$A,March!$B$2)</f>
        <v>0</v>
      </c>
      <c r="X46" s="324">
        <f>COUNTIFS(input!$O:$O,March!$X$33,input!$F:$F,March!N46,input!$A:$A,March!$B$2)</f>
        <v>11</v>
      </c>
      <c r="Y46" s="312">
        <f t="shared" si="2"/>
        <v>11</v>
      </c>
      <c r="Z46" s="315" cm="1">
        <f t="array" ref="Z46">_xlfn.IFS(Y46=0,0,Y46&gt;=1,Y46/$Y$60)</f>
        <v>0.45833333333333331</v>
      </c>
    </row>
    <row r="47" spans="2:26" ht="92" x14ac:dyDescent="0.25">
      <c r="B47" s="990" t="s">
        <v>658</v>
      </c>
      <c r="C47" s="991"/>
      <c r="D47" s="316">
        <f>COUNTIFS(input!$O:$O,March!$D$33,input!$E:$E,March!B47,input!$A:$A,March!$B$2)</f>
        <v>0</v>
      </c>
      <c r="E47" s="316">
        <f>COUNTIFS(input!$O:$O,March!$E$33,input!$E:$E,March!B47,input!$A:$A,March!$B$2)</f>
        <v>0</v>
      </c>
      <c r="F47" s="317">
        <f>COUNTIFS(input!$O:$O,March!$F$33,input!$E:$E,March!B47,input!$A:$A,March!$B$2)</f>
        <v>0</v>
      </c>
      <c r="G47" s="318">
        <f>COUNTIFS(input!$O:$O,March!$G$33,input!$E:$E,March!B47,input!$A:$A,March!$B$2)</f>
        <v>0</v>
      </c>
      <c r="H47" s="318">
        <f>COUNTIFS(input!$O:$O,March!$H$33,input!$E:$E,March!B47,input!$A:$A,March!$B$2)</f>
        <v>0</v>
      </c>
      <c r="I47" s="318">
        <f>COUNTIFS(input!$O:$O,March!$I$33,input!$E:$E,March!B47,input!$A:$A,March!$B$2)</f>
        <v>0</v>
      </c>
      <c r="J47" s="318">
        <f>COUNTIFS(input!$O:$O,March!$J$33,input!$E:$E,March!B47,input!$A:$A,March!$B$2)</f>
        <v>0</v>
      </c>
      <c r="K47" s="319">
        <f>COUNTIFS(input!$O:$O,March!$K$33,input!$E:$E,March!B47,input!$A:$A,March!$B$2)</f>
        <v>0</v>
      </c>
      <c r="L47" s="312">
        <f t="shared" si="0"/>
        <v>0</v>
      </c>
      <c r="M47" s="320" cm="1">
        <f t="array" ref="M47">_xlfn.IFS(L47=0,0,L47&gt;=1,L47/L60)</f>
        <v>0</v>
      </c>
      <c r="N47" s="1058" t="s">
        <v>135</v>
      </c>
      <c r="O47" s="1016"/>
      <c r="P47" s="991"/>
      <c r="Q47" s="326">
        <f>COUNTIFS(input!$O:$O,March!$Q$33,input!$F:$F,March!N47,input!$A:$A,March!$B$2)</f>
        <v>0</v>
      </c>
      <c r="R47" s="326">
        <f>COUNTIFS(input!$O:$O,March!$R$33,input!$F:$F,March!N47,input!$A:$A,March!$B$2)</f>
        <v>0</v>
      </c>
      <c r="S47" s="326">
        <f>COUNTIFS(input!$O:$O,March!$S$33,input!$F:$F,March!N47,input!$A:$A,March!$B$2)</f>
        <v>0</v>
      </c>
      <c r="T47" s="327">
        <f>COUNTIFS(input!$O:$O,March!$T$33,input!$F:$F,March!N47,input!$A:$A,March!$B$2)</f>
        <v>0</v>
      </c>
      <c r="U47" s="327">
        <f>COUNTIFS(input!$O:$O,March!$U$33,input!$F:$F,March!N47,input!$A:$A,March!$B$2)</f>
        <v>0</v>
      </c>
      <c r="V47" s="327">
        <f>COUNTIFS(input!$O:$O,March!$V$33,input!$F:$F,March!N47,input!$A:$A,March!$B$2)</f>
        <v>0</v>
      </c>
      <c r="W47" s="328">
        <f>COUNTIFS(input!$O:$O,March!$W$33,input!$F:$F,March!N47,input!$A:$A,March!$B$2)</f>
        <v>1</v>
      </c>
      <c r="X47" s="324">
        <f>COUNTIFS(input!$O:$O,March!$X$33,input!$F:$F,March!N47,input!$A:$A,March!$B$2)</f>
        <v>0</v>
      </c>
      <c r="Y47" s="312">
        <f t="shared" si="2"/>
        <v>1</v>
      </c>
      <c r="Z47" s="315" cm="1">
        <f t="array" ref="Z47">_xlfn.IFS(Y47=0,0,Y47&gt;=1,Y47/$Y$60)</f>
        <v>4.1666666666666664E-2</v>
      </c>
    </row>
    <row r="48" spans="2:26" ht="92" x14ac:dyDescent="0.25">
      <c r="B48" s="990" t="s">
        <v>622</v>
      </c>
      <c r="C48" s="991"/>
      <c r="D48" s="316">
        <f>COUNTIFS(input!$O:$O,March!$D$33,input!$E:$E,March!B48,input!$A:$A,March!$B$2)</f>
        <v>0</v>
      </c>
      <c r="E48" s="316">
        <f>COUNTIFS(input!$O:$O,March!$E$33,input!$E:$E,March!B48,input!$A:$A,March!$B$2)</f>
        <v>0</v>
      </c>
      <c r="F48" s="317">
        <f>COUNTIFS(input!$O:$O,March!$F$33,input!$E:$E,March!B48,input!$A:$A,March!$B$2)</f>
        <v>0</v>
      </c>
      <c r="G48" s="318">
        <f>COUNTIFS(input!$O:$O,March!$G$33,input!$E:$E,March!B48,input!$A:$A,March!$B$2)</f>
        <v>0</v>
      </c>
      <c r="H48" s="318">
        <f>COUNTIFS(input!$O:$O,March!$H$33,input!$E:$E,March!B48,input!$A:$A,March!$B$2)</f>
        <v>0</v>
      </c>
      <c r="I48" s="318">
        <f>COUNTIFS(input!$O:$O,March!$I$33,input!$E:$E,March!B48,input!$A:$A,March!$B$2)</f>
        <v>0</v>
      </c>
      <c r="J48" s="318">
        <f>COUNTIFS(input!$O:$O,March!$J$33,input!$E:$E,March!B48,input!$A:$A,March!$B$2)</f>
        <v>0</v>
      </c>
      <c r="K48" s="319">
        <f>COUNTIFS(input!$O:$O,March!$K$33,input!$E:$E,March!B48,input!$A:$A,March!$B$2)</f>
        <v>0</v>
      </c>
      <c r="L48" s="312">
        <f t="shared" si="0"/>
        <v>0</v>
      </c>
      <c r="M48" s="320" cm="1">
        <f t="array" ref="M48">_xlfn.IFS(L48=0,0,L48&gt;=1,L48/L60)</f>
        <v>0</v>
      </c>
      <c r="N48" s="1058" t="s">
        <v>95</v>
      </c>
      <c r="O48" s="1016"/>
      <c r="P48" s="991"/>
      <c r="Q48" s="316">
        <f>COUNTIFS(input!$O:$O,March!$Q$33,input!$F:$F,March!N48,input!$A:$A,March!$B$2)</f>
        <v>0</v>
      </c>
      <c r="R48" s="316">
        <f>COUNTIFS(input!$O:$O,March!$R$33,input!$F:$F,March!N48,input!$A:$A,March!$B$2)</f>
        <v>0</v>
      </c>
      <c r="S48" s="316">
        <f>COUNTIFS(input!$O:$O,March!$S$33,input!$F:$F,March!N48,input!$A:$A,March!$B$2)</f>
        <v>0</v>
      </c>
      <c r="T48" s="322">
        <f>COUNTIFS(input!$O:$O,March!$T$33,input!$F:$F,March!N48,input!$A:$A,March!$B$2)</f>
        <v>0</v>
      </c>
      <c r="U48" s="322">
        <f>COUNTIFS(input!$O:$O,March!$U$33,input!$F:$F,March!N48,input!$A:$A,March!$B$2)</f>
        <v>0</v>
      </c>
      <c r="V48" s="322">
        <f>COUNTIFS(input!$O:$O,March!$V$33,input!$F:$F,March!N48,input!$A:$A,March!$B$2)</f>
        <v>1</v>
      </c>
      <c r="W48" s="323">
        <f>COUNTIFS(input!$O:$O,March!$W$33,input!$F:$F,March!N48,input!$A:$A,March!$B$2)</f>
        <v>0</v>
      </c>
      <c r="X48" s="324">
        <f>COUNTIFS(input!$O:$O,March!$X$33,input!$F:$F,March!N48,input!$A:$A,March!$B$2)</f>
        <v>0</v>
      </c>
      <c r="Y48" s="312">
        <f t="shared" si="2"/>
        <v>1</v>
      </c>
      <c r="Z48" s="315" cm="1">
        <f t="array" ref="Z48">_xlfn.IFS(Y48=0,0,Y48&gt;=1,Y48/$Y$60)</f>
        <v>4.1666666666666664E-2</v>
      </c>
    </row>
    <row r="49" spans="2:26" ht="92" x14ac:dyDescent="0.25">
      <c r="B49" s="990" t="s">
        <v>747</v>
      </c>
      <c r="C49" s="991"/>
      <c r="D49" s="316">
        <f>COUNTIFS(input!$O:$O,March!$D$33,input!$E:$E,March!B49,input!$A:$A,March!$B$2)</f>
        <v>0</v>
      </c>
      <c r="E49" s="316">
        <f>COUNTIFS(input!$O:$O,March!$E$33,input!$E:$E,March!B49,input!$A:$A,March!$B$2)</f>
        <v>0</v>
      </c>
      <c r="F49" s="317">
        <f>COUNTIFS(input!$O:$O,March!$F$33,input!$E:$E,March!B49,input!$A:$A,March!$B$2)</f>
        <v>0</v>
      </c>
      <c r="G49" s="318">
        <f>COUNTIFS(input!$O:$O,March!$G$33,input!$E:$E,March!B49,input!$A:$A,March!$B$2)</f>
        <v>0</v>
      </c>
      <c r="H49" s="318">
        <f>COUNTIFS(input!$O:$O,March!$H$33,input!$E:$E,March!B49,input!$A:$A,March!$B$2)</f>
        <v>0</v>
      </c>
      <c r="I49" s="318">
        <f>COUNTIFS(input!$O:$O,March!$I$33,input!$E:$E,March!B49,input!$A:$A,March!$B$2)</f>
        <v>0</v>
      </c>
      <c r="J49" s="318">
        <f>COUNTIFS(input!$O:$O,March!$J$33,input!$E:$E,March!B49,input!$A:$A,March!$B$2)</f>
        <v>1</v>
      </c>
      <c r="K49" s="319">
        <f>COUNTIFS(input!$O:$O,March!$K$33,input!$E:$E,March!B49,input!$A:$A,March!$B$2)</f>
        <v>0</v>
      </c>
      <c r="L49" s="312">
        <f t="shared" si="0"/>
        <v>1</v>
      </c>
      <c r="M49" s="320" cm="1">
        <f t="array" ref="M49">_xlfn.IFS(L49=0,0,L49&gt;=1,L49/L60)</f>
        <v>4.1666666666666664E-2</v>
      </c>
      <c r="N49" s="1064" t="s">
        <v>68</v>
      </c>
      <c r="O49" s="1065"/>
      <c r="P49" s="1066"/>
      <c r="Q49" s="316">
        <f>COUNTIFS(input!$O:$O,March!$Q$33,input!$F:$F,March!N49,input!$A:$A,March!$B$2)</f>
        <v>0</v>
      </c>
      <c r="R49" s="316">
        <f>COUNTIFS(input!$O:$O,March!$R$33,input!$F:$F,March!N49,input!$A:$A,March!$B$2)</f>
        <v>0</v>
      </c>
      <c r="S49" s="316">
        <f>COUNTIFS(input!$O:$O,March!$S$33,input!$F:$F,March!N49,input!$A:$A,March!$B$2)</f>
        <v>0</v>
      </c>
      <c r="T49" s="322">
        <f>COUNTIFS(input!$O:$O,March!$T$33,input!$F:$F,March!N49,input!$A:$A,March!$B$2)</f>
        <v>0</v>
      </c>
      <c r="U49" s="322">
        <f>COUNTIFS(input!$O:$O,March!$U$33,input!$F:$F,March!N49,input!$A:$A,March!$B$2)</f>
        <v>0</v>
      </c>
      <c r="V49" s="322">
        <f>COUNTIFS(input!$O:$O,March!$V$33,input!$F:$F,March!N49,input!$A:$A,March!$B$2)</f>
        <v>0</v>
      </c>
      <c r="W49" s="323">
        <f>COUNTIFS(input!$O:$O,March!$W$33,input!$F:$F,March!N49,input!$A:$A,March!$B$2)</f>
        <v>0</v>
      </c>
      <c r="X49" s="324">
        <f>COUNTIFS(input!$O:$O,March!$X$33,input!$F:$F,March!N49,input!$A:$A,March!$B$2)</f>
        <v>0</v>
      </c>
      <c r="Y49" s="312">
        <f t="shared" si="2"/>
        <v>0</v>
      </c>
      <c r="Z49" s="315" cm="1">
        <f t="array" ref="Z49">_xlfn.IFS(Y49=0,0,Y49&gt;=1,Y49/$Y$60)</f>
        <v>0</v>
      </c>
    </row>
    <row r="50" spans="2:26" ht="92" x14ac:dyDescent="0.25">
      <c r="B50" s="990" t="s">
        <v>681</v>
      </c>
      <c r="C50" s="991"/>
      <c r="D50" s="316">
        <f>COUNTIFS(input!$O:$O,March!$D$33,input!$E:$E,March!B50,input!$A:$A,March!$B$2)</f>
        <v>0</v>
      </c>
      <c r="E50" s="316">
        <f>COUNTIFS(input!$O:$O,March!$E$33,input!$E:$E,March!B50,input!$A:$A,March!$B$2)</f>
        <v>0</v>
      </c>
      <c r="F50" s="317">
        <f>COUNTIFS(input!$O:$O,March!$F$33,input!$E:$E,March!B50,input!$A:$A,March!$B$2)</f>
        <v>0</v>
      </c>
      <c r="G50" s="318">
        <f>COUNTIFS(input!$O:$O,March!$G$33,input!$E:$E,March!B50,input!$A:$A,March!$B$2)</f>
        <v>0</v>
      </c>
      <c r="H50" s="318">
        <f>COUNTIFS(input!$O:$O,March!$H$33,input!$E:$E,March!B50,input!$A:$A,March!$B$2)</f>
        <v>0</v>
      </c>
      <c r="I50" s="318">
        <f>COUNTIFS(input!$O:$O,March!$I$33,input!$E:$E,March!B50,input!$A:$A,March!$B$2)</f>
        <v>0</v>
      </c>
      <c r="J50" s="318">
        <f>COUNTIFS(input!$O:$O,March!$J$33,input!$E:$E,March!B50,input!$A:$A,March!$B$2)</f>
        <v>0</v>
      </c>
      <c r="K50" s="319">
        <f>COUNTIFS(input!$O:$O,March!$K$33,input!$E:$E,March!B50,input!$A:$A,March!$B$2)</f>
        <v>0</v>
      </c>
      <c r="L50" s="312">
        <f t="shared" si="0"/>
        <v>0</v>
      </c>
      <c r="M50" s="320" cm="1">
        <f t="array" ref="M50">_xlfn.IFS(L50=0,0,L50&gt;=1,L50/L60)</f>
        <v>0</v>
      </c>
      <c r="N50" s="1064" t="s">
        <v>69</v>
      </c>
      <c r="O50" s="1065"/>
      <c r="P50" s="1066"/>
      <c r="Q50" s="316">
        <f>COUNTIFS(input!$O:$O,March!$Q$33,input!$F:$F,March!N50,input!$A:$A,March!$B$2)</f>
        <v>0</v>
      </c>
      <c r="R50" s="316">
        <f>COUNTIFS(input!$O:$O,March!$R$33,input!$F:$F,March!N50,input!$A:$A,March!$B$2)</f>
        <v>0</v>
      </c>
      <c r="S50" s="316">
        <f>COUNTIFS(input!$O:$O,March!$S$33,input!$F:$F,March!N50,input!$A:$A,March!$B$2)</f>
        <v>0</v>
      </c>
      <c r="T50" s="322">
        <f>COUNTIFS(input!$O:$O,March!$T$33,input!$F:$F,March!N50,input!$A:$A,March!$B$2)</f>
        <v>0</v>
      </c>
      <c r="U50" s="322">
        <f>COUNTIFS(input!$O:$O,March!$U$33,input!$F:$F,March!N50,input!$A:$A,March!$B$2)</f>
        <v>0</v>
      </c>
      <c r="V50" s="322">
        <f>COUNTIFS(input!$O:$O,March!$V$33,input!$F:$F,March!N50,input!$A:$A,March!$B$2)</f>
        <v>0</v>
      </c>
      <c r="W50" s="323">
        <f>COUNTIFS(input!$O:$O,March!$W$33,input!$F:$F,March!N50,input!$A:$A,March!$B$2)</f>
        <v>0</v>
      </c>
      <c r="X50" s="324">
        <f>COUNTIFS(input!$O:$O,March!$X$33,input!$F:$F,March!N50,input!$A:$A,March!$B$2)</f>
        <v>0</v>
      </c>
      <c r="Y50" s="312">
        <f t="shared" si="2"/>
        <v>0</v>
      </c>
      <c r="Z50" s="315" cm="1">
        <f t="array" ref="Z50">_xlfn.IFS(Y50=0,0,Y50&gt;=1,Y50/$Y$60)</f>
        <v>0</v>
      </c>
    </row>
    <row r="51" spans="2:26" ht="92" x14ac:dyDescent="0.25">
      <c r="B51" s="990" t="s">
        <v>682</v>
      </c>
      <c r="C51" s="991"/>
      <c r="D51" s="316">
        <f>COUNTIFS(input!$O:$O,March!$D$33,input!$E:$E,March!B51,input!$A:$A,March!$B$2)</f>
        <v>0</v>
      </c>
      <c r="E51" s="316">
        <f>COUNTIFS(input!$O:$O,March!$E$33,input!$E:$E,March!B51,input!$A:$A,March!$B$2)</f>
        <v>0</v>
      </c>
      <c r="F51" s="317">
        <f>COUNTIFS(input!$O:$O,March!$F$33,input!$E:$E,March!B51,input!$A:$A,March!$B$2)</f>
        <v>0</v>
      </c>
      <c r="G51" s="318">
        <f>COUNTIFS(input!$O:$O,March!$G$33,input!$E:$E,March!B51,input!$A:$A,March!$B$2)</f>
        <v>0</v>
      </c>
      <c r="H51" s="318">
        <f>COUNTIFS(input!$O:$O,March!$H$33,input!$E:$E,March!B51,input!$A:$A,March!$B$2)</f>
        <v>0</v>
      </c>
      <c r="I51" s="318">
        <f>COUNTIFS(input!$O:$O,March!$I$33,input!$E:$E,March!B51,input!$A:$A,March!$B$2)</f>
        <v>0</v>
      </c>
      <c r="J51" s="318">
        <f>COUNTIFS(input!$O:$O,March!$J$33,input!$E:$E,March!B51,input!$A:$A,March!$B$2)</f>
        <v>0</v>
      </c>
      <c r="K51" s="319">
        <f>COUNTIFS(input!$O:$O,March!$K$33,input!$E:$E,March!B51,input!$A:$A,March!$B$2)</f>
        <v>11</v>
      </c>
      <c r="L51" s="312">
        <f t="shared" si="0"/>
        <v>11</v>
      </c>
      <c r="M51" s="320" cm="1">
        <f t="array" ref="M51">_xlfn.IFS(L51=0,0,L51&gt;=1,L51/L60)</f>
        <v>0.45833333333333331</v>
      </c>
      <c r="N51" s="1064" t="s">
        <v>84</v>
      </c>
      <c r="O51" s="1065"/>
      <c r="P51" s="1066"/>
      <c r="Q51" s="316">
        <f>COUNTIFS(input!$O:$O,March!$Q$33,input!$F:$F,March!N51,input!$A:$A,March!$B$2)</f>
        <v>0</v>
      </c>
      <c r="R51" s="316">
        <f>COUNTIFS(input!$O:$O,March!$R$33,input!$F:$F,March!N51,input!$A:$A,March!$B$2)</f>
        <v>0</v>
      </c>
      <c r="S51" s="316">
        <f>COUNTIFS(input!$O:$O,March!$S$33,input!$F:$F,March!N51,input!$A:$A,March!$B$2)</f>
        <v>0</v>
      </c>
      <c r="T51" s="322">
        <f>COUNTIFS(input!$O:$O,March!$T$33,input!$F:$F,March!N51,input!$A:$A,March!$B$2)</f>
        <v>0</v>
      </c>
      <c r="U51" s="322">
        <f>COUNTIFS(input!$O:$O,March!$U$33,input!$F:$F,March!N51,input!$A:$A,March!$B$2)</f>
        <v>0</v>
      </c>
      <c r="V51" s="322">
        <f>COUNTIFS(input!$O:$O,March!$V$33,input!$F:$F,March!N51,input!$A:$A,March!$B$2)</f>
        <v>0</v>
      </c>
      <c r="W51" s="323">
        <f>COUNTIFS(input!$O:$O,March!$W$33,input!$F:$F,March!N51,input!$A:$A,March!$B$2)</f>
        <v>0</v>
      </c>
      <c r="X51" s="324">
        <f>COUNTIFS(input!$O:$O,March!$X$33,input!$F:$F,March!N51,input!$A:$A,March!$B$2)</f>
        <v>0</v>
      </c>
      <c r="Y51" s="312">
        <f t="shared" si="2"/>
        <v>0</v>
      </c>
      <c r="Z51" s="315" cm="1">
        <f t="array" ref="Z51">_xlfn.IFS(Y51=0,0,Y51&gt;=1,Y51/$Y$60)</f>
        <v>0</v>
      </c>
    </row>
    <row r="52" spans="2:26" ht="92" x14ac:dyDescent="0.25">
      <c r="B52" s="990" t="s">
        <v>711</v>
      </c>
      <c r="C52" s="991"/>
      <c r="D52" s="316">
        <f>COUNTIFS(input!$O:$O,March!$D$33,input!$E:$E,March!B52,input!$A:$A,March!$B$2)</f>
        <v>0</v>
      </c>
      <c r="E52" s="316">
        <f>COUNTIFS(input!$O:$O,March!$E$33,input!$E:$E,March!B52,input!$A:$A,March!$B$2)</f>
        <v>0</v>
      </c>
      <c r="F52" s="317">
        <f>COUNTIFS(input!$O:$O,March!$F$33,input!$E:$E,March!B52,input!$A:$A,March!$B$2)</f>
        <v>0</v>
      </c>
      <c r="G52" s="318">
        <f>COUNTIFS(input!$O:$O,March!$G$33,input!$E:$E,March!B52,input!$A:$A,March!$B$2)</f>
        <v>0</v>
      </c>
      <c r="H52" s="318">
        <f>COUNTIFS(input!$O:$O,March!$H$33,input!$E:$E,March!B52,input!$A:$A,March!$B$2)</f>
        <v>0</v>
      </c>
      <c r="I52" s="318">
        <f>COUNTIFS(input!$O:$O,March!$I$33,input!$E:$E,March!B52,input!$A:$A,March!$B$2)</f>
        <v>0</v>
      </c>
      <c r="J52" s="318">
        <f>COUNTIFS(input!$O:$O,March!$J$33,input!$E:$E,March!B52,input!$A:$A,March!$B$2)</f>
        <v>0</v>
      </c>
      <c r="K52" s="319">
        <f>COUNTIFS(input!$O:$O,March!$K$33,input!$E:$E,March!B52,input!$A:$A,March!$B$2)</f>
        <v>0</v>
      </c>
      <c r="L52" s="312">
        <f t="shared" si="0"/>
        <v>0</v>
      </c>
      <c r="M52" s="320" cm="1">
        <f t="array" ref="M52">_xlfn.IFS(L52=0,0,L52&gt;=1,L52/L60)</f>
        <v>0</v>
      </c>
      <c r="N52" s="1064" t="s">
        <v>56</v>
      </c>
      <c r="O52" s="1065"/>
      <c r="P52" s="1066"/>
      <c r="Q52" s="316">
        <f>COUNTIFS(input!$O:$O,March!$Q$33,input!$F:$F,March!N52,input!$A:$A,March!$B$2)</f>
        <v>0</v>
      </c>
      <c r="R52" s="316">
        <f>COUNTIFS(input!$O:$O,March!$R$33,input!$F:$F,March!N52,input!$A:$A,March!$B$2)</f>
        <v>0</v>
      </c>
      <c r="S52" s="316">
        <f>COUNTIFS(input!$O:$O,March!$S$33,input!$F:$F,March!N52,input!$A:$A,March!$B$2)</f>
        <v>0</v>
      </c>
      <c r="T52" s="322">
        <f>COUNTIFS(input!$O:$O,March!$T$33,input!$F:$F,March!N52,input!$A:$A,March!$B$2)</f>
        <v>0</v>
      </c>
      <c r="U52" s="322">
        <f>COUNTIFS(input!$O:$O,March!$U$33,input!$F:$F,March!N52,input!$A:$A,March!$B$2)</f>
        <v>0</v>
      </c>
      <c r="V52" s="322">
        <f>COUNTIFS(input!$O:$O,March!$V$33,input!$F:$F,March!N52,input!$A:$A,March!$B$2)</f>
        <v>0</v>
      </c>
      <c r="W52" s="323">
        <f>COUNTIFS(input!$O:$O,March!$W$33,input!$F:$F,March!N52,input!$A:$A,March!$B$2)</f>
        <v>0</v>
      </c>
      <c r="X52" s="324">
        <f>COUNTIFS(input!$O:$O,March!$X$33,input!$F:$F,March!N52,input!$A:$A,March!$B$2)</f>
        <v>0</v>
      </c>
      <c r="Y52" s="312">
        <f t="shared" si="2"/>
        <v>0</v>
      </c>
      <c r="Z52" s="315" cm="1">
        <f t="array" ref="Z52">_xlfn.IFS(Y52=0,0,Y52&gt;=1,Y52/$Y$60)</f>
        <v>0</v>
      </c>
    </row>
    <row r="53" spans="2:26" ht="92" x14ac:dyDescent="0.25">
      <c r="B53" s="990" t="s">
        <v>493</v>
      </c>
      <c r="C53" s="991"/>
      <c r="D53" s="316">
        <f>COUNTIFS(input!$O:$O,March!$D$33,input!$E:$E,March!B53,input!$A:$A,March!$B$2)</f>
        <v>0</v>
      </c>
      <c r="E53" s="326">
        <f>COUNTIFS(input!$O:$O,March!$E$33,input!$E:$E,March!B53,input!$A:$A,March!$B$2)</f>
        <v>0</v>
      </c>
      <c r="F53" s="329">
        <f>COUNTIFS(input!$O:$O,March!$F$33,input!$E:$E,March!B53,input!$A:$A,March!$B$2)</f>
        <v>0</v>
      </c>
      <c r="G53" s="330">
        <f>COUNTIFS(input!$O:$O,March!$G$33,input!$E:$E,March!B53,input!$A:$A,March!$B$2)</f>
        <v>0</v>
      </c>
      <c r="H53" s="318">
        <f>COUNTIFS(input!$O:$O,March!$H$33,input!$E:$E,March!B53,input!$A:$A,March!$B$2)</f>
        <v>0</v>
      </c>
      <c r="I53" s="330">
        <f>COUNTIFS(input!$O:$O,March!$I$33,input!$E:$E,March!B53,input!$A:$A,March!$B$2)</f>
        <v>0</v>
      </c>
      <c r="J53" s="330">
        <f>COUNTIFS(input!$O:$O,March!$J$33,input!$E:$E,March!B53,input!$A:$A,March!$B$2)</f>
        <v>0</v>
      </c>
      <c r="K53" s="330">
        <f>COUNTIFS(input!$O:$O,March!$K$33,input!$E:$E,March!B53,input!$A:$A,March!$B$2)</f>
        <v>0</v>
      </c>
      <c r="L53" s="312">
        <f t="shared" si="0"/>
        <v>0</v>
      </c>
      <c r="M53" s="320" cm="1">
        <f t="array" ref="M53">_xlfn.IFS(L53=0,0,L53&gt;=1,L53/L60)</f>
        <v>0</v>
      </c>
      <c r="N53" s="1058" t="s">
        <v>203</v>
      </c>
      <c r="O53" s="1016"/>
      <c r="P53" s="991"/>
      <c r="Q53" s="326">
        <f>COUNTIFS(input!$O:$O,March!$Q$33,input!$F:$F,March!N53,input!$A:$A,March!$B$2)</f>
        <v>0</v>
      </c>
      <c r="R53" s="326">
        <f>COUNTIFS(input!$O:$O,March!$R$33,input!$F:$F,March!N53,input!$A:$A,March!$B$2)</f>
        <v>0</v>
      </c>
      <c r="S53" s="326">
        <f>COUNTIFS(input!$O:$O,March!$S$33,input!$F:$F,March!N53,input!$A:$A,March!$B$2)</f>
        <v>0</v>
      </c>
      <c r="T53" s="327">
        <f>COUNTIFS(input!$O:$O,March!$T$33,input!$F:$F,March!N53,input!$A:$A,March!$B$2)</f>
        <v>0</v>
      </c>
      <c r="U53" s="327">
        <f>COUNTIFS(input!$O:$O,March!$U$33,input!$F:$F,March!N53,input!$A:$A,March!$B$2)</f>
        <v>0</v>
      </c>
      <c r="V53" s="327">
        <f>COUNTIFS(input!$O:$O,March!$V$33,input!$F:$F,March!N53,input!$A:$A,March!$B$2)</f>
        <v>3</v>
      </c>
      <c r="W53" s="328">
        <f>COUNTIFS(input!$O:$O,March!$W$33,input!$F:$F,March!N53,input!$A:$A,March!$B$2)</f>
        <v>0</v>
      </c>
      <c r="X53" s="324">
        <f>COUNTIFS(input!$O:$O,March!$X$33,input!$F:$F,March!N53,input!$A:$A,March!$B$2)</f>
        <v>0</v>
      </c>
      <c r="Y53" s="312">
        <f t="shared" si="2"/>
        <v>3</v>
      </c>
      <c r="Z53" s="315" cm="1">
        <f t="array" ref="Z53">_xlfn.IFS(Y53=0,0,Y53&gt;=1,Y53/$Y$60)</f>
        <v>0.125</v>
      </c>
    </row>
    <row r="54" spans="2:26" ht="92" x14ac:dyDescent="0.25">
      <c r="B54" s="990" t="s">
        <v>770</v>
      </c>
      <c r="C54" s="991"/>
      <c r="D54" s="316">
        <f>COUNTIFS(input!$O:$O,March!$D$33,input!$E:$E,March!B54,input!$A:$A,March!$B$2)</f>
        <v>0</v>
      </c>
      <c r="E54" s="326">
        <f>COUNTIFS(input!$O:$O,March!$E$33,input!$E:$E,March!B54,input!$A:$A,March!$B$2)</f>
        <v>0</v>
      </c>
      <c r="F54" s="329">
        <f>COUNTIFS(input!$O:$O,March!$F$33,input!$E:$E,March!B54,input!$A:$A,March!$B$2)</f>
        <v>0</v>
      </c>
      <c r="G54" s="330">
        <f>COUNTIFS(input!$O:$O,March!$G$33,input!$E:$E,March!B54,input!$A:$A,March!$B$2)</f>
        <v>0</v>
      </c>
      <c r="H54" s="330">
        <f>COUNTIFS(input!$O:$O,March!$H$33,input!$E:$E,March!B53,input!$A:$A,March!$B$2)</f>
        <v>0</v>
      </c>
      <c r="I54" s="330">
        <f>COUNTIFS(input!$O:$O,March!$I$33,input!$E:$E,March!B54,input!$A:$A,March!$B$2)</f>
        <v>0</v>
      </c>
      <c r="J54" s="330">
        <f>COUNTIFS(input!$O:$O,March!$J$33,input!$E:$E,March!B54,input!$A:$A,March!$B$2)</f>
        <v>0</v>
      </c>
      <c r="K54" s="330">
        <f>COUNTIFS(input!$O:$O,March!$K$33,input!$E:$E,March!B54,input!$A:$A,March!$B$2)</f>
        <v>1</v>
      </c>
      <c r="L54" s="312">
        <f t="shared" si="0"/>
        <v>1</v>
      </c>
      <c r="M54" s="320" cm="1">
        <f t="array" ref="M54">_xlfn.IFS(L54=0,0,L54&gt;=1,L54/L60)</f>
        <v>4.1666666666666664E-2</v>
      </c>
      <c r="N54" s="1058" t="s">
        <v>42</v>
      </c>
      <c r="O54" s="1016"/>
      <c r="P54" s="991"/>
      <c r="Q54" s="326">
        <f>COUNTIFS(input!$O:$O,March!$Q$33,input!$F:$F,March!N54,input!$A:$A,March!$B$2)</f>
        <v>0</v>
      </c>
      <c r="R54" s="326">
        <f>COUNTIFS(input!$O:$O,March!$R$33,input!$F:$F,March!N54,input!$A:$A,March!$B$2)</f>
        <v>0</v>
      </c>
      <c r="S54" s="326">
        <f>COUNTIFS(input!$O:$O,March!$S$33,input!$F:$F,March!N54,input!$A:$A,March!$B$2)</f>
        <v>0</v>
      </c>
      <c r="T54" s="327">
        <f>COUNTIFS(input!$O:$O,March!$T$33,input!$F:$F,March!N54,input!$A:$A,March!$B$2)</f>
        <v>0</v>
      </c>
      <c r="U54" s="327">
        <f>COUNTIFS(input!$O:$O,March!$U$33,input!$F:$F,March!N54,input!$A:$A,March!$B$2)</f>
        <v>0</v>
      </c>
      <c r="V54" s="327">
        <f>COUNTIFS(input!$O:$O,March!$V$33,input!$F:$F,March!N54,input!$A:$A,March!$B$2)</f>
        <v>0</v>
      </c>
      <c r="W54" s="328">
        <f>COUNTIFS(input!$O:$O,March!$W$33,input!$F:$F,March!N54,input!$A:$A,March!$B$2)</f>
        <v>0</v>
      </c>
      <c r="X54" s="324">
        <f>COUNTIFS(input!$O:$O,March!$X$33,input!$F:$F,March!N54,input!$A:$A,March!$B$2)</f>
        <v>1</v>
      </c>
      <c r="Y54" s="312">
        <f t="shared" si="2"/>
        <v>1</v>
      </c>
      <c r="Z54" s="315" cm="1">
        <f t="array" ref="Z54">_xlfn.IFS(Y54=0,0,Y54&gt;=1,Y54/$Y$60)</f>
        <v>4.1666666666666664E-2</v>
      </c>
    </row>
    <row r="55" spans="2:26" ht="92" x14ac:dyDescent="0.25">
      <c r="B55" s="990" t="s">
        <v>776</v>
      </c>
      <c r="C55" s="991"/>
      <c r="D55" s="316">
        <f>COUNTIFS(input!$O:$O,March!$D$33,input!$E:$E,March!B55,input!$A:$A,March!$B$2)</f>
        <v>0</v>
      </c>
      <c r="E55" s="326">
        <f>COUNTIFS(input!$O:$O,March!$E$33,input!$E:$E,March!B55,input!$A:$A,March!$B$2)</f>
        <v>0</v>
      </c>
      <c r="F55" s="329">
        <f>COUNTIFS(input!$O:$O,March!$F$33,input!$E:$E,March!B55,input!$A:$A,March!$B$2)</f>
        <v>0</v>
      </c>
      <c r="G55" s="330">
        <f>COUNTIFS(input!$O:$O,March!$G$33,input!$E:$E,March!B55,input!$A:$A,March!$B$2)</f>
        <v>0</v>
      </c>
      <c r="H55" s="330">
        <f>COUNTIFS(input!$O:$O,March!$H$33,input!$E:$E,March!B55,input!$A:$A,March!$B$2)</f>
        <v>0</v>
      </c>
      <c r="I55" s="330">
        <f>COUNTIFS(input!$O:$O,March!$I$33,input!$E:$E,March!B55,input!$A:$A,March!$B$2)</f>
        <v>2</v>
      </c>
      <c r="J55" s="330">
        <f>COUNTIFS(input!$O:$O,March!$J$33,input!$E:$E,March!B55,input!$A:$A,March!$B$2)</f>
        <v>0</v>
      </c>
      <c r="K55" s="330">
        <f>COUNTIFS(input!$O:$O,March!$K$33,input!$E:$E,March!B55,input!$A:$A,March!$B$2)</f>
        <v>0</v>
      </c>
      <c r="L55" s="312">
        <f t="shared" si="0"/>
        <v>2</v>
      </c>
      <c r="M55" s="320" cm="1">
        <f t="array" ref="M55">_xlfn.IFS(L55=0,0,L55&gt;=1,L55/L60)</f>
        <v>8.3333333333333329E-2</v>
      </c>
      <c r="N55" s="1058" t="s">
        <v>703</v>
      </c>
      <c r="O55" s="1016"/>
      <c r="P55" s="991"/>
      <c r="Q55" s="326">
        <f>COUNTIFS(input!$O:$O,March!$Q$33,input!$F:$F,March!N55,input!$A:$A,March!$B$2)</f>
        <v>0</v>
      </c>
      <c r="R55" s="326">
        <f>COUNTIFS(input!$O:$O,March!$R$33,input!$F:$F,March!N55,input!$A:$A,March!$B$2)</f>
        <v>0</v>
      </c>
      <c r="S55" s="326">
        <f>COUNTIFS(input!$O:$O,March!$S$33,input!$F:$F,March!N55,input!$A:$A,March!$B$2)</f>
        <v>0</v>
      </c>
      <c r="T55" s="327">
        <f>COUNTIFS(input!$O:$O,March!$T$33,input!$F:$F,March!N55,input!$A:$A,March!$B$2)</f>
        <v>0</v>
      </c>
      <c r="U55" s="327">
        <f>COUNTIFS(input!$O:$O,March!$U$33,input!$F:$F,March!N55,input!$A:$A,March!$B$2)</f>
        <v>0</v>
      </c>
      <c r="V55" s="327">
        <f>COUNTIFS(input!$O:$O,March!$V$33,input!$F:$F,March!N55,input!$A:$A,March!$B$2)</f>
        <v>0</v>
      </c>
      <c r="W55" s="328">
        <f>COUNTIFS(input!$O:$O,March!$W$33,input!$F:$F,March!N55,input!$A:$A,March!$B$2)</f>
        <v>0</v>
      </c>
      <c r="X55" s="324">
        <f>COUNTIFS(input!$O:$O,March!$X$33,input!$F:$F,March!N55,input!$A:$A,March!$B$2)</f>
        <v>0</v>
      </c>
      <c r="Y55" s="312">
        <f>SUM(Q55:X55)</f>
        <v>0</v>
      </c>
      <c r="Z55" s="315" cm="1">
        <f t="array" ref="Z55">_xlfn.IFS(Y55=0,0,Y55&gt;=1,Y55/$Y$60)</f>
        <v>0</v>
      </c>
    </row>
    <row r="56" spans="2:26" ht="92" x14ac:dyDescent="0.25">
      <c r="B56" s="990" t="s">
        <v>777</v>
      </c>
      <c r="C56" s="991"/>
      <c r="D56" s="316">
        <f>COUNTIFS(input!$O:$O,March!$D$33,input!$E:$E,March!B56,input!$A:$A,March!$B$2)</f>
        <v>0</v>
      </c>
      <c r="E56" s="326">
        <f>COUNTIFS(input!$O:$O,March!$E$33,input!$E:$E,March!B56,input!$A:$A,March!$B$2)</f>
        <v>0</v>
      </c>
      <c r="F56" s="329">
        <f>COUNTIFS(input!$O:$O,March!$F$33,input!$E:$E,March!B56,input!$A:$A,March!$B$2)</f>
        <v>0</v>
      </c>
      <c r="G56" s="330">
        <f>COUNTIFS(input!$O:$O,March!$G$33,input!$E:$E,March!B56,input!$A:$A,March!$B$2)</f>
        <v>0</v>
      </c>
      <c r="H56" s="330">
        <f>COUNTIFS(input!$O:$O,March!$H$33,input!$E:$E,March!B56,input!$A:$A,March!$B$2)</f>
        <v>0</v>
      </c>
      <c r="I56" s="330">
        <f>COUNTIFS(input!$O:$O,March!$I$33,input!$E:$E,March!B56,input!$A:$A,March!$B$2)</f>
        <v>1</v>
      </c>
      <c r="J56" s="330">
        <f>COUNTIFS(input!$O:$O,March!$J$33,input!$E:$E,March!B56,input!$A:$A,March!$B$2)</f>
        <v>0</v>
      </c>
      <c r="K56" s="330">
        <f>COUNTIFS(input!$O:$O,March!$K$33,input!$E:$E,March!B56,input!$A:$A,March!$B$2)</f>
        <v>0</v>
      </c>
      <c r="L56" s="312">
        <f>SUM(D56:K56)</f>
        <v>1</v>
      </c>
      <c r="M56" s="320" cm="1">
        <f t="array" ref="M56">_xlfn.IFS(L56=0,0,L56&gt;=1,L56/$L60)</f>
        <v>4.1666666666666664E-2</v>
      </c>
      <c r="N56" s="1058"/>
      <c r="O56" s="1016"/>
      <c r="P56" s="991"/>
      <c r="Q56" s="326">
        <f>COUNTIFS(input!$O:$O,March!$Q$33,input!$F:$F,March!N56,input!$A:$A,March!$B$2)</f>
        <v>0</v>
      </c>
      <c r="R56" s="326">
        <f>COUNTIFS(input!$O:$O,March!$R$33,input!$F:$F,March!N56,input!$A:$A,March!$B$2)</f>
        <v>0</v>
      </c>
      <c r="S56" s="326">
        <f>COUNTIFS(input!$O:$O,March!$S$33,input!$F:$F,March!N56,input!$A:$A,March!$B$2)</f>
        <v>0</v>
      </c>
      <c r="T56" s="327">
        <f>COUNTIFS(input!$O:$O,March!$T$33,input!$F:$F,March!N56,input!$A:$A,March!$B$2)</f>
        <v>0</v>
      </c>
      <c r="U56" s="327">
        <f>COUNTIFS(input!$O:$O,March!$U$33,input!$F:$F,March!N56,input!$A:$A,March!$B$2)</f>
        <v>0</v>
      </c>
      <c r="V56" s="327">
        <f>COUNTIFS(input!$O:$O,March!$V$33,input!$F:$F,March!N56,input!$A:$A,March!$B$2)</f>
        <v>0</v>
      </c>
      <c r="W56" s="328">
        <f>COUNTIFS(input!$O:$O,March!$W$33,input!$F:$F,March!N56,input!$A:$A,March!$B$2)</f>
        <v>0</v>
      </c>
      <c r="X56" s="324">
        <f>COUNTIFS(input!$O:$O,March!$X$33,input!$F:$F,March!N56,input!$A:$A,March!$B$2)</f>
        <v>0</v>
      </c>
      <c r="Y56" s="312">
        <f>SUM(Q56:X56)</f>
        <v>0</v>
      </c>
      <c r="Z56" s="315" cm="1">
        <f t="array" ref="Z56">_xlfn.IFS(Y56=0,0,Y56&gt;=1,Y56/$Y$60)</f>
        <v>0</v>
      </c>
    </row>
    <row r="57" spans="2:26" ht="92" x14ac:dyDescent="0.25">
      <c r="B57" s="998" t="s">
        <v>850</v>
      </c>
      <c r="C57" s="994"/>
      <c r="D57" s="316">
        <f>COUNTIFS(input!$O:$O,March!$D$33,input!$E:$E,March!B57,input!$A:$A,March!$B$2)</f>
        <v>0</v>
      </c>
      <c r="E57" s="326">
        <f>COUNTIFS(input!$O:$O,March!$E$33,input!$E:$E,March!B57,input!$A:$A,March!$B$2)</f>
        <v>0</v>
      </c>
      <c r="F57" s="329">
        <f>COUNTIFS(input!$O:$O,March!$F$33,input!$E:$E,March!B57,input!$A:$A,March!$B$2)</f>
        <v>0</v>
      </c>
      <c r="G57" s="330">
        <f>COUNTIFS(input!$O:$O,March!$G$33,input!$E:$E,March!B57,input!$A:$A,March!$B$2)</f>
        <v>0</v>
      </c>
      <c r="H57" s="330">
        <f>COUNTIFS(input!$O:$O,March!$H$33,input!$E:$E,March!B57,input!$A:$A,March!$B$2)</f>
        <v>1</v>
      </c>
      <c r="I57" s="330">
        <f>COUNTIFS(input!$O:$O,March!$I$33,input!$E:$E,March!B57,input!$A:$A,March!$B$2)</f>
        <v>0</v>
      </c>
      <c r="J57" s="330">
        <f>COUNTIFS(input!$O:$O,March!$J$33,input!$E:$E,March!B57,input!$A:$A,March!$B$2)</f>
        <v>0</v>
      </c>
      <c r="K57" s="330">
        <f>COUNTIFS(input!$O:$O,March!$K$33,input!$E:$E,March!B57,input!$A:$A,March!$B$2)</f>
        <v>0</v>
      </c>
      <c r="L57" s="312">
        <f>SUM(D57:K57)</f>
        <v>1</v>
      </c>
      <c r="M57" s="320" cm="1">
        <f t="array" ref="M57">_xlfn.IFS(L57=0,0,L57&gt;=1,L57/$L60)</f>
        <v>4.1666666666666664E-2</v>
      </c>
      <c r="N57" s="1058"/>
      <c r="O57" s="1016"/>
      <c r="P57" s="991"/>
      <c r="Q57" s="326">
        <f>COUNTIFS(input!$O:$O,March!$Q$33,input!$F:$F,March!N57,input!$A:$A,March!$B$2)</f>
        <v>0</v>
      </c>
      <c r="R57" s="326">
        <f>COUNTIFS(input!$O:$O,March!$R$33,input!$F:$F,March!N57,input!$A:$A,March!$B$2)</f>
        <v>0</v>
      </c>
      <c r="S57" s="326">
        <f>COUNTIFS(input!$O:$O,March!$S$33,input!$F:$F,March!N57,input!$A:$A,March!$B$2)</f>
        <v>0</v>
      </c>
      <c r="T57" s="327">
        <f>COUNTIFS(input!$O:$O,March!$T$33,input!$F:$F,March!N57,input!$A:$A,March!$B$2)</f>
        <v>0</v>
      </c>
      <c r="U57" s="327">
        <f>COUNTIFS(input!$O:$O,March!$U$33,input!$F:$F,March!N57,input!$A:$A,March!$B$2)</f>
        <v>0</v>
      </c>
      <c r="V57" s="327">
        <f>COUNTIFS(input!$O:$O,March!$V$33,input!$F:$F,March!N57,input!$A:$A,March!$B$2)</f>
        <v>0</v>
      </c>
      <c r="W57" s="328">
        <f>COUNTIFS(input!$O:$O,March!$W$33,input!$F:$F,March!N57,input!$A:$A,March!$B$2)</f>
        <v>0</v>
      </c>
      <c r="X57" s="324">
        <f>COUNTIFS(input!$O:$O,March!$X$33,input!$F:$F,March!N57,input!$A:$A,March!$B$2)</f>
        <v>0</v>
      </c>
      <c r="Y57" s="312">
        <f>SUM(Q57:X57)</f>
        <v>0</v>
      </c>
      <c r="Z57" s="315" cm="1">
        <f t="array" ref="Z57">_xlfn.IFS(Y57=0,0,Y57&gt;=1,Y57/$Y$60)</f>
        <v>0</v>
      </c>
    </row>
    <row r="58" spans="2:26" ht="92" x14ac:dyDescent="0.25">
      <c r="B58" s="998" t="s">
        <v>130</v>
      </c>
      <c r="C58" s="994"/>
      <c r="D58" s="316">
        <f>COUNTIFS(input!$O:$O,March!$D$33,input!$E:$E,March!B58,input!$A:$A,March!$B$2)</f>
        <v>0</v>
      </c>
      <c r="E58" s="326">
        <f>COUNTIFS(input!$O:$O,March!$E$33,input!$E:$E,March!B58,input!$A:$A,March!$B$2)</f>
        <v>0</v>
      </c>
      <c r="F58" s="329">
        <f>COUNTIFS(input!$O:$O,March!$F$33,input!$E:$E,March!B58,input!$A:$A,March!$B$2)</f>
        <v>0</v>
      </c>
      <c r="G58" s="330">
        <f>COUNTIFS(input!$O:$O,March!$G$33,input!$E:$E,March!B58,input!$A:$A,March!$B$2)</f>
        <v>0</v>
      </c>
      <c r="H58" s="330">
        <f>COUNTIFS(input!$O:$O,March!$H$33,input!$E:$E,March!B58,input!$A:$A,March!$B$2)</f>
        <v>1</v>
      </c>
      <c r="I58" s="330">
        <f>COUNTIFS(input!$O:$O,March!$I$33,input!$E:$E,March!B58,input!$A:$A,March!$B$2)</f>
        <v>0</v>
      </c>
      <c r="J58" s="330">
        <f>COUNTIFS(input!$O:$O,March!$J$33,input!$E:$E,March!B58,input!$A:$A,March!$B$2)</f>
        <v>0</v>
      </c>
      <c r="K58" s="330">
        <f>COUNTIFS(input!$O:$O,March!$K$33,input!$E:$E,March!B58,input!$A:$A,March!$B$2)</f>
        <v>0</v>
      </c>
      <c r="L58" s="312">
        <f>SUM(D58:K58)</f>
        <v>1</v>
      </c>
      <c r="M58" s="320" cm="1">
        <f t="array" ref="M58">_xlfn.IFS(L58=0,0,L58&gt;=1,L58/$L60)</f>
        <v>4.1666666666666664E-2</v>
      </c>
      <c r="N58" s="1058"/>
      <c r="O58" s="1016"/>
      <c r="P58" s="991"/>
      <c r="Q58" s="326">
        <f>COUNTIFS(input!$O:$O,March!$Q$33,input!$F:$F,March!N58,input!$A:$A,March!$B$2)</f>
        <v>0</v>
      </c>
      <c r="R58" s="326">
        <f>COUNTIFS(input!$O:$O,March!$R$33,input!$F:$F,March!N58,input!$A:$A,March!$B$2)</f>
        <v>0</v>
      </c>
      <c r="S58" s="326">
        <f>COUNTIFS(input!$O:$O,March!$S$33,input!$F:$F,March!N58,input!$A:$A,March!$B$2)</f>
        <v>0</v>
      </c>
      <c r="T58" s="327">
        <f>COUNTIFS(input!$O:$O,March!$T$33,input!$F:$F,March!N58,input!$A:$A,March!$B$2)</f>
        <v>0</v>
      </c>
      <c r="U58" s="327">
        <f>COUNTIFS(input!$O:$O,March!$U$33,input!$F:$F,March!N58,input!$A:$A,March!$B$2)</f>
        <v>0</v>
      </c>
      <c r="V58" s="327">
        <f>COUNTIFS(input!$O:$O,March!$V$33,input!$F:$F,March!N58,input!$A:$A,March!$B$2)</f>
        <v>0</v>
      </c>
      <c r="W58" s="328">
        <f>COUNTIFS(input!$O:$O,March!$W$33,input!$F:$F,March!N58,input!$A:$A,March!$B$2)</f>
        <v>0</v>
      </c>
      <c r="X58" s="324">
        <f>COUNTIFS(input!$O:$O,March!$X$33,input!$F:$F,March!N58,input!$A:$A,March!$B$2)</f>
        <v>0</v>
      </c>
      <c r="Y58" s="312">
        <f>SUM(Q58:X58)</f>
        <v>0</v>
      </c>
      <c r="Z58" s="315" cm="1">
        <f t="array" ref="Z58">_xlfn.IFS(Y58=0,0,Y58&gt;=1,Y58/$Y$60)</f>
        <v>0</v>
      </c>
    </row>
    <row r="59" spans="2:26" ht="92" x14ac:dyDescent="0.25">
      <c r="B59" s="1059" t="s">
        <v>57</v>
      </c>
      <c r="C59" s="1018"/>
      <c r="D59" s="316">
        <f>COUNTIFS(input!$O:$O,March!$D$33,input!$E:$E,March!B59,input!$A:$A,March!$B$2)</f>
        <v>0</v>
      </c>
      <c r="E59" s="326">
        <f>COUNTIFS(input!$O:$O,March!$E$33,input!$E:$E,March!B59,input!$A:$A,March!$B$2)</f>
        <v>0</v>
      </c>
      <c r="F59" s="329">
        <f>COUNTIFS(input!$O:$O,March!$F$33,input!$E:$E,March!B59,input!$A:$A,March!$B$2)</f>
        <v>0</v>
      </c>
      <c r="G59" s="330">
        <f>COUNTIFS(input!$O:$O,March!$G$33,input!$E:$E,March!B59,input!$A:$A,March!$B$2)</f>
        <v>0</v>
      </c>
      <c r="H59" s="330">
        <f>COUNTIFS(input!$O:$O,March!$H$33,input!$E:$E,March!B59,input!$A:$A,March!$B$2)</f>
        <v>0</v>
      </c>
      <c r="I59" s="330">
        <f>COUNTIFS(input!$O:$O,March!$I$33,input!$E:$E,March!B59,input!$A:$A,March!$B$2)</f>
        <v>0</v>
      </c>
      <c r="J59" s="330">
        <f>COUNTIFS(input!$O:$O,March!$J$33,input!$E:$E,March!B59,input!$A:$A,March!$B$2)</f>
        <v>0</v>
      </c>
      <c r="K59" s="330">
        <f>COUNTIFS(input!$O:$O,March!$K$33,input!$E:$E,March!B59,input!$A:$A,March!$B$2)</f>
        <v>0</v>
      </c>
      <c r="L59" s="312">
        <f>SUM(D59:K59)</f>
        <v>0</v>
      </c>
      <c r="M59" s="320" cm="1">
        <f t="array" ref="M59">_xlfn.IFS(L59=0,0,L59&gt;=1,L59/L61)</f>
        <v>0</v>
      </c>
      <c r="N59" s="1058"/>
      <c r="O59" s="1016"/>
      <c r="P59" s="991"/>
      <c r="Q59" s="326">
        <f>COUNTIFS(input!$O:$O,March!$Q$33,input!$F:$F,March!N59,input!$A:$A,March!$B$2)</f>
        <v>0</v>
      </c>
      <c r="R59" s="326">
        <f>COUNTIFS(input!$O:$O,March!$R$33,input!$F:$F,March!N59,input!$A:$A,March!$B$2)</f>
        <v>0</v>
      </c>
      <c r="S59" s="326">
        <f>COUNTIFS(input!$O:$O,March!$S$33,input!$F:$F,March!N59,input!$A:$A,March!$B$2)</f>
        <v>0</v>
      </c>
      <c r="T59" s="327">
        <f>COUNTIFS(input!$O:$O,March!$T$33,input!$F:$F,March!N59,input!$A:$A,March!$B$2)</f>
        <v>0</v>
      </c>
      <c r="U59" s="327">
        <f>COUNTIFS(input!$O:$O,March!$U$33,input!$F:$F,March!N59,input!$A:$A,March!$B$2)</f>
        <v>0</v>
      </c>
      <c r="V59" s="327">
        <f>COUNTIFS(input!$O:$O,March!$V$33,input!$F:$F,March!N59,input!$A:$A,March!$B$2)</f>
        <v>0</v>
      </c>
      <c r="W59" s="328">
        <f>COUNTIFS(input!$O:$O,March!$W$33,input!$F:$F,March!N59,input!$A:$A,March!$B$2)</f>
        <v>0</v>
      </c>
      <c r="X59" s="324">
        <f>COUNTIFS(input!$O:$O,March!$X$33,input!$F:$F,March!N59,input!$A:$A,March!$B$2)</f>
        <v>0</v>
      </c>
      <c r="Y59" s="312">
        <f>SUM(Q59:X59)</f>
        <v>0</v>
      </c>
      <c r="Z59" s="315" cm="1">
        <f t="array" ref="Z59">_xlfn.IFS(Y59=0,0,Y59&gt;=1,Y59/$Y$60)</f>
        <v>0</v>
      </c>
    </row>
    <row r="60" spans="2:26" ht="90.5" thickBot="1" x14ac:dyDescent="0.3">
      <c r="B60" s="1060" t="s">
        <v>4</v>
      </c>
      <c r="C60" s="1061"/>
      <c r="D60" s="331">
        <f t="shared" ref="D60:J60" si="3">SUM(D34:D59)</f>
        <v>0</v>
      </c>
      <c r="E60" s="331">
        <f t="shared" si="3"/>
        <v>0</v>
      </c>
      <c r="F60" s="331">
        <f t="shared" si="3"/>
        <v>1</v>
      </c>
      <c r="G60" s="331">
        <f t="shared" si="3"/>
        <v>4</v>
      </c>
      <c r="H60" s="331">
        <f t="shared" si="3"/>
        <v>2</v>
      </c>
      <c r="I60" s="331">
        <f t="shared" si="3"/>
        <v>4</v>
      </c>
      <c r="J60" s="331">
        <f t="shared" si="3"/>
        <v>1</v>
      </c>
      <c r="K60" s="331">
        <f>SUM(K34:K59)</f>
        <v>12</v>
      </c>
      <c r="L60" s="332">
        <f>SUM(L34:L59)</f>
        <v>24</v>
      </c>
      <c r="M60" s="333">
        <f>SUM(M34:M59)</f>
        <v>0.99999999999999989</v>
      </c>
      <c r="N60" s="1062" t="s">
        <v>4</v>
      </c>
      <c r="O60" s="1062"/>
      <c r="P60" s="1063"/>
      <c r="Q60" s="334">
        <f t="shared" ref="Q60:Z60" si="4">SUM(Q34:Q59)</f>
        <v>0</v>
      </c>
      <c r="R60" s="334">
        <f t="shared" si="4"/>
        <v>0</v>
      </c>
      <c r="S60" s="334">
        <f t="shared" si="4"/>
        <v>1</v>
      </c>
      <c r="T60" s="334">
        <f t="shared" si="4"/>
        <v>4</v>
      </c>
      <c r="U60" s="334">
        <f t="shared" si="4"/>
        <v>2</v>
      </c>
      <c r="V60" s="334">
        <f t="shared" si="4"/>
        <v>4</v>
      </c>
      <c r="W60" s="334">
        <f t="shared" si="4"/>
        <v>1</v>
      </c>
      <c r="X60" s="334">
        <f t="shared" si="4"/>
        <v>12</v>
      </c>
      <c r="Y60" s="334">
        <f t="shared" si="4"/>
        <v>24</v>
      </c>
      <c r="Z60" s="335">
        <f t="shared" si="4"/>
        <v>0.99999999999999989</v>
      </c>
    </row>
    <row r="61" spans="2:26" ht="360" x14ac:dyDescent="0.25">
      <c r="B61" s="1107" t="s">
        <v>34</v>
      </c>
      <c r="C61" s="1108"/>
      <c r="D61" s="308" t="s">
        <v>6</v>
      </c>
      <c r="E61" s="308" t="s">
        <v>2</v>
      </c>
      <c r="F61" s="308" t="s">
        <v>3</v>
      </c>
      <c r="G61" s="308" t="s">
        <v>1</v>
      </c>
      <c r="H61" s="308" t="s">
        <v>0</v>
      </c>
      <c r="I61" s="308" t="s">
        <v>53</v>
      </c>
      <c r="J61" s="308" t="s">
        <v>12</v>
      </c>
      <c r="K61" s="308" t="s">
        <v>693</v>
      </c>
      <c r="L61" s="308" t="s">
        <v>5</v>
      </c>
      <c r="M61" s="336" t="s">
        <v>40</v>
      </c>
      <c r="N61" s="1052" t="s">
        <v>59</v>
      </c>
      <c r="O61" s="1052"/>
      <c r="P61" s="1053"/>
      <c r="Q61" s="337" t="s">
        <v>6</v>
      </c>
      <c r="R61" s="337" t="s">
        <v>2</v>
      </c>
      <c r="S61" s="337" t="s">
        <v>3</v>
      </c>
      <c r="T61" s="337" t="s">
        <v>1</v>
      </c>
      <c r="U61" s="337" t="s">
        <v>0</v>
      </c>
      <c r="V61" s="337" t="s">
        <v>53</v>
      </c>
      <c r="W61" s="337" t="s">
        <v>12</v>
      </c>
      <c r="X61" s="337" t="s">
        <v>693</v>
      </c>
      <c r="Y61" s="337" t="s">
        <v>5</v>
      </c>
      <c r="Z61" s="338" t="s">
        <v>40</v>
      </c>
    </row>
    <row r="62" spans="2:26" ht="92" x14ac:dyDescent="0.25">
      <c r="B62" s="1111" t="s">
        <v>13</v>
      </c>
      <c r="C62" s="1112"/>
      <c r="D62" s="1037">
        <f>COUNTIFS(input!$O:$O,March!$D$61,input!$K:$K,March!B62,input!$A:$A,March!$B$2)</f>
        <v>0</v>
      </c>
      <c r="E62" s="1037">
        <f>COUNTIFS(input!$O:$O,March!$E$61,input!$K:$K,March!B62,input!$A:$A,March!$B$2)</f>
        <v>0</v>
      </c>
      <c r="F62" s="1037">
        <f>COUNTIFS(input!$O:$O,March!$F$61,input!$K:$K,March!B62,input!$A:$A,March!$B$2)</f>
        <v>0</v>
      </c>
      <c r="G62" s="1043">
        <f>COUNTIFS(input!$O:$O,March!$G$61,input!$K:$K,March!B62,input!$A:$A,March!$B$2)</f>
        <v>2</v>
      </c>
      <c r="H62" s="1043">
        <f>COUNTIFS(input!$O:$O,March!$H$61,input!$K:$K,March!B62,input!$A:$A,March!$B$2)</f>
        <v>0</v>
      </c>
      <c r="I62" s="1055">
        <f>COUNTIFS(input!$O:$O,March!$I$61,input!$K:$K,March!B62,input!$A:$A,March!$B$2)</f>
        <v>0</v>
      </c>
      <c r="J62" s="1043">
        <f>COUNTIFS(input!$O:$O,March!$J$61,input!$K:$K,March!B62,input!$A:$A,March!$B$2)</f>
        <v>0</v>
      </c>
      <c r="K62" s="1043">
        <f>COUNTIFS(input!$O:$O,March!$K$61,input!$K:$K,March!B62,input!$A:$A,March!$B$2)</f>
        <v>0</v>
      </c>
      <c r="L62" s="1022">
        <f>SUM(D62:K68)</f>
        <v>2</v>
      </c>
      <c r="M62" s="1025" cm="1">
        <f t="array" ref="M62">_xlfn.IFS(L62=0,0,L62&gt;=1,L62/L96)</f>
        <v>8.3333333333333329E-2</v>
      </c>
      <c r="N62" s="1106" t="s">
        <v>23</v>
      </c>
      <c r="O62" s="1106"/>
      <c r="P62" s="1105"/>
      <c r="Q62" s="310">
        <f>COUNTIFS(input!$O:$O,March!$Q$61,input!$G:$G,March!N62,input!$A:$A,March!$B$2)</f>
        <v>0</v>
      </c>
      <c r="R62" s="310">
        <f>COUNTIFS(input!$O:$O,March!$R$61,input!$G:$G,March!N62,input!$A:$A,March!$B$2)</f>
        <v>0</v>
      </c>
      <c r="S62" s="310">
        <f>COUNTIFS(input!$O:$O,March!$S$61,input!$G:$G,March!N62,input!$A:$A,March!$B$2)</f>
        <v>0</v>
      </c>
      <c r="T62" s="314">
        <f>COUNTIFS(input!$O:$O,March!$T$61,input!$G:$G,March!N62,input!$A:$A,March!$B$2)</f>
        <v>0</v>
      </c>
      <c r="U62" s="314">
        <f>COUNTIFS(input!$O:$O,March!$U$61,input!$G:$G,March!N62,input!$A:$A,March!$B$2)</f>
        <v>0</v>
      </c>
      <c r="V62" s="314">
        <f>COUNTIFS(input!$O:$O,March!$V$61,input!$G:$G,March!N62,input!$A:$A,March!$B$2)</f>
        <v>1</v>
      </c>
      <c r="W62" s="314">
        <f>COUNTIFS(input!$O:$O,March!$W$61,input!$G:$G,March!N62,input!$A:$A,March!$B$2)</f>
        <v>0</v>
      </c>
      <c r="X62" s="314">
        <f>COUNTIFS(input!$O:$O,March!$X$61,input!$G:$G,March!N62,input!$A:$A,March!$B$2)</f>
        <v>0</v>
      </c>
      <c r="Y62" s="312">
        <f>SUM(Q62:X62)</f>
        <v>1</v>
      </c>
      <c r="Z62" s="339" cm="1">
        <f t="array" ref="Z62">_xlfn.IFS(Y62=0,0,Y62&gt;=1,Y62/$Y$96)</f>
        <v>4.1666666666666664E-2</v>
      </c>
    </row>
    <row r="63" spans="2:26" ht="92" x14ac:dyDescent="0.25">
      <c r="B63" s="1030"/>
      <c r="C63" s="1047"/>
      <c r="D63" s="1038"/>
      <c r="E63" s="1038"/>
      <c r="F63" s="1038"/>
      <c r="G63" s="1044"/>
      <c r="H63" s="1044"/>
      <c r="I63" s="1056"/>
      <c r="J63" s="1044"/>
      <c r="K63" s="1044"/>
      <c r="L63" s="1023"/>
      <c r="M63" s="1026"/>
      <c r="N63" s="1016" t="s">
        <v>103</v>
      </c>
      <c r="O63" s="1016"/>
      <c r="P63" s="991"/>
      <c r="Q63" s="310">
        <f>COUNTIFS(input!$O:$O,March!$Q$61,input!$G:$G,March!N63,input!$A:$A,March!$B$2)</f>
        <v>0</v>
      </c>
      <c r="R63" s="310">
        <f>COUNTIFS(input!$O:$O,March!$R$61,input!$G:$G,March!N63,input!$A:$A,March!$B$2)</f>
        <v>0</v>
      </c>
      <c r="S63" s="310">
        <f>COUNTIFS(input!$O:$O,March!$S$61,input!$G:$G,March!N63,input!$A:$A,March!$B$2)</f>
        <v>0</v>
      </c>
      <c r="T63" s="314">
        <f>COUNTIFS(input!$O:$O,March!$T$61,input!$G:$G,March!N63,input!$A:$A,March!$B$2)</f>
        <v>1</v>
      </c>
      <c r="U63" s="314">
        <f>COUNTIFS(input!$O:$O,March!$U$61,input!$G:$G,March!N63,input!$A:$A,March!$B$2)</f>
        <v>0</v>
      </c>
      <c r="V63" s="314">
        <f>COUNTIFS(input!$O:$O,March!$V$61,input!$G:$G,March!N63,input!$A:$A,March!$B$2)</f>
        <v>0</v>
      </c>
      <c r="W63" s="314">
        <f>COUNTIFS(input!$O:$O,March!$W$61,input!$G:$G,March!N63,input!$A:$A,March!$B$2)</f>
        <v>0</v>
      </c>
      <c r="X63" s="314">
        <f>COUNTIFS(input!$O:$O,March!$X$61,input!$G:$G,March!N63,input!$A:$A,March!$B$2)</f>
        <v>0</v>
      </c>
      <c r="Y63" s="312">
        <f t="shared" ref="Y63:Y95" si="5">SUM(Q63:X63)</f>
        <v>1</v>
      </c>
      <c r="Z63" s="339" cm="1">
        <f t="array" ref="Z63">_xlfn.IFS(Y63=0,0,Y63&gt;=1,Y63/$Y$96)</f>
        <v>4.1666666666666664E-2</v>
      </c>
    </row>
    <row r="64" spans="2:26" ht="92" x14ac:dyDescent="0.25">
      <c r="B64" s="1030"/>
      <c r="C64" s="1047"/>
      <c r="D64" s="1038"/>
      <c r="E64" s="1038"/>
      <c r="F64" s="1038"/>
      <c r="G64" s="1044"/>
      <c r="H64" s="1044"/>
      <c r="I64" s="1056"/>
      <c r="J64" s="1044"/>
      <c r="K64" s="1044"/>
      <c r="L64" s="1023"/>
      <c r="M64" s="1026"/>
      <c r="N64" s="1016" t="s">
        <v>55</v>
      </c>
      <c r="O64" s="1016"/>
      <c r="P64" s="991"/>
      <c r="Q64" s="310">
        <f>COUNTIFS(input!$O:$O,March!$Q$61,input!$G:$G,March!N64,input!$A:$A,March!$B$2)</f>
        <v>0</v>
      </c>
      <c r="R64" s="310">
        <f>COUNTIFS(input!$O:$O,March!$R$61,input!$G:$G,March!N64,input!$A:$A,March!$B$2)</f>
        <v>0</v>
      </c>
      <c r="S64" s="310">
        <f>COUNTIFS(input!$O:$O,March!$S$61,input!$G:$G,March!N64,input!$A:$A,March!$B$2)</f>
        <v>0</v>
      </c>
      <c r="T64" s="314">
        <f>COUNTIFS(input!$O:$O,March!$T$61,input!$G:$G,March!N64,input!$A:$A,March!$B$2)</f>
        <v>0</v>
      </c>
      <c r="U64" s="314">
        <f>COUNTIFS(input!$O:$O,March!$U$61,input!$G:$G,March!N64,input!$A:$A,March!$B$2)</f>
        <v>0</v>
      </c>
      <c r="V64" s="314">
        <f>COUNTIFS(input!$O:$O,March!$V$61,input!$G:$G,March!N64,input!$A:$A,March!$B$2)</f>
        <v>0</v>
      </c>
      <c r="W64" s="314">
        <f>COUNTIFS(input!$O:$O,March!$W$61,input!$G:$G,March!N64,input!$A:$A,March!$B$2)</f>
        <v>0</v>
      </c>
      <c r="X64" s="314">
        <f>COUNTIFS(input!$O:$O,March!$X$61,input!$G:$G,March!N64,input!$A:$A,March!$B$2)</f>
        <v>0</v>
      </c>
      <c r="Y64" s="312">
        <f t="shared" si="5"/>
        <v>0</v>
      </c>
      <c r="Z64" s="339" cm="1">
        <f t="array" ref="Z64">_xlfn.IFS(Y64=0,0,Y64&gt;=1,Y64/$Y$96)</f>
        <v>0</v>
      </c>
    </row>
    <row r="65" spans="2:26" ht="92" x14ac:dyDescent="0.25">
      <c r="B65" s="1030"/>
      <c r="C65" s="1047"/>
      <c r="D65" s="1038"/>
      <c r="E65" s="1038"/>
      <c r="F65" s="1038"/>
      <c r="G65" s="1044"/>
      <c r="H65" s="1044"/>
      <c r="I65" s="1056"/>
      <c r="J65" s="1044"/>
      <c r="K65" s="1044"/>
      <c r="L65" s="1023"/>
      <c r="M65" s="1026"/>
      <c r="N65" s="1016" t="s">
        <v>285</v>
      </c>
      <c r="O65" s="1016"/>
      <c r="P65" s="991"/>
      <c r="Q65" s="310">
        <f>COUNTIFS(input!$O:$O,March!$Q$61,input!$G:$G,March!N65,input!$A:$A,March!$B$2)</f>
        <v>0</v>
      </c>
      <c r="R65" s="310">
        <f>COUNTIFS(input!$O:$O,March!$R$61,input!$G:$G,March!N65,input!$A:$A,March!$B$2)</f>
        <v>0</v>
      </c>
      <c r="S65" s="310">
        <f>COUNTIFS(input!$O:$O,March!$S$61,input!$G:$G,March!N65,input!$A:$A,March!$B$2)</f>
        <v>0</v>
      </c>
      <c r="T65" s="314">
        <f>COUNTIFS(input!$O:$O,March!$T$61,input!$G:$G,March!N65,input!$A:$A,March!$B$2)</f>
        <v>0</v>
      </c>
      <c r="U65" s="314">
        <f>COUNTIFS(input!$O:$O,March!$U$61,input!$G:$G,March!N65,input!$A:$A,March!$B$2)</f>
        <v>0</v>
      </c>
      <c r="V65" s="314">
        <f>COUNTIFS(input!$O:$O,March!$V$61,input!$G:$G,March!N65,input!$A:$A,March!$B$2)</f>
        <v>0</v>
      </c>
      <c r="W65" s="314">
        <f>COUNTIFS(input!$O:$O,March!$W$61,input!$G:$G,March!N65,input!$A:$A,March!$B$2)</f>
        <v>0</v>
      </c>
      <c r="X65" s="314">
        <f>COUNTIFS(input!$O:$O,March!$X$61,input!$G:$G,March!N65,input!$A:$A,March!$B$2)</f>
        <v>0</v>
      </c>
      <c r="Y65" s="312">
        <f t="shared" si="5"/>
        <v>0</v>
      </c>
      <c r="Z65" s="339" cm="1">
        <f t="array" ref="Z65">_xlfn.IFS(Y65=0,0,Y65&gt;=1,Y65/$Y$96)</f>
        <v>0</v>
      </c>
    </row>
    <row r="66" spans="2:26" ht="92" x14ac:dyDescent="0.25">
      <c r="B66" s="1030"/>
      <c r="C66" s="1047"/>
      <c r="D66" s="1038"/>
      <c r="E66" s="1038"/>
      <c r="F66" s="1038"/>
      <c r="G66" s="1044"/>
      <c r="H66" s="1044"/>
      <c r="I66" s="1056"/>
      <c r="J66" s="1044"/>
      <c r="K66" s="1044"/>
      <c r="L66" s="1023"/>
      <c r="M66" s="1026"/>
      <c r="N66" s="993" t="s">
        <v>740</v>
      </c>
      <c r="O66" s="993"/>
      <c r="P66" s="994"/>
      <c r="Q66" s="310">
        <f>COUNTIFS(input!$O:$O,March!$Q$61,input!$G:$G,March!N66,input!$A:$A,March!$B$2)</f>
        <v>0</v>
      </c>
      <c r="R66" s="310">
        <f>COUNTIFS(input!$O:$O,March!$R$61,input!$G:$G,March!N66,input!$A:$A,March!$B$2)</f>
        <v>0</v>
      </c>
      <c r="S66" s="310">
        <f>COUNTIFS(input!$O:$O,March!$S$61,input!$G:$G,March!N66,input!$A:$A,March!$B$2)</f>
        <v>0</v>
      </c>
      <c r="T66" s="314">
        <f>COUNTIFS(input!$O:$O,March!$T$61,input!$G:$G,March!N66,input!$A:$A,March!$B$2)</f>
        <v>0</v>
      </c>
      <c r="U66" s="314">
        <f>COUNTIFS(input!$O:$O,March!$U$61,input!$G:$G,March!N66,input!$A:$A,March!$B$2)</f>
        <v>0</v>
      </c>
      <c r="V66" s="314">
        <f>COUNTIFS(input!$O:$O,March!$V$61,input!$G:$G,March!N66,input!$A:$A,March!$B$2)</f>
        <v>0</v>
      </c>
      <c r="W66" s="314">
        <f>COUNTIFS(input!$O:$O,March!$W$61,input!$G:$G,March!N66,input!$A:$A,March!$B$2)</f>
        <v>0</v>
      </c>
      <c r="X66" s="314">
        <f>COUNTIFS(input!$O:$O,March!$X$61,input!$G:$G,March!N66,input!$A:$A,March!$B$2)</f>
        <v>1</v>
      </c>
      <c r="Y66" s="312">
        <f t="shared" si="5"/>
        <v>1</v>
      </c>
      <c r="Z66" s="339" cm="1">
        <f t="array" ref="Z66">_xlfn.IFS(Y66=0,0,Y66&gt;=1,Y66/$Y$96)</f>
        <v>4.1666666666666664E-2</v>
      </c>
    </row>
    <row r="67" spans="2:26" ht="92" x14ac:dyDescent="0.25">
      <c r="B67" s="1030"/>
      <c r="C67" s="1047"/>
      <c r="D67" s="1038"/>
      <c r="E67" s="1038"/>
      <c r="F67" s="1038"/>
      <c r="G67" s="1044"/>
      <c r="H67" s="1044"/>
      <c r="I67" s="1056"/>
      <c r="J67" s="1044"/>
      <c r="K67" s="1044"/>
      <c r="L67" s="1023"/>
      <c r="M67" s="1026"/>
      <c r="N67" s="993" t="s">
        <v>778</v>
      </c>
      <c r="O67" s="993"/>
      <c r="P67" s="994"/>
      <c r="Q67" s="310">
        <f>COUNTIFS(input!$O:$O,March!$Q$61,input!$G:$G,March!N67,input!$A:$A,March!$B$2)</f>
        <v>0</v>
      </c>
      <c r="R67" s="310">
        <f>COUNTIFS(input!$O:$O,March!$R$61,input!$G:$G,March!N67,input!$A:$A,March!$B$2)</f>
        <v>0</v>
      </c>
      <c r="S67" s="310">
        <f>COUNTIFS(input!$O:$O,March!$S$61,input!$G:$G,March!N67,input!$A:$A,March!$B$2)</f>
        <v>0</v>
      </c>
      <c r="T67" s="314">
        <f>COUNTIFS(input!$O:$O,March!$T$61,input!$G:$G,March!N67,input!$A:$A,March!$B$2)</f>
        <v>1</v>
      </c>
      <c r="U67" s="314">
        <f>COUNTIFS(input!$O:$O,March!$U$61,input!$G:$G,March!N67,input!$A:$A,March!$B$2)</f>
        <v>0</v>
      </c>
      <c r="V67" s="314">
        <f>COUNTIFS(input!$O:$O,March!$V$61,input!$G:$G,March!N67,input!$A:$A,March!$B$2)</f>
        <v>0</v>
      </c>
      <c r="W67" s="314">
        <f>COUNTIFS(input!$O:$O,March!$W$61,input!$G:$G,March!N67,input!$A:$A,March!$B$2)</f>
        <v>0</v>
      </c>
      <c r="X67" s="314">
        <f>COUNTIFS(input!$O:$O,March!$X$61,input!$G:$G,March!N67,input!$A:$A,March!$B$2)</f>
        <v>0</v>
      </c>
      <c r="Y67" s="312">
        <f t="shared" si="5"/>
        <v>1</v>
      </c>
      <c r="Z67" s="339" cm="1">
        <f t="array" ref="Z67">_xlfn.IFS(Y67=0,0,Y67&gt;=1,Y67/$Y$96)</f>
        <v>4.1666666666666664E-2</v>
      </c>
    </row>
    <row r="68" spans="2:26" ht="92" x14ac:dyDescent="0.25">
      <c r="B68" s="1030"/>
      <c r="C68" s="1047"/>
      <c r="D68" s="1038"/>
      <c r="E68" s="1038"/>
      <c r="F68" s="1038"/>
      <c r="G68" s="1044"/>
      <c r="H68" s="1044"/>
      <c r="I68" s="1056"/>
      <c r="J68" s="1044"/>
      <c r="K68" s="1044"/>
      <c r="L68" s="1023"/>
      <c r="M68" s="1026"/>
      <c r="N68" s="1016" t="s">
        <v>83</v>
      </c>
      <c r="O68" s="1016"/>
      <c r="P68" s="991"/>
      <c r="Q68" s="310">
        <f>COUNTIFS(input!$O:$O,March!$Q$61,input!$G:$G,March!N68,input!$A:$A,March!$B$2)</f>
        <v>0</v>
      </c>
      <c r="R68" s="310">
        <f>COUNTIFS(input!$O:$O,March!$R$61,input!$G:$G,March!N68,input!$A:$A,March!$B$2)</f>
        <v>0</v>
      </c>
      <c r="S68" s="310">
        <f>COUNTIFS(input!$O:$O,March!$S$61,input!$G:$G,March!N68,input!$A:$A,March!$B$2)</f>
        <v>0</v>
      </c>
      <c r="T68" s="314">
        <f>COUNTIFS(input!$O:$O,March!$T$61,input!$G:$G,March!N68,input!$A:$A,March!$B$2)</f>
        <v>0</v>
      </c>
      <c r="U68" s="314">
        <f>COUNTIFS(input!$O:$O,March!$U$61,input!$G:$G,March!N68,input!$A:$A,March!$B$2)</f>
        <v>0</v>
      </c>
      <c r="V68" s="314">
        <f>COUNTIFS(input!$O:$O,March!$V$61,input!$G:$G,March!N68,input!$A:$A,March!$B$2)</f>
        <v>2</v>
      </c>
      <c r="W68" s="314">
        <f>COUNTIFS(input!$O:$O,March!$W$61,input!$G:$G,March!N68,input!$A:$A,March!$B$2)</f>
        <v>0</v>
      </c>
      <c r="X68" s="314">
        <f>COUNTIFS(input!$O:$O,March!$X$61,input!$G:$G,March!N68,input!$A:$A,March!$B$2)</f>
        <v>0</v>
      </c>
      <c r="Y68" s="312">
        <f t="shared" si="5"/>
        <v>2</v>
      </c>
      <c r="Z68" s="339" cm="1">
        <f t="array" ref="Z68">_xlfn.IFS(Y68=0,0,Y68&gt;=1,Y68/$Y$96)</f>
        <v>8.3333333333333329E-2</v>
      </c>
    </row>
    <row r="69" spans="2:26" ht="92" x14ac:dyDescent="0.25">
      <c r="B69" s="1030"/>
      <c r="C69" s="1047"/>
      <c r="D69" s="1038"/>
      <c r="E69" s="1038"/>
      <c r="F69" s="1038"/>
      <c r="G69" s="1044"/>
      <c r="H69" s="1044"/>
      <c r="I69" s="1056"/>
      <c r="J69" s="1044"/>
      <c r="K69" s="1044"/>
      <c r="L69" s="1023"/>
      <c r="M69" s="1026"/>
      <c r="N69" s="990" t="s">
        <v>356</v>
      </c>
      <c r="O69" s="1016"/>
      <c r="P69" s="991"/>
      <c r="Q69" s="310">
        <f>COUNTIFS(input!$O:$O,March!$Q$61,input!$G:$G,March!N69,input!$A:$A,March!$B$2)</f>
        <v>0</v>
      </c>
      <c r="R69" s="310">
        <f>COUNTIFS(input!$O:$O,March!$R$61,input!$G:$G,March!N69,input!$A:$A,March!$B$2)</f>
        <v>0</v>
      </c>
      <c r="S69" s="310">
        <f>COUNTIFS(input!$O:$O,March!$S$61,input!$G:$G,March!N69,input!$A:$A,March!$B$2)</f>
        <v>0</v>
      </c>
      <c r="T69" s="314">
        <f>COUNTIFS(input!$O:$O,March!$T$61,input!$G:$G,March!N69,input!$A:$A,March!$B$2)</f>
        <v>0</v>
      </c>
      <c r="U69" s="314">
        <f>COUNTIFS(input!$O:$O,March!$U$61,input!$G:$G,March!N69,input!$A:$A,March!$B$2)</f>
        <v>0</v>
      </c>
      <c r="V69" s="314">
        <f>COUNTIFS(input!$O:$O,March!$V$61,input!$G:$G,March!N69,input!$A:$A,March!$B$2)</f>
        <v>1</v>
      </c>
      <c r="W69" s="314">
        <f>COUNTIFS(input!$O:$O,March!$W$61,input!$G:$G,March!N69,input!$A:$A,March!$B$2)</f>
        <v>0</v>
      </c>
      <c r="X69" s="314">
        <f>COUNTIFS(input!$O:$O,March!$X$61,input!$G:$G,March!N69,input!$A:$A,March!$B$2)</f>
        <v>0</v>
      </c>
      <c r="Y69" s="312">
        <f t="shared" si="5"/>
        <v>1</v>
      </c>
      <c r="Z69" s="339" cm="1">
        <f t="array" ref="Z69">_xlfn.IFS(Y69=0,0,Y69&gt;=1,Y69/$Y$96)</f>
        <v>4.1666666666666664E-2</v>
      </c>
    </row>
    <row r="70" spans="2:26" ht="92" x14ac:dyDescent="0.25">
      <c r="B70" s="1030"/>
      <c r="C70" s="1047"/>
      <c r="D70" s="1038"/>
      <c r="E70" s="1038"/>
      <c r="F70" s="1038"/>
      <c r="G70" s="1044"/>
      <c r="H70" s="1044"/>
      <c r="I70" s="1056"/>
      <c r="J70" s="1044"/>
      <c r="K70" s="1044"/>
      <c r="L70" s="1023"/>
      <c r="M70" s="1026"/>
      <c r="N70" s="990" t="s">
        <v>779</v>
      </c>
      <c r="O70" s="1016"/>
      <c r="P70" s="991"/>
      <c r="Q70" s="310">
        <f>COUNTIFS(input!$O:$O,March!$Q$61,input!$G:$G,March!N70,input!$A:$A,March!$B$2)</f>
        <v>0</v>
      </c>
      <c r="R70" s="310">
        <f>COUNTIFS(input!$O:$O,March!$R$61,input!$G:$G,March!N70,input!$A:$A,March!$B$2)</f>
        <v>0</v>
      </c>
      <c r="S70" s="310">
        <f>COUNTIFS(input!$O:$O,March!$S$61,input!$G:$G,March!N70,input!$A:$A,March!$B$2)</f>
        <v>0</v>
      </c>
      <c r="T70" s="314">
        <f>COUNTIFS(input!$O:$O,March!$T$61,input!$G:$G,March!N70,input!$A:$A,March!$B$2)</f>
        <v>1</v>
      </c>
      <c r="U70" s="314">
        <f>COUNTIFS(input!$O:$O,March!$U$61,input!$G:$G,March!N70,input!$A:$A,March!$B$2)</f>
        <v>0</v>
      </c>
      <c r="V70" s="314">
        <f>COUNTIFS(input!$O:$O,March!$V$61,input!$G:$G,March!N70,input!$A:$A,March!$B$2)</f>
        <v>0</v>
      </c>
      <c r="W70" s="314">
        <f>COUNTIFS(input!$O:$O,March!$W$61,input!$G:$G,March!N70,input!$A:$A,March!$B$2)</f>
        <v>0</v>
      </c>
      <c r="X70" s="314">
        <f>COUNTIFS(input!$O:$O,March!$X$61,input!$G:$G,March!N70,input!$A:$A,March!$B$2)</f>
        <v>0</v>
      </c>
      <c r="Y70" s="312">
        <f t="shared" si="5"/>
        <v>1</v>
      </c>
      <c r="Z70" s="339" cm="1">
        <f t="array" ref="Z70">_xlfn.IFS(Y70=0,0,Y70&gt;=1,Y70/$Y$96)</f>
        <v>4.1666666666666664E-2</v>
      </c>
    </row>
    <row r="71" spans="2:26" ht="92" x14ac:dyDescent="0.25">
      <c r="B71" s="1030"/>
      <c r="C71" s="1047"/>
      <c r="D71" s="1038"/>
      <c r="E71" s="1038"/>
      <c r="F71" s="1038"/>
      <c r="G71" s="1044"/>
      <c r="H71" s="1044"/>
      <c r="I71" s="1056"/>
      <c r="J71" s="1044"/>
      <c r="K71" s="1044"/>
      <c r="L71" s="1023"/>
      <c r="M71" s="1026"/>
      <c r="N71" s="990" t="s">
        <v>181</v>
      </c>
      <c r="O71" s="1016"/>
      <c r="P71" s="991"/>
      <c r="Q71" s="310">
        <f>COUNTIFS(input!$O:$O,March!$Q$61,input!$G:$G,March!N71,input!$A:$A,March!$B$2)</f>
        <v>0</v>
      </c>
      <c r="R71" s="310">
        <f>COUNTIFS(input!$O:$O,March!$R$61,input!$G:$G,March!N71,input!$A:$A,March!$B$2)</f>
        <v>0</v>
      </c>
      <c r="S71" s="310">
        <f>COUNTIFS(input!$O:$O,March!$S$61,input!$G:$G,March!N71,input!$A:$A,March!$B$2)</f>
        <v>0</v>
      </c>
      <c r="T71" s="314">
        <f>COUNTIFS(input!$O:$O,March!$T$61,input!$G:$G,March!N71,input!$A:$A,March!$B$2)</f>
        <v>0</v>
      </c>
      <c r="U71" s="314">
        <f>COUNTIFS(input!$O:$O,March!$U$61,input!$G:$G,March!N71,input!$A:$A,March!$B$2)</f>
        <v>0</v>
      </c>
      <c r="V71" s="314">
        <f>COUNTIFS(input!$O:$O,March!$V$61,input!$G:$G,March!N71,input!$A:$A,March!$B$2)</f>
        <v>0</v>
      </c>
      <c r="W71" s="314">
        <f>COUNTIFS(input!$O:$O,March!$W$61,input!$G:$G,March!N71,input!$A:$A,March!$B$2)</f>
        <v>0</v>
      </c>
      <c r="X71" s="314">
        <f>COUNTIFS(input!$O:$O,March!$X$61,input!$G:$G,March!N71,input!$A:$A,March!$B$2)</f>
        <v>0</v>
      </c>
      <c r="Y71" s="312">
        <f t="shared" si="5"/>
        <v>0</v>
      </c>
      <c r="Z71" s="339" cm="1">
        <f t="array" ref="Z71">_xlfn.IFS(Y71=0,0,Y71&gt;=1,Y71/$Y$96)</f>
        <v>0</v>
      </c>
    </row>
    <row r="72" spans="2:26" ht="92" x14ac:dyDescent="0.25">
      <c r="B72" s="1109"/>
      <c r="C72" s="1113"/>
      <c r="D72" s="1114"/>
      <c r="E72" s="1114"/>
      <c r="F72" s="1114"/>
      <c r="G72" s="1054"/>
      <c r="H72" s="1054"/>
      <c r="I72" s="1057"/>
      <c r="J72" s="1054"/>
      <c r="K72" s="1054"/>
      <c r="L72" s="1024"/>
      <c r="M72" s="1027"/>
      <c r="N72" s="1016" t="s">
        <v>760</v>
      </c>
      <c r="O72" s="1016"/>
      <c r="P72" s="991"/>
      <c r="Q72" s="310">
        <f>COUNTIFS(input!$O:$O,March!$Q$61,input!$G:$G,March!N72,input!$A:$A,March!$B$2)</f>
        <v>0</v>
      </c>
      <c r="R72" s="310">
        <f>COUNTIFS(input!$O:$O,March!$R$61,input!$G:$G,March!N72,input!$A:$A,March!$B$2)</f>
        <v>0</v>
      </c>
      <c r="S72" s="310">
        <f>COUNTIFS(input!$O:$O,March!$S$61,input!$G:$G,March!N72,input!$A:$A,March!$B$2)</f>
        <v>0</v>
      </c>
      <c r="T72" s="314">
        <f>COUNTIFS(input!$O:$O,March!$T$61,input!$G:$G,March!N72,input!$A:$A,March!$B$2)</f>
        <v>0</v>
      </c>
      <c r="U72" s="314">
        <f>COUNTIFS(input!$O:$O,March!$U$61,input!$G:$G,March!N72,input!$A:$A,March!$B$2)</f>
        <v>0</v>
      </c>
      <c r="V72" s="314">
        <f>COUNTIFS(input!$O:$O,March!$V$61,input!$G:$G,March!N72,input!$A:$A,March!$B$2)</f>
        <v>0</v>
      </c>
      <c r="W72" s="314">
        <f>COUNTIFS(input!$O:$O,March!$W$61,input!$G:$G,March!N72,input!$A:$A,March!$B$2)</f>
        <v>0</v>
      </c>
      <c r="X72" s="314">
        <f>COUNTIFS(input!$O:$O,March!$X$61,input!$G:$G,March!N72,input!$A:$A,March!$B$2)</f>
        <v>1</v>
      </c>
      <c r="Y72" s="312">
        <f t="shared" si="5"/>
        <v>1</v>
      </c>
      <c r="Z72" s="339" cm="1">
        <f t="array" ref="Z72">_xlfn.IFS(Y72=0,0,Y72&gt;=1,Y72/$Y$96)</f>
        <v>4.1666666666666664E-2</v>
      </c>
    </row>
    <row r="73" spans="2:26" ht="92" x14ac:dyDescent="0.25">
      <c r="B73" s="1028" t="s">
        <v>14</v>
      </c>
      <c r="C73" s="1029"/>
      <c r="D73" s="1037">
        <f>COUNTIFS(input!$O:$O,March!$D$61,input!$K:$K,March!B73,input!$A:$A,March!$B$2)</f>
        <v>0</v>
      </c>
      <c r="E73" s="1037">
        <f>COUNTIFS(input!$O:$O,March!$E$61,input!$K:$K,March!B73,input!$A:$A,March!$B$2)</f>
        <v>0</v>
      </c>
      <c r="F73" s="1037">
        <f>COUNTIFS(input!$O:$O,March!$F$61,input!$K:$K,March!B73,input!$A:$A,March!$B$2)</f>
        <v>1</v>
      </c>
      <c r="G73" s="1043">
        <f>COUNTIFS(input!$O:$O,March!$G$61,input!$K:$K,March!B73,input!$A:$A,March!$B$2)</f>
        <v>1</v>
      </c>
      <c r="H73" s="1043">
        <f>COUNTIFS(input!$O:$O,March!$H$61,input!$K:$K,March!B73,input!$A:$A,March!$B$2)</f>
        <v>2</v>
      </c>
      <c r="I73" s="1055">
        <f>COUNTIFS(input!$O:$O,March!$I$61,input!$K:$K,March!B73,input!$A:$A,March!$B$2)</f>
        <v>4</v>
      </c>
      <c r="J73" s="1043">
        <f>COUNTIFS(input!$O:$O,March!$J$61,input!$K:$K,March!B73,input!$A:$A,March!$B$2)</f>
        <v>0</v>
      </c>
      <c r="K73" s="1043">
        <f>COUNTIFS(input!$O:$O,March!$K$61,input!$K:$K,March!B73,input!$A:$A,March!$B$2)</f>
        <v>5</v>
      </c>
      <c r="L73" s="1022">
        <f>SUM(D73:K83)</f>
        <v>13</v>
      </c>
      <c r="M73" s="1025">
        <f>_xlfn.IFS(L73=0,0,L73&gt;=1,L73/L96)</f>
        <v>0.54166666666666663</v>
      </c>
      <c r="N73" s="1016" t="s">
        <v>415</v>
      </c>
      <c r="O73" s="1016"/>
      <c r="P73" s="991"/>
      <c r="Q73" s="310">
        <f>COUNTIFS(input!$O:$O,March!$Q$61,input!$G:$G,March!N73,input!$A:$A,March!$B$2)</f>
        <v>0</v>
      </c>
      <c r="R73" s="310">
        <f>COUNTIFS(input!$O:$O,March!$R$61,input!$G:$G,March!N73,input!$A:$A,March!$B$2)</f>
        <v>0</v>
      </c>
      <c r="S73" s="310">
        <f>COUNTIFS(input!$O:$O,March!$S$61,input!$G:$G,March!N73,input!$A:$A,March!$B$2)</f>
        <v>0</v>
      </c>
      <c r="T73" s="314">
        <f>COUNTIFS(input!$O:$O,March!$T$61,input!$G:$G,March!N73,input!$A:$A,March!$B$2)</f>
        <v>0</v>
      </c>
      <c r="U73" s="314">
        <f>COUNTIFS(input!$O:$O,March!$U$61,input!$G:$G,March!N73,input!$A:$A,March!$B$2)</f>
        <v>0</v>
      </c>
      <c r="V73" s="314">
        <f>COUNTIFS(input!$O:$O,March!$V$61,input!$G:$G,March!N73,input!$A:$A,March!$B$2)</f>
        <v>0</v>
      </c>
      <c r="W73" s="314">
        <f>COUNTIFS(input!$O:$O,March!$W$61,input!$G:$G,March!N73,input!$A:$A,March!$B$2)</f>
        <v>0</v>
      </c>
      <c r="X73" s="314">
        <f>COUNTIFS(input!$O:$O,March!$X$61,input!$G:$G,March!N73,input!$A:$A,March!$B$2)</f>
        <v>0</v>
      </c>
      <c r="Y73" s="312">
        <f t="shared" si="5"/>
        <v>0</v>
      </c>
      <c r="Z73" s="339" cm="1">
        <f t="array" ref="Z73">_xlfn.IFS(Y73=0,0,Y73&gt;=1,Y73/$Y$96)</f>
        <v>0</v>
      </c>
    </row>
    <row r="74" spans="2:26" ht="92" x14ac:dyDescent="0.25">
      <c r="B74" s="1030"/>
      <c r="C74" s="1031"/>
      <c r="D74" s="1038"/>
      <c r="E74" s="1038"/>
      <c r="F74" s="1038"/>
      <c r="G74" s="1044"/>
      <c r="H74" s="1044"/>
      <c r="I74" s="1056"/>
      <c r="J74" s="1044"/>
      <c r="K74" s="1044"/>
      <c r="L74" s="1023"/>
      <c r="M74" s="1026"/>
      <c r="N74" s="993" t="s">
        <v>816</v>
      </c>
      <c r="O74" s="993"/>
      <c r="P74" s="994"/>
      <c r="Q74" s="310">
        <f>COUNTIFS(input!$O:$O,March!$Q$61,input!$G:$G,March!N74,input!$A:$A,March!$B$2)</f>
        <v>0</v>
      </c>
      <c r="R74" s="310">
        <f>COUNTIFS(input!$O:$O,March!$R$61,input!$G:$G,March!N74,input!$A:$A,March!$B$2)</f>
        <v>0</v>
      </c>
      <c r="S74" s="310">
        <f>COUNTIFS(input!$O:$O,March!$S$61,input!$G:$G,March!N74,input!$A:$A,March!$B$2)</f>
        <v>0</v>
      </c>
      <c r="T74" s="314">
        <f>COUNTIFS(input!$O:$O,March!$T$61,input!$G:$G,March!N74,input!$A:$A,March!$B$2)</f>
        <v>1</v>
      </c>
      <c r="U74" s="314">
        <f>COUNTIFS(input!$O:$O,March!$U$61,input!$G:$G,March!N74,input!$A:$A,March!$B$2)</f>
        <v>0</v>
      </c>
      <c r="V74" s="314">
        <f>COUNTIFS(input!$O:$O,March!$V$61,input!$G:$G,March!N74,input!$A:$A,March!$B$2)</f>
        <v>0</v>
      </c>
      <c r="W74" s="314">
        <f>COUNTIFS(input!$O:$O,March!$W$61,input!$G:$G,March!N74,input!$A:$A,March!$B$2)</f>
        <v>0</v>
      </c>
      <c r="X74" s="314">
        <f>COUNTIFS(input!$O:$O,March!$X$61,input!$G:$G,March!N74,input!$A:$A,March!$B$2)</f>
        <v>0</v>
      </c>
      <c r="Y74" s="312">
        <f t="shared" si="5"/>
        <v>1</v>
      </c>
      <c r="Z74" s="339" cm="1">
        <f t="array" ref="Z74">_xlfn.IFS(Y74=0,0,Y74&gt;=1,Y74/$Y$96)</f>
        <v>4.1666666666666664E-2</v>
      </c>
    </row>
    <row r="75" spans="2:26" ht="92" x14ac:dyDescent="0.25">
      <c r="B75" s="1030"/>
      <c r="C75" s="1031"/>
      <c r="D75" s="1038"/>
      <c r="E75" s="1038"/>
      <c r="F75" s="1038"/>
      <c r="G75" s="1044"/>
      <c r="H75" s="1044"/>
      <c r="I75" s="1056"/>
      <c r="J75" s="1044"/>
      <c r="K75" s="1044"/>
      <c r="L75" s="1023"/>
      <c r="M75" s="1026"/>
      <c r="N75" s="993" t="s">
        <v>414</v>
      </c>
      <c r="O75" s="993"/>
      <c r="P75" s="994"/>
      <c r="Q75" s="310">
        <f>COUNTIFS(input!$O:$O,March!$Q$61,input!$G:$G,March!N75,input!$A:$A,March!$B$2)</f>
        <v>0</v>
      </c>
      <c r="R75" s="310">
        <f>COUNTIFS(input!$O:$O,March!$R$61,input!$G:$G,March!N75,input!$A:$A,March!$B$2)</f>
        <v>0</v>
      </c>
      <c r="S75" s="310">
        <f>COUNTIFS(input!$O:$O,March!$S$61,input!$G:$G,March!N75,input!$A:$A,March!$B$2)</f>
        <v>0</v>
      </c>
      <c r="T75" s="314">
        <f>COUNTIFS(input!$O:$O,March!$T$61,input!$G:$G,March!N75,input!$A:$A,March!$B$2)</f>
        <v>0</v>
      </c>
      <c r="U75" s="314">
        <f>COUNTIFS(input!$O:$O,March!$U$61,input!$G:$G,March!N75,input!$A:$A,March!$B$2)</f>
        <v>0</v>
      </c>
      <c r="V75" s="314">
        <f>COUNTIFS(input!$O:$O,March!$V$61,input!$G:$G,March!N75,input!$A:$A,March!$B$2)</f>
        <v>0</v>
      </c>
      <c r="W75" s="314">
        <f>COUNTIFS(input!$O:$O,March!$W$61,input!$G:$G,March!N75,input!$A:$A,March!$B$2)</f>
        <v>0</v>
      </c>
      <c r="X75" s="314">
        <f>COUNTIFS(input!$O:$O,March!$X$61,input!$G:$G,March!N75,input!$A:$A,March!$B$2)</f>
        <v>0</v>
      </c>
      <c r="Y75" s="312">
        <f t="shared" si="5"/>
        <v>0</v>
      </c>
      <c r="Z75" s="339" cm="1">
        <f t="array" ref="Z75">_xlfn.IFS(Y75=0,0,Y75&gt;=1,Y75/$Y$96)</f>
        <v>0</v>
      </c>
    </row>
    <row r="76" spans="2:26" ht="92" x14ac:dyDescent="0.25">
      <c r="B76" s="1030"/>
      <c r="C76" s="1031"/>
      <c r="D76" s="1038"/>
      <c r="E76" s="1038"/>
      <c r="F76" s="1038"/>
      <c r="G76" s="1044"/>
      <c r="H76" s="1044"/>
      <c r="I76" s="1056"/>
      <c r="J76" s="1044"/>
      <c r="K76" s="1044"/>
      <c r="L76" s="1023"/>
      <c r="M76" s="1026"/>
      <c r="N76" s="993" t="s">
        <v>398</v>
      </c>
      <c r="O76" s="993"/>
      <c r="P76" s="994"/>
      <c r="Q76" s="310">
        <f>COUNTIFS(input!$O:$O,March!$Q$61,input!$G:$G,March!N76,input!$A:$A,March!$B$2)</f>
        <v>0</v>
      </c>
      <c r="R76" s="310">
        <f>COUNTIFS(input!$O:$O,March!$R$61,input!$G:$G,March!N76,input!$A:$A,March!$B$2)</f>
        <v>0</v>
      </c>
      <c r="S76" s="310">
        <f>COUNTIFS(input!$O:$O,March!$S$61,input!$G:$G,March!N76,input!$A:$A,March!$B$2)</f>
        <v>0</v>
      </c>
      <c r="T76" s="314">
        <f>COUNTIFS(input!$O:$O,March!$T$61,input!$G:$G,March!N76,input!$A:$A,March!$B$2)</f>
        <v>0</v>
      </c>
      <c r="U76" s="314">
        <f>COUNTIFS(input!$O:$O,March!$U$61,input!$G:$G,March!N76,input!$A:$A,March!$B$2)</f>
        <v>0</v>
      </c>
      <c r="V76" s="314">
        <f>COUNTIFS(input!$O:$O,March!$V$61,input!$G:$G,March!N76,input!$A:$A,March!$B$2)</f>
        <v>0</v>
      </c>
      <c r="W76" s="314">
        <f>COUNTIFS(input!$O:$O,March!$W$61,input!$G:$G,March!N76,input!$A:$A,March!$B$2)</f>
        <v>0</v>
      </c>
      <c r="X76" s="314">
        <f>COUNTIFS(input!$O:$O,March!$X$61,input!$G:$G,March!N76,input!$A:$A,March!$B$2)</f>
        <v>0</v>
      </c>
      <c r="Y76" s="312">
        <f t="shared" si="5"/>
        <v>0</v>
      </c>
      <c r="Z76" s="339" cm="1">
        <f t="array" ref="Z76">_xlfn.IFS(Y76=0,0,Y76&gt;=1,Y76/$Y$96)</f>
        <v>0</v>
      </c>
    </row>
    <row r="77" spans="2:26" ht="92" x14ac:dyDescent="0.25">
      <c r="B77" s="1030"/>
      <c r="C77" s="1031"/>
      <c r="D77" s="1038"/>
      <c r="E77" s="1038"/>
      <c r="F77" s="1038"/>
      <c r="G77" s="1044"/>
      <c r="H77" s="1044"/>
      <c r="I77" s="1056"/>
      <c r="J77" s="1044"/>
      <c r="K77" s="1044"/>
      <c r="L77" s="1023"/>
      <c r="M77" s="1026"/>
      <c r="N77" s="993" t="s">
        <v>483</v>
      </c>
      <c r="O77" s="993"/>
      <c r="P77" s="994"/>
      <c r="Q77" s="310">
        <f>COUNTIFS(input!$O:$O,March!$Q$61,input!$G:$G,March!N77,input!$A:$A,March!$B$2)</f>
        <v>0</v>
      </c>
      <c r="R77" s="310">
        <f>COUNTIFS(input!$O:$O,March!$R$61,input!$G:$G,March!N77,input!$A:$A,March!$B$2)</f>
        <v>0</v>
      </c>
      <c r="S77" s="310">
        <f>COUNTIFS(input!$O:$O,March!$S$61,input!$G:$G,March!N77,input!$A:$A,March!$B$2)</f>
        <v>0</v>
      </c>
      <c r="T77" s="314">
        <f>COUNTIFS(input!$O:$O,March!$T$61,input!$G:$G,March!N77,input!$A:$A,March!$B$2)</f>
        <v>0</v>
      </c>
      <c r="U77" s="314">
        <f>COUNTIFS(input!$O:$O,March!$U$61,input!$G:$G,March!N77,input!$A:$A,March!$B$2)</f>
        <v>0</v>
      </c>
      <c r="V77" s="314">
        <f>COUNTIFS(input!$O:$O,March!$V$61,input!$G:$G,March!N77,input!$A:$A,March!$B$2)</f>
        <v>0</v>
      </c>
      <c r="W77" s="314">
        <f>COUNTIFS(input!$O:$O,March!$W$61,input!$G:$G,March!N77,input!$A:$A,March!$B$2)</f>
        <v>0</v>
      </c>
      <c r="X77" s="314">
        <f>COUNTIFS(input!$O:$O,March!$X$61,input!$G:$G,March!N77,input!$A:$A,March!$B$2)</f>
        <v>0</v>
      </c>
      <c r="Y77" s="312">
        <f t="shared" si="5"/>
        <v>0</v>
      </c>
      <c r="Z77" s="339" cm="1">
        <f t="array" ref="Z77">_xlfn.IFS(Y77=0,0,Y77&gt;=1,Y77/$Y$96)</f>
        <v>0</v>
      </c>
    </row>
    <row r="78" spans="2:26" ht="92" x14ac:dyDescent="0.25">
      <c r="B78" s="1030"/>
      <c r="C78" s="1031"/>
      <c r="D78" s="1038"/>
      <c r="E78" s="1038"/>
      <c r="F78" s="1038"/>
      <c r="G78" s="1044"/>
      <c r="H78" s="1044"/>
      <c r="I78" s="1056"/>
      <c r="J78" s="1044"/>
      <c r="K78" s="1044"/>
      <c r="L78" s="1023"/>
      <c r="M78" s="1026"/>
      <c r="N78" s="1016" t="s">
        <v>659</v>
      </c>
      <c r="O78" s="1016"/>
      <c r="P78" s="991"/>
      <c r="Q78" s="310">
        <f>COUNTIFS(input!$O:$O,March!$Q$61,input!$G:$G,March!N78,input!$A:$A,March!$B$2)</f>
        <v>0</v>
      </c>
      <c r="R78" s="310">
        <f>COUNTIFS(input!$O:$O,March!$R$61,input!$G:$G,March!N78,input!$A:$A,March!$B$2)</f>
        <v>0</v>
      </c>
      <c r="S78" s="310">
        <f>COUNTIFS(input!$O:$O,March!$S$61,input!$G:$G,March!N78,input!$A:$A,March!$B$2)</f>
        <v>0</v>
      </c>
      <c r="T78" s="314">
        <f>COUNTIFS(input!$O:$O,March!$T$61,input!$G:$G,March!N78,input!$A:$A,March!$B$2)</f>
        <v>0</v>
      </c>
      <c r="U78" s="314">
        <f>COUNTIFS(input!$O:$O,March!$U$61,input!$G:$G,March!N78,input!$A:$A,March!$B$2)</f>
        <v>0</v>
      </c>
      <c r="V78" s="314">
        <f>COUNTIFS(input!$O:$O,March!$V$61,input!$G:$G,March!N78,input!$A:$A,March!$B$2)</f>
        <v>0</v>
      </c>
      <c r="W78" s="314">
        <f>COUNTIFS(input!$O:$O,March!$W$61,input!$G:$G,March!N78,input!$A:$A,March!$B$2)</f>
        <v>0</v>
      </c>
      <c r="X78" s="314">
        <f>COUNTIFS(input!$O:$O,March!$X$61,input!$G:$G,March!N78,input!$A:$A,March!$B$2)</f>
        <v>0</v>
      </c>
      <c r="Y78" s="312">
        <f t="shared" si="5"/>
        <v>0</v>
      </c>
      <c r="Z78" s="339" cm="1">
        <f t="array" ref="Z78">_xlfn.IFS(Y78=0,0,Y78&gt;=1,Y78/$Y$96)</f>
        <v>0</v>
      </c>
    </row>
    <row r="79" spans="2:26" ht="92" x14ac:dyDescent="0.25">
      <c r="B79" s="1030"/>
      <c r="C79" s="1031"/>
      <c r="D79" s="1038"/>
      <c r="E79" s="1038"/>
      <c r="F79" s="1038"/>
      <c r="G79" s="1044"/>
      <c r="H79" s="1044"/>
      <c r="I79" s="1056"/>
      <c r="J79" s="1044"/>
      <c r="K79" s="1044"/>
      <c r="L79" s="1023"/>
      <c r="M79" s="1026"/>
      <c r="N79" s="1016" t="s">
        <v>856</v>
      </c>
      <c r="O79" s="1016"/>
      <c r="P79" s="991"/>
      <c r="Q79" s="310">
        <f>COUNTIFS(input!$O:$O,March!$Q$61,input!$G:$G,March!N79,input!$A:$A,March!$B$2)</f>
        <v>0</v>
      </c>
      <c r="R79" s="310">
        <f>COUNTIFS(input!$O:$O,March!$R$61,input!$G:$G,March!N79,input!$A:$A,March!$B$2)</f>
        <v>0</v>
      </c>
      <c r="S79" s="310">
        <f>COUNTIFS(input!$O:$O,March!$S$61,input!$G:$G,March!N79,input!$A:$A,March!$B$2)</f>
        <v>0</v>
      </c>
      <c r="T79" s="314">
        <f>COUNTIFS(input!$O:$O,March!$T$61,input!$G:$G,March!N79,input!$A:$A,March!$B$2)</f>
        <v>0</v>
      </c>
      <c r="U79" s="314">
        <f>COUNTIFS(input!$O:$O,March!$U$61,input!$G:$G,March!N79,input!$A:$A,March!$B$2)</f>
        <v>2</v>
      </c>
      <c r="V79" s="314">
        <f>COUNTIFS(input!$O:$O,March!$V$61,input!$G:$G,March!N79,input!$A:$A,March!$B$2)</f>
        <v>0</v>
      </c>
      <c r="W79" s="314">
        <f>COUNTIFS(input!$O:$O,March!$W$61,input!$G:$G,March!N79,input!$A:$A,March!$B$2)</f>
        <v>0</v>
      </c>
      <c r="X79" s="314">
        <f>COUNTIFS(input!$O:$O,March!$X$61,input!$G:$G,March!N79,input!$A:$A,March!$B$2)</f>
        <v>0</v>
      </c>
      <c r="Y79" s="312">
        <f t="shared" si="5"/>
        <v>2</v>
      </c>
      <c r="Z79" s="339" cm="1">
        <f t="array" ref="Z79">_xlfn.IFS(Y79=0,0,Y79&gt;=1,Y79/$Y$96)</f>
        <v>8.3333333333333329E-2</v>
      </c>
    </row>
    <row r="80" spans="2:26" ht="92" x14ac:dyDescent="0.25">
      <c r="B80" s="1030"/>
      <c r="C80" s="1031"/>
      <c r="D80" s="1038"/>
      <c r="E80" s="1038"/>
      <c r="F80" s="1038"/>
      <c r="G80" s="1044"/>
      <c r="H80" s="1044"/>
      <c r="I80" s="1056"/>
      <c r="J80" s="1044"/>
      <c r="K80" s="1044"/>
      <c r="L80" s="1023"/>
      <c r="M80" s="1026"/>
      <c r="N80" s="990" t="s">
        <v>116</v>
      </c>
      <c r="O80" s="1016"/>
      <c r="P80" s="991"/>
      <c r="Q80" s="310">
        <f>COUNTIFS(input!$O:$O,March!$Q$61,input!$G:$G,March!N80,input!$A:$A,March!$B$2)</f>
        <v>0</v>
      </c>
      <c r="R80" s="310">
        <f>COUNTIFS(input!$O:$O,March!$R$61,input!$G:$G,March!N80,input!$A:$A,March!$B$2)</f>
        <v>0</v>
      </c>
      <c r="S80" s="310">
        <f>COUNTIFS(input!$O:$O,March!$S$61,input!$G:$G,March!N80,input!$A:$A,March!$B$2)</f>
        <v>0</v>
      </c>
      <c r="T80" s="314">
        <f>COUNTIFS(input!$O:$O,March!$T$61,input!$G:$G,March!N80,input!$A:$A,March!$B$2)</f>
        <v>0</v>
      </c>
      <c r="U80" s="314">
        <f>COUNTIFS(input!$O:$O,March!$U$61,input!$G:$G,March!N80,input!$A:$A,March!$B$2)</f>
        <v>0</v>
      </c>
      <c r="V80" s="314">
        <f>COUNTIFS(input!$O:$O,March!$V$61,input!$G:$G,March!N80,input!$A:$A,March!$B$2)</f>
        <v>0</v>
      </c>
      <c r="W80" s="314">
        <f>COUNTIFS(input!$O:$O,March!$W$61,input!$G:$G,March!N80,input!$A:$A,March!$B$2)</f>
        <v>1</v>
      </c>
      <c r="X80" s="314">
        <f>COUNTIFS(input!$O:$O,March!$X$61,input!$G:$G,March!N80,input!$A:$A,March!$B$2)</f>
        <v>0</v>
      </c>
      <c r="Y80" s="312">
        <f t="shared" si="5"/>
        <v>1</v>
      </c>
      <c r="Z80" s="339" cm="1">
        <f t="array" ref="Z80">_xlfn.IFS(Y80=0,0,Y80&gt;=1,Y80/$Y$96)</f>
        <v>4.1666666666666664E-2</v>
      </c>
    </row>
    <row r="81" spans="2:26" ht="92" x14ac:dyDescent="0.25">
      <c r="B81" s="1030"/>
      <c r="C81" s="1031"/>
      <c r="D81" s="1038"/>
      <c r="E81" s="1038"/>
      <c r="F81" s="1038"/>
      <c r="G81" s="1044"/>
      <c r="H81" s="1044"/>
      <c r="I81" s="1056"/>
      <c r="J81" s="1044"/>
      <c r="K81" s="1044"/>
      <c r="L81" s="1023"/>
      <c r="M81" s="1026"/>
      <c r="N81" s="1016" t="s">
        <v>449</v>
      </c>
      <c r="O81" s="1016"/>
      <c r="P81" s="991"/>
      <c r="Q81" s="310">
        <f>COUNTIFS(input!$O:$O,March!$Q$61,input!$G:$G,March!N81,input!$A:$A,March!$B$2)</f>
        <v>0</v>
      </c>
      <c r="R81" s="310">
        <f>COUNTIFS(input!$O:$O,March!$R$61,input!$G:$G,March!N81,input!$A:$A,March!$B$2)</f>
        <v>0</v>
      </c>
      <c r="S81" s="310">
        <f>COUNTIFS(input!$O:$O,March!$S$61,input!$G:$G,March!N81,input!$A:$A,March!$B$2)</f>
        <v>1</v>
      </c>
      <c r="T81" s="314">
        <f>COUNTIFS(input!$O:$O,March!$T$61,input!$G:$G,March!N81,input!$A:$A,March!$B$2)</f>
        <v>0</v>
      </c>
      <c r="U81" s="314">
        <f>COUNTIFS(input!$O:$O,March!$U$61,input!$G:$G,March!N81,input!$A:$A,March!$B$2)</f>
        <v>0</v>
      </c>
      <c r="V81" s="314">
        <f>COUNTIFS(input!$O:$O,March!$V$61,input!$G:$G,March!N81,input!$A:$A,March!$B$2)</f>
        <v>0</v>
      </c>
      <c r="W81" s="314">
        <f>COUNTIFS(input!$O:$O,March!$W$61,input!$G:$G,March!N81,input!$A:$A,March!$B$2)</f>
        <v>0</v>
      </c>
      <c r="X81" s="314">
        <f>COUNTIFS(input!$O:$O,March!$X$61,input!$G:$G,March!N81,input!$A:$A,March!$B$2)</f>
        <v>0</v>
      </c>
      <c r="Y81" s="312">
        <f t="shared" si="5"/>
        <v>1</v>
      </c>
      <c r="Z81" s="339" cm="1">
        <f t="array" ref="Z81">_xlfn.IFS(Y81=0,0,Y81&gt;=1,Y81/$Y$96)</f>
        <v>4.1666666666666664E-2</v>
      </c>
    </row>
    <row r="82" spans="2:26" ht="92" x14ac:dyDescent="0.25">
      <c r="B82" s="1030"/>
      <c r="C82" s="1031"/>
      <c r="D82" s="1038"/>
      <c r="E82" s="1038"/>
      <c r="F82" s="1038"/>
      <c r="G82" s="1044"/>
      <c r="H82" s="1044"/>
      <c r="I82" s="1056"/>
      <c r="J82" s="1044"/>
      <c r="K82" s="1044"/>
      <c r="L82" s="1023"/>
      <c r="M82" s="1026"/>
      <c r="N82" s="990" t="s">
        <v>694</v>
      </c>
      <c r="O82" s="1016"/>
      <c r="P82" s="991"/>
      <c r="Q82" s="310">
        <f>COUNTIFS(input!$O:$O,March!$Q$61,input!$G:$G,March!N82,input!$A:$A,March!$B$2)</f>
        <v>0</v>
      </c>
      <c r="R82" s="310">
        <f>COUNTIFS(input!$O:$O,March!$R$61,input!$G:$G,March!N82,input!$A:$A,March!$B$2)</f>
        <v>0</v>
      </c>
      <c r="S82" s="310">
        <f>COUNTIFS(input!$O:$O,March!$S$61,input!$G:$G,March!N82,input!$A:$A,March!$B$2)</f>
        <v>0</v>
      </c>
      <c r="T82" s="314">
        <f>COUNTIFS(input!$O:$O,March!$T$61,input!$G:$G,March!N82,input!$A:$A,March!$B$2)</f>
        <v>0</v>
      </c>
      <c r="U82" s="314">
        <f>COUNTIFS(input!$O:$O,March!$U$61,input!$G:$G,March!N82,input!$A:$A,March!$B$2)</f>
        <v>0</v>
      </c>
      <c r="V82" s="314">
        <f>COUNTIFS(input!$O:$O,March!$V$61,input!$G:$G,March!N82,input!$A:$A,March!$B$2)</f>
        <v>0</v>
      </c>
      <c r="W82" s="314">
        <f>COUNTIFS(input!$O:$O,March!$W$61,input!$G:$G,March!N82,input!$A:$A,March!$B$2)</f>
        <v>0</v>
      </c>
      <c r="X82" s="314">
        <f>COUNTIFS(input!$O:$O,March!$X$61,input!$G:$G,March!N82,input!$A:$A,March!$B$2)</f>
        <v>0</v>
      </c>
      <c r="Y82" s="312">
        <f t="shared" si="5"/>
        <v>0</v>
      </c>
      <c r="Z82" s="339" cm="1">
        <f t="array" ref="Z82">_xlfn.IFS(Y82=0,0,Y82&gt;=1,Y82/$Y$96)</f>
        <v>0</v>
      </c>
    </row>
    <row r="83" spans="2:26" ht="92" x14ac:dyDescent="0.25">
      <c r="B83" s="1109"/>
      <c r="C83" s="1110"/>
      <c r="D83" s="1114"/>
      <c r="E83" s="1114"/>
      <c r="F83" s="1114"/>
      <c r="G83" s="1054"/>
      <c r="H83" s="1054"/>
      <c r="I83" s="1057"/>
      <c r="J83" s="1054"/>
      <c r="K83" s="1054"/>
      <c r="L83" s="1024"/>
      <c r="M83" s="1027"/>
      <c r="N83" s="990" t="s">
        <v>678</v>
      </c>
      <c r="O83" s="1016"/>
      <c r="P83" s="991"/>
      <c r="Q83" s="310">
        <f>COUNTIFS(input!$O:$O,March!$Q$61,input!$G:$G,March!N83,input!$A:$A,March!$B$2)</f>
        <v>0</v>
      </c>
      <c r="R83" s="310">
        <f>COUNTIFS(input!$O:$O,March!$R$61,input!$G:$G,March!N83,input!$A:$A,March!$B$2)</f>
        <v>0</v>
      </c>
      <c r="S83" s="310">
        <f>COUNTIFS(input!$O:$O,March!$S$61,input!$G:$G,March!N83,input!$A:$A,March!$B$2)</f>
        <v>0</v>
      </c>
      <c r="T83" s="314">
        <f>COUNTIFS(input!$O:$O,March!$T$61,input!$G:$G,March!N83,input!$A:$A,March!$B$2)</f>
        <v>0</v>
      </c>
      <c r="U83" s="314">
        <f>COUNTIFS(input!$O:$O,March!$U$61,input!$G:$G,March!N83,input!$A:$A,March!$B$2)</f>
        <v>0</v>
      </c>
      <c r="V83" s="314">
        <f>COUNTIFS(input!$O:$O,March!$V$61,input!$G:$G,March!N83,input!$A:$A,March!$B$2)</f>
        <v>0</v>
      </c>
      <c r="W83" s="314">
        <f>COUNTIFS(input!$O:$O,March!$W$61,input!$G:$G,March!N83,input!$A:$A,March!$B$2)</f>
        <v>0</v>
      </c>
      <c r="X83" s="314">
        <f>COUNTIFS(input!$O:$O,March!$X$61,input!$G:$G,March!N83,input!$A:$A,March!$B$2)</f>
        <v>1</v>
      </c>
      <c r="Y83" s="312">
        <f t="shared" si="5"/>
        <v>1</v>
      </c>
      <c r="Z83" s="339" cm="1">
        <f t="array" ref="Z83">_xlfn.IFS(Y83=0,0,Y83&gt;=1,Y83/$Y$96)</f>
        <v>4.1666666666666664E-2</v>
      </c>
    </row>
    <row r="84" spans="2:26" ht="92" x14ac:dyDescent="0.25">
      <c r="B84" s="1028" t="s">
        <v>15</v>
      </c>
      <c r="C84" s="1029"/>
      <c r="D84" s="1034">
        <f>COUNTIFS(input!$O:$O,March!$D$61,input!$K:$K,March!B84,input!$A:$A,March!$B$2)</f>
        <v>0</v>
      </c>
      <c r="E84" s="1037">
        <f>COUNTIFS(input!$O:$O,March!$E$61,input!$K:$K,March!B84,input!$A:$A,March!$B$2)</f>
        <v>0</v>
      </c>
      <c r="F84" s="1037">
        <f>COUNTIFS(input!$O:$O,March!$F$61,input!$K:$K,March!B84,input!$A:$A,March!$B$2)</f>
        <v>0</v>
      </c>
      <c r="G84" s="1040">
        <f>COUNTIFS(input!$O:$O,March!$G$61,input!$K:$K,March!B84,input!$A:$A,March!$B$2)</f>
        <v>1</v>
      </c>
      <c r="H84" s="1043">
        <f>COUNTIFS(input!$O:$O,March!$H$61,input!$K:$K,March!B84,input!$A:$A,March!$B$2)</f>
        <v>0</v>
      </c>
      <c r="I84" s="1046">
        <f>COUNTIFS(input!$O:$O,March!$I$61,input!$K:$K,March!B84,input!$A:$A,March!$B$2)</f>
        <v>0</v>
      </c>
      <c r="J84" s="1049">
        <f>COUNTIFS(input!$O:$O,March!$J$61,input!$K:$K,March!B84,input!$A:$A,March!$B$2)</f>
        <v>1</v>
      </c>
      <c r="K84" s="1049">
        <f>COUNTIFS(input!$O:$O,March!$K$61,input!$K:$K,March!B84,input!$A:$A,March!$B$2)</f>
        <v>7</v>
      </c>
      <c r="L84" s="1011">
        <f>SUM(D84:K95)</f>
        <v>9</v>
      </c>
      <c r="M84" s="1013">
        <f>_xlfn.IFS(L84=0,0,L84&gt;=1,L84/L96)</f>
        <v>0.375</v>
      </c>
      <c r="N84" s="998" t="s">
        <v>710</v>
      </c>
      <c r="O84" s="993"/>
      <c r="P84" s="994"/>
      <c r="Q84" s="310">
        <f>COUNTIFS(input!$O:$O,March!$Q$61,input!$G:$G,March!N84,input!$A:$A,March!$B$2)</f>
        <v>0</v>
      </c>
      <c r="R84" s="310">
        <f>COUNTIFS(input!$O:$O,March!$R$61,input!$G:$G,March!N84,input!$A:$A,March!$B$2)</f>
        <v>0</v>
      </c>
      <c r="S84" s="310">
        <f>COUNTIFS(input!$O:$O,March!$S$61,input!$G:$G,March!N84,input!$A:$A,March!$B$2)</f>
        <v>0</v>
      </c>
      <c r="T84" s="314">
        <f>COUNTIFS(input!$O:$O,March!$T$61,input!$G:$G,March!N84,input!$A:$A,March!$B$2)</f>
        <v>0</v>
      </c>
      <c r="U84" s="314">
        <f>COUNTIFS(input!$O:$O,March!$U$61,input!$G:$G,March!N84,input!$A:$A,March!$B$2)</f>
        <v>0</v>
      </c>
      <c r="V84" s="314">
        <f>COUNTIFS(input!$O:$O,March!$V$61,input!$G:$G,March!N84,input!$A:$A,March!$B$2)</f>
        <v>0</v>
      </c>
      <c r="W84" s="314">
        <f>COUNTIFS(input!$O:$O,March!$W$61,input!$G:$G,March!N84,input!$A:$A,March!$B$2)</f>
        <v>0</v>
      </c>
      <c r="X84" s="314">
        <f>COUNTIFS(input!$O:$O,March!$X$61,input!$G:$G,March!N84,input!$A:$A,March!$B$2)</f>
        <v>1</v>
      </c>
      <c r="Y84" s="312">
        <f t="shared" si="5"/>
        <v>1</v>
      </c>
      <c r="Z84" s="339" cm="1">
        <f t="array" ref="Z84">_xlfn.IFS(Y84=0,0,Y84&gt;=1,Y84/$Y$96)</f>
        <v>4.1666666666666664E-2</v>
      </c>
    </row>
    <row r="85" spans="2:26" ht="92" x14ac:dyDescent="0.25">
      <c r="B85" s="1030"/>
      <c r="C85" s="1031"/>
      <c r="D85" s="1035"/>
      <c r="E85" s="1038"/>
      <c r="F85" s="1038"/>
      <c r="G85" s="1041"/>
      <c r="H85" s="1044"/>
      <c r="I85" s="1047"/>
      <c r="J85" s="1050"/>
      <c r="K85" s="1050"/>
      <c r="L85" s="1011"/>
      <c r="M85" s="1014"/>
      <c r="N85" s="998" t="s">
        <v>715</v>
      </c>
      <c r="O85" s="993"/>
      <c r="P85" s="994"/>
      <c r="Q85" s="310">
        <f>COUNTIFS(input!$O:$O,March!$Q$61,input!$G:$G,March!N85,input!$A:$A,March!$B$2)</f>
        <v>0</v>
      </c>
      <c r="R85" s="310">
        <f>COUNTIFS(input!$O:$O,March!$R$61,input!$G:$G,March!N85,input!$A:$A,March!$B$2)</f>
        <v>0</v>
      </c>
      <c r="S85" s="310">
        <f>COUNTIFS(input!$O:$O,March!$S$61,input!$G:$G,March!N85,input!$A:$A,March!$B$2)</f>
        <v>0</v>
      </c>
      <c r="T85" s="314">
        <f>COUNTIFS(input!$O:$O,March!$T$61,input!$G:$G,March!N85,input!$A:$A,March!$B$2)</f>
        <v>0</v>
      </c>
      <c r="U85" s="314">
        <f>COUNTIFS(input!$O:$O,March!$U$61,input!$G:$G,March!N85,input!$A:$A,March!$B$2)</f>
        <v>0</v>
      </c>
      <c r="V85" s="314">
        <f>COUNTIFS(input!$O:$O,March!$V$61,input!$G:$G,March!N85,input!$A:$A,March!$B$2)</f>
        <v>0</v>
      </c>
      <c r="W85" s="314">
        <f>COUNTIFS(input!$O:$O,March!$W$61,input!$G:$G,March!N85,input!$A:$A,March!$B$2)</f>
        <v>0</v>
      </c>
      <c r="X85" s="314">
        <f>COUNTIFS(input!$O:$O,March!$X$61,input!$G:$G,March!N85,input!$A:$A,March!$B$2)</f>
        <v>0</v>
      </c>
      <c r="Y85" s="312">
        <f t="shared" si="5"/>
        <v>0</v>
      </c>
      <c r="Z85" s="339" cm="1">
        <f t="array" ref="Z85">_xlfn.IFS(Y85=0,0,Y85&gt;=1,Y85/$Y$96)</f>
        <v>0</v>
      </c>
    </row>
    <row r="86" spans="2:26" ht="92" x14ac:dyDescent="0.25">
      <c r="B86" s="1030"/>
      <c r="C86" s="1031"/>
      <c r="D86" s="1035"/>
      <c r="E86" s="1038"/>
      <c r="F86" s="1038"/>
      <c r="G86" s="1041"/>
      <c r="H86" s="1044"/>
      <c r="I86" s="1047"/>
      <c r="J86" s="1050"/>
      <c r="K86" s="1050"/>
      <c r="L86" s="1011"/>
      <c r="M86" s="1014"/>
      <c r="N86" s="990" t="s">
        <v>704</v>
      </c>
      <c r="O86" s="1016"/>
      <c r="P86" s="991"/>
      <c r="Q86" s="310">
        <f>COUNTIFS(input!$O:$O,March!$Q$61,input!$G:$G,March!N86,input!$A:$A,March!$B$2)</f>
        <v>0</v>
      </c>
      <c r="R86" s="310">
        <f>COUNTIFS(input!$O:$O,March!$R$61,input!$G:$G,March!N86,input!$A:$A,March!$B$2)</f>
        <v>0</v>
      </c>
      <c r="S86" s="310">
        <f>COUNTIFS(input!$O:$O,March!$S$61,input!$G:$G,March!N86,input!$A:$A,March!$B$2)</f>
        <v>0</v>
      </c>
      <c r="T86" s="314">
        <f>COUNTIFS(input!$O:$O,March!$T$61,input!$G:$G,March!N86,input!$A:$A,March!$B$2)</f>
        <v>0</v>
      </c>
      <c r="U86" s="314">
        <f>COUNTIFS(input!$O:$O,March!$U$61,input!$G:$G,March!N86,input!$A:$A,March!$B$2)</f>
        <v>0</v>
      </c>
      <c r="V86" s="314">
        <f>COUNTIFS(input!$O:$O,March!$V$61,input!$G:$G,March!N86,input!$A:$A,March!$B$2)</f>
        <v>0</v>
      </c>
      <c r="W86" s="314">
        <f>COUNTIFS(input!$O:$O,March!$W$61,input!$G:$G,March!N86,input!$A:$A,March!$B$2)</f>
        <v>0</v>
      </c>
      <c r="X86" s="314">
        <f>COUNTIFS(input!$O:$O,March!$X$61,input!$G:$G,March!N86,input!$A:$A,March!$B$2)</f>
        <v>0</v>
      </c>
      <c r="Y86" s="312">
        <f t="shared" si="5"/>
        <v>0</v>
      </c>
      <c r="Z86" s="339" cm="1">
        <f t="array" ref="Z86">_xlfn.IFS(Y86=0,0,Y86&gt;=1,Y86/$Y$96)</f>
        <v>0</v>
      </c>
    </row>
    <row r="87" spans="2:26" ht="92" x14ac:dyDescent="0.25">
      <c r="B87" s="1030"/>
      <c r="C87" s="1031"/>
      <c r="D87" s="1035"/>
      <c r="E87" s="1038"/>
      <c r="F87" s="1038"/>
      <c r="G87" s="1041"/>
      <c r="H87" s="1044"/>
      <c r="I87" s="1047"/>
      <c r="J87" s="1050"/>
      <c r="K87" s="1050"/>
      <c r="L87" s="1011"/>
      <c r="M87" s="1014"/>
      <c r="N87" s="990" t="s">
        <v>876</v>
      </c>
      <c r="O87" s="1016"/>
      <c r="P87" s="991"/>
      <c r="Q87" s="310">
        <f>COUNTIFS(input!$O:$O,March!$Q$61,input!$G:$G,March!N87,input!$A:$A,March!$B$2)</f>
        <v>0</v>
      </c>
      <c r="R87" s="310">
        <f>COUNTIFS(input!$O:$O,March!$R$61,input!$G:$G,March!N87,input!$A:$A,March!$B$2)</f>
        <v>0</v>
      </c>
      <c r="S87" s="310">
        <f>COUNTIFS(input!$O:$O,March!$S$61,input!$G:$G,March!N87,input!$A:$A,March!$B$2)</f>
        <v>0</v>
      </c>
      <c r="T87" s="314">
        <f>COUNTIFS(input!$O:$O,March!$T$61,input!$G:$G,March!N87,input!$A:$A,March!$B$2)</f>
        <v>0</v>
      </c>
      <c r="U87" s="314">
        <f>COUNTIFS(input!$O:$O,March!$U$61,input!$G:$G,March!N87,input!$A:$A,March!$B$2)</f>
        <v>0</v>
      </c>
      <c r="V87" s="314">
        <f>COUNTIFS(input!$O:$O,March!$V$61,input!$G:$G,March!N87,input!$A:$A,March!$B$2)</f>
        <v>0</v>
      </c>
      <c r="W87" s="314">
        <f>COUNTIFS(input!$O:$O,March!$W$61,input!$G:$G,March!N87,input!$A:$A,March!$B$2)</f>
        <v>0</v>
      </c>
      <c r="X87" s="314">
        <f>COUNTIFS(input!$O:$O,March!$X$61,input!$G:$G,March!N87,input!$A:$A,March!$B$2)</f>
        <v>1</v>
      </c>
      <c r="Y87" s="312">
        <f t="shared" si="5"/>
        <v>1</v>
      </c>
      <c r="Z87" s="339" cm="1">
        <f t="array" ref="Z87">_xlfn.IFS(Y87=0,0,Y87&gt;=1,Y87/$Y$96)</f>
        <v>4.1666666666666664E-2</v>
      </c>
    </row>
    <row r="88" spans="2:26" ht="92" x14ac:dyDescent="0.25">
      <c r="B88" s="1030"/>
      <c r="C88" s="1031"/>
      <c r="D88" s="1035"/>
      <c r="E88" s="1038"/>
      <c r="F88" s="1038"/>
      <c r="G88" s="1041"/>
      <c r="H88" s="1044"/>
      <c r="I88" s="1047"/>
      <c r="J88" s="1050"/>
      <c r="K88" s="1050"/>
      <c r="L88" s="1011"/>
      <c r="M88" s="1014"/>
      <c r="N88" s="990" t="s">
        <v>898</v>
      </c>
      <c r="O88" s="1016"/>
      <c r="P88" s="991"/>
      <c r="Q88" s="310">
        <f>COUNTIFS(input!$O:$O,March!$Q$61,input!$G:$G,March!N88,input!$A:$A,March!$B$2)</f>
        <v>0</v>
      </c>
      <c r="R88" s="310">
        <f>COUNTIFS(input!$O:$O,March!$R$61,input!$G:$G,March!N88,input!$A:$A,March!$B$2)</f>
        <v>0</v>
      </c>
      <c r="S88" s="310">
        <f>COUNTIFS(input!$O:$O,March!$S$61,input!$G:$G,March!N88,input!$A:$A,March!$B$2)</f>
        <v>0</v>
      </c>
      <c r="T88" s="314">
        <f>COUNTIFS(input!$O:$O,March!$T$61,input!$G:$G,March!N88,input!$A:$A,March!$B$2)</f>
        <v>0</v>
      </c>
      <c r="U88" s="314">
        <f>COUNTIFS(input!$O:$O,March!$U$61,input!$G:$G,March!N88,input!$A:$A,March!$B$2)</f>
        <v>0</v>
      </c>
      <c r="V88" s="314">
        <f>COUNTIFS(input!$O:$O,March!$V$61,input!$G:$G,March!N88,input!$A:$A,March!$B$2)</f>
        <v>0</v>
      </c>
      <c r="W88" s="314">
        <f>COUNTIFS(input!$O:$O,March!$W$61,input!$G:$G,March!N88,input!$A:$A,March!$B$2)</f>
        <v>0</v>
      </c>
      <c r="X88" s="314">
        <f>COUNTIFS(input!$O:$O,March!$X$61,input!$G:$G,March!N88,input!$A:$A,March!$B$2)</f>
        <v>1</v>
      </c>
      <c r="Y88" s="312">
        <f t="shared" si="5"/>
        <v>1</v>
      </c>
      <c r="Z88" s="339" cm="1">
        <f t="array" ref="Z88">_xlfn.IFS(Y88=0,0,Y88&gt;=1,Y88/$Y$96)</f>
        <v>4.1666666666666664E-2</v>
      </c>
    </row>
    <row r="89" spans="2:26" ht="92" x14ac:dyDescent="0.25">
      <c r="B89" s="1030"/>
      <c r="C89" s="1031"/>
      <c r="D89" s="1035"/>
      <c r="E89" s="1038"/>
      <c r="F89" s="1038"/>
      <c r="G89" s="1041"/>
      <c r="H89" s="1044"/>
      <c r="I89" s="1047"/>
      <c r="J89" s="1050"/>
      <c r="K89" s="1050"/>
      <c r="L89" s="1011"/>
      <c r="M89" s="1014"/>
      <c r="N89" s="990" t="s">
        <v>915</v>
      </c>
      <c r="O89" s="1016"/>
      <c r="P89" s="991"/>
      <c r="Q89" s="310">
        <f>COUNTIFS(input!$O:$O,March!$Q$61,input!$G:$G,March!N89,input!$A:$A,March!$B$2)</f>
        <v>0</v>
      </c>
      <c r="R89" s="310">
        <f>COUNTIFS(input!$O:$O,March!$R$61,input!$G:$G,March!N89,input!$A:$A,March!$B$2)</f>
        <v>0</v>
      </c>
      <c r="S89" s="310">
        <f>COUNTIFS(input!$O:$O,March!$S$61,input!$G:$G,March!N89,input!$A:$A,March!$B$2)</f>
        <v>0</v>
      </c>
      <c r="T89" s="314">
        <f>COUNTIFS(input!$O:$O,March!$T$61,input!$G:$G,March!N89,input!$A:$A,March!$B$2)</f>
        <v>0</v>
      </c>
      <c r="U89" s="314">
        <f>COUNTIFS(input!$O:$O,March!$U$61,input!$G:$G,March!N89,input!$A:$A,March!$B$2)</f>
        <v>0</v>
      </c>
      <c r="V89" s="314">
        <f>COUNTIFS(input!$O:$O,March!$V$61,input!$G:$G,March!N89,input!$A:$A,March!$B$2)</f>
        <v>0</v>
      </c>
      <c r="W89" s="314">
        <f>COUNTIFS(input!$O:$O,March!$W$61,input!$G:$G,March!N89,input!$A:$A,March!$B$2)</f>
        <v>0</v>
      </c>
      <c r="X89" s="314">
        <f>COUNTIFS(input!$O:$O,March!$X$61,input!$G:$G,March!N89,input!$A:$A,March!$B$2)</f>
        <v>1</v>
      </c>
      <c r="Y89" s="312">
        <f t="shared" si="5"/>
        <v>1</v>
      </c>
      <c r="Z89" s="339" cm="1">
        <f t="array" ref="Z89">_xlfn.IFS(Y89=0,0,Y89&gt;=1,Y89/$Y$96)</f>
        <v>4.1666666666666664E-2</v>
      </c>
    </row>
    <row r="90" spans="2:26" ht="92" x14ac:dyDescent="0.25">
      <c r="B90" s="1030"/>
      <c r="C90" s="1031"/>
      <c r="D90" s="1035"/>
      <c r="E90" s="1038"/>
      <c r="F90" s="1038"/>
      <c r="G90" s="1041"/>
      <c r="H90" s="1044"/>
      <c r="I90" s="1047"/>
      <c r="J90" s="1050"/>
      <c r="K90" s="1050"/>
      <c r="L90" s="1011"/>
      <c r="M90" s="1014"/>
      <c r="N90" s="998" t="s">
        <v>877</v>
      </c>
      <c r="O90" s="993"/>
      <c r="P90" s="994"/>
      <c r="Q90" s="310">
        <f>COUNTIFS(input!$O:$O,March!$Q$61,input!$G:$G,March!N90,input!$A:$A,March!$B$2)</f>
        <v>0</v>
      </c>
      <c r="R90" s="310">
        <f>COUNTIFS(input!$O:$O,March!$R$61,input!$G:$G,March!N90,input!$A:$A,March!$B$2)</f>
        <v>0</v>
      </c>
      <c r="S90" s="310">
        <f>COUNTIFS(input!$O:$O,March!$S$61,input!$G:$G,March!N90,input!$A:$A,March!$B$2)</f>
        <v>0</v>
      </c>
      <c r="T90" s="314">
        <f>COUNTIFS(input!$O:$O,March!$T$61,input!$G:$G,March!N90,input!$A:$A,March!$B$2)</f>
        <v>0</v>
      </c>
      <c r="U90" s="314">
        <f>COUNTIFS(input!$O:$O,March!$U$61,input!$G:$G,March!N90,input!$A:$A,March!$B$2)</f>
        <v>0</v>
      </c>
      <c r="V90" s="314">
        <f>COUNTIFS(input!$O:$O,March!$V$61,input!$G:$G,March!N90,input!$A:$A,March!$B$2)</f>
        <v>0</v>
      </c>
      <c r="W90" s="314">
        <f>COUNTIFS(input!$O:$O,March!$W$61,input!$G:$G,March!N90,input!$A:$A,March!$B$2)</f>
        <v>0</v>
      </c>
      <c r="X90" s="314">
        <f>COUNTIFS(input!$O:$O,March!$X$61,input!$G:$G,March!N90,input!$A:$A,March!$B$2)</f>
        <v>3</v>
      </c>
      <c r="Y90" s="312">
        <f t="shared" si="5"/>
        <v>3</v>
      </c>
      <c r="Z90" s="339" cm="1">
        <f t="array" ref="Z90">_xlfn.IFS(Y90=0,0,Y90&gt;=1,Y90/$Y$96)</f>
        <v>0.125</v>
      </c>
    </row>
    <row r="91" spans="2:26" ht="92" x14ac:dyDescent="0.25">
      <c r="B91" s="1030"/>
      <c r="C91" s="1031"/>
      <c r="D91" s="1035"/>
      <c r="E91" s="1038"/>
      <c r="F91" s="1038"/>
      <c r="G91" s="1041"/>
      <c r="H91" s="1044"/>
      <c r="I91" s="1047"/>
      <c r="J91" s="1050"/>
      <c r="K91" s="1050"/>
      <c r="L91" s="1011"/>
      <c r="M91" s="1014"/>
      <c r="N91" s="998" t="s">
        <v>895</v>
      </c>
      <c r="O91" s="993"/>
      <c r="P91" s="994"/>
      <c r="Q91" s="310">
        <f>COUNTIFS(input!$O:$O,March!$Q$61,input!$G:$G,March!N91,input!$A:$A,March!$B$2)</f>
        <v>0</v>
      </c>
      <c r="R91" s="310">
        <f>COUNTIFS(input!$O:$O,March!$R$61,input!$G:$G,March!N91,input!$A:$A,March!$B$2)</f>
        <v>0</v>
      </c>
      <c r="S91" s="310">
        <f>COUNTIFS(input!$O:$O,March!$S$61,input!$G:$G,March!N91,input!$A:$A,March!$B$2)</f>
        <v>0</v>
      </c>
      <c r="T91" s="314">
        <f>COUNTIFS(input!$O:$O,March!$T$61,input!$G:$G,March!N91,input!$A:$A,March!$B$2)</f>
        <v>0</v>
      </c>
      <c r="U91" s="314">
        <f>COUNTIFS(input!$O:$O,March!$U$61,input!$G:$G,March!N91,input!$A:$A,March!$B$2)</f>
        <v>0</v>
      </c>
      <c r="V91" s="314">
        <f>COUNTIFS(input!$O:$O,March!$V$61,input!$G:$G,March!N91,input!$A:$A,March!$B$2)</f>
        <v>0</v>
      </c>
      <c r="W91" s="314">
        <f>COUNTIFS(input!$O:$O,March!$W$61,input!$G:$G,March!N91,input!$A:$A,March!$B$2)</f>
        <v>0</v>
      </c>
      <c r="X91" s="314">
        <f>COUNTIFS(input!$O:$O,March!$X$61,input!$G:$G,March!N91,input!$A:$A,March!$B$2)</f>
        <v>1</v>
      </c>
      <c r="Y91" s="312">
        <f t="shared" si="5"/>
        <v>1</v>
      </c>
      <c r="Z91" s="339" cm="1">
        <f t="array" ref="Z91">_xlfn.IFS(Y91=0,0,Y91&gt;=1,Y91/$Y$96)</f>
        <v>4.1666666666666664E-2</v>
      </c>
    </row>
    <row r="92" spans="2:26" ht="92" x14ac:dyDescent="0.25">
      <c r="B92" s="1030"/>
      <c r="C92" s="1031"/>
      <c r="D92" s="1035"/>
      <c r="E92" s="1038"/>
      <c r="F92" s="1038"/>
      <c r="G92" s="1041"/>
      <c r="H92" s="1044"/>
      <c r="I92" s="1047"/>
      <c r="J92" s="1050"/>
      <c r="K92" s="1050"/>
      <c r="L92" s="1011"/>
      <c r="M92" s="1014"/>
      <c r="N92" s="990" t="s">
        <v>1185</v>
      </c>
      <c r="O92" s="1016"/>
      <c r="P92" s="991"/>
      <c r="Q92" s="310">
        <f>COUNTIFS(input!$O:$O,March!$Q$61,input!$G:$G,March!N92,input!$A:$A,March!$B$2)</f>
        <v>0</v>
      </c>
      <c r="R92" s="310">
        <f>COUNTIFS(input!$O:$O,March!$R$61,input!$G:$G,March!N92,input!$A:$A,March!$B$2)</f>
        <v>0</v>
      </c>
      <c r="S92" s="310">
        <f>COUNTIFS(input!$O:$O,March!$S$61,input!$G:$G,March!N92,input!$A:$A,March!$B$2)</f>
        <v>0</v>
      </c>
      <c r="T92" s="314">
        <f>COUNTIFS(input!$O:$O,March!$T$61,input!$G:$G,March!N92,input!$A:$A,March!$B$2)</f>
        <v>0</v>
      </c>
      <c r="U92" s="314">
        <f>COUNTIFS(input!$O:$O,March!$U$61,input!$G:$G,March!N92,input!$A:$A,March!$B$2)</f>
        <v>0</v>
      </c>
      <c r="V92" s="314">
        <f>COUNTIFS(input!$O:$O,March!$V$61,input!$G:$G,March!N92,input!$A:$A,March!$B$2)</f>
        <v>0</v>
      </c>
      <c r="W92" s="314">
        <f>COUNTIFS(input!$O:$O,March!$W$61,input!$G:$G,March!N92,input!$A:$A,March!$B$2)</f>
        <v>0</v>
      </c>
      <c r="X92" s="314">
        <f>COUNTIFS(input!$O:$O,March!$X$61,input!$G:$G,March!N92,input!$A:$A,March!$B$2)</f>
        <v>1</v>
      </c>
      <c r="Y92" s="312">
        <f t="shared" si="5"/>
        <v>1</v>
      </c>
      <c r="Z92" s="339" cm="1">
        <f t="array" ref="Z92">_xlfn.IFS(Y92=0,0,Y92&gt;=1,Y92/$Y$96)</f>
        <v>4.1666666666666664E-2</v>
      </c>
    </row>
    <row r="93" spans="2:26" ht="92" x14ac:dyDescent="0.25">
      <c r="B93" s="1030"/>
      <c r="C93" s="1031"/>
      <c r="D93" s="1035"/>
      <c r="E93" s="1038"/>
      <c r="F93" s="1038"/>
      <c r="G93" s="1041"/>
      <c r="H93" s="1044"/>
      <c r="I93" s="1047"/>
      <c r="J93" s="1050"/>
      <c r="K93" s="1050"/>
      <c r="L93" s="1011"/>
      <c r="M93" s="1014"/>
      <c r="N93" s="1019"/>
      <c r="O93" s="1020"/>
      <c r="P93" s="1021"/>
      <c r="Q93" s="310">
        <f>COUNTIFS(input!$O:$O,March!$Q$61,input!$G:$G,March!N93,input!$A:$A,March!$B$2)</f>
        <v>0</v>
      </c>
      <c r="R93" s="310">
        <f>COUNTIFS(input!$O:$O,March!$R$61,input!$G:$G,March!N93,input!$A:$A,March!$B$2)</f>
        <v>0</v>
      </c>
      <c r="S93" s="310">
        <f>COUNTIFS(input!$O:$O,March!$S$61,input!$G:$G,March!N93,input!$A:$A,March!$B$2)</f>
        <v>0</v>
      </c>
      <c r="T93" s="314">
        <f>COUNTIFS(input!$O:$O,March!$T$61,input!$G:$G,March!N93,input!$A:$A,March!$B$2)</f>
        <v>0</v>
      </c>
      <c r="U93" s="314">
        <f>COUNTIFS(input!$O:$O,March!$U$61,input!$G:$G,March!N93,input!$A:$A,March!$B$2)</f>
        <v>0</v>
      </c>
      <c r="V93" s="314">
        <f>COUNTIFS(input!$O:$O,March!$V$61,input!$G:$G,March!N93,input!$A:$A,March!$B$2)</f>
        <v>0</v>
      </c>
      <c r="W93" s="314">
        <f>COUNTIFS(input!$O:$O,March!$W$61,input!$G:$G,March!N93,input!$A:$A,March!$B$2)</f>
        <v>0</v>
      </c>
      <c r="X93" s="314">
        <f>COUNTIFS(input!$O:$O,March!$X$61,input!$G:$G,March!N93,input!$A:$A,March!$B$2)</f>
        <v>0</v>
      </c>
      <c r="Y93" s="312">
        <f t="shared" si="5"/>
        <v>0</v>
      </c>
      <c r="Z93" s="339" cm="1">
        <f t="array" ref="Z93">_xlfn.IFS(Y93=0,0,Y93&gt;=1,Y93/$Y$96)</f>
        <v>0</v>
      </c>
    </row>
    <row r="94" spans="2:26" ht="92" x14ac:dyDescent="0.25">
      <c r="B94" s="1030"/>
      <c r="C94" s="1031"/>
      <c r="D94" s="1035"/>
      <c r="E94" s="1038"/>
      <c r="F94" s="1038"/>
      <c r="G94" s="1041"/>
      <c r="H94" s="1044"/>
      <c r="I94" s="1047"/>
      <c r="J94" s="1050"/>
      <c r="K94" s="1050"/>
      <c r="L94" s="1011"/>
      <c r="M94" s="1014"/>
      <c r="N94" s="1019"/>
      <c r="O94" s="1020"/>
      <c r="P94" s="1021"/>
      <c r="Q94" s="310">
        <f>COUNTIFS(input!$O:$O,March!$Q$61,input!$G:$G,March!N94,input!$A:$A,March!$B$2)</f>
        <v>0</v>
      </c>
      <c r="R94" s="310">
        <f>COUNTIFS(input!$O:$O,March!$R$61,input!$G:$G,March!N94,input!$A:$A,March!$B$2)</f>
        <v>0</v>
      </c>
      <c r="S94" s="310">
        <f>COUNTIFS(input!$O:$O,March!$S$61,input!$G:$G,March!N94,input!$A:$A,March!$B$2)</f>
        <v>0</v>
      </c>
      <c r="T94" s="314">
        <f>COUNTIFS(input!$O:$O,March!$T$61,input!$G:$G,March!N94,input!$A:$A,March!$B$2)</f>
        <v>0</v>
      </c>
      <c r="U94" s="314">
        <f>COUNTIFS(input!$O:$O,March!$U$61,input!$G:$G,March!N94,input!$A:$A,March!$B$2)</f>
        <v>0</v>
      </c>
      <c r="V94" s="314">
        <f>COUNTIFS(input!$O:$O,March!$V$61,input!$G:$G,March!N94,input!$A:$A,March!$B$2)</f>
        <v>0</v>
      </c>
      <c r="W94" s="314">
        <f>COUNTIFS(input!$O:$O,March!$W$61,input!$G:$G,March!N94,input!$A:$A,March!$B$2)</f>
        <v>0</v>
      </c>
      <c r="X94" s="314">
        <f>COUNTIFS(input!$O:$O,March!$X$61,input!$G:$G,March!N94,input!$A:$A,March!$B$2)</f>
        <v>0</v>
      </c>
      <c r="Y94" s="312">
        <f t="shared" si="5"/>
        <v>0</v>
      </c>
      <c r="Z94" s="339" cm="1">
        <f t="array" ref="Z94">_xlfn.IFS(Y94=0,0,Y94&gt;=1,Y94/$Y$96)</f>
        <v>0</v>
      </c>
    </row>
    <row r="95" spans="2:26" ht="92" x14ac:dyDescent="0.25">
      <c r="B95" s="1032"/>
      <c r="C95" s="1033"/>
      <c r="D95" s="1036"/>
      <c r="E95" s="1039"/>
      <c r="F95" s="1039"/>
      <c r="G95" s="1042"/>
      <c r="H95" s="1045"/>
      <c r="I95" s="1048"/>
      <c r="J95" s="1051"/>
      <c r="K95" s="1051"/>
      <c r="L95" s="1012"/>
      <c r="M95" s="1015"/>
      <c r="N95" s="1017"/>
      <c r="O95" s="1017"/>
      <c r="P95" s="1018"/>
      <c r="Q95" s="310">
        <f>COUNTIFS(input!$O:$O,March!$Q$61,input!$G:$G,March!N95,input!$A:$A,March!$B$2)</f>
        <v>0</v>
      </c>
      <c r="R95" s="310">
        <f>COUNTIFS(input!$O:$O,March!$R$61,input!$G:$G,March!N95,input!$A:$A,March!$B$2)</f>
        <v>0</v>
      </c>
      <c r="S95" s="310">
        <f>COUNTIFS(input!$O:$O,March!$S$61,input!$G:$G,March!N95,input!$A:$A,March!$B$2)</f>
        <v>0</v>
      </c>
      <c r="T95" s="314">
        <f>COUNTIFS(input!$O:$O,March!$T$61,input!$G:$G,March!N95,input!$A:$A,March!$B$2)</f>
        <v>0</v>
      </c>
      <c r="U95" s="314">
        <f>COUNTIFS(input!$O:$O,March!$U$61,input!$G:$G,March!N95,input!$A:$A,March!$B$2)</f>
        <v>0</v>
      </c>
      <c r="V95" s="314">
        <f>COUNTIFS(input!$O:$O,March!$V$61,input!$G:$G,March!N95,input!$A:$A,March!$B$2)</f>
        <v>0</v>
      </c>
      <c r="W95" s="314">
        <f>COUNTIFS(input!$O:$O,March!$W$61,input!$G:$G,March!N95,input!$A:$A,March!$B$2)</f>
        <v>0</v>
      </c>
      <c r="X95" s="314">
        <f>COUNTIFS(input!$O:$O,March!$X$61,input!$G:$G,March!N95,input!$A:$A,March!$B$2)</f>
        <v>0</v>
      </c>
      <c r="Y95" s="312">
        <f t="shared" si="5"/>
        <v>0</v>
      </c>
      <c r="Z95" s="339" cm="1">
        <f t="array" ref="Z95">_xlfn.IFS(Y95=0,0,Y95&gt;=1,Y95/$Y$96)</f>
        <v>0</v>
      </c>
    </row>
    <row r="96" spans="2:26" ht="90.5" thickBot="1" x14ac:dyDescent="0.3">
      <c r="B96" s="1005" t="s">
        <v>4</v>
      </c>
      <c r="C96" s="984"/>
      <c r="D96" s="340">
        <f t="shared" ref="D96:M96" si="6">SUM(D62:D89)</f>
        <v>0</v>
      </c>
      <c r="E96" s="340">
        <f t="shared" si="6"/>
        <v>0</v>
      </c>
      <c r="F96" s="340">
        <f t="shared" si="6"/>
        <v>1</v>
      </c>
      <c r="G96" s="340">
        <f t="shared" si="6"/>
        <v>4</v>
      </c>
      <c r="H96" s="340">
        <f t="shared" si="6"/>
        <v>2</v>
      </c>
      <c r="I96" s="340">
        <f t="shared" si="6"/>
        <v>4</v>
      </c>
      <c r="J96" s="340">
        <f t="shared" si="6"/>
        <v>1</v>
      </c>
      <c r="K96" s="340">
        <f t="shared" si="6"/>
        <v>12</v>
      </c>
      <c r="L96" s="340">
        <f t="shared" si="6"/>
        <v>24</v>
      </c>
      <c r="M96" s="341">
        <f t="shared" si="6"/>
        <v>1</v>
      </c>
      <c r="N96" s="983" t="s">
        <v>4</v>
      </c>
      <c r="O96" s="983"/>
      <c r="P96" s="984"/>
      <c r="Q96" s="340">
        <f t="shared" ref="Q96:W96" si="7">SUM(Q62:Q89)</f>
        <v>0</v>
      </c>
      <c r="R96" s="340">
        <f t="shared" si="7"/>
        <v>0</v>
      </c>
      <c r="S96" s="340">
        <f t="shared" si="7"/>
        <v>1</v>
      </c>
      <c r="T96" s="340">
        <f t="shared" si="7"/>
        <v>4</v>
      </c>
      <c r="U96" s="340">
        <f t="shared" si="7"/>
        <v>2</v>
      </c>
      <c r="V96" s="340">
        <f t="shared" si="7"/>
        <v>4</v>
      </c>
      <c r="W96" s="340">
        <f t="shared" si="7"/>
        <v>1</v>
      </c>
      <c r="X96" s="340">
        <f>SUM(X62:X95)</f>
        <v>12</v>
      </c>
      <c r="Y96" s="340">
        <f>SUM(Y62:Y95)</f>
        <v>24</v>
      </c>
      <c r="Z96" s="341">
        <f>SUM(Z62:Z95)</f>
        <v>0.99999999999999978</v>
      </c>
    </row>
    <row r="97" spans="2:26" ht="360" x14ac:dyDescent="0.25">
      <c r="B97" s="1006" t="s">
        <v>44</v>
      </c>
      <c r="C97" s="1007"/>
      <c r="D97" s="308" t="s">
        <v>6</v>
      </c>
      <c r="E97" s="308" t="s">
        <v>2</v>
      </c>
      <c r="F97" s="308" t="s">
        <v>3</v>
      </c>
      <c r="G97" s="308" t="s">
        <v>1</v>
      </c>
      <c r="H97" s="308" t="s">
        <v>0</v>
      </c>
      <c r="I97" s="308" t="s">
        <v>53</v>
      </c>
      <c r="J97" s="308" t="s">
        <v>12</v>
      </c>
      <c r="K97" s="308" t="s">
        <v>693</v>
      </c>
      <c r="L97" s="308" t="s">
        <v>5</v>
      </c>
      <c r="M97" s="336" t="s">
        <v>40</v>
      </c>
      <c r="N97" s="1008" t="s">
        <v>70</v>
      </c>
      <c r="O97" s="1008"/>
      <c r="P97" s="1007"/>
      <c r="Q97" s="308" t="s">
        <v>6</v>
      </c>
      <c r="R97" s="308" t="s">
        <v>2</v>
      </c>
      <c r="S97" s="308" t="s">
        <v>3</v>
      </c>
      <c r="T97" s="308" t="s">
        <v>1</v>
      </c>
      <c r="U97" s="308" t="s">
        <v>0</v>
      </c>
      <c r="V97" s="308" t="s">
        <v>53</v>
      </c>
      <c r="W97" s="308" t="s">
        <v>12</v>
      </c>
      <c r="X97" s="308" t="s">
        <v>693</v>
      </c>
      <c r="Y97" s="308" t="s">
        <v>5</v>
      </c>
      <c r="Z97" s="309" t="s">
        <v>40</v>
      </c>
    </row>
    <row r="98" spans="2:26" ht="92" x14ac:dyDescent="0.25">
      <c r="B98" s="990" t="s">
        <v>357</v>
      </c>
      <c r="C98" s="991"/>
      <c r="D98" s="310">
        <f>COUNTIFS(input!$O:$O,March!$D$97,input!$W:$W,March!B98,input!$A:$A,March!$B$2)</f>
        <v>0</v>
      </c>
      <c r="E98" s="310">
        <f>COUNTIFS(input!$O:$O,March!$E$97,input!$W:$W,March!B98,input!$A:$A,March!$B$2)</f>
        <v>0</v>
      </c>
      <c r="F98" s="310">
        <f>COUNTIFS(input!$O:$O,March!$F$97,input!$W:$W,March!B98,input!$A:$A,March!$B$2)</f>
        <v>0</v>
      </c>
      <c r="G98" s="314">
        <f>COUNTIFS(input!$O:$O,March!$G$97,input!$W:$W,March!B98,input!$A:$A,March!$B$2)</f>
        <v>0</v>
      </c>
      <c r="H98" s="314">
        <f>COUNTIFS(input!$O:$O,March!$H$97,input!$W:$W,March!B98,input!$A:$A,March!$B$2)</f>
        <v>0</v>
      </c>
      <c r="I98" s="314">
        <f>COUNTIFS(input!$O:$O,March!$I$97,input!$W:$W,March!B98,input!$A:$A,March!$B$2)</f>
        <v>0</v>
      </c>
      <c r="J98" s="314">
        <f>COUNTIFS(input!$O:$O,March!$J$97,input!$W:$W,March!B98,input!$A:$A,March!$B$2)</f>
        <v>0</v>
      </c>
      <c r="K98" s="314">
        <f>COUNTIFS(input!$O:$O,March!$K$97,input!$W:$W,March!B98,input!$A:$A,March!$B$2)</f>
        <v>0</v>
      </c>
      <c r="L98" s="312">
        <f>SUM(D98:K98)</f>
        <v>0</v>
      </c>
      <c r="M98" s="313" cm="1">
        <f t="array" ref="M98">_xlfn.IFS(L98=0,0,L98&gt;=1,L98/$L$131)</f>
        <v>0</v>
      </c>
      <c r="N98" s="1009" t="s">
        <v>370</v>
      </c>
      <c r="O98" s="1009"/>
      <c r="P98" s="1010"/>
      <c r="Q98" s="310">
        <f>COUNTIFS(input!$O:$O,March!$Q$97,input!$X:$X,March!N98,input!$A:$A,March!$B$2)</f>
        <v>0</v>
      </c>
      <c r="R98" s="310">
        <f>COUNTIFS(input!$O:$O,March!$R$97,input!$X:$X,March!N98,input!$A:$A,March!$B$2)</f>
        <v>0</v>
      </c>
      <c r="S98" s="310">
        <f>COUNTIFS(input!$O:$O,March!$S$97,input!$X:$X,March!N98,input!$A:$A,March!$B$2)</f>
        <v>0</v>
      </c>
      <c r="T98" s="314">
        <f>COUNTIFS(input!$O:$O,March!$T$97,input!$X:$X,March!N98,input!$A:$A,March!$B$2)</f>
        <v>1</v>
      </c>
      <c r="U98" s="314">
        <f>COUNTIFS(input!$O:$O,March!$U$97,input!$X:$X,March!N98,input!$A:$A,March!$B$2)</f>
        <v>0</v>
      </c>
      <c r="V98" s="342">
        <f>COUNTIFS(input!$O:$O,March!$V$97,input!$X:$X,March!N98,input!$A:$A,March!$B$2)</f>
        <v>1</v>
      </c>
      <c r="W98" s="342">
        <f>COUNTIFS(input!$O:$O,March!$W$97,input!$X:$X,March!N98,input!$A:$A,March!$B$2)</f>
        <v>0</v>
      </c>
      <c r="X98" s="314">
        <f>COUNTIFS(input!$O:$O,March!$X$97,input!$X:$X,March!N98,input!$A:$A,March!$B$2)</f>
        <v>0</v>
      </c>
      <c r="Y98" s="312">
        <f>SUM(Q98:X98)</f>
        <v>2</v>
      </c>
      <c r="Z98" s="315" cm="1">
        <f t="array" ref="Z98">_xlfn.IFS(Y98=0,0,Y98&gt;=1,Y98/$Y$131)</f>
        <v>8.3333333333333329E-2</v>
      </c>
    </row>
    <row r="99" spans="2:26" ht="92" x14ac:dyDescent="0.25">
      <c r="B99" s="990" t="s">
        <v>605</v>
      </c>
      <c r="C99" s="991"/>
      <c r="D99" s="316">
        <f>COUNTIFS(input!$O:$O,March!$D$97,input!$W:$W,March!B99,input!$A:$A,March!$B$2)</f>
        <v>0</v>
      </c>
      <c r="E99" s="316">
        <f>COUNTIFS(input!$O:$O,March!$E$97,input!$W:$W,March!B99,input!$A:$A,March!$B$2)</f>
        <v>0</v>
      </c>
      <c r="F99" s="316">
        <f>COUNTIFS(input!$O:$O,March!$F$97,input!$W:$W,March!B99,input!$A:$A,March!$B$2)</f>
        <v>0</v>
      </c>
      <c r="G99" s="322">
        <f>COUNTIFS(input!$O:$O,March!$G$97,input!$W:$W,March!B99,input!$A:$A,March!$B$2)</f>
        <v>0</v>
      </c>
      <c r="H99" s="321">
        <f>COUNTIFS(input!$O:$O,March!$H$97,input!$W:$W,March!B99,input!$A:$A,March!$B$2)</f>
        <v>0</v>
      </c>
      <c r="I99" s="321">
        <f>COUNTIFS(input!$O:$O,March!$I$97,input!$W:$W,March!B99,input!$A:$A,March!$B$2)</f>
        <v>0</v>
      </c>
      <c r="J99" s="321">
        <f>COUNTIFS(input!$O:$O,March!$J$97,input!$W:$W,March!B99,input!$A:$A,March!$B$2)</f>
        <v>0</v>
      </c>
      <c r="K99" s="343">
        <f>COUNTIFS(input!$O:$O,March!$K$97,input!$W:$W,March!B99,input!$A:$A,March!$B$2)</f>
        <v>0</v>
      </c>
      <c r="L99" s="312">
        <f>SUM(D99:K99)</f>
        <v>0</v>
      </c>
      <c r="M99" s="320" cm="1">
        <f t="array" ref="M99">_xlfn.IFS(L99=0,0,L99&gt;=1,L99/$L$131)</f>
        <v>0</v>
      </c>
      <c r="N99" s="992" t="s">
        <v>371</v>
      </c>
      <c r="O99" s="993"/>
      <c r="P99" s="994"/>
      <c r="Q99" s="316">
        <f>COUNTIFS(input!$O:$O,March!$Q$97,input!$X:$X,March!N99,input!$A:$A,March!$B$2)</f>
        <v>0</v>
      </c>
      <c r="R99" s="316">
        <f>COUNTIFS(input!$O:$O,March!$R$97,input!$X:$X,March!N99,input!$A:$A,March!$B$2)</f>
        <v>0</v>
      </c>
      <c r="S99" s="316">
        <f>COUNTIFS(input!$O:$O,March!$S$97,input!$X:$X,March!N99,input!$A:$A,March!$B$2)</f>
        <v>0</v>
      </c>
      <c r="T99" s="322">
        <f>COUNTIFS(input!$O:$O,March!$T$97,input!$X:$X,March!N99,input!$A:$A,March!$B$2)</f>
        <v>0</v>
      </c>
      <c r="U99" s="322">
        <f>COUNTIFS(input!$O:$O,March!$U$97,input!$X:$X,March!N99,input!$A:$A,March!$B$2)</f>
        <v>0</v>
      </c>
      <c r="V99" s="323">
        <f>COUNTIFS(input!$O:$O,March!$V$97,input!$X:$X,March!N99,input!$A:$A,March!$B$2)</f>
        <v>0</v>
      </c>
      <c r="W99" s="323">
        <f>COUNTIFS(input!$O:$O,March!$W$97,input!$X:$X,March!N99,input!$A:$A,March!$B$2)</f>
        <v>0</v>
      </c>
      <c r="X99" s="324">
        <f>COUNTIFS(input!$O:$O,March!$X$97,input!$X:$X,March!N99,input!$A:$A,March!$B$2)</f>
        <v>0</v>
      </c>
      <c r="Y99" s="312">
        <f t="shared" ref="Y99:Y130" si="8">SUM(Q99:X99)</f>
        <v>0</v>
      </c>
      <c r="Z99" s="315" cm="1">
        <f t="array" ref="Z99">_xlfn.IFS(Y99=0,0,Y99&gt;=1,Y99/$Y$131)</f>
        <v>0</v>
      </c>
    </row>
    <row r="100" spans="2:26" ht="92" x14ac:dyDescent="0.25">
      <c r="B100" s="990" t="s">
        <v>359</v>
      </c>
      <c r="C100" s="991"/>
      <c r="D100" s="316">
        <f>COUNTIFS(input!$O:$O,March!$D$97,input!$W:$W,March!B100,input!$A:$A,March!$B$2)</f>
        <v>0</v>
      </c>
      <c r="E100" s="316">
        <f>COUNTIFS(input!$O:$O,March!$E$97,input!$W:$W,March!B100,input!$A:$A,March!$B$2)</f>
        <v>0</v>
      </c>
      <c r="F100" s="316">
        <f>COUNTIFS(input!$O:$O,March!$F$97,input!$W:$W,March!B100,input!$A:$A,March!$B$2)</f>
        <v>0</v>
      </c>
      <c r="G100" s="322">
        <f>COUNTIFS(input!$O:$O,March!$G$97,input!$W:$W,March!B100,input!$A:$A,March!$B$2)</f>
        <v>0</v>
      </c>
      <c r="H100" s="321">
        <f>COUNTIFS(input!$O:$O,March!$H$97,input!$W:$W,March!B100,input!$A:$A,March!$B$2)</f>
        <v>0</v>
      </c>
      <c r="I100" s="321">
        <f>COUNTIFS(input!$O:$O,March!$I$97,input!$W:$W,March!B100,input!$A:$A,March!$B$2)</f>
        <v>0</v>
      </c>
      <c r="J100" s="321">
        <f>COUNTIFS(input!$O:$O,March!$J$97,input!$W:$W,March!B100,input!$A:$A,March!$B$2)</f>
        <v>0</v>
      </c>
      <c r="K100" s="343">
        <f>COUNTIFS(input!$O:$O,March!$K$97,input!$W:$W,March!B100,input!$A:$A,March!$B$2)</f>
        <v>0</v>
      </c>
      <c r="L100" s="312">
        <f>SUM(D100:K100)</f>
        <v>0</v>
      </c>
      <c r="M100" s="320" cm="1">
        <f t="array" ref="M100">_xlfn.IFS(L100=0,0,L100&gt;=1,L100/$L$131)</f>
        <v>0</v>
      </c>
      <c r="N100" s="992" t="s">
        <v>372</v>
      </c>
      <c r="O100" s="993"/>
      <c r="P100" s="994"/>
      <c r="Q100" s="316">
        <f>COUNTIFS(input!$O:$O,March!$Q$97,input!$X:$X,March!N100,input!$A:$A,March!$B$2)</f>
        <v>0</v>
      </c>
      <c r="R100" s="316">
        <f>COUNTIFS(input!$O:$O,March!$R$97,input!$X:$X,March!N100,input!$A:$A,March!$B$2)</f>
        <v>0</v>
      </c>
      <c r="S100" s="316">
        <f>COUNTIFS(input!$O:$O,March!$S$97,input!$X:$X,March!N100,input!$A:$A,March!$B$2)</f>
        <v>0</v>
      </c>
      <c r="T100" s="322">
        <f>COUNTIFS(input!$O:$O,March!$T$97,input!$X:$X,March!N100,input!$A:$A,March!$B$2)</f>
        <v>0</v>
      </c>
      <c r="U100" s="322">
        <f>COUNTIFS(input!$O:$O,March!$U$97,input!$X:$X,March!N100,input!$A:$A,March!$B$2)</f>
        <v>0</v>
      </c>
      <c r="V100" s="323">
        <f>COUNTIFS(input!$O:$O,March!$V$97,input!$X:$X,March!N100,input!$A:$A,March!$B$2)</f>
        <v>0</v>
      </c>
      <c r="W100" s="323">
        <f>COUNTIFS(input!$O:$O,March!$W$97,input!$X:$X,March!N100,input!$A:$A,March!$B$2)</f>
        <v>0</v>
      </c>
      <c r="X100" s="324">
        <f>COUNTIFS(input!$O:$O,March!$X$97,input!$X:$X,March!N100,input!$A:$A,March!$B$2)</f>
        <v>0</v>
      </c>
      <c r="Y100" s="312">
        <f t="shared" si="8"/>
        <v>0</v>
      </c>
      <c r="Z100" s="315" cm="1">
        <f t="array" ref="Z100">_xlfn.IFS(Y100=0,0,Y100&gt;=1,Y100/$Y$131)</f>
        <v>0</v>
      </c>
    </row>
    <row r="101" spans="2:26" ht="92" x14ac:dyDescent="0.25">
      <c r="B101" s="990" t="s">
        <v>648</v>
      </c>
      <c r="C101" s="991"/>
      <c r="D101" s="316">
        <f>COUNTIFS(input!$O:$O,March!$D$97,input!$W:$W,March!B101,input!$A:$A,March!$B$2)</f>
        <v>0</v>
      </c>
      <c r="E101" s="316">
        <f>COUNTIFS(input!$O:$O,March!$E$97,input!$W:$W,March!B101,input!$A:$A,March!$B$2)</f>
        <v>0</v>
      </c>
      <c r="F101" s="316">
        <f>COUNTIFS(input!$O:$O,March!$F$97,input!$W:$W,March!B101,input!$A:$A,March!$B$2)</f>
        <v>0</v>
      </c>
      <c r="G101" s="322">
        <f>COUNTIFS(input!$O:$O,March!$G$97,input!$W:$W,March!B101,input!$A:$A,March!$B$2)</f>
        <v>0</v>
      </c>
      <c r="H101" s="321">
        <f>COUNTIFS(input!$O:$O,March!$H$97,input!$W:$W,March!B101,input!$A:$A,March!$B$2)</f>
        <v>0</v>
      </c>
      <c r="I101" s="321">
        <f>COUNTIFS(input!$O:$O,March!$I$97,input!$W:$W,March!B101,input!$A:$A,March!$B$2)</f>
        <v>0</v>
      </c>
      <c r="J101" s="321">
        <f>COUNTIFS(input!$O:$O,March!$J$97,input!$W:$W,March!B101,input!$A:$A,March!$B$2)</f>
        <v>0</v>
      </c>
      <c r="K101" s="343">
        <f>COUNTIFS(input!$O:$O,March!$K$97,input!$W:$W,March!B101,input!$A:$A,March!$B$2)</f>
        <v>0</v>
      </c>
      <c r="L101" s="312">
        <f>SUM(D101:K101)</f>
        <v>0</v>
      </c>
      <c r="M101" s="320" cm="1">
        <f t="array" ref="M101">_xlfn.IFS(L101=0,0,L101&gt;=1,L101/$L$131)</f>
        <v>0</v>
      </c>
      <c r="N101" s="992" t="s">
        <v>373</v>
      </c>
      <c r="O101" s="993"/>
      <c r="P101" s="994"/>
      <c r="Q101" s="316">
        <f>COUNTIFS(input!$O:$O,March!$Q$97,input!$X:$X,March!N101,input!$A:$A,March!$B$2)</f>
        <v>0</v>
      </c>
      <c r="R101" s="316">
        <f>COUNTIFS(input!$O:$O,March!$R$97,input!$X:$X,March!N101,input!$A:$A,March!$B$2)</f>
        <v>0</v>
      </c>
      <c r="S101" s="316">
        <f>COUNTIFS(input!$O:$O,March!$S$97,input!$X:$X,March!N101,input!$A:$A,March!$B$2)</f>
        <v>0</v>
      </c>
      <c r="T101" s="322">
        <f>COUNTIFS(input!$O:$O,March!$T$97,input!$X:$X,March!N101,input!$A:$A,March!$B$2)</f>
        <v>0</v>
      </c>
      <c r="U101" s="322">
        <f>COUNTIFS(input!$O:$O,March!$U$97,input!$X:$X,March!N101,input!$A:$A,March!$B$2)</f>
        <v>0</v>
      </c>
      <c r="V101" s="323">
        <f>COUNTIFS(input!$O:$O,March!$V$97,input!$X:$X,March!N101,input!$A:$A,March!$B$2)</f>
        <v>0</v>
      </c>
      <c r="W101" s="323">
        <f>COUNTIFS(input!$O:$O,March!$W$97,input!$X:$X,March!N101,input!$A:$A,March!$B$2)</f>
        <v>0</v>
      </c>
      <c r="X101" s="324">
        <f>COUNTIFS(input!$O:$O,March!$X$97,input!$X:$X,March!N101,input!$A:$A,March!$B$2)</f>
        <v>0</v>
      </c>
      <c r="Y101" s="312">
        <f t="shared" si="8"/>
        <v>0</v>
      </c>
      <c r="Z101" s="315" cm="1">
        <f t="array" ref="Z101">_xlfn.IFS(Y101=0,0,Y101&gt;=1,Y101/$Y$131)</f>
        <v>0</v>
      </c>
    </row>
    <row r="102" spans="2:26" ht="92" x14ac:dyDescent="0.25">
      <c r="B102" s="990" t="s">
        <v>827</v>
      </c>
      <c r="C102" s="991"/>
      <c r="D102" s="316">
        <f>COUNTIFS(input!$O:$O,March!$D$97,input!$W:$W,March!B102,input!$A:$A,March!$B$2)</f>
        <v>0</v>
      </c>
      <c r="E102" s="316">
        <f>COUNTIFS(input!$O:$O,March!$E$97,input!$W:$W,March!B102,input!$A:$A,March!$B$2)</f>
        <v>0</v>
      </c>
      <c r="F102" s="316">
        <f>COUNTIFS(input!$O:$O,March!$F$97,input!$W:$W,March!B102,input!$A:$A,March!$B$2)</f>
        <v>0</v>
      </c>
      <c r="G102" s="322">
        <f>COUNTIFS(input!$O:$O,March!$G$97,input!$W:$W,March!B102,input!$A:$A,March!$B$2)</f>
        <v>1</v>
      </c>
      <c r="H102" s="321">
        <f>COUNTIFS(input!$O:$O,March!$H$97,input!$W:$W,March!B102,input!$A:$A,March!$B$2)</f>
        <v>0</v>
      </c>
      <c r="I102" s="321">
        <f>COUNTIFS(input!$O:$O,March!$I$97,input!$W:$W,March!B102,input!$A:$A,March!$B$2)</f>
        <v>0</v>
      </c>
      <c r="J102" s="321">
        <f>COUNTIFS(input!$O:$O,March!$J$97,input!$W:$W,March!B102,input!$A:$A,March!$B$2)</f>
        <v>0</v>
      </c>
      <c r="K102" s="343">
        <f>COUNTIFS(input!$O:$O,March!$K$97,input!$W:$W,March!B102,input!$A:$A,March!$B$2)</f>
        <v>0</v>
      </c>
      <c r="L102" s="312">
        <f t="shared" ref="L102:L130" si="9">SUM(D102:K102)</f>
        <v>1</v>
      </c>
      <c r="M102" s="320" cm="1">
        <f t="array" ref="M102">_xlfn.IFS(L102=0,0,L102&gt;=1,L102/$L$131)</f>
        <v>4.1666666666666664E-2</v>
      </c>
      <c r="N102" s="992" t="s">
        <v>374</v>
      </c>
      <c r="O102" s="993"/>
      <c r="P102" s="994"/>
      <c r="Q102" s="316">
        <f>COUNTIFS(input!$O:$O,March!$Q$97,input!$X:$X,March!N102,input!$A:$A,March!$B$2)</f>
        <v>0</v>
      </c>
      <c r="R102" s="316">
        <f>COUNTIFS(input!$O:$O,March!$R$97,input!$X:$X,March!N102,input!$A:$A,March!$B$2)</f>
        <v>0</v>
      </c>
      <c r="S102" s="316">
        <f>COUNTIFS(input!$O:$O,March!$S$97,input!$X:$X,March!N102,input!$A:$A,March!$B$2)</f>
        <v>0</v>
      </c>
      <c r="T102" s="322">
        <f>COUNTIFS(input!$O:$O,March!$T$97,input!$X:$X,March!N102,input!$A:$A,March!$B$2)</f>
        <v>1</v>
      </c>
      <c r="U102" s="322">
        <f>COUNTIFS(input!$O:$O,March!$U$97,input!$X:$X,March!N102,input!$A:$A,March!$B$2)</f>
        <v>0</v>
      </c>
      <c r="V102" s="323">
        <f>COUNTIFS(input!$O:$O,March!$V$97,input!$X:$X,March!N102,input!$A:$A,March!$B$2)</f>
        <v>0</v>
      </c>
      <c r="W102" s="323">
        <f>COUNTIFS(input!$O:$O,March!$W$97,input!$X:$X,March!N102,input!$A:$A,March!$B$2)</f>
        <v>0</v>
      </c>
      <c r="X102" s="324">
        <f>COUNTIFS(input!$O:$O,March!$X$97,input!$X:$X,March!N102,input!$A:$A,March!$B$2)</f>
        <v>0</v>
      </c>
      <c r="Y102" s="312">
        <f t="shared" si="8"/>
        <v>1</v>
      </c>
      <c r="Z102" s="315" cm="1">
        <f t="array" ref="Z102">_xlfn.IFS(Y102=0,0,Y102&gt;=1,Y102/$Y$131)</f>
        <v>4.1666666666666664E-2</v>
      </c>
    </row>
    <row r="103" spans="2:26" ht="92" x14ac:dyDescent="0.25">
      <c r="B103" s="990" t="s">
        <v>358</v>
      </c>
      <c r="C103" s="991"/>
      <c r="D103" s="316">
        <f>COUNTIFS(input!$O:$O,March!$D$97,input!$W:$W,March!B103,input!$A:$A,March!$B$2)</f>
        <v>0</v>
      </c>
      <c r="E103" s="316">
        <f>COUNTIFS(input!$O:$O,March!$E$97,input!$W:$W,March!B103,input!$A:$A,March!$B$2)</f>
        <v>0</v>
      </c>
      <c r="F103" s="316">
        <f>COUNTIFS(input!$O:$O,March!$F$97,input!$W:$W,March!B103,input!$A:$A,March!$B$2)</f>
        <v>0</v>
      </c>
      <c r="G103" s="322">
        <f>COUNTIFS(input!$O:$O,March!$G$97,input!$W:$W,March!B103,input!$A:$A,March!$B$2)</f>
        <v>0</v>
      </c>
      <c r="H103" s="321">
        <f>COUNTIFS(input!$O:$O,March!$H$97,input!$W:$W,March!B103,input!$A:$A,March!$B$2)</f>
        <v>0</v>
      </c>
      <c r="I103" s="321">
        <f>COUNTIFS(input!$O:$O,March!$I$97,input!$W:$W,March!B103,input!$A:$A,March!$B$2)</f>
        <v>0</v>
      </c>
      <c r="J103" s="321">
        <f>COUNTIFS(input!$O:$O,March!$J$97,input!$W:$W,March!B103,input!$A:$A,March!$B$2)</f>
        <v>0</v>
      </c>
      <c r="K103" s="343">
        <f>COUNTIFS(input!$O:$O,March!$K$97,input!$W:$W,March!B103,input!$A:$A,March!$B$2)</f>
        <v>0</v>
      </c>
      <c r="L103" s="312">
        <f t="shared" si="9"/>
        <v>0</v>
      </c>
      <c r="M103" s="320" cm="1">
        <f t="array" ref="M103">_xlfn.IFS(L103=0,0,L103&gt;=1,L103/$L$131)</f>
        <v>0</v>
      </c>
      <c r="N103" s="992" t="s">
        <v>375</v>
      </c>
      <c r="O103" s="993"/>
      <c r="P103" s="994"/>
      <c r="Q103" s="316">
        <f>COUNTIFS(input!$O:$O,March!$Q$97,input!$X:$X,March!N103,input!$A:$A,March!$B$2)</f>
        <v>0</v>
      </c>
      <c r="R103" s="316">
        <f>COUNTIFS(input!$O:$O,March!$R$97,input!$X:$X,March!N103,input!$A:$A,March!$B$2)</f>
        <v>0</v>
      </c>
      <c r="S103" s="316">
        <f>COUNTIFS(input!$O:$O,March!$S$97,input!$X:$X,March!N103,input!$A:$A,March!$B$2)</f>
        <v>0</v>
      </c>
      <c r="T103" s="322">
        <f>COUNTIFS(input!$O:$O,March!$T$97,input!$X:$X,March!N103,input!$A:$A,March!$B$2)</f>
        <v>0</v>
      </c>
      <c r="U103" s="322">
        <f>COUNTIFS(input!$O:$O,March!$U$97,input!$X:$X,March!N103,input!$A:$A,March!$B$2)</f>
        <v>0</v>
      </c>
      <c r="V103" s="323">
        <f>COUNTIFS(input!$O:$O,March!$V$97,input!$X:$X,March!N103,input!$A:$A,March!$B$2)</f>
        <v>0</v>
      </c>
      <c r="W103" s="323">
        <f>COUNTIFS(input!$O:$O,March!$W$97,input!$X:$X,March!N103,input!$A:$A,March!$B$2)</f>
        <v>0</v>
      </c>
      <c r="X103" s="324">
        <f>COUNTIFS(input!$O:$O,March!$X$97,input!$X:$X,March!N103,input!$A:$A,March!$B$2)</f>
        <v>0</v>
      </c>
      <c r="Y103" s="312">
        <f t="shared" si="8"/>
        <v>0</v>
      </c>
      <c r="Z103" s="315" cm="1">
        <f t="array" ref="Z103">_xlfn.IFS(Y103=0,0,Y103&gt;=1,Y103/$Y$131)</f>
        <v>0</v>
      </c>
    </row>
    <row r="104" spans="2:26" ht="92" x14ac:dyDescent="0.25">
      <c r="B104" s="998" t="s">
        <v>360</v>
      </c>
      <c r="C104" s="994"/>
      <c r="D104" s="316">
        <f>COUNTIFS(input!$O:$O,March!$D$97,input!$W:$W,March!B104,input!$A:$A,March!$B$2)</f>
        <v>0</v>
      </c>
      <c r="E104" s="316">
        <f>COUNTIFS(input!$O:$O,March!$E$97,input!$W:$W,March!B104,input!$A:$A,March!$B$2)</f>
        <v>0</v>
      </c>
      <c r="F104" s="316">
        <f>COUNTIFS(input!$O:$O,March!$F$97,input!$W:$W,March!B104,input!$A:$A,March!$B$2)</f>
        <v>0</v>
      </c>
      <c r="G104" s="322">
        <f>COUNTIFS(input!$O:$O,March!$G$97,input!$W:$W,March!B104,input!$A:$A,March!$B$2)</f>
        <v>0</v>
      </c>
      <c r="H104" s="321">
        <f>COUNTIFS(input!$O:$O,March!$H$97,input!$W:$W,March!B104,input!$A:$A,March!$B$2)</f>
        <v>0</v>
      </c>
      <c r="I104" s="321">
        <f>COUNTIFS(input!$O:$O,March!$I$97,input!$W:$W,March!B104,input!$A:$A,March!$B$2)</f>
        <v>0</v>
      </c>
      <c r="J104" s="321">
        <f>COUNTIFS(input!$O:$O,March!$J$97,input!$W:$W,March!B104,input!$A:$A,March!$B$2)</f>
        <v>0</v>
      </c>
      <c r="K104" s="343">
        <f>COUNTIFS(input!$O:$O,March!$K$97,input!$W:$W,March!B104,input!$A:$A,March!$B$2)</f>
        <v>0</v>
      </c>
      <c r="L104" s="312">
        <f t="shared" si="9"/>
        <v>0</v>
      </c>
      <c r="M104" s="320" cm="1">
        <f t="array" ref="M104">_xlfn.IFS(L104=0,0,L104&gt;=1,L104/$L$131)</f>
        <v>0</v>
      </c>
      <c r="N104" s="992" t="s">
        <v>376</v>
      </c>
      <c r="O104" s="993"/>
      <c r="P104" s="994"/>
      <c r="Q104" s="316">
        <f>COUNTIFS(input!$O:$O,March!$Q$97,input!$X:$X,March!N104,input!$A:$A,March!$B$2)</f>
        <v>0</v>
      </c>
      <c r="R104" s="316">
        <f>COUNTIFS(input!$O:$O,March!$R$97,input!$X:$X,March!N104,input!$A:$A,March!$B$2)</f>
        <v>0</v>
      </c>
      <c r="S104" s="316">
        <f>COUNTIFS(input!$O:$O,March!$S$97,input!$X:$X,March!N104,input!$A:$A,March!$B$2)</f>
        <v>0</v>
      </c>
      <c r="T104" s="322">
        <f>COUNTIFS(input!$O:$O,March!$T$97,input!$X:$X,March!N104,input!$A:$A,March!$B$2)</f>
        <v>0</v>
      </c>
      <c r="U104" s="322">
        <f>COUNTIFS(input!$O:$O,March!$U$97,input!$X:$X,March!N104,input!$A:$A,March!$B$2)</f>
        <v>0</v>
      </c>
      <c r="V104" s="323">
        <f>COUNTIFS(input!$O:$O,March!$V$97,input!$X:$X,March!N104,input!$A:$A,March!$B$2)</f>
        <v>0</v>
      </c>
      <c r="W104" s="323">
        <f>COUNTIFS(input!$O:$O,March!$W$97,input!$X:$X,March!N104,input!$A:$A,March!$B$2)</f>
        <v>0</v>
      </c>
      <c r="X104" s="324">
        <f>COUNTIFS(input!$O:$O,March!$X$97,input!$X:$X,March!N104,input!$A:$A,March!$B$2)</f>
        <v>0</v>
      </c>
      <c r="Y104" s="312">
        <f t="shared" si="8"/>
        <v>0</v>
      </c>
      <c r="Z104" s="315" cm="1">
        <f t="array" ref="Z104">_xlfn.IFS(Y104=0,0,Y104&gt;=1,Y104/$Y$131)</f>
        <v>0</v>
      </c>
    </row>
    <row r="105" spans="2:26" ht="92" x14ac:dyDescent="0.25">
      <c r="B105" s="998" t="s">
        <v>600</v>
      </c>
      <c r="C105" s="994"/>
      <c r="D105" s="316">
        <f>COUNTIFS(input!$O:$O,March!$D$97,input!$W:$W,March!B105,input!$A:$A,March!$B$2)</f>
        <v>0</v>
      </c>
      <c r="E105" s="316">
        <f>COUNTIFS(input!$O:$O,March!$E$97,input!$W:$W,March!B105,input!$A:$A,March!$B$2)</f>
        <v>0</v>
      </c>
      <c r="F105" s="316">
        <f>COUNTIFS(input!$O:$O,March!$F$97,input!$W:$W,March!B105,input!$A:$A,March!$B$2)</f>
        <v>0</v>
      </c>
      <c r="G105" s="322">
        <f>COUNTIFS(input!$O:$O,March!$G$97,input!$W:$W,March!B105,input!$A:$A,March!$B$2)</f>
        <v>0</v>
      </c>
      <c r="H105" s="321">
        <f>COUNTIFS(input!$O:$O,March!$H$97,input!$W:$W,March!B105,input!$A:$A,March!$B$2)</f>
        <v>0</v>
      </c>
      <c r="I105" s="321">
        <f>COUNTIFS(input!$O:$O,March!$I$97,input!$W:$W,March!B105,input!$A:$A,March!$B$2)</f>
        <v>0</v>
      </c>
      <c r="J105" s="321">
        <f>COUNTIFS(input!$O:$O,March!$J$97,input!$W:$W,March!B105,input!$A:$A,March!$B$2)</f>
        <v>0</v>
      </c>
      <c r="K105" s="343">
        <f>COUNTIFS(input!$O:$O,March!$K$97,input!$W:$W,March!B105,input!$A:$A,March!$B$2)</f>
        <v>0</v>
      </c>
      <c r="L105" s="312">
        <f t="shared" si="9"/>
        <v>0</v>
      </c>
      <c r="M105" s="320" cm="1">
        <f t="array" ref="M105">_xlfn.IFS(L105=0,0,L105&gt;=1,L105/$L$131)</f>
        <v>0</v>
      </c>
      <c r="N105" s="992" t="s">
        <v>378</v>
      </c>
      <c r="O105" s="993"/>
      <c r="P105" s="994"/>
      <c r="Q105" s="316">
        <f>COUNTIFS(input!$O:$O,March!$Q$97,input!$X:$X,March!N105,input!$A:$A,March!$B$2)</f>
        <v>0</v>
      </c>
      <c r="R105" s="316">
        <f>COUNTIFS(input!$O:$O,March!$R$97,input!$X:$X,March!N105,input!$A:$A,March!$B$2)</f>
        <v>0</v>
      </c>
      <c r="S105" s="316">
        <f>COUNTIFS(input!$O:$O,March!$S$97,input!$X:$X,March!N105,input!$A:$A,March!$B$2)</f>
        <v>0</v>
      </c>
      <c r="T105" s="322">
        <f>COUNTIFS(input!$O:$O,March!$T$97,input!$X:$X,March!N105,input!$A:$A,March!$B$2)</f>
        <v>1</v>
      </c>
      <c r="U105" s="322">
        <f>COUNTIFS(input!$O:$O,March!$U$97,input!$X:$X,March!N105,input!$A:$A,March!$B$2)</f>
        <v>0</v>
      </c>
      <c r="V105" s="323">
        <f>COUNTIFS(input!$O:$O,March!$V$97,input!$X:$X,March!N105,input!$A:$A,March!$B$2)</f>
        <v>0</v>
      </c>
      <c r="W105" s="323">
        <f>COUNTIFS(input!$O:$O,March!$W$97,input!$X:$X,March!N105,input!$A:$A,March!$B$2)</f>
        <v>0</v>
      </c>
      <c r="X105" s="324">
        <f>COUNTIFS(input!$O:$O,March!$X$97,input!$X:$X,March!N105,input!$A:$A,March!$B$2)</f>
        <v>0</v>
      </c>
      <c r="Y105" s="312">
        <f t="shared" si="8"/>
        <v>1</v>
      </c>
      <c r="Z105" s="315" cm="1">
        <f t="array" ref="Z105">_xlfn.IFS(Y105=0,0,Y105&gt;=1,Y105/$Y$131)</f>
        <v>4.1666666666666664E-2</v>
      </c>
    </row>
    <row r="106" spans="2:26" ht="92" x14ac:dyDescent="0.25">
      <c r="B106" s="998" t="s">
        <v>561</v>
      </c>
      <c r="C106" s="994"/>
      <c r="D106" s="316">
        <f>COUNTIFS(input!$O:$O,March!$D$97,input!$W:$W,March!B106,input!$A:$A,March!$B$2)</f>
        <v>0</v>
      </c>
      <c r="E106" s="316">
        <f>COUNTIFS(input!$O:$O,March!$E$97,input!$W:$W,March!B106,input!$A:$A,March!$B$2)</f>
        <v>0</v>
      </c>
      <c r="F106" s="316">
        <f>COUNTIFS(input!$O:$O,March!$F$97,input!$W:$W,March!B106,input!$A:$A,March!$B$2)</f>
        <v>0</v>
      </c>
      <c r="G106" s="322">
        <f>COUNTIFS(input!$O:$O,March!$G$97,input!$W:$W,March!B106,input!$A:$A,March!$B$2)</f>
        <v>0</v>
      </c>
      <c r="H106" s="321">
        <f>COUNTIFS(input!$O:$O,March!$H$97,input!$W:$W,March!B106,input!$A:$A,March!$B$2)</f>
        <v>0</v>
      </c>
      <c r="I106" s="321">
        <f>COUNTIFS(input!$O:$O,March!$I$97,input!$W:$W,March!B106,input!$A:$A,March!$B$2)</f>
        <v>0</v>
      </c>
      <c r="J106" s="321">
        <f>COUNTIFS(input!$O:$O,March!$J$97,input!$W:$W,March!B106,input!$A:$A,March!$B$2)</f>
        <v>0</v>
      </c>
      <c r="K106" s="343">
        <f>COUNTIFS(input!$O:$O,March!$K$97,input!$W:$W,March!B106,input!$A:$A,March!$B$2)</f>
        <v>0</v>
      </c>
      <c r="L106" s="312">
        <f t="shared" si="9"/>
        <v>0</v>
      </c>
      <c r="M106" s="320" cm="1">
        <f t="array" ref="M106">_xlfn.IFS(L106=0,0,L106&gt;=1,L106/$L$131)</f>
        <v>0</v>
      </c>
      <c r="N106" s="992" t="s">
        <v>379</v>
      </c>
      <c r="O106" s="993"/>
      <c r="P106" s="994"/>
      <c r="Q106" s="316">
        <f>COUNTIFS(input!$O:$O,March!$Q$97,input!$X:$X,March!N106,input!$A:$A,March!$B$2)</f>
        <v>0</v>
      </c>
      <c r="R106" s="316">
        <f>COUNTIFS(input!$O:$O,March!$R$97,input!$X:$X,March!N106,input!$A:$A,March!$B$2)</f>
        <v>0</v>
      </c>
      <c r="S106" s="316">
        <f>COUNTIFS(input!$O:$O,March!$S$97,input!$X:$X,March!N106,input!$A:$A,March!$B$2)</f>
        <v>0</v>
      </c>
      <c r="T106" s="322">
        <f>COUNTIFS(input!$O:$O,March!$T$97,input!$X:$X,March!N106,input!$A:$A,March!$B$2)</f>
        <v>0</v>
      </c>
      <c r="U106" s="322">
        <f>COUNTIFS(input!$O:$O,March!$U$97,input!$X:$X,March!N106,input!$A:$A,March!$B$2)</f>
        <v>0</v>
      </c>
      <c r="V106" s="323">
        <f>COUNTIFS(input!$O:$O,March!$V$97,input!$X:$X,March!N106,input!$A:$A,March!$B$2)</f>
        <v>0</v>
      </c>
      <c r="W106" s="323">
        <f>COUNTIFS(input!$O:$O,March!$W$97,input!$X:$X,March!N106,input!$A:$A,March!$B$2)</f>
        <v>0</v>
      </c>
      <c r="X106" s="324">
        <f>COUNTIFS(input!$O:$O,March!$X$97,input!$X:$X,March!N106,input!$A:$A,March!$B$2)</f>
        <v>0</v>
      </c>
      <c r="Y106" s="312">
        <f t="shared" si="8"/>
        <v>0</v>
      </c>
      <c r="Z106" s="315" cm="1">
        <f t="array" ref="Z106">_xlfn.IFS(Y106=0,0,Y106&gt;=1,Y106/$Y$131)</f>
        <v>0</v>
      </c>
    </row>
    <row r="107" spans="2:26" ht="92" x14ac:dyDescent="0.25">
      <c r="B107" s="998" t="s">
        <v>601</v>
      </c>
      <c r="C107" s="994"/>
      <c r="D107" s="316">
        <f>COUNTIFS(input!$O:$O,March!$D$97,input!$W:$W,March!B107,input!$A:$A,March!$B$2)</f>
        <v>0</v>
      </c>
      <c r="E107" s="316">
        <f>COUNTIFS(input!$O:$O,March!$E$97,input!$W:$W,March!B107,input!$A:$A,March!$B$2)</f>
        <v>0</v>
      </c>
      <c r="F107" s="316">
        <f>COUNTIFS(input!$O:$O,March!$F$97,input!$W:$W,March!B107,input!$A:$A,March!$B$2)</f>
        <v>0</v>
      </c>
      <c r="G107" s="322">
        <f>COUNTIFS(input!$O:$O,March!$G$97,input!$W:$W,March!B107,input!$A:$A,March!$B$2)</f>
        <v>0</v>
      </c>
      <c r="H107" s="321">
        <f>COUNTIFS(input!$O:$O,March!$H$97,input!$W:$W,March!B107,input!$A:$A,March!$B$2)</f>
        <v>0</v>
      </c>
      <c r="I107" s="321">
        <f>COUNTIFS(input!$O:$O,March!$I$97,input!$W:$W,March!B107,input!$A:$A,March!$B$2)</f>
        <v>0</v>
      </c>
      <c r="J107" s="321">
        <f>COUNTIFS(input!$O:$O,March!$J$97,input!$W:$W,March!B107,input!$A:$A,March!$B$2)</f>
        <v>0</v>
      </c>
      <c r="K107" s="343">
        <f>COUNTIFS(input!$O:$O,March!$K$97,input!$W:$W,March!B107,input!$A:$A,March!$B$2)</f>
        <v>0</v>
      </c>
      <c r="L107" s="312">
        <f t="shared" si="9"/>
        <v>0</v>
      </c>
      <c r="M107" s="320" cm="1">
        <f t="array" ref="M107">_xlfn.IFS(L107=0,0,L107&gt;=1,L107/$L$131)</f>
        <v>0</v>
      </c>
      <c r="N107" s="1058" t="s">
        <v>606</v>
      </c>
      <c r="O107" s="1016"/>
      <c r="P107" s="991"/>
      <c r="Q107" s="316">
        <f>COUNTIFS(input!$O:$O,March!$Q$97,input!$X:$X,March!N107,input!$A:$A,March!$B$2)</f>
        <v>0</v>
      </c>
      <c r="R107" s="316">
        <f>COUNTIFS(input!$O:$O,March!$R$97,input!$X:$X,March!N107,input!$A:$A,March!$B$2)</f>
        <v>0</v>
      </c>
      <c r="S107" s="316">
        <f>COUNTIFS(input!$O:$O,March!$S$97,input!$X:$X,March!N107,input!$A:$A,March!$B$2)</f>
        <v>0</v>
      </c>
      <c r="T107" s="322">
        <f>COUNTIFS(input!$O:$O,March!$T$97,input!$X:$X,March!N107,input!$A:$A,March!$B$2)</f>
        <v>0</v>
      </c>
      <c r="U107" s="322">
        <f>COUNTIFS(input!$O:$O,March!$U$97,input!$X:$X,March!N107,input!$A:$A,March!$B$2)</f>
        <v>0</v>
      </c>
      <c r="V107" s="323">
        <f>COUNTIFS(input!$O:$O,March!$V$97,input!$X:$X,March!N107,input!$A:$A,March!$B$2)</f>
        <v>0</v>
      </c>
      <c r="W107" s="323">
        <f>COUNTIFS(input!$O:$O,March!$W$97,input!$X:$X,March!N107,input!$A:$A,March!$B$2)</f>
        <v>0</v>
      </c>
      <c r="X107" s="324">
        <f>COUNTIFS(input!$O:$O,March!$X$97,input!$X:$X,March!N107,input!$A:$A,March!$B$2)</f>
        <v>0</v>
      </c>
      <c r="Y107" s="312">
        <f t="shared" si="8"/>
        <v>0</v>
      </c>
      <c r="Z107" s="315" cm="1">
        <f t="array" ref="Z107">_xlfn.IFS(Y107=0,0,Y107&gt;=1,Y107/$Y$131)</f>
        <v>0</v>
      </c>
    </row>
    <row r="108" spans="2:26" ht="92" x14ac:dyDescent="0.25">
      <c r="B108" s="998" t="s">
        <v>645</v>
      </c>
      <c r="C108" s="994"/>
      <c r="D108" s="316">
        <f>COUNTIFS(input!$O:$O,March!$D$97,input!$W:$W,March!B108,input!$A:$A,March!$B$2)</f>
        <v>0</v>
      </c>
      <c r="E108" s="316">
        <f>COUNTIFS(input!$O:$O,March!$E$97,input!$W:$W,March!B108,input!$A:$A,March!$B$2)</f>
        <v>0</v>
      </c>
      <c r="F108" s="316">
        <f>COUNTIFS(input!$O:$O,March!$F$97,input!$W:$W,March!B108,input!$A:$A,March!$B$2)</f>
        <v>0</v>
      </c>
      <c r="G108" s="322">
        <f>COUNTIFS(input!$O:$O,March!$G$97,input!$W:$W,March!B108,input!$A:$A,March!$B$2)</f>
        <v>0</v>
      </c>
      <c r="H108" s="321">
        <f>COUNTIFS(input!$O:$O,March!$H$97,input!$W:$W,March!B108,input!$A:$A,March!$B$2)</f>
        <v>0</v>
      </c>
      <c r="I108" s="321">
        <f>COUNTIFS(input!$O:$O,March!$I$97,input!$W:$W,March!B108,input!$A:$A,March!$B$2)</f>
        <v>1</v>
      </c>
      <c r="J108" s="321">
        <f>COUNTIFS(input!$O:$O,March!$J$97,input!$W:$W,March!B108,input!$A:$A,March!$B$2)</f>
        <v>0</v>
      </c>
      <c r="K108" s="343">
        <f>COUNTIFS(input!$O:$O,March!$K$97,input!$W:$W,March!B108,input!$A:$A,March!$B$2)</f>
        <v>0</v>
      </c>
      <c r="L108" s="312">
        <f t="shared" si="9"/>
        <v>1</v>
      </c>
      <c r="M108" s="320" cm="1">
        <f t="array" ref="M108">_xlfn.IFS(L108=0,0,L108&gt;=1,L108/$L$131)</f>
        <v>4.1666666666666664E-2</v>
      </c>
      <c r="N108" s="1058" t="s">
        <v>380</v>
      </c>
      <c r="O108" s="1016"/>
      <c r="P108" s="991"/>
      <c r="Q108" s="316">
        <f>COUNTIFS(input!$O:$O,March!$Q$97,input!$X:$X,March!N108,input!$A:$A,March!$B$2)</f>
        <v>0</v>
      </c>
      <c r="R108" s="316">
        <f>COUNTIFS(input!$O:$O,March!$R$97,input!$X:$X,March!N108,input!$A:$A,March!$B$2)</f>
        <v>0</v>
      </c>
      <c r="S108" s="316">
        <f>COUNTIFS(input!$O:$O,March!$S$97,input!$X:$X,March!N108,input!$A:$A,March!$B$2)</f>
        <v>0</v>
      </c>
      <c r="T108" s="322">
        <f>COUNTIFS(input!$O:$O,March!$T$97,input!$X:$X,March!N108,input!$A:$A,March!$B$2)</f>
        <v>0</v>
      </c>
      <c r="U108" s="322">
        <f>COUNTIFS(input!$O:$O,March!$U$97,input!$X:$X,March!N108,input!$A:$A,March!$B$2)</f>
        <v>0</v>
      </c>
      <c r="V108" s="323">
        <f>COUNTIFS(input!$O:$O,March!$V$97,input!$X:$X,March!N108,input!$A:$A,March!$B$2)</f>
        <v>1</v>
      </c>
      <c r="W108" s="323">
        <f>COUNTIFS(input!$O:$O,March!$W$97,input!$X:$X,March!N108,input!$A:$A,March!$B$2)</f>
        <v>0</v>
      </c>
      <c r="X108" s="324">
        <f>COUNTIFS(input!$O:$O,March!$X$97,input!$X:$X,March!N108,input!$A:$A,March!$B$2)</f>
        <v>0</v>
      </c>
      <c r="Y108" s="312">
        <f t="shared" si="8"/>
        <v>1</v>
      </c>
      <c r="Z108" s="315" cm="1">
        <f t="array" ref="Z108">_xlfn.IFS(Y108=0,0,Y108&gt;=1,Y108/$Y$131)</f>
        <v>4.1666666666666664E-2</v>
      </c>
    </row>
    <row r="109" spans="2:26" ht="92" x14ac:dyDescent="0.25">
      <c r="B109" s="998" t="s">
        <v>829</v>
      </c>
      <c r="C109" s="994"/>
      <c r="D109" s="316">
        <f>COUNTIFS(input!$O:$O,March!$D$97,input!$W:$W,March!B109,input!$A:$A,March!$B$2)</f>
        <v>0</v>
      </c>
      <c r="E109" s="316">
        <f>COUNTIFS(input!$O:$O,March!$E$97,input!$W:$W,March!B109,input!$A:$A,March!$B$2)</f>
        <v>0</v>
      </c>
      <c r="F109" s="316">
        <f>COUNTIFS(input!$O:$O,March!$F$97,input!$W:$W,March!B109,input!$A:$A,March!$B$2)</f>
        <v>0</v>
      </c>
      <c r="G109" s="322">
        <f>COUNTIFS(input!$O:$O,March!$G$97,input!$W:$W,March!B109,input!$A:$A,March!$B$2)</f>
        <v>1</v>
      </c>
      <c r="H109" s="321">
        <f>COUNTIFS(input!$O:$O,March!$H$97,input!$W:$W,March!B109,input!$A:$A,March!$B$2)</f>
        <v>0</v>
      </c>
      <c r="I109" s="321">
        <f>COUNTIFS(input!$O:$O,March!$I$97,input!$W:$W,March!B109,input!$A:$A,March!$B$2)</f>
        <v>0</v>
      </c>
      <c r="J109" s="321">
        <f>COUNTIFS(input!$O:$O,March!$J$97,input!$W:$W,March!B109,input!$A:$A,March!$B$2)</f>
        <v>0</v>
      </c>
      <c r="K109" s="343">
        <f>COUNTIFS(input!$O:$O,March!$K$97,input!$W:$W,March!B109,input!$A:$A,March!$B$2)</f>
        <v>0</v>
      </c>
      <c r="L109" s="312">
        <f t="shared" si="9"/>
        <v>1</v>
      </c>
      <c r="M109" s="320" cm="1">
        <f t="array" ref="M109">_xlfn.IFS(L109=0,0,L109&gt;=1,L109/$L$131)</f>
        <v>4.1666666666666664E-2</v>
      </c>
      <c r="N109" s="1058" t="s">
        <v>72</v>
      </c>
      <c r="O109" s="1016"/>
      <c r="P109" s="991"/>
      <c r="Q109" s="316">
        <f>COUNTIFS(input!$O:$O,March!$Q$97,input!$X:$X,March!N109,input!$A:$A,March!$B$2)</f>
        <v>0</v>
      </c>
      <c r="R109" s="316">
        <f>COUNTIFS(input!$O:$O,March!$R$97,input!$X:$X,March!N109,input!$A:$A,March!$B$2)</f>
        <v>0</v>
      </c>
      <c r="S109" s="316">
        <f>COUNTIFS(input!$O:$O,March!$S$97,input!$X:$X,March!N109,input!$A:$A,March!$B$2)</f>
        <v>0</v>
      </c>
      <c r="T109" s="322">
        <f>COUNTIFS(input!$O:$O,March!$T$97,input!$X:$X,March!N109,input!$A:$A,March!$B$2)</f>
        <v>0</v>
      </c>
      <c r="U109" s="322">
        <f>COUNTIFS(input!$O:$O,March!$U$97,input!$X:$X,March!N109,input!$A:$A,March!$B$2)</f>
        <v>0</v>
      </c>
      <c r="V109" s="323">
        <f>COUNTIFS(input!$O:$O,March!$V$97,input!$X:$X,March!N109,input!$A:$A,March!$B$2)</f>
        <v>2</v>
      </c>
      <c r="W109" s="323">
        <f>COUNTIFS(input!$O:$O,March!$W$97,input!$X:$X,March!N109,input!$A:$A,March!$B$2)</f>
        <v>0</v>
      </c>
      <c r="X109" s="324">
        <f>COUNTIFS(input!$O:$O,March!$X$97,input!$X:$X,March!N109,input!$A:$A,March!$B$2)</f>
        <v>0</v>
      </c>
      <c r="Y109" s="312">
        <f t="shared" si="8"/>
        <v>2</v>
      </c>
      <c r="Z109" s="315" cm="1">
        <f t="array" ref="Z109">_xlfn.IFS(Y109=0,0,Y109&gt;=1,Y109/$Y$131)</f>
        <v>8.3333333333333329E-2</v>
      </c>
    </row>
    <row r="110" spans="2:26" ht="92" x14ac:dyDescent="0.25">
      <c r="B110" s="998" t="s">
        <v>604</v>
      </c>
      <c r="C110" s="994"/>
      <c r="D110" s="316">
        <f>COUNTIFS(input!$O:$O,March!$D$97,input!$W:$W,March!B110,input!$A:$A,March!$B$2)</f>
        <v>0</v>
      </c>
      <c r="E110" s="316">
        <f>COUNTIFS(input!$O:$O,March!$E$97,input!$W:$W,March!B110,input!$A:$A,March!$B$2)</f>
        <v>0</v>
      </c>
      <c r="F110" s="316">
        <f>COUNTIFS(input!$O:$O,March!$F$97,input!$W:$W,March!B110,input!$A:$A,March!$B$2)</f>
        <v>0</v>
      </c>
      <c r="G110" s="322">
        <f>COUNTIFS(input!$O:$O,March!$G$97,input!$W:$W,March!B110,input!$A:$A,March!$B$2)</f>
        <v>0</v>
      </c>
      <c r="H110" s="321">
        <f>COUNTIFS(input!$O:$O,March!$H$97,input!$W:$W,March!B110,input!$A:$A,March!$B$2)</f>
        <v>0</v>
      </c>
      <c r="I110" s="321">
        <f>COUNTIFS(input!$O:$O,March!$I$97,input!$W:$W,March!B110,input!$A:$A,March!$B$2)</f>
        <v>0</v>
      </c>
      <c r="J110" s="321">
        <f>COUNTIFS(input!$O:$O,March!$J$97,input!$W:$W,March!B110,input!$A:$A,March!$B$2)</f>
        <v>0</v>
      </c>
      <c r="K110" s="343">
        <f>COUNTIFS(input!$O:$O,March!$K$97,input!$W:$W,March!B110,input!$A:$A,March!$B$2)</f>
        <v>0</v>
      </c>
      <c r="L110" s="312">
        <f t="shared" si="9"/>
        <v>0</v>
      </c>
      <c r="M110" s="320" cm="1">
        <f t="array" ref="M110">_xlfn.IFS(L110=0,0,L110&gt;=1,L110/$L$131)</f>
        <v>0</v>
      </c>
      <c r="N110" s="992" t="s">
        <v>744</v>
      </c>
      <c r="O110" s="993"/>
      <c r="P110" s="994"/>
      <c r="Q110" s="316">
        <f>COUNTIFS(input!$O:$O,March!$Q$97,input!$X:$X,March!N110,input!$A:$A,March!$B$2)</f>
        <v>0</v>
      </c>
      <c r="R110" s="316">
        <f>COUNTIFS(input!$O:$O,March!$R$97,input!$X:$X,March!N110,input!$A:$A,March!$B$2)</f>
        <v>0</v>
      </c>
      <c r="S110" s="316">
        <f>COUNTIFS(input!$O:$O,March!$S$97,input!$X:$X,March!N110,input!$A:$A,March!$B$2)</f>
        <v>0</v>
      </c>
      <c r="T110" s="322">
        <f>COUNTIFS(input!$O:$O,March!$T$97,input!$X:$X,March!N110,input!$A:$A,March!$B$2)</f>
        <v>0</v>
      </c>
      <c r="U110" s="322">
        <f>COUNTIFS(input!$O:$O,March!$U$97,input!$X:$X,March!N110,input!$A:$A,March!$B$2)</f>
        <v>1</v>
      </c>
      <c r="V110" s="323">
        <f>COUNTIFS(input!$O:$O,March!$V$97,input!$X:$X,March!N110,input!$A:$A,March!$B$2)</f>
        <v>0</v>
      </c>
      <c r="W110" s="323">
        <f>COUNTIFS(input!$O:$O,March!$W$97,input!$X:$X,March!N110,input!$A:$A,March!$B$2)</f>
        <v>0</v>
      </c>
      <c r="X110" s="324">
        <f>COUNTIFS(input!$O:$O,March!$X$97,input!$X:$X,March!N110,input!$A:$A,March!$B$2)</f>
        <v>1</v>
      </c>
      <c r="Y110" s="312">
        <f t="shared" si="8"/>
        <v>2</v>
      </c>
      <c r="Z110" s="315" cm="1">
        <f t="array" ref="Z110">_xlfn.IFS(Y110=0,0,Y110&gt;=1,Y110/$Y$131)</f>
        <v>8.3333333333333329E-2</v>
      </c>
    </row>
    <row r="111" spans="2:26" ht="92" x14ac:dyDescent="0.25">
      <c r="B111" s="998" t="s">
        <v>646</v>
      </c>
      <c r="C111" s="994"/>
      <c r="D111" s="316">
        <f>COUNTIFS(input!$O:$O,March!$D$97,input!$W:$W,March!B111,input!$A:$A,March!$B$2)</f>
        <v>0</v>
      </c>
      <c r="E111" s="316">
        <f>COUNTIFS(input!$O:$O,March!$E$97,input!$W:$W,March!B111,input!$A:$A,March!$B$2)</f>
        <v>0</v>
      </c>
      <c r="F111" s="316">
        <f>COUNTIFS(input!$O:$O,March!$F$97,input!$W:$W,March!B111,input!$A:$A,March!$B$2)</f>
        <v>0</v>
      </c>
      <c r="G111" s="322">
        <f>COUNTIFS(input!$O:$O,March!$G$97,input!$W:$W,March!B111,input!$A:$A,March!$B$2)</f>
        <v>0</v>
      </c>
      <c r="H111" s="321">
        <f>COUNTIFS(input!$O:$O,March!$H$97,input!$W:$W,March!B111,input!$A:$A,March!$B$2)</f>
        <v>0</v>
      </c>
      <c r="I111" s="321">
        <f>COUNTIFS(input!$O:$O,March!$I$97,input!$W:$W,March!B111,input!$A:$A,March!$B$2)</f>
        <v>0</v>
      </c>
      <c r="J111" s="321">
        <f>COUNTIFS(input!$O:$O,March!$J$97,input!$W:$W,March!B111,input!$A:$A,March!$B$2)</f>
        <v>0</v>
      </c>
      <c r="K111" s="343">
        <f>COUNTIFS(input!$O:$O,March!$K$97,input!$W:$W,March!B111,input!$A:$A,March!$B$2)</f>
        <v>0</v>
      </c>
      <c r="L111" s="312">
        <f t="shared" si="9"/>
        <v>0</v>
      </c>
      <c r="M111" s="320" cm="1">
        <f t="array" ref="M111">_xlfn.IFS(L111=0,0,L111&gt;=1,L111/$L$131)</f>
        <v>0</v>
      </c>
      <c r="N111" s="992" t="s">
        <v>75</v>
      </c>
      <c r="O111" s="993"/>
      <c r="P111" s="994"/>
      <c r="Q111" s="316">
        <f>COUNTIFS(input!$O:$O,March!$Q$97,input!$X:$X,March!N111,input!$A:$A,March!$B$2)</f>
        <v>0</v>
      </c>
      <c r="R111" s="316">
        <f>COUNTIFS(input!$O:$O,March!$R$97,input!$X:$X,March!N111,input!$A:$A,March!$B$2)</f>
        <v>0</v>
      </c>
      <c r="S111" s="316">
        <f>COUNTIFS(input!$O:$O,March!$S$97,input!$X:$X,March!N111,input!$A:$A,March!$B$2)</f>
        <v>0</v>
      </c>
      <c r="T111" s="322">
        <f>COUNTIFS(input!$O:$O,March!$T$97,input!$X:$X,March!N111,input!$A:$A,March!$B$2)</f>
        <v>0</v>
      </c>
      <c r="U111" s="322">
        <f>COUNTIFS(input!$O:$O,March!$U$97,input!$X:$X,March!N111,input!$A:$A,March!$B$2)</f>
        <v>1</v>
      </c>
      <c r="V111" s="323">
        <f>COUNTIFS(input!$O:$O,March!$V$97,input!$X:$X,March!N111,input!$A:$A,March!$B$2)</f>
        <v>0</v>
      </c>
      <c r="W111" s="323">
        <f>COUNTIFS(input!$O:$O,March!$W$97,input!$X:$X,March!N111,input!$A:$A,March!$B$2)</f>
        <v>0</v>
      </c>
      <c r="X111" s="324">
        <f>COUNTIFS(input!$O:$O,March!$X$97,input!$X:$X,March!N111,input!$A:$A,March!$B$2)</f>
        <v>0</v>
      </c>
      <c r="Y111" s="312">
        <f t="shared" si="8"/>
        <v>1</v>
      </c>
      <c r="Z111" s="315" cm="1">
        <f t="array" ref="Z111">_xlfn.IFS(Y111=0,0,Y111&gt;=1,Y111/$Y$131)</f>
        <v>4.1666666666666664E-2</v>
      </c>
    </row>
    <row r="112" spans="2:26" ht="92" x14ac:dyDescent="0.25">
      <c r="B112" s="998" t="s">
        <v>366</v>
      </c>
      <c r="C112" s="994"/>
      <c r="D112" s="316">
        <f>COUNTIFS(input!$O:$O,March!$D$97,input!$W:$W,March!B112,input!$A:$A,March!$B$2)</f>
        <v>0</v>
      </c>
      <c r="E112" s="316">
        <f>COUNTIFS(input!$O:$O,March!$E$97,input!$W:$W,March!B112,input!$A:$A,March!$B$2)</f>
        <v>0</v>
      </c>
      <c r="F112" s="316">
        <f>COUNTIFS(input!$O:$O,March!$F$97,input!$W:$W,March!B112,input!$A:$A,March!$B$2)</f>
        <v>0</v>
      </c>
      <c r="G112" s="322">
        <f>COUNTIFS(input!$O:$O,March!$G$97,input!$W:$W,March!B112,input!$A:$A,March!$B$2)</f>
        <v>0</v>
      </c>
      <c r="H112" s="321">
        <f>COUNTIFS(input!$O:$O,March!$H$97,input!$W:$W,March!B112,input!$A:$A,March!$B$2)</f>
        <v>0</v>
      </c>
      <c r="I112" s="321">
        <f>COUNTIFS(input!$O:$O,March!$I$97,input!$W:$W,March!B112,input!$A:$A,March!$B$2)</f>
        <v>0</v>
      </c>
      <c r="J112" s="321">
        <f>COUNTIFS(input!$O:$O,March!$J$97,input!$W:$W,March!B112,input!$A:$A,March!$B$2)</f>
        <v>0</v>
      </c>
      <c r="K112" s="343">
        <f>COUNTIFS(input!$O:$O,March!$K$97,input!$W:$W,March!B112,input!$A:$A,March!$B$2)</f>
        <v>0</v>
      </c>
      <c r="L112" s="312">
        <f t="shared" si="9"/>
        <v>0</v>
      </c>
      <c r="M112" s="320" cm="1">
        <f t="array" ref="M112">_xlfn.IFS(L112=0,0,L112&gt;=1,L112/$L$131)</f>
        <v>0</v>
      </c>
      <c r="N112" s="995" t="s">
        <v>76</v>
      </c>
      <c r="O112" s="996"/>
      <c r="P112" s="997"/>
      <c r="Q112" s="316">
        <f>COUNTIFS(input!$O:$O,March!$Q$97,input!$X:$X,March!N112,input!$A:$A,March!$B$2)</f>
        <v>0</v>
      </c>
      <c r="R112" s="316">
        <f>COUNTIFS(input!$O:$O,March!$R$97,input!$X:$X,March!N112,input!$A:$A,March!$B$2)</f>
        <v>0</v>
      </c>
      <c r="S112" s="316">
        <f>COUNTIFS(input!$O:$O,March!$S$97,input!$X:$X,March!N112,input!$A:$A,March!$B$2)</f>
        <v>0</v>
      </c>
      <c r="T112" s="322">
        <f>COUNTIFS(input!$O:$O,March!$T$97,input!$X:$X,March!N112,input!$A:$A,March!$B$2)</f>
        <v>0</v>
      </c>
      <c r="U112" s="322">
        <f>COUNTIFS(input!$O:$O,March!$U$97,input!$X:$X,March!N112,input!$A:$A,March!$B$2)</f>
        <v>0</v>
      </c>
      <c r="V112" s="323">
        <f>COUNTIFS(input!$O:$O,March!$V$97,input!$X:$X,March!N112,input!$A:$A,March!$B$2)</f>
        <v>0</v>
      </c>
      <c r="W112" s="323">
        <f>COUNTIFS(input!$O:$O,March!$W$97,input!$X:$X,March!N112,input!$A:$A,March!$B$2)</f>
        <v>0</v>
      </c>
      <c r="X112" s="324">
        <f>COUNTIFS(input!$O:$O,March!$X$97,input!$X:$X,March!N112,input!$A:$A,March!$B$2)</f>
        <v>0</v>
      </c>
      <c r="Y112" s="312">
        <f t="shared" si="8"/>
        <v>0</v>
      </c>
      <c r="Z112" s="315" cm="1">
        <f t="array" ref="Z112">_xlfn.IFS(Y112=0,0,Y112&gt;=1,Y112/$Y$131)</f>
        <v>0</v>
      </c>
    </row>
    <row r="113" spans="2:26" ht="92" x14ac:dyDescent="0.25">
      <c r="B113" s="998" t="s">
        <v>498</v>
      </c>
      <c r="C113" s="994"/>
      <c r="D113" s="316">
        <f>COUNTIFS(input!$O:$O,March!$D$97,input!$W:$W,March!B113,input!$A:$A,March!$B$2)</f>
        <v>0</v>
      </c>
      <c r="E113" s="316">
        <f>COUNTIFS(input!$O:$O,March!$E$97,input!$W:$W,March!B113,input!$A:$A,March!$B$2)</f>
        <v>0</v>
      </c>
      <c r="F113" s="316">
        <f>COUNTIFS(input!$O:$O,March!$F$97,input!$W:$W,March!B113,input!$A:$A,March!$B$2)</f>
        <v>0</v>
      </c>
      <c r="G113" s="322">
        <f>COUNTIFS(input!$O:$O,March!$G$97,input!$W:$W,March!B113,input!$A:$A,March!$B$2)</f>
        <v>0</v>
      </c>
      <c r="H113" s="321">
        <f>COUNTIFS(input!$O:$O,March!$H$97,input!$W:$W,March!B113,input!$A:$A,March!$B$2)</f>
        <v>0</v>
      </c>
      <c r="I113" s="321">
        <f>COUNTIFS(input!$O:$O,March!$I$97,input!$W:$W,March!B113,input!$A:$A,March!$B$2)</f>
        <v>0</v>
      </c>
      <c r="J113" s="321">
        <f>COUNTIFS(input!$O:$O,March!$J$97,input!$W:$W,March!B113,input!$A:$A,March!$B$2)</f>
        <v>0</v>
      </c>
      <c r="K113" s="343">
        <f>COUNTIFS(input!$O:$O,March!$K$97,input!$W:$W,March!B113,input!$A:$A,March!$B$2)</f>
        <v>0</v>
      </c>
      <c r="L113" s="312">
        <f t="shared" si="9"/>
        <v>0</v>
      </c>
      <c r="M113" s="320" cm="1">
        <f t="array" ref="M113">_xlfn.IFS(L113=0,0,L113&gt;=1,L113/$L$131)</f>
        <v>0</v>
      </c>
      <c r="N113" s="995" t="s">
        <v>77</v>
      </c>
      <c r="O113" s="996"/>
      <c r="P113" s="997"/>
      <c r="Q113" s="316">
        <f>COUNTIFS(input!$O:$O,March!$Q$97,input!$X:$X,March!N113,input!$A:$A,March!$B$2)</f>
        <v>0</v>
      </c>
      <c r="R113" s="316">
        <f>COUNTIFS(input!$O:$O,March!$R$97,input!$X:$X,March!N113,input!$A:$A,March!$B$2)</f>
        <v>0</v>
      </c>
      <c r="S113" s="316">
        <f>COUNTIFS(input!$O:$O,March!$S$97,input!$X:$X,March!N113,input!$A:$A,March!$B$2)</f>
        <v>0</v>
      </c>
      <c r="T113" s="322">
        <f>COUNTIFS(input!$O:$O,March!$T$97,input!$X:$X,March!N113,input!$A:$A,March!$B$2)</f>
        <v>0</v>
      </c>
      <c r="U113" s="322">
        <f>COUNTIFS(input!$O:$O,March!$U$97,input!$X:$X,March!N113,input!$A:$A,March!$B$2)</f>
        <v>0</v>
      </c>
      <c r="V113" s="323">
        <f>COUNTIFS(input!$O:$O,March!$V$97,input!$X:$X,March!N113,input!$A:$A,March!$B$2)</f>
        <v>0</v>
      </c>
      <c r="W113" s="323">
        <f>COUNTIFS(input!$O:$O,March!$W$97,input!$X:$X,March!N113,input!$A:$A,March!$B$2)</f>
        <v>0</v>
      </c>
      <c r="X113" s="324">
        <f>COUNTIFS(input!$O:$O,March!$X$97,input!$X:$X,March!N113,input!$A:$A,March!$B$2)</f>
        <v>0</v>
      </c>
      <c r="Y113" s="312">
        <f t="shared" si="8"/>
        <v>0</v>
      </c>
      <c r="Z113" s="315" cm="1">
        <f t="array" ref="Z113">_xlfn.IFS(Y113=0,0,Y113&gt;=1,Y113/$Y$131)</f>
        <v>0</v>
      </c>
    </row>
    <row r="114" spans="2:26" ht="92" x14ac:dyDescent="0.25">
      <c r="B114" s="998" t="s">
        <v>864</v>
      </c>
      <c r="C114" s="994"/>
      <c r="D114" s="316">
        <f>COUNTIFS(input!$O:$O,March!$D$97,input!$W:$W,March!B114,input!$A:$A,March!$B$2)</f>
        <v>0</v>
      </c>
      <c r="E114" s="316">
        <f>COUNTIFS(input!$O:$O,March!$E$97,input!$W:$W,March!B114,input!$A:$A,March!$B$2)</f>
        <v>0</v>
      </c>
      <c r="F114" s="316">
        <f>COUNTIFS(input!$O:$O,March!$F$97,input!$W:$W,March!B114,input!$A:$A,March!$B$2)</f>
        <v>0</v>
      </c>
      <c r="G114" s="322">
        <f>COUNTIFS(input!$O:$O,March!$G$97,input!$W:$W,March!B114,input!$A:$A,March!$B$2)</f>
        <v>1</v>
      </c>
      <c r="H114" s="321">
        <f>COUNTIFS(input!$O:$O,March!$H$97,input!$W:$W,March!B114,input!$A:$A,March!$B$2)</f>
        <v>0</v>
      </c>
      <c r="I114" s="321">
        <f>COUNTIFS(input!$O:$O,March!$I$97,input!$W:$W,March!B114,input!$A:$A,March!$B$2)</f>
        <v>0</v>
      </c>
      <c r="J114" s="321">
        <f>COUNTIFS(input!$O:$O,March!$J$97,input!$W:$W,March!B114,input!$A:$A,March!$B$2)</f>
        <v>0</v>
      </c>
      <c r="K114" s="343">
        <f>COUNTIFS(input!$O:$O,March!$K$97,input!$W:$W,March!B114,input!$A:$A,March!$B$2)</f>
        <v>0</v>
      </c>
      <c r="L114" s="312">
        <f t="shared" si="9"/>
        <v>1</v>
      </c>
      <c r="M114" s="320" cm="1">
        <f t="array" ref="M114">_xlfn.IFS(L114=0,0,L114&gt;=1,L114/$L$131)</f>
        <v>4.1666666666666664E-2</v>
      </c>
      <c r="N114" s="995" t="s">
        <v>78</v>
      </c>
      <c r="O114" s="996"/>
      <c r="P114" s="997"/>
      <c r="Q114" s="316">
        <f>COUNTIFS(input!$O:$O,March!$Q$97,input!$X:$X,March!N114,input!$A:$A,March!$B$2)</f>
        <v>0</v>
      </c>
      <c r="R114" s="316">
        <f>COUNTIFS(input!$O:$O,March!$R$97,input!$X:$X,March!N114,input!$A:$A,March!$B$2)</f>
        <v>0</v>
      </c>
      <c r="S114" s="316">
        <f>COUNTIFS(input!$O:$O,March!$S$97,input!$X:$X,March!N114,input!$A:$A,March!$B$2)</f>
        <v>0</v>
      </c>
      <c r="T114" s="322">
        <f>COUNTIFS(input!$O:$O,March!$T$97,input!$X:$X,March!N114,input!$A:$A,March!$B$2)</f>
        <v>0</v>
      </c>
      <c r="U114" s="322">
        <f>COUNTIFS(input!$O:$O,March!$U$97,input!$X:$X,March!N114,input!$A:$A,March!$B$2)</f>
        <v>0</v>
      </c>
      <c r="V114" s="323">
        <f>COUNTIFS(input!$O:$O,March!$V$97,input!$X:$X,March!N114,input!$A:$A,March!$B$2)</f>
        <v>0</v>
      </c>
      <c r="W114" s="323">
        <f>COUNTIFS(input!$O:$O,March!$W$97,input!$X:$X,March!N114,input!$A:$A,March!$B$2)</f>
        <v>0</v>
      </c>
      <c r="X114" s="324">
        <f>COUNTIFS(input!$O:$O,March!$X$97,input!$X:$X,March!N114,input!$A:$A,March!$B$2)</f>
        <v>0</v>
      </c>
      <c r="Y114" s="312">
        <f t="shared" si="8"/>
        <v>0</v>
      </c>
      <c r="Z114" s="315" cm="1">
        <f t="array" ref="Z114">_xlfn.IFS(Y114=0,0,Y114&gt;=1,Y114/$Y$131)</f>
        <v>0</v>
      </c>
    </row>
    <row r="115" spans="2:26" ht="92" x14ac:dyDescent="0.25">
      <c r="B115" s="998" t="s">
        <v>489</v>
      </c>
      <c r="C115" s="994"/>
      <c r="D115" s="316">
        <f>COUNTIFS(input!$O:$O,March!$D$97,input!$W:$W,March!B115,input!$A:$A,March!$B$2)</f>
        <v>0</v>
      </c>
      <c r="E115" s="316">
        <f>COUNTIFS(input!$O:$O,March!$E$97,input!$W:$W,March!B115,input!$A:$A,March!$B$2)</f>
        <v>0</v>
      </c>
      <c r="F115" s="316">
        <f>COUNTIFS(input!$O:$O,March!$F$97,input!$W:$W,March!B115,input!$A:$A,March!$B$2)</f>
        <v>0</v>
      </c>
      <c r="G115" s="322">
        <f>COUNTIFS(input!$O:$O,March!$G$97,input!$W:$W,March!B115,input!$A:$A,March!$B$2)</f>
        <v>0</v>
      </c>
      <c r="H115" s="321">
        <f>COUNTIFS(input!$O:$O,March!$H$97,input!$W:$W,March!B115,input!$A:$A,March!$B$2)</f>
        <v>0</v>
      </c>
      <c r="I115" s="321">
        <f>COUNTIFS(input!$O:$O,March!$I$97,input!$W:$W,March!B115,input!$A:$A,March!$B$2)</f>
        <v>0</v>
      </c>
      <c r="J115" s="321">
        <f>COUNTIFS(input!$O:$O,March!$J$97,input!$W:$W,March!B115,input!$A:$A,March!$B$2)</f>
        <v>0</v>
      </c>
      <c r="K115" s="343">
        <f>COUNTIFS(input!$O:$O,March!$K$97,input!$W:$W,March!B115,input!$A:$A,March!$B$2)</f>
        <v>0</v>
      </c>
      <c r="L115" s="312">
        <f t="shared" si="9"/>
        <v>0</v>
      </c>
      <c r="M115" s="320" cm="1">
        <f t="array" ref="M115">_xlfn.IFS(L115=0,0,L115&gt;=1,L115/$L$131)</f>
        <v>0</v>
      </c>
      <c r="N115" s="992" t="s">
        <v>764</v>
      </c>
      <c r="O115" s="993"/>
      <c r="P115" s="994"/>
      <c r="Q115" s="316">
        <f>COUNTIFS(input!$O:$O,March!$Q$97,input!$X:$X,March!N115,input!$A:$A,March!$B$2)</f>
        <v>0</v>
      </c>
      <c r="R115" s="316">
        <f>COUNTIFS(input!$O:$O,March!$R$97,input!$X:$X,March!N115,input!$A:$A,March!$B$2)</f>
        <v>0</v>
      </c>
      <c r="S115" s="316">
        <f>COUNTIFS(input!$O:$O,March!$S$97,input!$X:$X,March!N115,input!$A:$A,March!$B$2)</f>
        <v>0</v>
      </c>
      <c r="T115" s="322">
        <f>COUNTIFS(input!$O:$O,March!$T$97,input!$X:$X,March!N115,input!$A:$A,March!$B$2)</f>
        <v>0</v>
      </c>
      <c r="U115" s="322">
        <f>COUNTIFS(input!$O:$O,March!$U$97,input!$X:$X,March!N115,input!$A:$A,March!$B$2)</f>
        <v>0</v>
      </c>
      <c r="V115" s="323">
        <f>COUNTIFS(input!$O:$O,March!$V$97,input!$X:$X,March!N115,input!$A:$A,March!$B$2)</f>
        <v>0</v>
      </c>
      <c r="W115" s="323">
        <f>COUNTIFS(input!$O:$O,March!$W$97,input!$X:$X,March!N115,input!$A:$A,March!$B$2)</f>
        <v>1</v>
      </c>
      <c r="X115" s="324">
        <f>COUNTIFS(input!$O:$O,March!$X$97,input!$X:$X,March!N115,input!$A:$A,March!$B$2)</f>
        <v>0</v>
      </c>
      <c r="Y115" s="312">
        <f t="shared" si="8"/>
        <v>1</v>
      </c>
      <c r="Z115" s="315" cm="1">
        <f t="array" ref="Z115">_xlfn.IFS(Y115=0,0,Y115&gt;=1,Y115/$Y$131)</f>
        <v>4.1666666666666664E-2</v>
      </c>
    </row>
    <row r="116" spans="2:26" ht="92" x14ac:dyDescent="0.25">
      <c r="B116" s="990" t="s">
        <v>466</v>
      </c>
      <c r="C116" s="991"/>
      <c r="D116" s="316">
        <f>COUNTIFS(input!$O:$O,March!$D$97,input!$W:$W,March!B116,input!$A:$A,March!$B$2)</f>
        <v>0</v>
      </c>
      <c r="E116" s="316">
        <f>COUNTIFS(input!$O:$O,March!$E$97,input!$W:$W,March!B116,input!$A:$A,March!$B$2)</f>
        <v>0</v>
      </c>
      <c r="F116" s="316">
        <f>COUNTIFS(input!$O:$O,March!$F$97,input!$W:$W,March!B116,input!$A:$A,March!$B$2)</f>
        <v>0</v>
      </c>
      <c r="G116" s="322">
        <f>COUNTIFS(input!$O:$O,March!$G$97,input!$W:$W,March!B116,input!$A:$A,March!$B$2)</f>
        <v>0</v>
      </c>
      <c r="H116" s="321">
        <f>COUNTIFS(input!$O:$O,March!$H$97,input!$W:$W,March!B116,input!$A:$A,March!$B$2)</f>
        <v>0</v>
      </c>
      <c r="I116" s="321">
        <f>COUNTIFS(input!$O:$O,March!$I$97,input!$W:$W,March!B116,input!$A:$A,March!$B$2)</f>
        <v>0</v>
      </c>
      <c r="J116" s="321">
        <f>COUNTIFS(input!$O:$O,March!$J$97,input!$W:$W,March!B116,input!$A:$A,March!$B$2)</f>
        <v>0</v>
      </c>
      <c r="K116" s="343">
        <f>COUNTIFS(input!$O:$O,March!$K$97,input!$W:$W,March!B116,input!$A:$A,March!$B$2)</f>
        <v>0</v>
      </c>
      <c r="L116" s="312">
        <f t="shared" si="9"/>
        <v>0</v>
      </c>
      <c r="M116" s="320" cm="1">
        <f t="array" ref="M116">_xlfn.IFS(L116=0,0,L116&gt;=1,L116/$L$131)</f>
        <v>0</v>
      </c>
      <c r="N116" s="992" t="s">
        <v>390</v>
      </c>
      <c r="O116" s="993"/>
      <c r="P116" s="994"/>
      <c r="Q116" s="316">
        <f>COUNTIFS(input!$O:$O,March!$Q$97,input!$X:$X,March!N116,input!$A:$A,March!$B$2)</f>
        <v>0</v>
      </c>
      <c r="R116" s="316">
        <f>COUNTIFS(input!$O:$O,March!$R$97,input!$X:$X,March!N116,input!$A:$A,March!$B$2)</f>
        <v>0</v>
      </c>
      <c r="S116" s="316">
        <f>COUNTIFS(input!$O:$O,March!$S$97,input!$X:$X,March!N116,input!$A:$A,March!$B$2)</f>
        <v>0</v>
      </c>
      <c r="T116" s="322">
        <f>COUNTIFS(input!$O:$O,March!$T$97,input!$X:$X,March!N116,input!$A:$A,March!$B$2)</f>
        <v>1</v>
      </c>
      <c r="U116" s="322">
        <f>COUNTIFS(input!$O:$O,March!$U$97,input!$X:$X,March!N116,input!$A:$A,March!$B$2)</f>
        <v>0</v>
      </c>
      <c r="V116" s="323">
        <f>COUNTIFS(input!$O:$O,March!$V$97,input!$X:$X,March!N116,input!$A:$A,March!$B$2)</f>
        <v>0</v>
      </c>
      <c r="W116" s="323">
        <f>COUNTIFS(input!$O:$O,March!$W$97,input!$X:$X,March!N116,input!$A:$A,March!$B$2)</f>
        <v>0</v>
      </c>
      <c r="X116" s="324">
        <f>COUNTIFS(input!$O:$O,March!$X$97,input!$X:$X,March!N116,input!$A:$A,March!$B$2)</f>
        <v>0</v>
      </c>
      <c r="Y116" s="312">
        <f t="shared" si="8"/>
        <v>1</v>
      </c>
      <c r="Z116" s="315" cm="1">
        <f t="array" ref="Z116">_xlfn.IFS(Y116=0,0,Y116&gt;=1,Y116/$Y$131)</f>
        <v>4.1666666666666664E-2</v>
      </c>
    </row>
    <row r="117" spans="2:26" ht="92" x14ac:dyDescent="0.25">
      <c r="B117" s="990" t="s">
        <v>458</v>
      </c>
      <c r="C117" s="991"/>
      <c r="D117" s="316">
        <f>COUNTIFS(input!$O:$O,March!$D$97,input!$W:$W,March!B117,input!$A:$A,March!$B$2)</f>
        <v>0</v>
      </c>
      <c r="E117" s="316">
        <f>COUNTIFS(input!$O:$O,March!$E$97,input!$W:$W,March!B117,input!$A:$A,March!$B$2)</f>
        <v>0</v>
      </c>
      <c r="F117" s="316">
        <f>COUNTIFS(input!$O:$O,March!$F$97,input!$W:$W,March!B117,input!$A:$A,March!$B$2)</f>
        <v>0</v>
      </c>
      <c r="G117" s="322">
        <f>COUNTIFS(input!$O:$O,March!$G$97,input!$W:$W,March!B117,input!$A:$A,March!$B$2)</f>
        <v>0</v>
      </c>
      <c r="H117" s="321">
        <f>COUNTIFS(input!$O:$O,March!$H$97,input!$W:$W,March!B117,input!$A:$A,March!$B$2)</f>
        <v>0</v>
      </c>
      <c r="I117" s="321">
        <f>COUNTIFS(input!$O:$O,March!$I$97,input!$W:$W,March!B117,input!$A:$A,March!$B$2)</f>
        <v>0</v>
      </c>
      <c r="J117" s="321">
        <f>COUNTIFS(input!$O:$O,March!$J$97,input!$W:$W,March!B117,input!$A:$A,March!$B$2)</f>
        <v>0</v>
      </c>
      <c r="K117" s="343">
        <f>COUNTIFS(input!$O:$O,March!$K$97,input!$W:$W,March!B117,input!$A:$A,March!$B$2)</f>
        <v>0</v>
      </c>
      <c r="L117" s="312">
        <f t="shared" si="9"/>
        <v>0</v>
      </c>
      <c r="M117" s="320" cm="1">
        <f t="array" ref="M117">_xlfn.IFS(L117=0,0,L117&gt;=1,L117/$L$131)</f>
        <v>0</v>
      </c>
      <c r="N117" s="995" t="s">
        <v>177</v>
      </c>
      <c r="O117" s="996"/>
      <c r="P117" s="997"/>
      <c r="Q117" s="316">
        <f>COUNTIFS(input!$O:$O,March!$Q$97,input!$X:$X,March!N117,input!$A:$A,March!$B$2)</f>
        <v>0</v>
      </c>
      <c r="R117" s="316">
        <f>COUNTIFS(input!$O:$O,March!$R$97,input!$X:$X,March!N117,input!$A:$A,March!$B$2)</f>
        <v>0</v>
      </c>
      <c r="S117" s="316">
        <f>COUNTIFS(input!$O:$O,March!$S$97,input!$X:$X,March!N117,input!$A:$A,March!$B$2)</f>
        <v>0</v>
      </c>
      <c r="T117" s="322">
        <f>COUNTIFS(input!$O:$O,March!$T$97,input!$X:$X,March!N117,input!$A:$A,March!$B$2)</f>
        <v>0</v>
      </c>
      <c r="U117" s="322">
        <f>COUNTIFS(input!$O:$O,March!$U$97,input!$X:$X,March!N117,input!$A:$A,March!$B$2)</f>
        <v>0</v>
      </c>
      <c r="V117" s="323">
        <f>COUNTIFS(input!$O:$O,March!$V$97,input!$X:$X,March!N117,input!$A:$A,March!$B$2)</f>
        <v>0</v>
      </c>
      <c r="W117" s="323">
        <f>COUNTIFS(input!$O:$O,March!$W$97,input!$X:$X,March!N117,input!$A:$A,March!$B$2)</f>
        <v>0</v>
      </c>
      <c r="X117" s="324">
        <f>COUNTIFS(input!$O:$O,March!$X$97,input!$X:$X,March!N117,input!$A:$A,March!$B$2)</f>
        <v>0</v>
      </c>
      <c r="Y117" s="312">
        <f t="shared" si="8"/>
        <v>0</v>
      </c>
      <c r="Z117" s="315" cm="1">
        <f t="array" ref="Z117">_xlfn.IFS(Y117=0,0,Y117&gt;=1,Y117/$Y$131)</f>
        <v>0</v>
      </c>
    </row>
    <row r="118" spans="2:26" ht="92" x14ac:dyDescent="0.25">
      <c r="B118" s="990" t="s">
        <v>647</v>
      </c>
      <c r="C118" s="991"/>
      <c r="D118" s="316">
        <f>COUNTIFS(input!$O:$O,March!$D$97,input!$W:$W,March!B118,input!$A:$A,March!$B$2)</f>
        <v>0</v>
      </c>
      <c r="E118" s="316">
        <f>COUNTIFS(input!$O:$O,March!$E$97,input!$W:$W,March!B118,input!$A:$A,March!$B$2)</f>
        <v>0</v>
      </c>
      <c r="F118" s="316">
        <f>COUNTIFS(input!$O:$O,March!$F$97,input!$W:$W,March!B118,input!$A:$A,March!$B$2)</f>
        <v>0</v>
      </c>
      <c r="G118" s="322">
        <f>COUNTIFS(input!$O:$O,March!$G$97,input!$W:$W,March!B118,input!$A:$A,March!$B$2)</f>
        <v>0</v>
      </c>
      <c r="H118" s="321">
        <f>COUNTIFS(input!$O:$O,March!$H$97,input!$W:$W,March!B118,input!$A:$A,March!$B$2)</f>
        <v>0</v>
      </c>
      <c r="I118" s="321">
        <f>COUNTIFS(input!$O:$O,March!$I$97,input!$W:$W,March!B118,input!$A:$A,March!$B$2)</f>
        <v>0</v>
      </c>
      <c r="J118" s="321">
        <f>COUNTIFS(input!$O:$O,March!$J$97,input!$W:$W,March!B118,input!$A:$A,March!$B$2)</f>
        <v>0</v>
      </c>
      <c r="K118" s="343">
        <f>COUNTIFS(input!$O:$O,March!$K$97,input!$W:$W,March!B118,input!$A:$A,March!$B$2)</f>
        <v>0</v>
      </c>
      <c r="L118" s="312">
        <f t="shared" si="9"/>
        <v>0</v>
      </c>
      <c r="M118" s="320" cm="1">
        <f t="array" ref="M118">_xlfn.IFS(L118=0,0,L118&gt;=1,L118/$L$131)</f>
        <v>0</v>
      </c>
      <c r="N118" s="992" t="s">
        <v>479</v>
      </c>
      <c r="O118" s="993"/>
      <c r="P118" s="1004"/>
      <c r="Q118" s="316">
        <f>COUNTIFS(input!$O:$O,March!$Q$97,input!$X:$X,March!N118,input!$A:$A,March!$B$2)</f>
        <v>0</v>
      </c>
      <c r="R118" s="316">
        <f>COUNTIFS(input!$O:$O,March!$R$97,input!$X:$X,March!N118,input!$A:$A,March!$B$2)</f>
        <v>0</v>
      </c>
      <c r="S118" s="316">
        <f>COUNTIFS(input!$O:$O,March!$S$97,input!$X:$X,March!N118,input!$A:$A,March!$B$2)</f>
        <v>1</v>
      </c>
      <c r="T118" s="322">
        <f>COUNTIFS(input!$O:$O,March!$T$97,input!$X:$X,March!N118,input!$A:$A,March!$B$2)</f>
        <v>0</v>
      </c>
      <c r="U118" s="322">
        <f>COUNTIFS(input!$O:$O,March!$U$97,input!$X:$X,March!N118,input!$A:$A,March!$B$2)</f>
        <v>0</v>
      </c>
      <c r="V118" s="323">
        <f>COUNTIFS(input!$O:$O,March!$V$97,input!$X:$X,March!N118,input!$A:$A,March!$B$2)</f>
        <v>0</v>
      </c>
      <c r="W118" s="323">
        <f>COUNTIFS(input!$O:$O,March!$W$97,input!$X:$X,March!N118,input!$A:$A,March!$B$2)</f>
        <v>0</v>
      </c>
      <c r="X118" s="324">
        <f>COUNTIFS(input!$O:$O,March!$X$97,input!$X:$X,March!N118,input!$A:$A,March!$B$2)</f>
        <v>0</v>
      </c>
      <c r="Y118" s="312">
        <f t="shared" si="8"/>
        <v>1</v>
      </c>
      <c r="Z118" s="315" cm="1">
        <f t="array" ref="Z118">_xlfn.IFS(Y118=0,0,Y118&gt;=1,Y118/$Y$131)</f>
        <v>4.1666666666666664E-2</v>
      </c>
    </row>
    <row r="119" spans="2:26" ht="92" x14ac:dyDescent="0.25">
      <c r="B119" s="998" t="s">
        <v>826</v>
      </c>
      <c r="C119" s="994"/>
      <c r="D119" s="316">
        <f>COUNTIFS(input!$O:$O,March!$D$97,input!$W:$W,March!B119,input!$A:$A,March!$B$2)</f>
        <v>0</v>
      </c>
      <c r="E119" s="316">
        <f>COUNTIFS(input!$O:$O,March!$E$97,input!$W:$W,March!B119,input!$A:$A,March!$B$2)</f>
        <v>0</v>
      </c>
      <c r="F119" s="316">
        <f>COUNTIFS(input!$O:$O,March!$F$97,input!$W:$W,March!B119,input!$A:$A,March!$B$2)</f>
        <v>0</v>
      </c>
      <c r="G119" s="322">
        <f>COUNTIFS(input!$O:$O,March!$G$97,input!$W:$W,March!B119,input!$A:$A,March!$B$2)</f>
        <v>0</v>
      </c>
      <c r="H119" s="321">
        <f>COUNTIFS(input!$O:$O,March!$H$97,input!$W:$W,March!B119,input!$A:$A,March!$B$2)</f>
        <v>0</v>
      </c>
      <c r="I119" s="321">
        <f>COUNTIFS(input!$O:$O,March!$I$97,input!$W:$W,March!B119,input!$A:$A,March!$B$2)</f>
        <v>2</v>
      </c>
      <c r="J119" s="321">
        <f>COUNTIFS(input!$O:$O,March!$J$97,input!$W:$W,March!B119,input!$A:$A,March!$B$2)</f>
        <v>0</v>
      </c>
      <c r="K119" s="343">
        <f>COUNTIFS(input!$O:$O,March!$K$97,input!$W:$W,March!B119,input!$A:$A,March!$B$2)</f>
        <v>0</v>
      </c>
      <c r="L119" s="312">
        <f t="shared" si="9"/>
        <v>2</v>
      </c>
      <c r="M119" s="320" cm="1">
        <f t="array" ref="M119">_xlfn.IFS(L119=0,0,L119&gt;=1,L119/$L$131)</f>
        <v>8.3333333333333329E-2</v>
      </c>
      <c r="N119" s="992" t="s">
        <v>425</v>
      </c>
      <c r="O119" s="993"/>
      <c r="P119" s="1004"/>
      <c r="Q119" s="316">
        <f>COUNTIFS(input!$O:$O,March!$Q$97,input!$X:$X,March!N119,input!$A:$A,March!$B$2)</f>
        <v>0</v>
      </c>
      <c r="R119" s="316">
        <f>COUNTIFS(input!$O:$O,March!$R$97,input!$X:$X,March!N119,input!$A:$A,March!$B$2)</f>
        <v>0</v>
      </c>
      <c r="S119" s="316">
        <f>COUNTIFS(input!$O:$O,March!$S$97,input!$X:$X,March!N119,input!$A:$A,March!$B$2)</f>
        <v>0</v>
      </c>
      <c r="T119" s="322">
        <f>COUNTIFS(input!$O:$O,March!$T$97,input!$X:$X,March!N119,input!$A:$A,March!$B$2)</f>
        <v>0</v>
      </c>
      <c r="U119" s="322">
        <f>COUNTIFS(input!$O:$O,March!$U$97,input!$X:$X,March!N119,input!$A:$A,March!$B$2)</f>
        <v>0</v>
      </c>
      <c r="V119" s="323">
        <f>COUNTIFS(input!$O:$O,March!$V$97,input!$X:$X,March!N119,input!$A:$A,March!$B$2)</f>
        <v>0</v>
      </c>
      <c r="W119" s="323">
        <f>COUNTIFS(input!$O:$O,March!$W$97,input!$X:$X,March!N119,input!$A:$A,March!$B$2)</f>
        <v>0</v>
      </c>
      <c r="X119" s="324">
        <f>COUNTIFS(input!$O:$O,March!$X$97,input!$X:$X,March!N119,input!$A:$A,March!$B$2)</f>
        <v>0</v>
      </c>
      <c r="Y119" s="312">
        <f t="shared" si="8"/>
        <v>0</v>
      </c>
      <c r="Z119" s="315" cm="1">
        <f t="array" ref="Z119">_xlfn.IFS(Y119=0,0,Y119&gt;=1,Y119/$Y$131)</f>
        <v>0</v>
      </c>
    </row>
    <row r="120" spans="2:26" ht="92" x14ac:dyDescent="0.25">
      <c r="B120" s="990" t="s">
        <v>603</v>
      </c>
      <c r="C120" s="991"/>
      <c r="D120" s="316">
        <f>COUNTIFS(input!$O:$O,March!$D$97,input!$W:$W,March!B120,input!$A:$A,March!$B$2)</f>
        <v>0</v>
      </c>
      <c r="E120" s="316">
        <f>COUNTIFS(input!$O:$O,March!$E$97,input!$W:$W,March!B120,input!$A:$A,March!$B$2)</f>
        <v>0</v>
      </c>
      <c r="F120" s="316">
        <f>COUNTIFS(input!$O:$O,March!$F$97,input!$W:$W,March!B120,input!$A:$A,March!$B$2)</f>
        <v>0</v>
      </c>
      <c r="G120" s="322">
        <f>COUNTIFS(input!$O:$O,March!$G$97,input!$W:$W,March!B120,input!$A:$A,March!$B$2)</f>
        <v>0</v>
      </c>
      <c r="H120" s="321">
        <f>COUNTIFS(input!$O:$O,March!$H$97,input!$W:$W,March!B120,input!$A:$A,March!$B$2)</f>
        <v>0</v>
      </c>
      <c r="I120" s="321">
        <f>COUNTIFS(input!$O:$O,March!$I$97,input!$W:$W,March!B120,input!$A:$A,March!$B$2)</f>
        <v>0</v>
      </c>
      <c r="J120" s="321">
        <f>COUNTIFS(input!$O:$O,March!$J$97,input!$W:$W,March!B120,input!$A:$A,March!$B$2)</f>
        <v>0</v>
      </c>
      <c r="K120" s="343">
        <f>COUNTIFS(input!$O:$O,March!$K$97,input!$W:$W,March!B120,input!$A:$A,March!$B$2)</f>
        <v>0</v>
      </c>
      <c r="L120" s="312">
        <f t="shared" si="9"/>
        <v>0</v>
      </c>
      <c r="M120" s="320" cm="1">
        <f t="array" ref="M120">_xlfn.IFS(L120=0,0,L120&gt;=1,L120/$L$131)</f>
        <v>0</v>
      </c>
      <c r="N120" s="992" t="s">
        <v>481</v>
      </c>
      <c r="O120" s="993"/>
      <c r="P120" s="994"/>
      <c r="Q120" s="316">
        <f>COUNTIFS(input!$O:$O,March!$Q$97,input!$X:$X,March!N120,input!$A:$A,March!$B$2)</f>
        <v>0</v>
      </c>
      <c r="R120" s="316">
        <f>COUNTIFS(input!$O:$O,March!$R$97,input!$X:$X,March!N120,input!$A:$A,March!$B$2)</f>
        <v>0</v>
      </c>
      <c r="S120" s="316">
        <f>COUNTIFS(input!$O:$O,March!$S$97,input!$X:$X,March!N120,input!$A:$A,March!$B$2)</f>
        <v>0</v>
      </c>
      <c r="T120" s="322">
        <f>COUNTIFS(input!$O:$O,March!$T$97,input!$X:$X,March!N120,input!$A:$A,March!$B$2)</f>
        <v>0</v>
      </c>
      <c r="U120" s="322">
        <f>COUNTIFS(input!$O:$O,March!$U$97,input!$X:$X,March!N120,input!$A:$A,March!$B$2)</f>
        <v>0</v>
      </c>
      <c r="V120" s="323">
        <f>COUNTIFS(input!$O:$O,March!$V$97,input!$X:$X,March!N120,input!$A:$A,March!$B$2)</f>
        <v>0</v>
      </c>
      <c r="W120" s="323">
        <f>COUNTIFS(input!$O:$O,March!$W$97,input!$X:$X,March!N120,input!$A:$A,March!$B$2)</f>
        <v>0</v>
      </c>
      <c r="X120" s="324">
        <f>COUNTIFS(input!$O:$O,March!$X$97,input!$X:$X,March!N120,input!$A:$A,March!$B$2)</f>
        <v>0</v>
      </c>
      <c r="Y120" s="312">
        <f t="shared" si="8"/>
        <v>0</v>
      </c>
      <c r="Z120" s="315" cm="1">
        <f t="array" ref="Z120">_xlfn.IFS(Y120=0,0,Y120&gt;=1,Y120/$Y$131)</f>
        <v>0</v>
      </c>
    </row>
    <row r="121" spans="2:26" ht="92" x14ac:dyDescent="0.25">
      <c r="B121" s="998" t="s">
        <v>828</v>
      </c>
      <c r="C121" s="994"/>
      <c r="D121" s="316">
        <f>COUNTIFS(input!$O:$O,March!$D$97,input!$W:$W,March!B121,input!$A:$A,March!$B$2)</f>
        <v>0</v>
      </c>
      <c r="E121" s="316">
        <f>COUNTIFS(input!$O:$O,March!$E$97,input!$W:$W,March!B121,input!$A:$A,March!$B$2)</f>
        <v>0</v>
      </c>
      <c r="F121" s="316">
        <f>COUNTIFS(input!$O:$O,March!$F$97,input!$W:$W,March!B121,input!$A:$A,March!$B$2)</f>
        <v>0</v>
      </c>
      <c r="G121" s="322">
        <f>COUNTIFS(input!$O:$O,March!$G$97,input!$W:$W,March!B121,input!$A:$A,March!$B$2)</f>
        <v>0</v>
      </c>
      <c r="H121" s="321">
        <f>COUNTIFS(input!$O:$O,March!$H$97,input!$W:$W,March!B121,input!$A:$A,March!$B$2)</f>
        <v>0</v>
      </c>
      <c r="I121" s="321">
        <f>COUNTIFS(input!$O:$O,March!$I$97,input!$W:$W,March!B121,input!$A:$A,March!$B$2)</f>
        <v>1</v>
      </c>
      <c r="J121" s="321">
        <f>COUNTIFS(input!$O:$O,March!$J$97,input!$W:$W,March!B121,input!$A:$A,March!$B$2)</f>
        <v>0</v>
      </c>
      <c r="K121" s="343">
        <f>COUNTIFS(input!$O:$O,March!$K$97,input!$W:$W,March!B121,input!$A:$A,March!$B$2)</f>
        <v>0</v>
      </c>
      <c r="L121" s="312">
        <f t="shared" si="9"/>
        <v>1</v>
      </c>
      <c r="M121" s="320" cm="1">
        <f t="array" ref="M121">_xlfn.IFS(L121=0,0,L121&gt;=1,L121/$L$131)</f>
        <v>4.1666666666666664E-2</v>
      </c>
      <c r="N121" s="992" t="s">
        <v>467</v>
      </c>
      <c r="O121" s="993"/>
      <c r="P121" s="994"/>
      <c r="Q121" s="316">
        <f>COUNTIFS(input!$O:$O,March!$Q$97,input!$X:$X,March!N121,input!$A:$A,March!$B$2)</f>
        <v>0</v>
      </c>
      <c r="R121" s="316">
        <f>COUNTIFS(input!$O:$O,March!$R$97,input!$X:$X,March!N121,input!$A:$A,March!$B$2)</f>
        <v>0</v>
      </c>
      <c r="S121" s="316">
        <f>COUNTIFS(input!$O:$O,March!$S$97,input!$X:$X,March!N121,input!$A:$A,March!$B$2)</f>
        <v>0</v>
      </c>
      <c r="T121" s="322">
        <f>COUNTIFS(input!$O:$O,March!$T$97,input!$X:$X,March!N121,input!$A:$A,March!$B$2)</f>
        <v>0</v>
      </c>
      <c r="U121" s="322">
        <f>COUNTIFS(input!$O:$O,March!$U$97,input!$X:$X,March!N121,input!$A:$A,March!$B$2)</f>
        <v>0</v>
      </c>
      <c r="V121" s="323">
        <f>COUNTIFS(input!$O:$O,March!$V$97,input!$X:$X,March!N121,input!$A:$A,March!$B$2)</f>
        <v>0</v>
      </c>
      <c r="W121" s="323">
        <f>COUNTIFS(input!$O:$O,March!$W$97,input!$X:$X,March!N121,input!$A:$A,March!$B$2)</f>
        <v>0</v>
      </c>
      <c r="X121" s="324">
        <f>COUNTIFS(input!$O:$O,March!$X$97,input!$X:$X,March!N121,input!$A:$A,March!$B$2)</f>
        <v>0</v>
      </c>
      <c r="Y121" s="312">
        <f t="shared" si="8"/>
        <v>0</v>
      </c>
      <c r="Z121" s="315" cm="1">
        <f t="array" ref="Z121">_xlfn.IFS(Y121=0,0,Y121&gt;=1,Y121/$Y$131)</f>
        <v>0</v>
      </c>
    </row>
    <row r="122" spans="2:26" ht="92" x14ac:dyDescent="0.25">
      <c r="B122" s="990" t="s">
        <v>666</v>
      </c>
      <c r="C122" s="991"/>
      <c r="D122" s="316">
        <f>COUNTIFS(input!$O:$O,March!$D$97,input!$W:$W,March!B122,input!$A:$A,March!$B$2)</f>
        <v>0</v>
      </c>
      <c r="E122" s="316">
        <f>COUNTIFS(input!$O:$O,March!$E$97,input!$W:$W,March!B122,input!$A:$A,March!$B$2)</f>
        <v>0</v>
      </c>
      <c r="F122" s="316">
        <f>COUNTIFS(input!$O:$O,March!$F$97,input!$W:$W,March!B122,input!$A:$A,March!$B$2)</f>
        <v>0</v>
      </c>
      <c r="G122" s="322">
        <f>COUNTIFS(input!$O:$O,March!$G$97,input!$W:$W,March!B122,input!$A:$A,March!$B$2)</f>
        <v>0</v>
      </c>
      <c r="H122" s="321">
        <f>COUNTIFS(input!$O:$O,March!$H$97,input!$W:$W,March!B122,input!$A:$A,March!$B$2)</f>
        <v>0</v>
      </c>
      <c r="I122" s="321">
        <f>COUNTIFS(input!$O:$O,March!$I$97,input!$W:$W,March!B122,input!$A:$A,March!$B$2)</f>
        <v>0</v>
      </c>
      <c r="J122" s="321">
        <f>COUNTIFS(input!$O:$O,March!$J$97,input!$W:$W,March!B122,input!$A:$A,March!$B$2)</f>
        <v>0</v>
      </c>
      <c r="K122" s="343">
        <f>COUNTIFS(input!$O:$O,March!$K$97,input!$W:$W,March!B122,input!$A:$A,March!$B$2)</f>
        <v>0</v>
      </c>
      <c r="L122" s="312">
        <f t="shared" si="9"/>
        <v>0</v>
      </c>
      <c r="M122" s="320" cm="1">
        <f t="array" ref="M122">_xlfn.IFS(L122=0,0,L122&gt;=1,L122/$L$131)</f>
        <v>0</v>
      </c>
      <c r="N122" s="992" t="s">
        <v>188</v>
      </c>
      <c r="O122" s="993"/>
      <c r="P122" s="994"/>
      <c r="Q122" s="316">
        <f>COUNTIFS(input!$O:$O,March!$Q$97,input!$X:$X,March!N122,input!$A:$A,March!$B$2)</f>
        <v>0</v>
      </c>
      <c r="R122" s="316">
        <f>COUNTIFS(input!$O:$O,March!$R$97,input!$X:$X,March!N122,input!$A:$A,March!$B$2)</f>
        <v>0</v>
      </c>
      <c r="S122" s="316">
        <f>COUNTIFS(input!$O:$O,March!$S$97,input!$X:$X,March!N122,input!$A:$A,March!$B$2)</f>
        <v>0</v>
      </c>
      <c r="T122" s="322">
        <f>COUNTIFS(input!$O:$O,March!$T$97,input!$X:$X,March!N122,input!$A:$A,March!$B$2)</f>
        <v>0</v>
      </c>
      <c r="U122" s="322">
        <f>COUNTIFS(input!$O:$O,March!$U$97,input!$X:$X,March!N122,input!$A:$A,March!$B$2)</f>
        <v>0</v>
      </c>
      <c r="V122" s="323">
        <f>COUNTIFS(input!$O:$O,March!$V$97,input!$X:$X,March!N122,input!$A:$A,March!$B$2)</f>
        <v>0</v>
      </c>
      <c r="W122" s="323">
        <f>COUNTIFS(input!$O:$O,March!$W$97,input!$X:$X,March!N122,input!$A:$A,March!$B$2)</f>
        <v>0</v>
      </c>
      <c r="X122" s="324">
        <f>COUNTIFS(input!$O:$O,March!$X$97,input!$X:$X,March!N122,input!$A:$A,March!$B$2)</f>
        <v>0</v>
      </c>
      <c r="Y122" s="312">
        <f t="shared" si="8"/>
        <v>0</v>
      </c>
      <c r="Z122" s="315" cm="1">
        <f t="array" ref="Z122">_xlfn.IFS(Y122=0,0,Y122&gt;=1,Y122/$Y$131)</f>
        <v>0</v>
      </c>
    </row>
    <row r="123" spans="2:26" ht="92" x14ac:dyDescent="0.25">
      <c r="B123" s="990" t="s">
        <v>765</v>
      </c>
      <c r="C123" s="991"/>
      <c r="D123" s="316">
        <f>COUNTIFS(input!$O:$O,March!$D$97,input!$W:$W,March!B123,input!$A:$A,March!$B$2)</f>
        <v>0</v>
      </c>
      <c r="E123" s="316">
        <f>COUNTIFS(input!$O:$O,March!$E$97,input!$W:$W,March!B123,input!$A:$A,March!$B$2)</f>
        <v>0</v>
      </c>
      <c r="F123" s="316">
        <f>COUNTIFS(input!$O:$O,March!$F$97,input!$W:$W,March!B123,input!$A:$A,March!$B$2)</f>
        <v>0</v>
      </c>
      <c r="G123" s="322">
        <f>COUNTIFS(input!$O:$O,March!$G$97,input!$W:$W,March!B123,input!$A:$A,March!$B$2)</f>
        <v>0</v>
      </c>
      <c r="H123" s="321">
        <f>COUNTIFS(input!$O:$O,March!$H$97,input!$W:$W,March!B123,input!$A:$A,March!$B$2)</f>
        <v>0</v>
      </c>
      <c r="I123" s="321">
        <f>COUNTIFS(input!$O:$O,March!$I$97,input!$W:$W,March!B123,input!$A:$A,March!$B$2)</f>
        <v>0</v>
      </c>
      <c r="J123" s="321">
        <f>COUNTIFS(input!$O:$O,March!$J$97,input!$W:$W,March!B123,input!$A:$A,March!$B$2)</f>
        <v>1</v>
      </c>
      <c r="K123" s="343">
        <f>COUNTIFS(input!$O:$O,March!$K$97,input!$W:$W,March!B123,input!$A:$A,March!$B$2)</f>
        <v>0</v>
      </c>
      <c r="L123" s="312">
        <f t="shared" si="9"/>
        <v>1</v>
      </c>
      <c r="M123" s="320" cm="1">
        <f t="array" ref="M123">_xlfn.IFS(L123=0,0,L123&gt;=1,L123/$L$131)</f>
        <v>4.1666666666666664E-2</v>
      </c>
      <c r="N123" s="992" t="s">
        <v>361</v>
      </c>
      <c r="O123" s="993"/>
      <c r="P123" s="994"/>
      <c r="Q123" s="316">
        <f>COUNTIFS(input!$O:$O,March!$Q$97,input!$X:$X,March!N123,input!$A:$A,March!$B$2)</f>
        <v>0</v>
      </c>
      <c r="R123" s="316">
        <f>COUNTIFS(input!$O:$O,March!$R$97,input!$X:$X,March!N123,input!$A:$A,March!$B$2)</f>
        <v>0</v>
      </c>
      <c r="S123" s="316">
        <f>COUNTIFS(input!$O:$O,March!$S$97,input!$X:$X,March!N123,input!$A:$A,March!$B$2)</f>
        <v>0</v>
      </c>
      <c r="T123" s="322">
        <f>COUNTIFS(input!$O:$O,March!$T$97,input!$X:$X,March!N123,input!$A:$A,March!$B$2)</f>
        <v>0</v>
      </c>
      <c r="U123" s="322">
        <f>COUNTIFS(input!$O:$O,March!$U$97,input!$X:$X,March!N123,input!$A:$A,March!$B$2)</f>
        <v>0</v>
      </c>
      <c r="V123" s="323">
        <f>COUNTIFS(input!$O:$O,March!$V$97,input!$X:$X,March!N123,input!$A:$A,March!$B$2)</f>
        <v>0</v>
      </c>
      <c r="W123" s="323">
        <f>COUNTIFS(input!$O:$O,March!$W$97,input!$X:$X,March!N123,input!$A:$A,March!$B$2)</f>
        <v>0</v>
      </c>
      <c r="X123" s="324">
        <f>COUNTIFS(input!$O:$O,March!$X$97,input!$X:$X,March!N123,input!$A:$A,March!$B$2)</f>
        <v>0</v>
      </c>
      <c r="Y123" s="312">
        <f t="shared" si="8"/>
        <v>0</v>
      </c>
      <c r="Z123" s="315" cm="1">
        <f t="array" ref="Z123">_xlfn.IFS(Y123=0,0,Y123&gt;=1,Y123/$Y$131)</f>
        <v>0</v>
      </c>
    </row>
    <row r="124" spans="2:26" ht="92" x14ac:dyDescent="0.25">
      <c r="B124" s="998" t="s">
        <v>862</v>
      </c>
      <c r="C124" s="994"/>
      <c r="D124" s="316">
        <f>COUNTIFS(input!$O:$O,March!$D$97,input!$W:$W,March!B124,input!$A:$A,March!$B$2)</f>
        <v>0</v>
      </c>
      <c r="E124" s="316">
        <f>COUNTIFS(input!$O:$O,March!$E$97,input!$W:$W,March!B124,input!$A:$A,March!$B$2)</f>
        <v>0</v>
      </c>
      <c r="F124" s="316">
        <f>COUNTIFS(input!$O:$O,March!$F$97,input!$W:$W,March!B124,input!$A:$A,March!$B$2)</f>
        <v>0</v>
      </c>
      <c r="G124" s="322">
        <f>COUNTIFS(input!$O:$O,March!$G$97,input!$W:$W,March!B124,input!$A:$A,March!$B$2)</f>
        <v>0</v>
      </c>
      <c r="H124" s="321">
        <f>COUNTIFS(input!$O:$O,March!$H$97,input!$W:$W,March!B124,input!$A:$A,March!$B$2)</f>
        <v>1</v>
      </c>
      <c r="I124" s="321">
        <f>COUNTIFS(input!$O:$O,March!$I$97,input!$W:$W,March!B124,input!$A:$A,March!$B$2)</f>
        <v>0</v>
      </c>
      <c r="J124" s="321">
        <f>COUNTIFS(input!$O:$O,March!$J$97,input!$W:$W,March!B124,input!$A:$A,March!$B$2)</f>
        <v>0</v>
      </c>
      <c r="K124" s="343">
        <f>COUNTIFS(input!$O:$O,March!$K$97,input!$W:$W,March!B124,input!$A:$A,March!$B$2)</f>
        <v>0</v>
      </c>
      <c r="L124" s="312">
        <f t="shared" si="9"/>
        <v>1</v>
      </c>
      <c r="M124" s="320" cm="1">
        <f t="array" ref="M124">_xlfn.IFS(L124=0,0,L124&gt;=1,L124/$L$131)</f>
        <v>4.1666666666666664E-2</v>
      </c>
      <c r="N124" s="992"/>
      <c r="O124" s="993"/>
      <c r="P124" s="994"/>
      <c r="Q124" s="316">
        <f>COUNTIFS(input!$O:$O,March!$Q$97,input!$X:$X,March!N124,input!$A:$A,March!$B$2)</f>
        <v>0</v>
      </c>
      <c r="R124" s="316">
        <f>COUNTIFS(input!$O:$O,March!$R$97,input!$X:$X,March!N124,input!$A:$A,March!$B$2)</f>
        <v>0</v>
      </c>
      <c r="S124" s="316">
        <f>COUNTIFS(input!$O:$O,March!$S$97,input!$X:$X,March!N124,input!$A:$A,March!$B$2)</f>
        <v>0</v>
      </c>
      <c r="T124" s="322">
        <f>COUNTIFS(input!$O:$O,March!$T$97,input!$X:$X,March!N124,input!$A:$A,March!$B$2)</f>
        <v>0</v>
      </c>
      <c r="U124" s="322">
        <f>COUNTIFS(input!$O:$O,March!$U$97,input!$X:$X,March!N124,input!$A:$A,March!$B$2)</f>
        <v>0</v>
      </c>
      <c r="V124" s="323">
        <f>COUNTIFS(input!$O:$O,March!$V$97,input!$X:$X,March!N124,input!$A:$A,March!$B$2)</f>
        <v>0</v>
      </c>
      <c r="W124" s="323">
        <f>COUNTIFS(input!$O:$O,March!$W$97,input!$X:$X,March!N124,input!$A:$A,March!$B$2)</f>
        <v>0</v>
      </c>
      <c r="X124" s="324">
        <f>COUNTIFS(input!$O:$O,March!$X$97,input!$X:$X,March!N124,input!$A:$A,March!$B$2)</f>
        <v>0</v>
      </c>
      <c r="Y124" s="312">
        <f t="shared" si="8"/>
        <v>0</v>
      </c>
      <c r="Z124" s="315" cm="1">
        <f t="array" ref="Z124">_xlfn.IFS(Y124=0,0,Y124&gt;=1,Y124/$Y$131)</f>
        <v>0</v>
      </c>
    </row>
    <row r="125" spans="2:26" ht="92" x14ac:dyDescent="0.25">
      <c r="B125" s="998" t="s">
        <v>859</v>
      </c>
      <c r="C125" s="994"/>
      <c r="D125" s="316">
        <f>COUNTIFS(input!$O:$O,March!$D$97,input!$W:$W,March!B125,input!$A:$A,March!$B$2)</f>
        <v>0</v>
      </c>
      <c r="E125" s="316">
        <f>COUNTIFS(input!$O:$O,March!$E$97,input!$W:$W,March!B125,input!$A:$A,March!$B$2)</f>
        <v>0</v>
      </c>
      <c r="F125" s="316">
        <f>COUNTIFS(input!$O:$O,March!$F$97,input!$W:$W,March!B125,input!$A:$A,March!$B$2)</f>
        <v>0</v>
      </c>
      <c r="G125" s="322">
        <f>COUNTIFS(input!$O:$O,March!$G$97,input!$W:$W,March!B125,input!$A:$A,March!$B$2)</f>
        <v>0</v>
      </c>
      <c r="H125" s="321">
        <f>COUNTIFS(input!$O:$O,March!$H$97,input!$W:$W,March!B125,input!$A:$A,March!$B$2)</f>
        <v>1</v>
      </c>
      <c r="I125" s="321">
        <f>COUNTIFS(input!$O:$O,March!$I$97,input!$W:$W,March!B125,input!$A:$A,March!$B$2)</f>
        <v>0</v>
      </c>
      <c r="J125" s="321">
        <f>COUNTIFS(input!$O:$O,March!$J$97,input!$W:$W,March!B125,input!$A:$A,March!$B$2)</f>
        <v>0</v>
      </c>
      <c r="K125" s="343">
        <f>COUNTIFS(input!$O:$O,March!$K$97,input!$W:$W,March!B125,input!$A:$A,March!$B$2)</f>
        <v>0</v>
      </c>
      <c r="L125" s="312">
        <f t="shared" si="9"/>
        <v>1</v>
      </c>
      <c r="M125" s="320" cm="1">
        <f t="array" ref="M125">_xlfn.IFS(L125=0,0,L125&gt;=1,L125/$L$131)</f>
        <v>4.1666666666666664E-2</v>
      </c>
      <c r="N125" s="992"/>
      <c r="O125" s="993"/>
      <c r="P125" s="994"/>
      <c r="Q125" s="316">
        <f>COUNTIFS(input!$O:$O,March!$Q$97,input!$X:$X,March!N125,input!$A:$A,March!$B$2)</f>
        <v>0</v>
      </c>
      <c r="R125" s="316">
        <f>COUNTIFS(input!$O:$O,March!$R$97,input!$X:$X,March!N125,input!$A:$A,March!$B$2)</f>
        <v>0</v>
      </c>
      <c r="S125" s="316">
        <f>COUNTIFS(input!$O:$O,March!$S$97,input!$X:$X,March!N125,input!$A:$A,March!$B$2)</f>
        <v>0</v>
      </c>
      <c r="T125" s="322">
        <f>COUNTIFS(input!$O:$O,March!$T$97,input!$X:$X,March!N125,input!$A:$A,March!$B$2)</f>
        <v>0</v>
      </c>
      <c r="U125" s="322">
        <f>COUNTIFS(input!$O:$O,March!$U$97,input!$X:$X,March!N125,input!$A:$A,March!$B$2)</f>
        <v>0</v>
      </c>
      <c r="V125" s="323">
        <f>COUNTIFS(input!$O:$O,March!$V$97,input!$X:$X,March!N125,input!$A:$A,March!$B$2)</f>
        <v>0</v>
      </c>
      <c r="W125" s="323">
        <f>COUNTIFS(input!$O:$O,March!$W$97,input!$X:$X,March!N125,input!$A:$A,March!$B$2)</f>
        <v>0</v>
      </c>
      <c r="X125" s="324">
        <f>COUNTIFS(input!$O:$O,March!$X$97,input!$X:$X,March!N125,input!$A:$A,March!$B$2)</f>
        <v>0</v>
      </c>
      <c r="Y125" s="312">
        <f t="shared" si="8"/>
        <v>0</v>
      </c>
      <c r="Z125" s="315" cm="1">
        <f t="array" ref="Z125">_xlfn.IFS(Y125=0,0,Y125&gt;=1,Y125/$Y$131)</f>
        <v>0</v>
      </c>
    </row>
    <row r="126" spans="2:26" ht="92" x14ac:dyDescent="0.25">
      <c r="B126" s="990" t="s">
        <v>825</v>
      </c>
      <c r="C126" s="991"/>
      <c r="D126" s="316">
        <f>COUNTIFS(input!$O:$O,March!$D$97,input!$W:$W,March!B126,input!$A:$A,March!$B$2)</f>
        <v>0</v>
      </c>
      <c r="E126" s="316">
        <f>COUNTIFS(input!$O:$O,March!$E$97,input!$W:$W,March!B126,input!$A:$A,March!$B$2)</f>
        <v>0</v>
      </c>
      <c r="F126" s="316">
        <f>COUNTIFS(input!$O:$O,March!$F$97,input!$W:$W,March!B126,input!$A:$A,March!$B$2)</f>
        <v>0</v>
      </c>
      <c r="G126" s="322">
        <f>COUNTIFS(input!$O:$O,March!$G$97,input!$W:$W,March!B126,input!$A:$A,March!$B$2)</f>
        <v>0</v>
      </c>
      <c r="H126" s="321">
        <f>COUNTIFS(input!$O:$O,March!$H$97,input!$W:$W,March!B126,input!$A:$A,March!$B$2)</f>
        <v>0</v>
      </c>
      <c r="I126" s="321">
        <f>COUNTIFS(input!$O:$O,March!$I$97,input!$W:$W,March!B126,input!$A:$A,March!$B$2)</f>
        <v>0</v>
      </c>
      <c r="J126" s="321">
        <f>COUNTIFS(input!$O:$O,March!$J$97,input!$W:$W,March!B126,input!$A:$A,March!$B$2)</f>
        <v>0</v>
      </c>
      <c r="K126" s="343">
        <f>COUNTIFS(input!$O:$O,March!$K$97,input!$W:$W,March!B126,input!$A:$A,March!$B$2)</f>
        <v>1</v>
      </c>
      <c r="L126" s="312">
        <f t="shared" si="9"/>
        <v>1</v>
      </c>
      <c r="M126" s="320" cm="1">
        <f t="array" ref="M126">_xlfn.IFS(L126=0,0,L126&gt;=1,L126/$L$131)</f>
        <v>4.1666666666666664E-2</v>
      </c>
      <c r="N126" s="995"/>
      <c r="O126" s="996"/>
      <c r="P126" s="997"/>
      <c r="Q126" s="316">
        <f>COUNTIFS(input!$O:$O,March!$Q$97,input!$X:$X,March!N126,input!$A:$A,March!$B$2)</f>
        <v>0</v>
      </c>
      <c r="R126" s="316">
        <f>COUNTIFS(input!$O:$O,March!$R$97,input!$X:$X,March!N126,input!$A:$A,March!$B$2)</f>
        <v>0</v>
      </c>
      <c r="S126" s="316">
        <f>COUNTIFS(input!$O:$O,March!$S$97,input!$X:$X,March!N126,input!$A:$A,March!$B$2)</f>
        <v>0</v>
      </c>
      <c r="T126" s="322">
        <f>COUNTIFS(input!$O:$O,March!$T$97,input!$X:$X,March!N126,input!$A:$A,March!$B$2)</f>
        <v>0</v>
      </c>
      <c r="U126" s="322">
        <f>COUNTIFS(input!$O:$O,March!$U$97,input!$X:$X,March!N126,input!$A:$A,March!$B$2)</f>
        <v>0</v>
      </c>
      <c r="V126" s="323">
        <f>COUNTIFS(input!$O:$O,March!$V$97,input!$X:$X,March!N126,input!$A:$A,March!$B$2)</f>
        <v>0</v>
      </c>
      <c r="W126" s="323">
        <f>COUNTIFS(input!$O:$O,March!$W$97,input!$X:$X,March!N126,input!$A:$A,March!$B$2)</f>
        <v>0</v>
      </c>
      <c r="X126" s="324">
        <f>COUNTIFS(input!$O:$O,March!$X$97,input!$X:$X,March!N126,input!$A:$A,March!$B$2)</f>
        <v>0</v>
      </c>
      <c r="Y126" s="312">
        <f t="shared" si="8"/>
        <v>0</v>
      </c>
      <c r="Z126" s="315" cm="1">
        <f t="array" ref="Z126">_xlfn.IFS(Y126=0,0,Y126&gt;=1,Y126/$Y$131)</f>
        <v>0</v>
      </c>
    </row>
    <row r="127" spans="2:26" ht="92" x14ac:dyDescent="0.25">
      <c r="B127" s="990" t="s">
        <v>889</v>
      </c>
      <c r="C127" s="991"/>
      <c r="D127" s="316">
        <f>COUNTIFS(input!$O:$O,March!$D$97,input!$W:$W,March!B127,input!$A:$A,March!$B$2)</f>
        <v>0</v>
      </c>
      <c r="E127" s="316">
        <f>COUNTIFS(input!$O:$O,March!$E$97,input!$W:$W,March!B127,input!$A:$A,March!$B$2)</f>
        <v>0</v>
      </c>
      <c r="F127" s="316">
        <f>COUNTIFS(input!$O:$O,March!$F$97,input!$W:$W,March!B127,input!$A:$A,March!$B$2)</f>
        <v>1</v>
      </c>
      <c r="G127" s="322">
        <f>COUNTIFS(input!$O:$O,March!$G$97,input!$W:$W,March!B127,input!$A:$A,March!$B$2)</f>
        <v>0</v>
      </c>
      <c r="H127" s="321">
        <f>COUNTIFS(input!$O:$O,March!$H$97,input!$W:$W,March!B127,input!$A:$A,March!$B$2)</f>
        <v>0</v>
      </c>
      <c r="I127" s="321">
        <f>COUNTIFS(input!$O:$O,March!$I$97,input!$W:$W,March!B127,input!$A:$A,March!$B$2)</f>
        <v>0</v>
      </c>
      <c r="J127" s="321">
        <f>COUNTIFS(input!$O:$O,March!$J$97,input!$W:$W,March!B127,input!$A:$A,March!$B$2)</f>
        <v>0</v>
      </c>
      <c r="K127" s="343">
        <f>COUNTIFS(input!$O:$O,March!$K$97,input!$W:$W,March!B127,input!$A:$A,March!$B$2)</f>
        <v>0</v>
      </c>
      <c r="L127" s="312">
        <f>SUM(D127:K127)</f>
        <v>1</v>
      </c>
      <c r="M127" s="320" cm="1">
        <f t="array" ref="M127">_xlfn.IFS(L127=0,0,L127&gt;=1,L127/$L$131)</f>
        <v>4.1666666666666664E-2</v>
      </c>
      <c r="N127" s="995"/>
      <c r="O127" s="996"/>
      <c r="P127" s="997"/>
      <c r="Q127" s="316">
        <f>COUNTIFS(input!$O:$O,March!$Q$97,input!$X:$X,March!N127,input!$A:$A,March!$B$2)</f>
        <v>0</v>
      </c>
      <c r="R127" s="316">
        <f>COUNTIFS(input!$O:$O,March!$R$97,input!$X:$X,March!N127,input!$A:$A,March!$B$2)</f>
        <v>0</v>
      </c>
      <c r="S127" s="316">
        <f>COUNTIFS(input!$O:$O,March!$S$97,input!$X:$X,March!N127,input!$A:$A,March!$B$2)</f>
        <v>0</v>
      </c>
      <c r="T127" s="322">
        <f>COUNTIFS(input!$O:$O,March!$T$97,input!$X:$X,March!N127,input!$A:$A,March!$B$2)</f>
        <v>0</v>
      </c>
      <c r="U127" s="322">
        <f>COUNTIFS(input!$O:$O,March!$U$97,input!$X:$X,March!N127,input!$A:$A,March!$B$2)</f>
        <v>0</v>
      </c>
      <c r="V127" s="323">
        <f>COUNTIFS(input!$O:$O,March!$V$97,input!$X:$X,March!N127,input!$A:$A,March!$B$2)</f>
        <v>0</v>
      </c>
      <c r="W127" s="323">
        <f>COUNTIFS(input!$O:$O,March!$W$97,input!$X:$X,March!N127,input!$A:$A,March!$B$2)</f>
        <v>0</v>
      </c>
      <c r="X127" s="324">
        <f>COUNTIFS(input!$O:$O,March!$X$97,input!$X:$X,March!N127,input!$A:$A,March!$B$2)</f>
        <v>0</v>
      </c>
      <c r="Y127" s="312">
        <f>SUM(Q127:X127)</f>
        <v>0</v>
      </c>
      <c r="Z127" s="315" cm="1">
        <f t="array" ref="Z127">_xlfn.IFS(Y127=0,0,Y127&gt;=1,Y127/$Y$131)</f>
        <v>0</v>
      </c>
    </row>
    <row r="128" spans="2:26" ht="92" x14ac:dyDescent="0.25">
      <c r="B128" s="998" t="s">
        <v>863</v>
      </c>
      <c r="C128" s="994"/>
      <c r="D128" s="316">
        <f>COUNTIFS(input!$O:$O,March!$D$97,input!$W:$W,March!B128,input!$A:$A,March!$B$2)</f>
        <v>0</v>
      </c>
      <c r="E128" s="316">
        <f>COUNTIFS(input!$O:$O,March!$E$97,input!$W:$W,March!B128,input!$A:$A,March!$B$2)</f>
        <v>0</v>
      </c>
      <c r="F128" s="316">
        <f>COUNTIFS(input!$O:$O,March!$F$97,input!$W:$W,March!B128,input!$A:$A,March!$B$2)</f>
        <v>0</v>
      </c>
      <c r="G128" s="322">
        <f>COUNTIFS(input!$O:$O,March!$G$97,input!$W:$W,March!B128,input!$A:$A,March!$B$2)</f>
        <v>1</v>
      </c>
      <c r="H128" s="321">
        <f>COUNTIFS(input!$O:$O,March!$H$97,input!$W:$W,March!B128,input!$A:$A,March!$B$2)</f>
        <v>0</v>
      </c>
      <c r="I128" s="321">
        <f>COUNTIFS(input!$O:$O,March!$I$97,input!$W:$W,March!B128,input!$A:$A,March!$B$2)</f>
        <v>0</v>
      </c>
      <c r="J128" s="321">
        <f>COUNTIFS(input!$O:$O,March!$J$97,input!$W:$W,March!B128,input!$A:$A,March!$B$2)</f>
        <v>0</v>
      </c>
      <c r="K128" s="343">
        <f>COUNTIFS(input!$O:$O,March!$K$97,input!$W:$W,March!B128,input!$A:$A,March!$B$2)</f>
        <v>0</v>
      </c>
      <c r="L128" s="312">
        <f t="shared" si="9"/>
        <v>1</v>
      </c>
      <c r="M128" s="320" cm="1">
        <f t="array" ref="M128">_xlfn.IFS(L128=0,0,L128&gt;=1,L128/$L$131)</f>
        <v>4.1666666666666664E-2</v>
      </c>
      <c r="N128" s="995"/>
      <c r="O128" s="996"/>
      <c r="P128" s="997"/>
      <c r="Q128" s="316">
        <f>COUNTIFS(input!$O:$O,March!$Q$97,input!$X:$X,March!N128,input!$A:$A,March!$B$2)</f>
        <v>0</v>
      </c>
      <c r="R128" s="316">
        <f>COUNTIFS(input!$O:$O,March!$R$97,input!$X:$X,March!N128,input!$A:$A,March!$B$2)</f>
        <v>0</v>
      </c>
      <c r="S128" s="316">
        <f>COUNTIFS(input!$O:$O,March!$S$97,input!$X:$X,March!N128,input!$A:$A,March!$B$2)</f>
        <v>0</v>
      </c>
      <c r="T128" s="322">
        <f>COUNTIFS(input!$O:$O,March!$T$97,input!$X:$X,March!N128,input!$A:$A,March!$B$2)</f>
        <v>0</v>
      </c>
      <c r="U128" s="322">
        <f>COUNTIFS(input!$O:$O,March!$U$97,input!$X:$X,March!N128,input!$A:$A,March!$B$2)</f>
        <v>0</v>
      </c>
      <c r="V128" s="323">
        <f>COUNTIFS(input!$O:$O,March!$V$97,input!$X:$X,March!N128,input!$A:$A,March!$B$2)</f>
        <v>0</v>
      </c>
      <c r="W128" s="323">
        <f>COUNTIFS(input!$O:$O,March!$W$97,input!$X:$X,March!N128,input!$A:$A,March!$B$2)</f>
        <v>0</v>
      </c>
      <c r="X128" s="324">
        <f>COUNTIFS(input!$O:$O,March!$X$97,input!$X:$X,March!N128,input!$A:$A,March!$B$2)</f>
        <v>0</v>
      </c>
      <c r="Y128" s="312">
        <f t="shared" si="8"/>
        <v>0</v>
      </c>
      <c r="Z128" s="315" cm="1">
        <f t="array" ref="Z128">_xlfn.IFS(Y128=0,0,Y128&gt;=1,Y128/$Y$131)</f>
        <v>0</v>
      </c>
    </row>
    <row r="129" spans="2:52" ht="92" x14ac:dyDescent="0.25">
      <c r="B129" s="990" t="s">
        <v>361</v>
      </c>
      <c r="C129" s="991"/>
      <c r="D129" s="316">
        <f>COUNTIFS(input!$O:$O,March!$D$97,input!$W:$W,March!B129,input!$A:$A,March!$B$2)</f>
        <v>0</v>
      </c>
      <c r="E129" s="316">
        <f>COUNTIFS(input!$O:$O,March!$E$97,input!$W:$W,March!B129,input!$A:$A,March!$B$2)</f>
        <v>0</v>
      </c>
      <c r="F129" s="316">
        <f>COUNTIFS(input!$O:$O,March!$F$97,input!$W:$W,March!B129,input!$A:$A,March!$B$2)</f>
        <v>0</v>
      </c>
      <c r="G129" s="322">
        <f>COUNTIFS(input!$O:$O,March!$G$97,input!$W:$W,March!B129,input!$A:$A,March!$B$2)</f>
        <v>0</v>
      </c>
      <c r="H129" s="321">
        <f>COUNTIFS(input!$O:$O,March!$H$97,input!$W:$W,March!B129,input!$A:$A,March!$B$2)</f>
        <v>0</v>
      </c>
      <c r="I129" s="321">
        <f>COUNTIFS(input!$O:$O,March!$I$97,input!$W:$W,March!B129,input!$A:$A,March!$B$2)</f>
        <v>0</v>
      </c>
      <c r="J129" s="321">
        <f>COUNTIFS(input!$O:$O,March!$J$97,input!$W:$W,March!B129,input!$A:$A,March!$B$2)</f>
        <v>0</v>
      </c>
      <c r="K129" s="343">
        <f>COUNTIFS(input!$O:$O,March!$K$97,input!$W:$W,March!B129,input!$A:$A,March!$B$2)</f>
        <v>0</v>
      </c>
      <c r="L129" s="312">
        <f t="shared" si="9"/>
        <v>0</v>
      </c>
      <c r="M129" s="320" cm="1">
        <f t="array" ref="M129">_xlfn.IFS(L129=0,0,L129&gt;=1,L129/$L$131)</f>
        <v>0</v>
      </c>
      <c r="N129" s="995"/>
      <c r="O129" s="996"/>
      <c r="P129" s="997"/>
      <c r="Q129" s="316">
        <f>COUNTIFS(input!$O:$O,March!$Q$97,input!$X:$X,March!N129,input!$A:$A,March!$B$2)</f>
        <v>0</v>
      </c>
      <c r="R129" s="316">
        <f>COUNTIFS(input!$O:$O,March!$R$97,input!$X:$X,March!N129,input!$A:$A,March!$B$2)</f>
        <v>0</v>
      </c>
      <c r="S129" s="316">
        <f>COUNTIFS(input!$O:$O,March!$S$97,input!$X:$X,March!N129,input!$A:$A,March!$B$2)</f>
        <v>0</v>
      </c>
      <c r="T129" s="322">
        <f>COUNTIFS(input!$O:$O,March!$T$97,input!$X:$X,March!N129,input!$A:$A,March!$B$2)</f>
        <v>0</v>
      </c>
      <c r="U129" s="322">
        <f>COUNTIFS(input!$O:$O,March!$U$97,input!$X:$X,March!N129,input!$A:$A,March!$B$2)</f>
        <v>0</v>
      </c>
      <c r="V129" s="323">
        <f>COUNTIFS(input!$O:$O,March!$V$97,input!$X:$X,March!N129,input!$A:$A,March!$B$2)</f>
        <v>0</v>
      </c>
      <c r="W129" s="323">
        <f>COUNTIFS(input!$O:$O,March!$W$97,input!$X:$X,March!N129,input!$A:$A,March!$B$2)</f>
        <v>0</v>
      </c>
      <c r="X129" s="324">
        <f>COUNTIFS(input!$O:$O,March!$X$97,input!$X:$X,March!N129,input!$A:$A,March!$B$2)</f>
        <v>0</v>
      </c>
      <c r="Y129" s="312">
        <f t="shared" si="8"/>
        <v>0</v>
      </c>
      <c r="Z129" s="315" cm="1">
        <f t="array" ref="Z129">_xlfn.IFS(Y129=0,0,Y129&gt;=1,Y129/$Y$131)</f>
        <v>0</v>
      </c>
    </row>
    <row r="130" spans="2:52" ht="92" x14ac:dyDescent="0.25">
      <c r="B130" s="999" t="s">
        <v>57</v>
      </c>
      <c r="C130" s="1000"/>
      <c r="D130" s="316">
        <f>COUNTIFS(input!$O:$O,March!$D$97,input!$W:$W,March!B130,input!$A:$A,March!$B$2)</f>
        <v>0</v>
      </c>
      <c r="E130" s="316">
        <f>COUNTIFS(input!$O:$O,March!$E$97,input!$W:$W,March!B130,input!$A:$A,March!$B$2)</f>
        <v>0</v>
      </c>
      <c r="F130" s="316">
        <f>COUNTIFS(input!$O:$O,March!$F$97,input!$W:$W,March!B130,input!$A:$A,March!$B$2)</f>
        <v>0</v>
      </c>
      <c r="G130" s="322">
        <f>COUNTIFS(input!$O:$O,March!$G$97,input!$W:$W,March!B130,input!$A:$A,March!$B$2)</f>
        <v>0</v>
      </c>
      <c r="H130" s="321">
        <f>COUNTIFS(input!$O:$O,March!$H$97,input!$W:$W,March!B130,input!$A:$A,March!$B$2)</f>
        <v>0</v>
      </c>
      <c r="I130" s="321">
        <f>COUNTIFS(input!$O:$O,March!$I$97,input!$W:$W,March!B130,input!$A:$A,March!$B$2)</f>
        <v>0</v>
      </c>
      <c r="J130" s="321">
        <f>COUNTIFS(input!$O:$O,March!$J$97,input!$W:$W,March!B130,input!$A:$A,March!$B$2)</f>
        <v>0</v>
      </c>
      <c r="K130" s="343">
        <f>COUNTIFS(input!$O:$O,March!$K$97,input!$W:$W,March!B130,input!$A:$A,March!$B$2)</f>
        <v>11</v>
      </c>
      <c r="L130" s="312">
        <f t="shared" si="9"/>
        <v>11</v>
      </c>
      <c r="M130" s="344" cm="1">
        <f t="array" ref="M130">_xlfn.IFS(L130=0,0,L130&gt;=1,L130/$L$131)</f>
        <v>0.45833333333333331</v>
      </c>
      <c r="N130" s="1001" t="s">
        <v>706</v>
      </c>
      <c r="O130" s="1002"/>
      <c r="P130" s="1003"/>
      <c r="Q130" s="345">
        <f>COUNTIFS(input!$O:$O,March!$Q$97,input!$X:$X,March!N130,input!$A:$A,March!$B$2)</f>
        <v>0</v>
      </c>
      <c r="R130" s="345">
        <f>COUNTIFS(input!$O:$O,March!$R$97,input!$X:$X,March!N130,input!$A:$A,March!$B$2)</f>
        <v>0</v>
      </c>
      <c r="S130" s="345">
        <f>COUNTIFS(input!$O:$O,March!$S$97,input!$X:$X,March!N130,input!$A:$A,March!$B$2)</f>
        <v>0</v>
      </c>
      <c r="T130" s="346">
        <f>COUNTIFS(input!$O:$O,March!$T$97,input!$X:$X,March!N130,input!$A:$A,March!$B$2)</f>
        <v>0</v>
      </c>
      <c r="U130" s="346">
        <f>COUNTIFS(input!$O:$O,March!$U$97,input!$X:$X,March!N130,input!$A:$A,March!$B$2)</f>
        <v>0</v>
      </c>
      <c r="V130" s="346">
        <f>COUNTIFS(input!$O:$O,March!$V$97,input!$X:$X,March!N130,input!$A:$A,March!$B$2)</f>
        <v>0</v>
      </c>
      <c r="W130" s="346">
        <f>COUNTIFS(input!$O:$O,March!$W$97,input!$X:$X,March!N130,input!$A:$A,March!$B$2)</f>
        <v>0</v>
      </c>
      <c r="X130" s="346">
        <f>COUNTIFS(input!$O:$O,March!$X$97,input!$X:$X,March!N130,input!$A:$A,March!$B$2)</f>
        <v>11</v>
      </c>
      <c r="Y130" s="312">
        <f t="shared" si="8"/>
        <v>11</v>
      </c>
      <c r="Z130" s="315" cm="1">
        <f t="array" ref="Z130">_xlfn.IFS(Y130=0,0,Y130&gt;=1,Y130/$Y$131)</f>
        <v>0.45833333333333331</v>
      </c>
    </row>
    <row r="131" spans="2:52" ht="90.5" thickBot="1" x14ac:dyDescent="0.3">
      <c r="B131" s="981" t="s">
        <v>4</v>
      </c>
      <c r="C131" s="982"/>
      <c r="D131" s="340">
        <f>SUM(D98:D130)</f>
        <v>0</v>
      </c>
      <c r="E131" s="340">
        <f t="shared" ref="E131:K131" si="10">SUM(E98:E130)</f>
        <v>0</v>
      </c>
      <c r="F131" s="340">
        <f t="shared" si="10"/>
        <v>1</v>
      </c>
      <c r="G131" s="340">
        <f t="shared" si="10"/>
        <v>4</v>
      </c>
      <c r="H131" s="340">
        <f t="shared" si="10"/>
        <v>2</v>
      </c>
      <c r="I131" s="340">
        <f t="shared" si="10"/>
        <v>4</v>
      </c>
      <c r="J131" s="340">
        <f t="shared" si="10"/>
        <v>1</v>
      </c>
      <c r="K131" s="340">
        <f t="shared" si="10"/>
        <v>12</v>
      </c>
      <c r="L131" s="340">
        <f>SUM(L98:L130)</f>
        <v>24</v>
      </c>
      <c r="M131" s="347">
        <f>SUM(M98:M130)</f>
        <v>1</v>
      </c>
      <c r="N131" s="983" t="s">
        <v>4</v>
      </c>
      <c r="O131" s="983"/>
      <c r="P131" s="984"/>
      <c r="Q131" s="348">
        <f>SUM(Q98:Q130)</f>
        <v>0</v>
      </c>
      <c r="R131" s="348">
        <f t="shared" ref="R131:X131" si="11">SUM(R98:R130)</f>
        <v>0</v>
      </c>
      <c r="S131" s="348">
        <f t="shared" si="11"/>
        <v>1</v>
      </c>
      <c r="T131" s="348">
        <f t="shared" si="11"/>
        <v>4</v>
      </c>
      <c r="U131" s="348">
        <f t="shared" si="11"/>
        <v>2</v>
      </c>
      <c r="V131" s="348">
        <f t="shared" si="11"/>
        <v>4</v>
      </c>
      <c r="W131" s="348">
        <f t="shared" si="11"/>
        <v>1</v>
      </c>
      <c r="X131" s="348">
        <f t="shared" si="11"/>
        <v>12</v>
      </c>
      <c r="Y131" s="340">
        <f>SUM(Y98:Y130)</f>
        <v>24</v>
      </c>
      <c r="Z131" s="349">
        <f>SUM(Z98:Z130)</f>
        <v>1</v>
      </c>
    </row>
    <row r="132" spans="2:52" s="133" customFormat="1" ht="90.5" thickBot="1" x14ac:dyDescent="0.3">
      <c r="B132" s="985"/>
      <c r="C132" s="986"/>
      <c r="D132" s="987" t="s">
        <v>16</v>
      </c>
      <c r="E132" s="988"/>
      <c r="F132" s="988"/>
      <c r="G132" s="988"/>
      <c r="H132" s="988"/>
      <c r="I132" s="988"/>
      <c r="J132" s="988"/>
      <c r="K132" s="988"/>
      <c r="L132" s="988"/>
      <c r="M132" s="989"/>
      <c r="N132" s="987" t="s">
        <v>182</v>
      </c>
      <c r="O132" s="988"/>
      <c r="P132" s="988"/>
      <c r="Q132" s="988"/>
      <c r="R132" s="988"/>
      <c r="S132" s="988"/>
      <c r="T132" s="988"/>
      <c r="U132" s="988"/>
      <c r="V132" s="988"/>
      <c r="W132" s="988"/>
      <c r="X132" s="988"/>
      <c r="Y132" s="988"/>
      <c r="Z132" s="989"/>
    </row>
    <row r="133" spans="2:52" s="130" customFormat="1" ht="87.5" x14ac:dyDescent="0.25">
      <c r="B133" s="922" t="s">
        <v>682</v>
      </c>
      <c r="C133" s="923"/>
      <c r="D133" s="965" t="s">
        <v>1172</v>
      </c>
      <c r="E133" s="966"/>
      <c r="F133" s="966"/>
      <c r="G133" s="966"/>
      <c r="H133" s="966"/>
      <c r="I133" s="966"/>
      <c r="J133" s="966"/>
      <c r="K133" s="966"/>
      <c r="L133" s="966"/>
      <c r="M133" s="966"/>
      <c r="N133" s="966"/>
      <c r="O133" s="966"/>
      <c r="P133" s="966"/>
      <c r="Q133" s="966"/>
      <c r="R133" s="966"/>
      <c r="S133" s="966"/>
      <c r="T133" s="966"/>
      <c r="U133" s="966"/>
      <c r="V133" s="966"/>
      <c r="W133" s="966"/>
      <c r="X133" s="966"/>
      <c r="Y133" s="966"/>
      <c r="Z133" s="967"/>
    </row>
    <row r="134" spans="2:52" s="130" customFormat="1" ht="89.5" x14ac:dyDescent="0.25">
      <c r="B134" s="977" t="str">
        <f>'Description of Incidents'!A92</f>
        <v>EI</v>
      </c>
      <c r="C134" s="978"/>
      <c r="D134" s="968"/>
      <c r="E134" s="969"/>
      <c r="F134" s="969"/>
      <c r="G134" s="969"/>
      <c r="H134" s="969"/>
      <c r="I134" s="969"/>
      <c r="J134" s="969"/>
      <c r="K134" s="969"/>
      <c r="L134" s="969"/>
      <c r="M134" s="969"/>
      <c r="N134" s="969"/>
      <c r="O134" s="969"/>
      <c r="P134" s="969"/>
      <c r="Q134" s="969"/>
      <c r="R134" s="969"/>
      <c r="S134" s="969"/>
      <c r="T134" s="969"/>
      <c r="U134" s="969"/>
      <c r="V134" s="969"/>
      <c r="W134" s="969"/>
      <c r="X134" s="969"/>
      <c r="Y134" s="969"/>
      <c r="Z134" s="970"/>
      <c r="AC134" s="131"/>
    </row>
    <row r="135" spans="2:52" s="130" customFormat="1" ht="90" thickBot="1" x14ac:dyDescent="0.3">
      <c r="B135" s="979" t="str">
        <f>'Description of Incidents'!A93</f>
        <v>Golf Course, Sapid</v>
      </c>
      <c r="C135" s="980"/>
      <c r="D135" s="971"/>
      <c r="E135" s="972"/>
      <c r="F135" s="972"/>
      <c r="G135" s="972"/>
      <c r="H135" s="972"/>
      <c r="I135" s="972"/>
      <c r="J135" s="972"/>
      <c r="K135" s="972"/>
      <c r="L135" s="972"/>
      <c r="M135" s="972"/>
      <c r="N135" s="972"/>
      <c r="O135" s="972"/>
      <c r="P135" s="972"/>
      <c r="Q135" s="972"/>
      <c r="R135" s="972"/>
      <c r="S135" s="972"/>
      <c r="T135" s="972"/>
      <c r="U135" s="972"/>
      <c r="V135" s="972"/>
      <c r="W135" s="972"/>
      <c r="X135" s="972"/>
      <c r="Y135" s="972"/>
      <c r="Z135" s="973"/>
    </row>
    <row r="136" spans="2:52" s="130" customFormat="1" ht="87.5" x14ac:dyDescent="0.25">
      <c r="B136" s="952" t="str">
        <f>'Description of Incidents'!A94</f>
        <v>Oil Spill</v>
      </c>
      <c r="C136" s="953"/>
      <c r="D136" s="939" t="s">
        <v>757</v>
      </c>
      <c r="E136" s="940"/>
      <c r="F136" s="940"/>
      <c r="G136" s="940"/>
      <c r="H136" s="940"/>
      <c r="I136" s="940"/>
      <c r="J136" s="940"/>
      <c r="K136" s="940"/>
      <c r="L136" s="940"/>
      <c r="M136" s="940"/>
      <c r="N136" s="940"/>
      <c r="O136" s="940"/>
      <c r="P136" s="940"/>
      <c r="Q136" s="940"/>
      <c r="R136" s="940"/>
      <c r="S136" s="940"/>
      <c r="T136" s="940"/>
      <c r="U136" s="940"/>
      <c r="V136" s="940"/>
      <c r="W136" s="940"/>
      <c r="X136" s="940"/>
      <c r="Y136" s="940"/>
      <c r="Z136" s="941"/>
    </row>
    <row r="137" spans="2:52" s="130" customFormat="1" ht="89.5" x14ac:dyDescent="0.25">
      <c r="B137" s="948" t="str">
        <f>'Description of Incidents'!A95</f>
        <v>EI - TFQ 524</v>
      </c>
      <c r="C137" s="954"/>
      <c r="D137" s="942"/>
      <c r="E137" s="943"/>
      <c r="F137" s="943"/>
      <c r="G137" s="943"/>
      <c r="H137" s="943"/>
      <c r="I137" s="943"/>
      <c r="J137" s="943"/>
      <c r="K137" s="943"/>
      <c r="L137" s="943"/>
      <c r="M137" s="943"/>
      <c r="N137" s="943"/>
      <c r="O137" s="943"/>
      <c r="P137" s="943"/>
      <c r="Q137" s="943"/>
      <c r="R137" s="943"/>
      <c r="S137" s="943"/>
      <c r="T137" s="943"/>
      <c r="U137" s="943"/>
      <c r="V137" s="943"/>
      <c r="W137" s="943"/>
      <c r="X137" s="943"/>
      <c r="Y137" s="943"/>
      <c r="Z137" s="944"/>
      <c r="AC137" s="131"/>
      <c r="AZ137" s="131"/>
    </row>
    <row r="138" spans="2:52" s="130" customFormat="1" ht="90" thickBot="1" x14ac:dyDescent="0.3">
      <c r="B138" s="950" t="str">
        <f>'Description of Incidents'!A96</f>
        <v>General Office Area</v>
      </c>
      <c r="C138" s="955"/>
      <c r="D138" s="945"/>
      <c r="E138" s="946"/>
      <c r="F138" s="946"/>
      <c r="G138" s="946"/>
      <c r="H138" s="946"/>
      <c r="I138" s="946"/>
      <c r="J138" s="946"/>
      <c r="K138" s="946"/>
      <c r="L138" s="946"/>
      <c r="M138" s="946"/>
      <c r="N138" s="946"/>
      <c r="O138" s="946"/>
      <c r="P138" s="946"/>
      <c r="Q138" s="946"/>
      <c r="R138" s="946"/>
      <c r="S138" s="946"/>
      <c r="T138" s="946"/>
      <c r="U138" s="946"/>
      <c r="V138" s="946"/>
      <c r="W138" s="946"/>
      <c r="X138" s="946"/>
      <c r="Y138" s="946"/>
      <c r="Z138" s="947"/>
    </row>
    <row r="139" spans="2:52" s="130" customFormat="1" ht="87.5" x14ac:dyDescent="0.25">
      <c r="B139" s="922" t="str">
        <f>'Description of Incidents'!A97</f>
        <v>Lime Surge Tank</v>
      </c>
      <c r="C139" s="923"/>
      <c r="D139" s="924" t="s">
        <v>1173</v>
      </c>
      <c r="E139" s="925"/>
      <c r="F139" s="925"/>
      <c r="G139" s="925"/>
      <c r="H139" s="925"/>
      <c r="I139" s="925"/>
      <c r="J139" s="925"/>
      <c r="K139" s="925"/>
      <c r="L139" s="925"/>
      <c r="M139" s="925"/>
      <c r="N139" s="925"/>
      <c r="O139" s="925"/>
      <c r="P139" s="925"/>
      <c r="Q139" s="925"/>
      <c r="R139" s="925"/>
      <c r="S139" s="925"/>
      <c r="T139" s="925"/>
      <c r="U139" s="925"/>
      <c r="V139" s="925"/>
      <c r="W139" s="925"/>
      <c r="X139" s="925"/>
      <c r="Y139" s="925"/>
      <c r="Z139" s="926"/>
    </row>
    <row r="140" spans="2:52" s="130" customFormat="1" ht="89.5" x14ac:dyDescent="0.25">
      <c r="B140" s="933" t="str">
        <f>'Description of Incidents'!A98</f>
        <v>PD</v>
      </c>
      <c r="C140" s="934"/>
      <c r="D140" s="927"/>
      <c r="E140" s="928"/>
      <c r="F140" s="928"/>
      <c r="G140" s="928"/>
      <c r="H140" s="928"/>
      <c r="I140" s="928"/>
      <c r="J140" s="928"/>
      <c r="K140" s="928"/>
      <c r="L140" s="928"/>
      <c r="M140" s="928"/>
      <c r="N140" s="928"/>
      <c r="O140" s="928"/>
      <c r="P140" s="928"/>
      <c r="Q140" s="928"/>
      <c r="R140" s="928"/>
      <c r="S140" s="928"/>
      <c r="T140" s="928"/>
      <c r="U140" s="928"/>
      <c r="V140" s="928"/>
      <c r="W140" s="928"/>
      <c r="X140" s="928"/>
      <c r="Y140" s="928"/>
      <c r="Z140" s="929"/>
      <c r="AC140" s="131"/>
    </row>
    <row r="141" spans="2:52" s="130" customFormat="1" ht="90" thickBot="1" x14ac:dyDescent="0.3">
      <c r="B141" s="935" t="str">
        <f>'Description of Incidents'!A99</f>
        <v>Lime Plant</v>
      </c>
      <c r="C141" s="936"/>
      <c r="D141" s="930"/>
      <c r="E141" s="931"/>
      <c r="F141" s="931"/>
      <c r="G141" s="931"/>
      <c r="H141" s="931"/>
      <c r="I141" s="931"/>
      <c r="J141" s="931"/>
      <c r="K141" s="931"/>
      <c r="L141" s="931"/>
      <c r="M141" s="931"/>
      <c r="N141" s="931"/>
      <c r="O141" s="931"/>
      <c r="P141" s="931"/>
      <c r="Q141" s="931"/>
      <c r="R141" s="931"/>
      <c r="S141" s="931"/>
      <c r="T141" s="931"/>
      <c r="U141" s="931"/>
      <c r="V141" s="931"/>
      <c r="W141" s="931"/>
      <c r="X141" s="931"/>
      <c r="Y141" s="931"/>
      <c r="Z141" s="932"/>
    </row>
    <row r="142" spans="2:52" s="130" customFormat="1" ht="157.5" customHeight="1" x14ac:dyDescent="0.25">
      <c r="B142" s="952" t="s">
        <v>682</v>
      </c>
      <c r="C142" s="953"/>
      <c r="D142" s="956" t="s">
        <v>759</v>
      </c>
      <c r="E142" s="957"/>
      <c r="F142" s="957"/>
      <c r="G142" s="957"/>
      <c r="H142" s="957"/>
      <c r="I142" s="957"/>
      <c r="J142" s="957"/>
      <c r="K142" s="957"/>
      <c r="L142" s="957"/>
      <c r="M142" s="957"/>
      <c r="N142" s="957"/>
      <c r="O142" s="957"/>
      <c r="P142" s="957"/>
      <c r="Q142" s="957"/>
      <c r="R142" s="957"/>
      <c r="S142" s="957"/>
      <c r="T142" s="957"/>
      <c r="U142" s="957"/>
      <c r="V142" s="957"/>
      <c r="W142" s="957"/>
      <c r="X142" s="957"/>
      <c r="Y142" s="957"/>
      <c r="Z142" s="958"/>
    </row>
    <row r="143" spans="2:52" s="130" customFormat="1" ht="157.5" customHeight="1" x14ac:dyDescent="0.25">
      <c r="B143" s="948" t="str">
        <f>'Description of Incidents'!A101</f>
        <v>EI</v>
      </c>
      <c r="C143" s="954"/>
      <c r="D143" s="959"/>
      <c r="E143" s="960"/>
      <c r="F143" s="960"/>
      <c r="G143" s="960"/>
      <c r="H143" s="960"/>
      <c r="I143" s="960"/>
      <c r="J143" s="960"/>
      <c r="K143" s="960"/>
      <c r="L143" s="960"/>
      <c r="M143" s="960"/>
      <c r="N143" s="960"/>
      <c r="O143" s="960"/>
      <c r="P143" s="960"/>
      <c r="Q143" s="960"/>
      <c r="R143" s="960"/>
      <c r="S143" s="960"/>
      <c r="T143" s="960"/>
      <c r="U143" s="960"/>
      <c r="V143" s="960"/>
      <c r="W143" s="960"/>
      <c r="X143" s="960"/>
      <c r="Y143" s="960"/>
      <c r="Z143" s="961"/>
      <c r="AC143" s="131"/>
      <c r="AZ143" s="131"/>
    </row>
    <row r="144" spans="2:52" s="130" customFormat="1" ht="157.5" customHeight="1" thickBot="1" x14ac:dyDescent="0.3">
      <c r="B144" s="950" t="str">
        <f>'Description of Incidents'!A102</f>
        <v>San Roque Area &amp; Tagumbao, Sapid</v>
      </c>
      <c r="C144" s="955"/>
      <c r="D144" s="962"/>
      <c r="E144" s="963"/>
      <c r="F144" s="963"/>
      <c r="G144" s="963"/>
      <c r="H144" s="963"/>
      <c r="I144" s="963"/>
      <c r="J144" s="963"/>
      <c r="K144" s="963"/>
      <c r="L144" s="963"/>
      <c r="M144" s="963"/>
      <c r="N144" s="963"/>
      <c r="O144" s="963"/>
      <c r="P144" s="963"/>
      <c r="Q144" s="963"/>
      <c r="R144" s="963"/>
      <c r="S144" s="963"/>
      <c r="T144" s="963"/>
      <c r="U144" s="963"/>
      <c r="V144" s="963"/>
      <c r="W144" s="963"/>
      <c r="X144" s="963"/>
      <c r="Y144" s="963"/>
      <c r="Z144" s="964"/>
    </row>
    <row r="145" spans="2:52" s="130" customFormat="1" ht="222.5" customHeight="1" x14ac:dyDescent="0.25">
      <c r="B145" s="922" t="str">
        <f>'Description of Incidents'!A103</f>
        <v>Jun Jun G. Dagyo</v>
      </c>
      <c r="C145" s="923"/>
      <c r="D145" s="965" t="s">
        <v>1175</v>
      </c>
      <c r="E145" s="966"/>
      <c r="F145" s="966"/>
      <c r="G145" s="966"/>
      <c r="H145" s="966"/>
      <c r="I145" s="966"/>
      <c r="J145" s="966"/>
      <c r="K145" s="966"/>
      <c r="L145" s="966"/>
      <c r="M145" s="967"/>
      <c r="N145" s="966" t="s">
        <v>1174</v>
      </c>
      <c r="O145" s="966"/>
      <c r="P145" s="966"/>
      <c r="Q145" s="966"/>
      <c r="R145" s="966"/>
      <c r="S145" s="966"/>
      <c r="T145" s="966"/>
      <c r="U145" s="966"/>
      <c r="V145" s="966"/>
      <c r="W145" s="966"/>
      <c r="X145" s="966"/>
      <c r="Y145" s="966"/>
      <c r="Z145" s="967"/>
    </row>
    <row r="146" spans="2:52" s="130" customFormat="1" ht="222.5" customHeight="1" x14ac:dyDescent="0.25">
      <c r="B146" s="933" t="str">
        <f>'Description of Incidents'!A104</f>
        <v>OI</v>
      </c>
      <c r="C146" s="934"/>
      <c r="D146" s="968"/>
      <c r="E146" s="969"/>
      <c r="F146" s="969"/>
      <c r="G146" s="969"/>
      <c r="H146" s="969"/>
      <c r="I146" s="969"/>
      <c r="J146" s="969"/>
      <c r="K146" s="969"/>
      <c r="L146" s="969"/>
      <c r="M146" s="970"/>
      <c r="N146" s="969"/>
      <c r="O146" s="969"/>
      <c r="P146" s="969"/>
      <c r="Q146" s="969"/>
      <c r="R146" s="969"/>
      <c r="S146" s="969"/>
      <c r="T146" s="969"/>
      <c r="U146" s="969"/>
      <c r="V146" s="969"/>
      <c r="W146" s="969"/>
      <c r="X146" s="969"/>
      <c r="Y146" s="969"/>
      <c r="Z146" s="970"/>
      <c r="AC146" s="131"/>
    </row>
    <row r="147" spans="2:52" s="130" customFormat="1" ht="222.5" customHeight="1" thickBot="1" x14ac:dyDescent="0.3">
      <c r="B147" s="935" t="str">
        <f>'Description of Incidents'!A105</f>
        <v>225 6L1, 870L</v>
      </c>
      <c r="C147" s="936"/>
      <c r="D147" s="971"/>
      <c r="E147" s="972"/>
      <c r="F147" s="972"/>
      <c r="G147" s="972"/>
      <c r="H147" s="972"/>
      <c r="I147" s="972"/>
      <c r="J147" s="972"/>
      <c r="K147" s="972"/>
      <c r="L147" s="972"/>
      <c r="M147" s="973"/>
      <c r="N147" s="972"/>
      <c r="O147" s="972"/>
      <c r="P147" s="972"/>
      <c r="Q147" s="972"/>
      <c r="R147" s="972"/>
      <c r="S147" s="972"/>
      <c r="T147" s="972"/>
      <c r="U147" s="972"/>
      <c r="V147" s="972"/>
      <c r="W147" s="972"/>
      <c r="X147" s="972"/>
      <c r="Y147" s="972"/>
      <c r="Z147" s="973"/>
    </row>
    <row r="148" spans="2:52" s="130" customFormat="1" ht="297.5" customHeight="1" x14ac:dyDescent="0.25">
      <c r="B148" s="952" t="str">
        <f>'Description of Incidents'!A106</f>
        <v>Nestor O. Dugao</v>
      </c>
      <c r="C148" s="953"/>
      <c r="D148" s="956" t="s">
        <v>1176</v>
      </c>
      <c r="E148" s="957"/>
      <c r="F148" s="957"/>
      <c r="G148" s="957"/>
      <c r="H148" s="957"/>
      <c r="I148" s="957"/>
      <c r="J148" s="957"/>
      <c r="K148" s="957"/>
      <c r="L148" s="957"/>
      <c r="M148" s="958"/>
      <c r="N148" s="956" t="s">
        <v>1177</v>
      </c>
      <c r="O148" s="957"/>
      <c r="P148" s="957"/>
      <c r="Q148" s="957"/>
      <c r="R148" s="957"/>
      <c r="S148" s="957"/>
      <c r="T148" s="957"/>
      <c r="U148" s="957"/>
      <c r="V148" s="957"/>
      <c r="W148" s="957"/>
      <c r="X148" s="957"/>
      <c r="Y148" s="957"/>
      <c r="Z148" s="958"/>
    </row>
    <row r="149" spans="2:52" s="130" customFormat="1" ht="297.5" customHeight="1" x14ac:dyDescent="0.25">
      <c r="B149" s="948" t="str">
        <f>'Description of Incidents'!A107</f>
        <v>OI</v>
      </c>
      <c r="C149" s="954"/>
      <c r="D149" s="959"/>
      <c r="E149" s="960"/>
      <c r="F149" s="960"/>
      <c r="G149" s="960"/>
      <c r="H149" s="960"/>
      <c r="I149" s="960"/>
      <c r="J149" s="960"/>
      <c r="K149" s="960"/>
      <c r="L149" s="960"/>
      <c r="M149" s="961"/>
      <c r="N149" s="959"/>
      <c r="O149" s="960"/>
      <c r="P149" s="960"/>
      <c r="Q149" s="960"/>
      <c r="R149" s="960"/>
      <c r="S149" s="960"/>
      <c r="T149" s="960"/>
      <c r="U149" s="960"/>
      <c r="V149" s="960"/>
      <c r="W149" s="960"/>
      <c r="X149" s="960"/>
      <c r="Y149" s="960"/>
      <c r="Z149" s="961"/>
      <c r="AC149" s="131"/>
      <c r="AZ149" s="131"/>
    </row>
    <row r="150" spans="2:52" s="130" customFormat="1" ht="297.5" customHeight="1" thickBot="1" x14ac:dyDescent="0.3">
      <c r="B150" s="950" t="str">
        <f>'Description of Incidents'!A108</f>
        <v>256 RB Access</v>
      </c>
      <c r="C150" s="955"/>
      <c r="D150" s="962"/>
      <c r="E150" s="963"/>
      <c r="F150" s="963"/>
      <c r="G150" s="963"/>
      <c r="H150" s="963"/>
      <c r="I150" s="963"/>
      <c r="J150" s="963"/>
      <c r="K150" s="963"/>
      <c r="L150" s="963"/>
      <c r="M150" s="964"/>
      <c r="N150" s="962"/>
      <c r="O150" s="963"/>
      <c r="P150" s="963"/>
      <c r="Q150" s="963"/>
      <c r="R150" s="963"/>
      <c r="S150" s="963"/>
      <c r="T150" s="963"/>
      <c r="U150" s="963"/>
      <c r="V150" s="963"/>
      <c r="W150" s="963"/>
      <c r="X150" s="963"/>
      <c r="Y150" s="963"/>
      <c r="Z150" s="964"/>
    </row>
    <row r="151" spans="2:52" s="130" customFormat="1" ht="277.5" customHeight="1" x14ac:dyDescent="0.25">
      <c r="B151" s="975" t="str">
        <f>'Description of Incidents'!A109</f>
        <v>Albert M. Aliga</v>
      </c>
      <c r="C151" s="976"/>
      <c r="D151" s="965" t="s">
        <v>806</v>
      </c>
      <c r="E151" s="966"/>
      <c r="F151" s="966"/>
      <c r="G151" s="966"/>
      <c r="H151" s="966"/>
      <c r="I151" s="966"/>
      <c r="J151" s="966"/>
      <c r="K151" s="966"/>
      <c r="L151" s="966"/>
      <c r="M151" s="967"/>
      <c r="N151" s="965" t="s">
        <v>1178</v>
      </c>
      <c r="O151" s="966"/>
      <c r="P151" s="966"/>
      <c r="Q151" s="966"/>
      <c r="R151" s="966"/>
      <c r="S151" s="966"/>
      <c r="T151" s="966"/>
      <c r="U151" s="966"/>
      <c r="V151" s="966"/>
      <c r="W151" s="966"/>
      <c r="X151" s="966"/>
      <c r="Y151" s="966"/>
      <c r="Z151" s="967"/>
    </row>
    <row r="152" spans="2:52" s="130" customFormat="1" ht="277.5" customHeight="1" x14ac:dyDescent="0.25">
      <c r="B152" s="977" t="str">
        <f>'Description of Incidents'!A110</f>
        <v>FAC</v>
      </c>
      <c r="C152" s="978"/>
      <c r="D152" s="968"/>
      <c r="E152" s="969"/>
      <c r="F152" s="969"/>
      <c r="G152" s="969"/>
      <c r="H152" s="969"/>
      <c r="I152" s="969"/>
      <c r="J152" s="969"/>
      <c r="K152" s="969"/>
      <c r="L152" s="969"/>
      <c r="M152" s="970"/>
      <c r="N152" s="968"/>
      <c r="O152" s="969"/>
      <c r="P152" s="969"/>
      <c r="Q152" s="969"/>
      <c r="R152" s="969"/>
      <c r="S152" s="969"/>
      <c r="T152" s="969"/>
      <c r="U152" s="969"/>
      <c r="V152" s="969"/>
      <c r="W152" s="969"/>
      <c r="X152" s="969"/>
      <c r="Y152" s="969"/>
      <c r="Z152" s="970"/>
      <c r="AC152" s="131"/>
    </row>
    <row r="153" spans="2:52" s="130" customFormat="1" ht="277.5" customHeight="1" thickBot="1" x14ac:dyDescent="0.3">
      <c r="B153" s="979" t="str">
        <f>'Description of Incidents'!A111</f>
        <v>249 Rock Drill Shop</v>
      </c>
      <c r="C153" s="980"/>
      <c r="D153" s="971"/>
      <c r="E153" s="972"/>
      <c r="F153" s="972"/>
      <c r="G153" s="972"/>
      <c r="H153" s="972"/>
      <c r="I153" s="972"/>
      <c r="J153" s="972"/>
      <c r="K153" s="972"/>
      <c r="L153" s="972"/>
      <c r="M153" s="973"/>
      <c r="N153" s="971"/>
      <c r="O153" s="972"/>
      <c r="P153" s="972"/>
      <c r="Q153" s="972"/>
      <c r="R153" s="972"/>
      <c r="S153" s="972"/>
      <c r="T153" s="972"/>
      <c r="U153" s="972"/>
      <c r="V153" s="972"/>
      <c r="W153" s="972"/>
      <c r="X153" s="972"/>
      <c r="Y153" s="972"/>
      <c r="Z153" s="973"/>
    </row>
    <row r="154" spans="2:52" s="130" customFormat="1" ht="277.5" customHeight="1" x14ac:dyDescent="0.25">
      <c r="B154" s="937" t="str">
        <f>'Description of Incidents'!A112</f>
        <v>Jomel M. Dawing</v>
      </c>
      <c r="C154" s="938"/>
      <c r="D154" s="956" t="s">
        <v>807</v>
      </c>
      <c r="E154" s="957"/>
      <c r="F154" s="957"/>
      <c r="G154" s="957"/>
      <c r="H154" s="957"/>
      <c r="I154" s="957"/>
      <c r="J154" s="957"/>
      <c r="K154" s="957"/>
      <c r="L154" s="957"/>
      <c r="M154" s="958"/>
      <c r="N154" s="957" t="s">
        <v>845</v>
      </c>
      <c r="O154" s="957"/>
      <c r="P154" s="957"/>
      <c r="Q154" s="957"/>
      <c r="R154" s="957"/>
      <c r="S154" s="957"/>
      <c r="T154" s="957"/>
      <c r="U154" s="957"/>
      <c r="V154" s="957"/>
      <c r="W154" s="957"/>
      <c r="X154" s="957"/>
      <c r="Y154" s="957"/>
      <c r="Z154" s="958"/>
    </row>
    <row r="155" spans="2:52" s="130" customFormat="1" ht="277.5" customHeight="1" x14ac:dyDescent="0.25">
      <c r="B155" s="948" t="str">
        <f>'Description of Incidents'!A113</f>
        <v>FAC</v>
      </c>
      <c r="C155" s="949"/>
      <c r="D155" s="959"/>
      <c r="E155" s="960"/>
      <c r="F155" s="960"/>
      <c r="G155" s="960"/>
      <c r="H155" s="960"/>
      <c r="I155" s="960"/>
      <c r="J155" s="960"/>
      <c r="K155" s="960"/>
      <c r="L155" s="960"/>
      <c r="M155" s="961"/>
      <c r="N155" s="960"/>
      <c r="O155" s="960"/>
      <c r="P155" s="960"/>
      <c r="Q155" s="960"/>
      <c r="R155" s="960"/>
      <c r="S155" s="960"/>
      <c r="T155" s="960"/>
      <c r="U155" s="960"/>
      <c r="V155" s="960"/>
      <c r="W155" s="960"/>
      <c r="X155" s="960"/>
      <c r="Y155" s="960"/>
      <c r="Z155" s="961"/>
      <c r="AC155" s="131"/>
      <c r="AZ155" s="131"/>
    </row>
    <row r="156" spans="2:52" s="130" customFormat="1" ht="277.5" customHeight="1" thickBot="1" x14ac:dyDescent="0.3">
      <c r="B156" s="950" t="str">
        <f>'Description of Incidents'!A114</f>
        <v>320 XCE</v>
      </c>
      <c r="C156" s="951"/>
      <c r="D156" s="962"/>
      <c r="E156" s="963"/>
      <c r="F156" s="963"/>
      <c r="G156" s="963"/>
      <c r="H156" s="963"/>
      <c r="I156" s="963"/>
      <c r="J156" s="963"/>
      <c r="K156" s="963"/>
      <c r="L156" s="963"/>
      <c r="M156" s="964"/>
      <c r="N156" s="963"/>
      <c r="O156" s="963"/>
      <c r="P156" s="963"/>
      <c r="Q156" s="963"/>
      <c r="R156" s="963"/>
      <c r="S156" s="963"/>
      <c r="T156" s="963"/>
      <c r="U156" s="963"/>
      <c r="V156" s="963"/>
      <c r="W156" s="963"/>
      <c r="X156" s="963"/>
      <c r="Y156" s="963"/>
      <c r="Z156" s="964"/>
    </row>
    <row r="157" spans="2:52" s="130" customFormat="1" ht="182.5" customHeight="1" x14ac:dyDescent="0.25">
      <c r="B157" s="974" t="str">
        <f>'Description of Incidents'!A115</f>
        <v>Reymark M. Langoey</v>
      </c>
      <c r="C157" s="923"/>
      <c r="D157" s="965" t="s">
        <v>808</v>
      </c>
      <c r="E157" s="966"/>
      <c r="F157" s="966"/>
      <c r="G157" s="966"/>
      <c r="H157" s="966"/>
      <c r="I157" s="966"/>
      <c r="J157" s="966"/>
      <c r="K157" s="966"/>
      <c r="L157" s="966"/>
      <c r="M157" s="967"/>
      <c r="N157" s="965" t="s">
        <v>846</v>
      </c>
      <c r="O157" s="966"/>
      <c r="P157" s="966"/>
      <c r="Q157" s="966"/>
      <c r="R157" s="966"/>
      <c r="S157" s="966"/>
      <c r="T157" s="966"/>
      <c r="U157" s="966"/>
      <c r="V157" s="966"/>
      <c r="W157" s="966"/>
      <c r="X157" s="966"/>
      <c r="Y157" s="966"/>
      <c r="Z157" s="967"/>
    </row>
    <row r="158" spans="2:52" s="130" customFormat="1" ht="182.5" customHeight="1" x14ac:dyDescent="0.25">
      <c r="B158" s="933" t="str">
        <f>'Description of Incidents'!A116</f>
        <v>OI</v>
      </c>
      <c r="C158" s="934"/>
      <c r="D158" s="968"/>
      <c r="E158" s="969"/>
      <c r="F158" s="969"/>
      <c r="G158" s="969"/>
      <c r="H158" s="969"/>
      <c r="I158" s="969"/>
      <c r="J158" s="969"/>
      <c r="K158" s="969"/>
      <c r="L158" s="969"/>
      <c r="M158" s="970"/>
      <c r="N158" s="968"/>
      <c r="O158" s="969"/>
      <c r="P158" s="969"/>
      <c r="Q158" s="969"/>
      <c r="R158" s="969"/>
      <c r="S158" s="969"/>
      <c r="T158" s="969"/>
      <c r="U158" s="969"/>
      <c r="V158" s="969"/>
      <c r="W158" s="969"/>
      <c r="X158" s="969"/>
      <c r="Y158" s="969"/>
      <c r="Z158" s="970"/>
      <c r="AC158" s="131"/>
    </row>
    <row r="159" spans="2:52" s="130" customFormat="1" ht="182.5" customHeight="1" thickBot="1" x14ac:dyDescent="0.3">
      <c r="B159" s="935" t="str">
        <f>'Description of Incidents'!A117</f>
        <v xml:space="preserve">Change Room, Tubo </v>
      </c>
      <c r="C159" s="936"/>
      <c r="D159" s="971"/>
      <c r="E159" s="972"/>
      <c r="F159" s="972"/>
      <c r="G159" s="972"/>
      <c r="H159" s="972"/>
      <c r="I159" s="972"/>
      <c r="J159" s="972"/>
      <c r="K159" s="972"/>
      <c r="L159" s="972"/>
      <c r="M159" s="973"/>
      <c r="N159" s="971"/>
      <c r="O159" s="972"/>
      <c r="P159" s="972"/>
      <c r="Q159" s="972"/>
      <c r="R159" s="972"/>
      <c r="S159" s="972"/>
      <c r="T159" s="972"/>
      <c r="U159" s="972"/>
      <c r="V159" s="972"/>
      <c r="W159" s="972"/>
      <c r="X159" s="972"/>
      <c r="Y159" s="972"/>
      <c r="Z159" s="973"/>
    </row>
    <row r="160" spans="2:52" s="130" customFormat="1" ht="282.5" customHeight="1" x14ac:dyDescent="0.25">
      <c r="B160" s="937" t="str">
        <f>'Description of Incidents'!A118</f>
        <v>Kevin A. Palangdao</v>
      </c>
      <c r="C160" s="938"/>
      <c r="D160" s="956" t="s">
        <v>824</v>
      </c>
      <c r="E160" s="957"/>
      <c r="F160" s="957"/>
      <c r="G160" s="957"/>
      <c r="H160" s="957"/>
      <c r="I160" s="957"/>
      <c r="J160" s="957"/>
      <c r="K160" s="957"/>
      <c r="L160" s="957"/>
      <c r="M160" s="958"/>
      <c r="N160" s="957" t="s">
        <v>1179</v>
      </c>
      <c r="O160" s="957"/>
      <c r="P160" s="957"/>
      <c r="Q160" s="957"/>
      <c r="R160" s="957"/>
      <c r="S160" s="957"/>
      <c r="T160" s="957"/>
      <c r="U160" s="957"/>
      <c r="V160" s="957"/>
      <c r="W160" s="957"/>
      <c r="X160" s="957"/>
      <c r="Y160" s="957"/>
      <c r="Z160" s="958"/>
    </row>
    <row r="161" spans="2:52" s="130" customFormat="1" ht="282.5" customHeight="1" x14ac:dyDescent="0.25">
      <c r="B161" s="948" t="str">
        <f>'Description of Incidents'!A119</f>
        <v>FAC</v>
      </c>
      <c r="C161" s="949"/>
      <c r="D161" s="959"/>
      <c r="E161" s="960"/>
      <c r="F161" s="960"/>
      <c r="G161" s="960"/>
      <c r="H161" s="960"/>
      <c r="I161" s="960"/>
      <c r="J161" s="960"/>
      <c r="K161" s="960"/>
      <c r="L161" s="960"/>
      <c r="M161" s="961"/>
      <c r="N161" s="960"/>
      <c r="O161" s="960"/>
      <c r="P161" s="960"/>
      <c r="Q161" s="960"/>
      <c r="R161" s="960"/>
      <c r="S161" s="960"/>
      <c r="T161" s="960"/>
      <c r="U161" s="960"/>
      <c r="V161" s="960"/>
      <c r="W161" s="960"/>
      <c r="X161" s="960"/>
      <c r="Y161" s="960"/>
      <c r="Z161" s="961"/>
      <c r="AC161" s="131"/>
      <c r="AZ161" s="131"/>
    </row>
    <row r="162" spans="2:52" s="130" customFormat="1" ht="282.5" customHeight="1" thickBot="1" x14ac:dyDescent="0.3">
      <c r="B162" s="950" t="str">
        <f>'Description of Incidents'!A120</f>
        <v>Nayak Adit Portal</v>
      </c>
      <c r="C162" s="951"/>
      <c r="D162" s="962"/>
      <c r="E162" s="963"/>
      <c r="F162" s="963"/>
      <c r="G162" s="963"/>
      <c r="H162" s="963"/>
      <c r="I162" s="963"/>
      <c r="J162" s="963"/>
      <c r="K162" s="963"/>
      <c r="L162" s="963"/>
      <c r="M162" s="964"/>
      <c r="N162" s="963"/>
      <c r="O162" s="963"/>
      <c r="P162" s="963"/>
      <c r="Q162" s="963"/>
      <c r="R162" s="963"/>
      <c r="S162" s="963"/>
      <c r="T162" s="963"/>
      <c r="U162" s="963"/>
      <c r="V162" s="963"/>
      <c r="W162" s="963"/>
      <c r="X162" s="963"/>
      <c r="Y162" s="963"/>
      <c r="Z162" s="964"/>
    </row>
    <row r="163" spans="2:52" s="130" customFormat="1" ht="222.5" customHeight="1" x14ac:dyDescent="0.25">
      <c r="B163" s="922" t="str">
        <f>'Description of Incidents'!A121</f>
        <v>Guerick Lee B. Balong</v>
      </c>
      <c r="C163" s="923"/>
      <c r="D163" s="965" t="s">
        <v>815</v>
      </c>
      <c r="E163" s="966"/>
      <c r="F163" s="966"/>
      <c r="G163" s="966"/>
      <c r="H163" s="966"/>
      <c r="I163" s="966"/>
      <c r="J163" s="966"/>
      <c r="K163" s="966"/>
      <c r="L163" s="966"/>
      <c r="M163" s="967"/>
      <c r="N163" s="965" t="s">
        <v>848</v>
      </c>
      <c r="O163" s="966"/>
      <c r="P163" s="966"/>
      <c r="Q163" s="966"/>
      <c r="R163" s="966"/>
      <c r="S163" s="966"/>
      <c r="T163" s="966"/>
      <c r="U163" s="966"/>
      <c r="V163" s="966"/>
      <c r="W163" s="966"/>
      <c r="X163" s="966"/>
      <c r="Y163" s="966"/>
      <c r="Z163" s="967"/>
    </row>
    <row r="164" spans="2:52" s="130" customFormat="1" ht="222.5" customHeight="1" x14ac:dyDescent="0.25">
      <c r="B164" s="933" t="str">
        <f>'Description of Incidents'!A122</f>
        <v>FAC</v>
      </c>
      <c r="C164" s="934"/>
      <c r="D164" s="968"/>
      <c r="E164" s="969"/>
      <c r="F164" s="969"/>
      <c r="G164" s="969"/>
      <c r="H164" s="969"/>
      <c r="I164" s="969"/>
      <c r="J164" s="969"/>
      <c r="K164" s="969"/>
      <c r="L164" s="969"/>
      <c r="M164" s="970"/>
      <c r="N164" s="968"/>
      <c r="O164" s="969"/>
      <c r="P164" s="969"/>
      <c r="Q164" s="969"/>
      <c r="R164" s="969"/>
      <c r="S164" s="969"/>
      <c r="T164" s="969"/>
      <c r="U164" s="969"/>
      <c r="V164" s="969"/>
      <c r="W164" s="969"/>
      <c r="X164" s="969"/>
      <c r="Y164" s="969"/>
      <c r="Z164" s="970"/>
      <c r="AC164" s="131"/>
    </row>
    <row r="165" spans="2:52" s="130" customFormat="1" ht="222.5" customHeight="1" thickBot="1" x14ac:dyDescent="0.3">
      <c r="B165" s="935" t="str">
        <f>'Description of Incidents'!A123</f>
        <v>Bonanza Quarry</v>
      </c>
      <c r="C165" s="936"/>
      <c r="D165" s="971"/>
      <c r="E165" s="972"/>
      <c r="F165" s="972"/>
      <c r="G165" s="972"/>
      <c r="H165" s="972"/>
      <c r="I165" s="972"/>
      <c r="J165" s="972"/>
      <c r="K165" s="972"/>
      <c r="L165" s="972"/>
      <c r="M165" s="973"/>
      <c r="N165" s="971"/>
      <c r="O165" s="972"/>
      <c r="P165" s="972"/>
      <c r="Q165" s="972"/>
      <c r="R165" s="972"/>
      <c r="S165" s="972"/>
      <c r="T165" s="972"/>
      <c r="U165" s="972"/>
      <c r="V165" s="972"/>
      <c r="W165" s="972"/>
      <c r="X165" s="972"/>
      <c r="Y165" s="972"/>
      <c r="Z165" s="973"/>
    </row>
    <row r="166" spans="2:52" s="130" customFormat="1" ht="182.5" customHeight="1" x14ac:dyDescent="0.25">
      <c r="B166" s="952" t="str">
        <f>'Description of Incidents'!A124</f>
        <v>Joebert G. Bitot &amp; Norvy P. Francisco</v>
      </c>
      <c r="C166" s="953"/>
      <c r="D166" s="956" t="s">
        <v>865</v>
      </c>
      <c r="E166" s="957"/>
      <c r="F166" s="957"/>
      <c r="G166" s="957"/>
      <c r="H166" s="957"/>
      <c r="I166" s="957"/>
      <c r="J166" s="957"/>
      <c r="K166" s="957"/>
      <c r="L166" s="957"/>
      <c r="M166" s="957"/>
      <c r="N166" s="957"/>
      <c r="O166" s="957"/>
      <c r="P166" s="957"/>
      <c r="Q166" s="957"/>
      <c r="R166" s="957"/>
      <c r="S166" s="957"/>
      <c r="T166" s="957"/>
      <c r="U166" s="957"/>
      <c r="V166" s="957"/>
      <c r="W166" s="957"/>
      <c r="X166" s="957"/>
      <c r="Y166" s="957"/>
      <c r="Z166" s="958"/>
    </row>
    <row r="167" spans="2:52" s="130" customFormat="1" ht="89.5" x14ac:dyDescent="0.25">
      <c r="B167" s="948" t="str">
        <f>'Description of Incidents'!A125</f>
        <v>NM</v>
      </c>
      <c r="C167" s="954"/>
      <c r="D167" s="959"/>
      <c r="E167" s="960"/>
      <c r="F167" s="960"/>
      <c r="G167" s="960"/>
      <c r="H167" s="960"/>
      <c r="I167" s="960"/>
      <c r="J167" s="960"/>
      <c r="K167" s="960"/>
      <c r="L167" s="960"/>
      <c r="M167" s="960"/>
      <c r="N167" s="960"/>
      <c r="O167" s="960"/>
      <c r="P167" s="960"/>
      <c r="Q167" s="960"/>
      <c r="R167" s="960"/>
      <c r="S167" s="960"/>
      <c r="T167" s="960"/>
      <c r="U167" s="960"/>
      <c r="V167" s="960"/>
      <c r="W167" s="960"/>
      <c r="X167" s="960"/>
      <c r="Y167" s="960"/>
      <c r="Z167" s="961"/>
      <c r="AC167" s="131"/>
      <c r="AZ167" s="131"/>
    </row>
    <row r="168" spans="2:52" s="130" customFormat="1" ht="90" thickBot="1" x14ac:dyDescent="0.3">
      <c r="B168" s="950" t="str">
        <f>'Description of Incidents'!A126</f>
        <v>Boiler Room Extension</v>
      </c>
      <c r="C168" s="955"/>
      <c r="D168" s="962"/>
      <c r="E168" s="963"/>
      <c r="F168" s="963"/>
      <c r="G168" s="963"/>
      <c r="H168" s="963"/>
      <c r="I168" s="963"/>
      <c r="J168" s="963"/>
      <c r="K168" s="963"/>
      <c r="L168" s="963"/>
      <c r="M168" s="963"/>
      <c r="N168" s="963"/>
      <c r="O168" s="963"/>
      <c r="P168" s="963"/>
      <c r="Q168" s="963"/>
      <c r="R168" s="963"/>
      <c r="S168" s="963"/>
      <c r="T168" s="963"/>
      <c r="U168" s="963"/>
      <c r="V168" s="963"/>
      <c r="W168" s="963"/>
      <c r="X168" s="963"/>
      <c r="Y168" s="963"/>
      <c r="Z168" s="964"/>
    </row>
    <row r="169" spans="2:52" s="130" customFormat="1" ht="257.5" customHeight="1" x14ac:dyDescent="0.25">
      <c r="B169" s="922" t="s">
        <v>682</v>
      </c>
      <c r="C169" s="923"/>
      <c r="D169" s="965" t="s">
        <v>868</v>
      </c>
      <c r="E169" s="966"/>
      <c r="F169" s="966"/>
      <c r="G169" s="966"/>
      <c r="H169" s="966"/>
      <c r="I169" s="966"/>
      <c r="J169" s="966"/>
      <c r="K169" s="966"/>
      <c r="L169" s="966"/>
      <c r="M169" s="966"/>
      <c r="N169" s="966"/>
      <c r="O169" s="966"/>
      <c r="P169" s="966"/>
      <c r="Q169" s="966"/>
      <c r="R169" s="966"/>
      <c r="S169" s="966"/>
      <c r="T169" s="966"/>
      <c r="U169" s="966"/>
      <c r="V169" s="966"/>
      <c r="W169" s="966"/>
      <c r="X169" s="966"/>
      <c r="Y169" s="966"/>
      <c r="Z169" s="967"/>
    </row>
    <row r="170" spans="2:52" s="130" customFormat="1" ht="257.5" customHeight="1" x14ac:dyDescent="0.25">
      <c r="B170" s="933" t="str">
        <f>'Description of Incidents'!A128</f>
        <v>EI</v>
      </c>
      <c r="C170" s="934"/>
      <c r="D170" s="968"/>
      <c r="E170" s="969"/>
      <c r="F170" s="969"/>
      <c r="G170" s="969"/>
      <c r="H170" s="969"/>
      <c r="I170" s="969"/>
      <c r="J170" s="969"/>
      <c r="K170" s="969"/>
      <c r="L170" s="969"/>
      <c r="M170" s="969"/>
      <c r="N170" s="969"/>
      <c r="O170" s="969"/>
      <c r="P170" s="969"/>
      <c r="Q170" s="969"/>
      <c r="R170" s="969"/>
      <c r="S170" s="969"/>
      <c r="T170" s="969"/>
      <c r="U170" s="969"/>
      <c r="V170" s="969"/>
      <c r="W170" s="969"/>
      <c r="X170" s="969"/>
      <c r="Y170" s="969"/>
      <c r="Z170" s="970"/>
      <c r="AC170" s="131"/>
    </row>
    <row r="171" spans="2:52" s="130" customFormat="1" ht="257.5" customHeight="1" thickBot="1" x14ac:dyDescent="0.3">
      <c r="B171" s="935" t="str">
        <f>'Description of Incidents'!A129</f>
        <v>Gate 3, Casubigan, Sapid Crusher</v>
      </c>
      <c r="C171" s="936"/>
      <c r="D171" s="971"/>
      <c r="E171" s="972"/>
      <c r="F171" s="972"/>
      <c r="G171" s="972"/>
      <c r="H171" s="972"/>
      <c r="I171" s="972"/>
      <c r="J171" s="972"/>
      <c r="K171" s="972"/>
      <c r="L171" s="972"/>
      <c r="M171" s="972"/>
      <c r="N171" s="972"/>
      <c r="O171" s="972"/>
      <c r="P171" s="972"/>
      <c r="Q171" s="972"/>
      <c r="R171" s="972"/>
      <c r="S171" s="972"/>
      <c r="T171" s="972"/>
      <c r="U171" s="972"/>
      <c r="V171" s="972"/>
      <c r="W171" s="972"/>
      <c r="X171" s="972"/>
      <c r="Y171" s="972"/>
      <c r="Z171" s="973"/>
    </row>
    <row r="172" spans="2:52" s="130" customFormat="1" ht="307.5" customHeight="1" x14ac:dyDescent="0.25">
      <c r="B172" s="937" t="s">
        <v>897</v>
      </c>
      <c r="C172" s="938"/>
      <c r="D172" s="939" t="s">
        <v>893</v>
      </c>
      <c r="E172" s="940"/>
      <c r="F172" s="940"/>
      <c r="G172" s="940"/>
      <c r="H172" s="940"/>
      <c r="I172" s="940"/>
      <c r="J172" s="940"/>
      <c r="K172" s="940"/>
      <c r="L172" s="940"/>
      <c r="M172" s="941"/>
      <c r="N172" s="940" t="s">
        <v>900</v>
      </c>
      <c r="O172" s="940"/>
      <c r="P172" s="940"/>
      <c r="Q172" s="940"/>
      <c r="R172" s="940"/>
      <c r="S172" s="940"/>
      <c r="T172" s="940"/>
      <c r="U172" s="940"/>
      <c r="V172" s="940"/>
      <c r="W172" s="940"/>
      <c r="X172" s="940"/>
      <c r="Y172" s="940"/>
      <c r="Z172" s="941"/>
    </row>
    <row r="173" spans="2:52" s="130" customFormat="1" ht="307.5" customHeight="1" x14ac:dyDescent="0.25">
      <c r="B173" s="948" t="s">
        <v>53</v>
      </c>
      <c r="C173" s="949"/>
      <c r="D173" s="942"/>
      <c r="E173" s="943"/>
      <c r="F173" s="943"/>
      <c r="G173" s="943"/>
      <c r="H173" s="943"/>
      <c r="I173" s="943"/>
      <c r="J173" s="943"/>
      <c r="K173" s="943"/>
      <c r="L173" s="943"/>
      <c r="M173" s="944"/>
      <c r="N173" s="943"/>
      <c r="O173" s="943"/>
      <c r="P173" s="943"/>
      <c r="Q173" s="943"/>
      <c r="R173" s="943"/>
      <c r="S173" s="943"/>
      <c r="T173" s="943"/>
      <c r="U173" s="943"/>
      <c r="V173" s="943"/>
      <c r="W173" s="943"/>
      <c r="X173" s="943"/>
      <c r="Y173" s="943"/>
      <c r="Z173" s="944"/>
      <c r="AC173" s="131"/>
      <c r="AZ173" s="131"/>
    </row>
    <row r="174" spans="2:52" s="130" customFormat="1" ht="307.5" customHeight="1" thickBot="1" x14ac:dyDescent="0.3">
      <c r="B174" s="950" t="s">
        <v>892</v>
      </c>
      <c r="C174" s="951"/>
      <c r="D174" s="945"/>
      <c r="E174" s="946"/>
      <c r="F174" s="946"/>
      <c r="G174" s="946"/>
      <c r="H174" s="946"/>
      <c r="I174" s="946"/>
      <c r="J174" s="946"/>
      <c r="K174" s="946"/>
      <c r="L174" s="946"/>
      <c r="M174" s="947"/>
      <c r="N174" s="946"/>
      <c r="O174" s="946"/>
      <c r="P174" s="946"/>
      <c r="Q174" s="946"/>
      <c r="R174" s="946"/>
      <c r="S174" s="946"/>
      <c r="T174" s="946"/>
      <c r="U174" s="946"/>
      <c r="V174" s="946"/>
      <c r="W174" s="946"/>
      <c r="X174" s="946"/>
      <c r="Y174" s="946"/>
      <c r="Z174" s="947"/>
    </row>
    <row r="175" spans="2:52" s="130" customFormat="1" ht="317.5" customHeight="1" x14ac:dyDescent="0.25">
      <c r="B175" s="922" t="str">
        <f>'Description of Incidents'!A133</f>
        <v>Forest Fire</v>
      </c>
      <c r="C175" s="923"/>
      <c r="D175" s="924" t="s">
        <v>903</v>
      </c>
      <c r="E175" s="925"/>
      <c r="F175" s="925"/>
      <c r="G175" s="925"/>
      <c r="H175" s="925"/>
      <c r="I175" s="925"/>
      <c r="J175" s="925"/>
      <c r="K175" s="925"/>
      <c r="L175" s="925"/>
      <c r="M175" s="926"/>
      <c r="N175" s="925" t="s">
        <v>917</v>
      </c>
      <c r="O175" s="925"/>
      <c r="P175" s="925"/>
      <c r="Q175" s="925"/>
      <c r="R175" s="925"/>
      <c r="S175" s="925"/>
      <c r="T175" s="925"/>
      <c r="U175" s="925"/>
      <c r="V175" s="925"/>
      <c r="W175" s="925"/>
      <c r="X175" s="925"/>
      <c r="Y175" s="925"/>
      <c r="Z175" s="926"/>
    </row>
    <row r="176" spans="2:52" s="130" customFormat="1" ht="317.5" customHeight="1" x14ac:dyDescent="0.25">
      <c r="B176" s="933" t="str">
        <f>'Description of Incidents'!A134</f>
        <v>EI</v>
      </c>
      <c r="C176" s="934"/>
      <c r="D176" s="927"/>
      <c r="E176" s="928"/>
      <c r="F176" s="928"/>
      <c r="G176" s="928"/>
      <c r="H176" s="928"/>
      <c r="I176" s="928"/>
      <c r="J176" s="928"/>
      <c r="K176" s="928"/>
      <c r="L176" s="928"/>
      <c r="M176" s="929"/>
      <c r="N176" s="928"/>
      <c r="O176" s="928"/>
      <c r="P176" s="928"/>
      <c r="Q176" s="928"/>
      <c r="R176" s="928"/>
      <c r="S176" s="928"/>
      <c r="T176" s="928"/>
      <c r="U176" s="928"/>
      <c r="V176" s="928"/>
      <c r="W176" s="928"/>
      <c r="X176" s="928"/>
      <c r="Y176" s="928"/>
      <c r="Z176" s="929"/>
      <c r="AC176" s="131"/>
    </row>
    <row r="177" spans="2:52" s="130" customFormat="1" ht="317.5" customHeight="1" thickBot="1" x14ac:dyDescent="0.3">
      <c r="B177" s="935" t="str">
        <f>'Description of Incidents'!A135</f>
        <v>Sapid Crusher Area</v>
      </c>
      <c r="C177" s="936"/>
      <c r="D177" s="930"/>
      <c r="E177" s="931"/>
      <c r="F177" s="931"/>
      <c r="G177" s="931"/>
      <c r="H177" s="931"/>
      <c r="I177" s="931"/>
      <c r="J177" s="931"/>
      <c r="K177" s="931"/>
      <c r="L177" s="931"/>
      <c r="M177" s="932"/>
      <c r="N177" s="931"/>
      <c r="O177" s="931"/>
      <c r="P177" s="931"/>
      <c r="Q177" s="931"/>
      <c r="R177" s="931"/>
      <c r="S177" s="931"/>
      <c r="T177" s="931"/>
      <c r="U177" s="931"/>
      <c r="V177" s="931"/>
      <c r="W177" s="931"/>
      <c r="X177" s="931"/>
      <c r="Y177" s="931"/>
      <c r="Z177" s="932"/>
    </row>
    <row r="178" spans="2:52" s="130" customFormat="1" ht="372.5" customHeight="1" x14ac:dyDescent="0.25">
      <c r="B178" s="937" t="str">
        <f>'Description of Incidents'!A136</f>
        <v>Lee L. Deya-As Jr.</v>
      </c>
      <c r="C178" s="938"/>
      <c r="D178" s="939" t="s">
        <v>894</v>
      </c>
      <c r="E178" s="940"/>
      <c r="F178" s="940"/>
      <c r="G178" s="940"/>
      <c r="H178" s="940"/>
      <c r="I178" s="940"/>
      <c r="J178" s="940"/>
      <c r="K178" s="940"/>
      <c r="L178" s="940"/>
      <c r="M178" s="941"/>
      <c r="N178" s="940" t="s">
        <v>901</v>
      </c>
      <c r="O178" s="940"/>
      <c r="P178" s="940"/>
      <c r="Q178" s="940"/>
      <c r="R178" s="940"/>
      <c r="S178" s="940"/>
      <c r="T178" s="940"/>
      <c r="U178" s="940"/>
      <c r="V178" s="940"/>
      <c r="W178" s="940"/>
      <c r="X178" s="940"/>
      <c r="Y178" s="940"/>
      <c r="Z178" s="941"/>
    </row>
    <row r="179" spans="2:52" s="130" customFormat="1" ht="372.5" customHeight="1" x14ac:dyDescent="0.25">
      <c r="B179" s="948" t="str">
        <f>'Description of Incidents'!A137</f>
        <v>LTA-NF</v>
      </c>
      <c r="C179" s="949"/>
      <c r="D179" s="942"/>
      <c r="E179" s="943"/>
      <c r="F179" s="943"/>
      <c r="G179" s="943"/>
      <c r="H179" s="943"/>
      <c r="I179" s="943"/>
      <c r="J179" s="943"/>
      <c r="K179" s="943"/>
      <c r="L179" s="943"/>
      <c r="M179" s="944"/>
      <c r="N179" s="943"/>
      <c r="O179" s="943"/>
      <c r="P179" s="943"/>
      <c r="Q179" s="943"/>
      <c r="R179" s="943"/>
      <c r="S179" s="943"/>
      <c r="T179" s="943"/>
      <c r="U179" s="943"/>
      <c r="V179" s="943"/>
      <c r="W179" s="943"/>
      <c r="X179" s="943"/>
      <c r="Y179" s="943"/>
      <c r="Z179" s="944"/>
      <c r="AC179" s="131"/>
      <c r="AZ179" s="131"/>
    </row>
    <row r="180" spans="2:52" s="130" customFormat="1" ht="372.5" customHeight="1" thickBot="1" x14ac:dyDescent="0.3">
      <c r="B180" s="950" t="str">
        <f>'Description of Incidents'!A138</f>
        <v>Carpentry Shop</v>
      </c>
      <c r="C180" s="951"/>
      <c r="D180" s="945"/>
      <c r="E180" s="946"/>
      <c r="F180" s="946"/>
      <c r="G180" s="946"/>
      <c r="H180" s="946"/>
      <c r="I180" s="946"/>
      <c r="J180" s="946"/>
      <c r="K180" s="946"/>
      <c r="L180" s="946"/>
      <c r="M180" s="947"/>
      <c r="N180" s="946"/>
      <c r="O180" s="946"/>
      <c r="P180" s="946"/>
      <c r="Q180" s="946"/>
      <c r="R180" s="946"/>
      <c r="S180" s="946"/>
      <c r="T180" s="946"/>
      <c r="U180" s="946"/>
      <c r="V180" s="946"/>
      <c r="W180" s="946"/>
      <c r="X180" s="946"/>
      <c r="Y180" s="946"/>
      <c r="Z180" s="947"/>
    </row>
    <row r="181" spans="2:52" s="130" customFormat="1" ht="222.5" customHeight="1" x14ac:dyDescent="0.25">
      <c r="B181" s="922" t="str">
        <f>'Description of Incidents'!A139</f>
        <v>Forest Fire</v>
      </c>
      <c r="C181" s="923"/>
      <c r="D181" s="924" t="s">
        <v>907</v>
      </c>
      <c r="E181" s="925"/>
      <c r="F181" s="925"/>
      <c r="G181" s="925"/>
      <c r="H181" s="925"/>
      <c r="I181" s="925"/>
      <c r="J181" s="925"/>
      <c r="K181" s="925"/>
      <c r="L181" s="925"/>
      <c r="M181" s="926"/>
      <c r="N181" s="925" t="s">
        <v>908</v>
      </c>
      <c r="O181" s="925"/>
      <c r="P181" s="925"/>
      <c r="Q181" s="925"/>
      <c r="R181" s="925"/>
      <c r="S181" s="925"/>
      <c r="T181" s="925"/>
      <c r="U181" s="925"/>
      <c r="V181" s="925"/>
      <c r="W181" s="925"/>
      <c r="X181" s="925"/>
      <c r="Y181" s="925"/>
      <c r="Z181" s="926"/>
    </row>
    <row r="182" spans="2:52" s="130" customFormat="1" ht="222.5" customHeight="1" x14ac:dyDescent="0.25">
      <c r="B182" s="933" t="str">
        <f>'Description of Incidents'!A140</f>
        <v>EI</v>
      </c>
      <c r="C182" s="934"/>
      <c r="D182" s="927"/>
      <c r="E182" s="928"/>
      <c r="F182" s="928"/>
      <c r="G182" s="928"/>
      <c r="H182" s="928"/>
      <c r="I182" s="928"/>
      <c r="J182" s="928"/>
      <c r="K182" s="928"/>
      <c r="L182" s="928"/>
      <c r="M182" s="929"/>
      <c r="N182" s="928"/>
      <c r="O182" s="928"/>
      <c r="P182" s="928"/>
      <c r="Q182" s="928"/>
      <c r="R182" s="928"/>
      <c r="S182" s="928"/>
      <c r="T182" s="928"/>
      <c r="U182" s="928"/>
      <c r="V182" s="928"/>
      <c r="W182" s="928"/>
      <c r="X182" s="928"/>
      <c r="Y182" s="928"/>
      <c r="Z182" s="929"/>
      <c r="AC182" s="131"/>
    </row>
    <row r="183" spans="2:52" s="130" customFormat="1" ht="222.5" customHeight="1" thickBot="1" x14ac:dyDescent="0.3">
      <c r="B183" s="935" t="str">
        <f>'Description of Incidents'!A141</f>
        <v>Sapid Crusher Area</v>
      </c>
      <c r="C183" s="936"/>
      <c r="D183" s="930"/>
      <c r="E183" s="931"/>
      <c r="F183" s="931"/>
      <c r="G183" s="931"/>
      <c r="H183" s="931"/>
      <c r="I183" s="931"/>
      <c r="J183" s="931"/>
      <c r="K183" s="931"/>
      <c r="L183" s="931"/>
      <c r="M183" s="932"/>
      <c r="N183" s="931"/>
      <c r="O183" s="931"/>
      <c r="P183" s="931"/>
      <c r="Q183" s="931"/>
      <c r="R183" s="931"/>
      <c r="S183" s="931"/>
      <c r="T183" s="931"/>
      <c r="U183" s="931"/>
      <c r="V183" s="931"/>
      <c r="W183" s="931"/>
      <c r="X183" s="931"/>
      <c r="Y183" s="931"/>
      <c r="Z183" s="932"/>
    </row>
    <row r="184" spans="2:52" s="130" customFormat="1" ht="192.5" customHeight="1" x14ac:dyDescent="0.25">
      <c r="B184" s="1115" t="str">
        <f>'Description of Incidents'!A142</f>
        <v>Forest Fire</v>
      </c>
      <c r="C184" s="1116"/>
      <c r="D184" s="939" t="s">
        <v>910</v>
      </c>
      <c r="E184" s="940"/>
      <c r="F184" s="940"/>
      <c r="G184" s="940"/>
      <c r="H184" s="940"/>
      <c r="I184" s="940"/>
      <c r="J184" s="940"/>
      <c r="K184" s="940"/>
      <c r="L184" s="940"/>
      <c r="M184" s="941"/>
      <c r="N184" s="940" t="s">
        <v>911</v>
      </c>
      <c r="O184" s="940"/>
      <c r="P184" s="940"/>
      <c r="Q184" s="940"/>
      <c r="R184" s="940"/>
      <c r="S184" s="940"/>
      <c r="T184" s="940"/>
      <c r="U184" s="940"/>
      <c r="V184" s="940"/>
      <c r="W184" s="940"/>
      <c r="X184" s="940"/>
      <c r="Y184" s="940"/>
      <c r="Z184" s="941"/>
    </row>
    <row r="185" spans="2:52" s="130" customFormat="1" ht="192.5" customHeight="1" x14ac:dyDescent="0.25">
      <c r="B185" s="1117" t="str">
        <f>'Description of Incidents'!A143</f>
        <v>EI</v>
      </c>
      <c r="C185" s="1118"/>
      <c r="D185" s="942"/>
      <c r="E185" s="943"/>
      <c r="F185" s="943"/>
      <c r="G185" s="943"/>
      <c r="H185" s="943"/>
      <c r="I185" s="943"/>
      <c r="J185" s="943"/>
      <c r="K185" s="943"/>
      <c r="L185" s="943"/>
      <c r="M185" s="944"/>
      <c r="N185" s="943"/>
      <c r="O185" s="943"/>
      <c r="P185" s="943"/>
      <c r="Q185" s="943"/>
      <c r="R185" s="943"/>
      <c r="S185" s="943"/>
      <c r="T185" s="943"/>
      <c r="U185" s="943"/>
      <c r="V185" s="943"/>
      <c r="W185" s="943"/>
      <c r="X185" s="943"/>
      <c r="Y185" s="943"/>
      <c r="Z185" s="944"/>
      <c r="AC185" s="131"/>
    </row>
    <row r="186" spans="2:52" s="130" customFormat="1" ht="192.5" customHeight="1" thickBot="1" x14ac:dyDescent="0.3">
      <c r="B186" s="1119" t="str">
        <f>'Description of Incidents'!A144</f>
        <v>Panad Roadway to Gate 1, Poblacion</v>
      </c>
      <c r="C186" s="1120"/>
      <c r="D186" s="945"/>
      <c r="E186" s="946"/>
      <c r="F186" s="946"/>
      <c r="G186" s="946"/>
      <c r="H186" s="946"/>
      <c r="I186" s="946"/>
      <c r="J186" s="946"/>
      <c r="K186" s="946"/>
      <c r="L186" s="946"/>
      <c r="M186" s="947"/>
      <c r="N186" s="946"/>
      <c r="O186" s="946"/>
      <c r="P186" s="946"/>
      <c r="Q186" s="946"/>
      <c r="R186" s="946"/>
      <c r="S186" s="946"/>
      <c r="T186" s="946"/>
      <c r="U186" s="946"/>
      <c r="V186" s="946"/>
      <c r="W186" s="946"/>
      <c r="X186" s="946"/>
      <c r="Y186" s="946"/>
      <c r="Z186" s="947"/>
    </row>
    <row r="187" spans="2:52" s="130" customFormat="1" ht="312.5" customHeight="1" x14ac:dyDescent="0.25">
      <c r="B187" s="922" t="s">
        <v>682</v>
      </c>
      <c r="C187" s="923"/>
      <c r="D187" s="924" t="s">
        <v>916</v>
      </c>
      <c r="E187" s="925"/>
      <c r="F187" s="925"/>
      <c r="G187" s="925"/>
      <c r="H187" s="925"/>
      <c r="I187" s="925"/>
      <c r="J187" s="925"/>
      <c r="K187" s="925"/>
      <c r="L187" s="925"/>
      <c r="M187" s="926"/>
      <c r="N187" s="925" t="s">
        <v>918</v>
      </c>
      <c r="O187" s="925"/>
      <c r="P187" s="925"/>
      <c r="Q187" s="925"/>
      <c r="R187" s="925"/>
      <c r="S187" s="925"/>
      <c r="T187" s="925"/>
      <c r="U187" s="925"/>
      <c r="V187" s="925"/>
      <c r="W187" s="925"/>
      <c r="X187" s="925"/>
      <c r="Y187" s="925"/>
      <c r="Z187" s="926"/>
    </row>
    <row r="188" spans="2:52" s="130" customFormat="1" ht="312.5" customHeight="1" x14ac:dyDescent="0.25">
      <c r="B188" s="933" t="s">
        <v>693</v>
      </c>
      <c r="C188" s="934"/>
      <c r="D188" s="927"/>
      <c r="E188" s="928"/>
      <c r="F188" s="928"/>
      <c r="G188" s="928"/>
      <c r="H188" s="928"/>
      <c r="I188" s="928"/>
      <c r="J188" s="928"/>
      <c r="K188" s="928"/>
      <c r="L188" s="928"/>
      <c r="M188" s="929"/>
      <c r="N188" s="928"/>
      <c r="O188" s="928"/>
      <c r="P188" s="928"/>
      <c r="Q188" s="928"/>
      <c r="R188" s="928"/>
      <c r="S188" s="928"/>
      <c r="T188" s="928"/>
      <c r="U188" s="928"/>
      <c r="V188" s="928"/>
      <c r="W188" s="928"/>
      <c r="X188" s="928"/>
      <c r="Y188" s="928"/>
      <c r="Z188" s="929"/>
      <c r="AC188" s="131"/>
    </row>
    <row r="189" spans="2:52" s="130" customFormat="1" ht="312.5" customHeight="1" thickBot="1" x14ac:dyDescent="0.3">
      <c r="B189" s="935" t="s">
        <v>915</v>
      </c>
      <c r="C189" s="936"/>
      <c r="D189" s="930"/>
      <c r="E189" s="931"/>
      <c r="F189" s="931"/>
      <c r="G189" s="931"/>
      <c r="H189" s="931"/>
      <c r="I189" s="931"/>
      <c r="J189" s="931"/>
      <c r="K189" s="931"/>
      <c r="L189" s="931"/>
      <c r="M189" s="932"/>
      <c r="N189" s="931"/>
      <c r="O189" s="931"/>
      <c r="P189" s="931"/>
      <c r="Q189" s="931"/>
      <c r="R189" s="931"/>
      <c r="S189" s="931"/>
      <c r="T189" s="931"/>
      <c r="U189" s="931"/>
      <c r="V189" s="931"/>
      <c r="W189" s="931"/>
      <c r="X189" s="931"/>
      <c r="Y189" s="931"/>
      <c r="Z189" s="932"/>
    </row>
    <row r="190" spans="2:52" s="365" customFormat="1" ht="197.5" customHeight="1" x14ac:dyDescent="0.25">
      <c r="B190" s="922" t="s">
        <v>682</v>
      </c>
      <c r="C190" s="923"/>
      <c r="D190" s="924" t="s">
        <v>1182</v>
      </c>
      <c r="E190" s="925"/>
      <c r="F190" s="925"/>
      <c r="G190" s="925"/>
      <c r="H190" s="925"/>
      <c r="I190" s="925"/>
      <c r="J190" s="925"/>
      <c r="K190" s="925"/>
      <c r="L190" s="925"/>
      <c r="M190" s="926"/>
      <c r="N190" s="925" t="s">
        <v>1183</v>
      </c>
      <c r="O190" s="925"/>
      <c r="P190" s="925"/>
      <c r="Q190" s="925"/>
      <c r="R190" s="925"/>
      <c r="S190" s="925"/>
      <c r="T190" s="925"/>
      <c r="U190" s="925"/>
      <c r="V190" s="925"/>
      <c r="W190" s="925"/>
      <c r="X190" s="925"/>
      <c r="Y190" s="925"/>
      <c r="Z190" s="926"/>
    </row>
    <row r="191" spans="2:52" s="365" customFormat="1" ht="197.5" customHeight="1" x14ac:dyDescent="0.25">
      <c r="B191" s="933" t="s">
        <v>693</v>
      </c>
      <c r="C191" s="934"/>
      <c r="D191" s="927"/>
      <c r="E191" s="928"/>
      <c r="F191" s="928"/>
      <c r="G191" s="928"/>
      <c r="H191" s="928"/>
      <c r="I191" s="928"/>
      <c r="J191" s="928"/>
      <c r="K191" s="928"/>
      <c r="L191" s="928"/>
      <c r="M191" s="929"/>
      <c r="N191" s="928"/>
      <c r="O191" s="928"/>
      <c r="P191" s="928"/>
      <c r="Q191" s="928"/>
      <c r="R191" s="928"/>
      <c r="S191" s="928"/>
      <c r="T191" s="928"/>
      <c r="U191" s="928"/>
      <c r="V191" s="928"/>
      <c r="W191" s="928"/>
      <c r="X191" s="928"/>
      <c r="Y191" s="928"/>
      <c r="Z191" s="929"/>
      <c r="AC191" s="366"/>
    </row>
    <row r="192" spans="2:52" s="365" customFormat="1" ht="197.5" customHeight="1" thickBot="1" x14ac:dyDescent="0.3">
      <c r="B192" s="935" t="s">
        <v>1184</v>
      </c>
      <c r="C192" s="936"/>
      <c r="D192" s="930"/>
      <c r="E192" s="931"/>
      <c r="F192" s="931"/>
      <c r="G192" s="931"/>
      <c r="H192" s="931"/>
      <c r="I192" s="931"/>
      <c r="J192" s="931"/>
      <c r="K192" s="931"/>
      <c r="L192" s="931"/>
      <c r="M192" s="932"/>
      <c r="N192" s="931"/>
      <c r="O192" s="931"/>
      <c r="P192" s="931"/>
      <c r="Q192" s="931"/>
      <c r="R192" s="931"/>
      <c r="S192" s="931"/>
      <c r="T192" s="931"/>
      <c r="U192" s="931"/>
      <c r="V192" s="931"/>
      <c r="W192" s="931"/>
      <c r="X192" s="931"/>
      <c r="Y192" s="931"/>
      <c r="Z192" s="932"/>
    </row>
  </sheetData>
  <mergeCells count="463">
    <mergeCell ref="B190:C190"/>
    <mergeCell ref="D190:M192"/>
    <mergeCell ref="N190:Z192"/>
    <mergeCell ref="B191:C191"/>
    <mergeCell ref="B192:C192"/>
    <mergeCell ref="B32:C32"/>
    <mergeCell ref="F32:G32"/>
    <mergeCell ref="J32:K32"/>
    <mergeCell ref="L32:M32"/>
    <mergeCell ref="T32:U32"/>
    <mergeCell ref="X32:Y32"/>
    <mergeCell ref="B187:C187"/>
    <mergeCell ref="D187:M189"/>
    <mergeCell ref="N187:Z189"/>
    <mergeCell ref="B188:C188"/>
    <mergeCell ref="B189:C189"/>
    <mergeCell ref="B184:C184"/>
    <mergeCell ref="D184:M186"/>
    <mergeCell ref="N184:Z186"/>
    <mergeCell ref="B185:C185"/>
    <mergeCell ref="B186:C186"/>
    <mergeCell ref="N128:P128"/>
    <mergeCell ref="N121:P121"/>
    <mergeCell ref="B107:C107"/>
    <mergeCell ref="J29:K29"/>
    <mergeCell ref="J30:K30"/>
    <mergeCell ref="L29:M29"/>
    <mergeCell ref="L30:M30"/>
    <mergeCell ref="T29:U29"/>
    <mergeCell ref="T30:U30"/>
    <mergeCell ref="B104:C104"/>
    <mergeCell ref="B116:C116"/>
    <mergeCell ref="B127:C127"/>
    <mergeCell ref="B117:C117"/>
    <mergeCell ref="N127:P127"/>
    <mergeCell ref="B125:C125"/>
    <mergeCell ref="N109:P109"/>
    <mergeCell ref="N114:P114"/>
    <mergeCell ref="B122:C122"/>
    <mergeCell ref="N122:P122"/>
    <mergeCell ref="B111:C111"/>
    <mergeCell ref="N111:P111"/>
    <mergeCell ref="N112:P112"/>
    <mergeCell ref="N113:P113"/>
    <mergeCell ref="N102:P102"/>
    <mergeCell ref="N119:P119"/>
    <mergeCell ref="N125:P125"/>
    <mergeCell ref="N124:P124"/>
    <mergeCell ref="X29:Y29"/>
    <mergeCell ref="X30:Y30"/>
    <mergeCell ref="B51:C51"/>
    <mergeCell ref="B50:C50"/>
    <mergeCell ref="B49:C49"/>
    <mergeCell ref="B48:C48"/>
    <mergeCell ref="B45:C45"/>
    <mergeCell ref="N45:P45"/>
    <mergeCell ref="B181:C181"/>
    <mergeCell ref="D181:M183"/>
    <mergeCell ref="N181:Z183"/>
    <mergeCell ref="B182:C182"/>
    <mergeCell ref="B183:C183"/>
    <mergeCell ref="X31:Y31"/>
    <mergeCell ref="B31:C31"/>
    <mergeCell ref="F31:G31"/>
    <mergeCell ref="J31:K31"/>
    <mergeCell ref="L31:M31"/>
    <mergeCell ref="T31:U31"/>
    <mergeCell ref="B102:C102"/>
    <mergeCell ref="B121:C121"/>
    <mergeCell ref="B109:C109"/>
    <mergeCell ref="B128:C128"/>
    <mergeCell ref="B124:C124"/>
    <mergeCell ref="B12:C12"/>
    <mergeCell ref="F12:G12"/>
    <mergeCell ref="J12:K12"/>
    <mergeCell ref="L12:M12"/>
    <mergeCell ref="T12:U12"/>
    <mergeCell ref="X12:Y12"/>
    <mergeCell ref="B17:C17"/>
    <mergeCell ref="F17:G17"/>
    <mergeCell ref="J17:K17"/>
    <mergeCell ref="L17:M17"/>
    <mergeCell ref="T17:U17"/>
    <mergeCell ref="X17:Y17"/>
    <mergeCell ref="J26:K26"/>
    <mergeCell ref="L26:M26"/>
    <mergeCell ref="T26:U26"/>
    <mergeCell ref="X26:Y26"/>
    <mergeCell ref="B28:C28"/>
    <mergeCell ref="F28:G28"/>
    <mergeCell ref="J28:K28"/>
    <mergeCell ref="L28:M28"/>
    <mergeCell ref="T28:U28"/>
    <mergeCell ref="X28:Y28"/>
    <mergeCell ref="B27:C27"/>
    <mergeCell ref="F27:G27"/>
    <mergeCell ref="L27:M27"/>
    <mergeCell ref="T27:U27"/>
    <mergeCell ref="X27:Y27"/>
    <mergeCell ref="J27:K27"/>
    <mergeCell ref="N107:P107"/>
    <mergeCell ref="B108:C108"/>
    <mergeCell ref="N108:P108"/>
    <mergeCell ref="B110:C110"/>
    <mergeCell ref="N110:P110"/>
    <mergeCell ref="B103:C103"/>
    <mergeCell ref="N103:P103"/>
    <mergeCell ref="N104:P104"/>
    <mergeCell ref="B105:C105"/>
    <mergeCell ref="N105:P105"/>
    <mergeCell ref="B106:C106"/>
    <mergeCell ref="N106:P106"/>
    <mergeCell ref="H73:H83"/>
    <mergeCell ref="N66:P66"/>
    <mergeCell ref="N74:P74"/>
    <mergeCell ref="N62:P62"/>
    <mergeCell ref="N63:P63"/>
    <mergeCell ref="N64:P64"/>
    <mergeCell ref="N65:P65"/>
    <mergeCell ref="N68:P68"/>
    <mergeCell ref="I73:I83"/>
    <mergeCell ref="J73:J83"/>
    <mergeCell ref="K73:K83"/>
    <mergeCell ref="N75:P75"/>
    <mergeCell ref="N76:P76"/>
    <mergeCell ref="N78:P78"/>
    <mergeCell ref="N79:P79"/>
    <mergeCell ref="N73:P73"/>
    <mergeCell ref="N77:P77"/>
    <mergeCell ref="N80:P80"/>
    <mergeCell ref="N81:P81"/>
    <mergeCell ref="B25:C25"/>
    <mergeCell ref="F25:G25"/>
    <mergeCell ref="B39:C39"/>
    <mergeCell ref="B55:C55"/>
    <mergeCell ref="B26:C26"/>
    <mergeCell ref="F26:G26"/>
    <mergeCell ref="B38:C38"/>
    <mergeCell ref="G73:G83"/>
    <mergeCell ref="B30:C30"/>
    <mergeCell ref="B29:C29"/>
    <mergeCell ref="F29:G29"/>
    <mergeCell ref="F30:G30"/>
    <mergeCell ref="B61:C61"/>
    <mergeCell ref="B73:C83"/>
    <mergeCell ref="B62:C72"/>
    <mergeCell ref="F73:F83"/>
    <mergeCell ref="F62:F72"/>
    <mergeCell ref="E73:E83"/>
    <mergeCell ref="D73:D83"/>
    <mergeCell ref="E62:E72"/>
    <mergeCell ref="D62:D72"/>
    <mergeCell ref="N38:P38"/>
    <mergeCell ref="B33:C33"/>
    <mergeCell ref="N33:P33"/>
    <mergeCell ref="B34:C34"/>
    <mergeCell ref="N34:P34"/>
    <mergeCell ref="B35:C35"/>
    <mergeCell ref="N35:P35"/>
    <mergeCell ref="B42:C42"/>
    <mergeCell ref="N42:P42"/>
    <mergeCell ref="B40:C40"/>
    <mergeCell ref="N40:P40"/>
    <mergeCell ref="B41:C41"/>
    <mergeCell ref="N41:P41"/>
    <mergeCell ref="B36:C36"/>
    <mergeCell ref="N36:P36"/>
    <mergeCell ref="B37:C37"/>
    <mergeCell ref="N37:P37"/>
    <mergeCell ref="N39:P39"/>
    <mergeCell ref="F21:G21"/>
    <mergeCell ref="J21:K21"/>
    <mergeCell ref="B16:C16"/>
    <mergeCell ref="F16:G16"/>
    <mergeCell ref="J16:K16"/>
    <mergeCell ref="L16:M16"/>
    <mergeCell ref="T16:U16"/>
    <mergeCell ref="X16:Y16"/>
    <mergeCell ref="B15:C15"/>
    <mergeCell ref="F15:G15"/>
    <mergeCell ref="J15:K15"/>
    <mergeCell ref="L15:M15"/>
    <mergeCell ref="T15:U15"/>
    <mergeCell ref="X15:Y15"/>
    <mergeCell ref="J25:K25"/>
    <mergeCell ref="L25:M25"/>
    <mergeCell ref="T25:U25"/>
    <mergeCell ref="X25:Y25"/>
    <mergeCell ref="B24:C24"/>
    <mergeCell ref="B6:C6"/>
    <mergeCell ref="F6:G6"/>
    <mergeCell ref="J6:K6"/>
    <mergeCell ref="L6:M6"/>
    <mergeCell ref="T6:U6"/>
    <mergeCell ref="X6:Y6"/>
    <mergeCell ref="B7:C7"/>
    <mergeCell ref="F7:G7"/>
    <mergeCell ref="J7:K7"/>
    <mergeCell ref="L7:M7"/>
    <mergeCell ref="T7:U7"/>
    <mergeCell ref="X7:Y7"/>
    <mergeCell ref="B8:C8"/>
    <mergeCell ref="F8:G8"/>
    <mergeCell ref="J8:K8"/>
    <mergeCell ref="L8:M8"/>
    <mergeCell ref="T8:U8"/>
    <mergeCell ref="X8:Y8"/>
    <mergeCell ref="B9:C9"/>
    <mergeCell ref="F9:G9"/>
    <mergeCell ref="J9:K9"/>
    <mergeCell ref="L9:M9"/>
    <mergeCell ref="T9:U9"/>
    <mergeCell ref="X9:Y9"/>
    <mergeCell ref="F24:G24"/>
    <mergeCell ref="J24:K24"/>
    <mergeCell ref="L24:M24"/>
    <mergeCell ref="T24:U24"/>
    <mergeCell ref="X24:Y24"/>
    <mergeCell ref="L21:M21"/>
    <mergeCell ref="T21:U21"/>
    <mergeCell ref="B18:Z18"/>
    <mergeCell ref="B19:C19"/>
    <mergeCell ref="F19:G19"/>
    <mergeCell ref="J19:K19"/>
    <mergeCell ref="L19:M19"/>
    <mergeCell ref="T19:U19"/>
    <mergeCell ref="X21:Y21"/>
    <mergeCell ref="X19:Y19"/>
    <mergeCell ref="T10:U10"/>
    <mergeCell ref="X10:Y10"/>
    <mergeCell ref="B20:Z20"/>
    <mergeCell ref="B21:C21"/>
    <mergeCell ref="B22:C22"/>
    <mergeCell ref="F22:G22"/>
    <mergeCell ref="J22:K22"/>
    <mergeCell ref="L22:M22"/>
    <mergeCell ref="T22:U22"/>
    <mergeCell ref="X22:Y22"/>
    <mergeCell ref="B23:C23"/>
    <mergeCell ref="F23:G23"/>
    <mergeCell ref="J23:K23"/>
    <mergeCell ref="L23:M23"/>
    <mergeCell ref="T23:U23"/>
    <mergeCell ref="X23:Y23"/>
    <mergeCell ref="B1:Z1"/>
    <mergeCell ref="B2:Z2"/>
    <mergeCell ref="B3:C4"/>
    <mergeCell ref="D3:D4"/>
    <mergeCell ref="E3:E4"/>
    <mergeCell ref="F3:G4"/>
    <mergeCell ref="H3:H4"/>
    <mergeCell ref="I3:I4"/>
    <mergeCell ref="J3:K4"/>
    <mergeCell ref="L3:M4"/>
    <mergeCell ref="T3:U4"/>
    <mergeCell ref="V3:V4"/>
    <mergeCell ref="W3:W4"/>
    <mergeCell ref="Z3:Z4"/>
    <mergeCell ref="X3:Y4"/>
    <mergeCell ref="B5:Z5"/>
    <mergeCell ref="N3:N4"/>
    <mergeCell ref="O3:O4"/>
    <mergeCell ref="P3:P4"/>
    <mergeCell ref="Q3:Q4"/>
    <mergeCell ref="R3:R4"/>
    <mergeCell ref="S3:S4"/>
    <mergeCell ref="B13:Z13"/>
    <mergeCell ref="B14:C14"/>
    <mergeCell ref="F14:G14"/>
    <mergeCell ref="J14:K14"/>
    <mergeCell ref="L14:M14"/>
    <mergeCell ref="T14:U14"/>
    <mergeCell ref="B11:C11"/>
    <mergeCell ref="F11:G11"/>
    <mergeCell ref="J11:K11"/>
    <mergeCell ref="L11:M11"/>
    <mergeCell ref="T11:U11"/>
    <mergeCell ref="X14:Y14"/>
    <mergeCell ref="X11:Y11"/>
    <mergeCell ref="B10:C10"/>
    <mergeCell ref="F10:G10"/>
    <mergeCell ref="J10:K10"/>
    <mergeCell ref="L10:M10"/>
    <mergeCell ref="N49:P49"/>
    <mergeCell ref="N50:P50"/>
    <mergeCell ref="N51:P51"/>
    <mergeCell ref="B46:C46"/>
    <mergeCell ref="N46:P46"/>
    <mergeCell ref="B47:C47"/>
    <mergeCell ref="N47:P47"/>
    <mergeCell ref="N48:P48"/>
    <mergeCell ref="B43:C43"/>
    <mergeCell ref="N43:P43"/>
    <mergeCell ref="B44:C44"/>
    <mergeCell ref="N44:P44"/>
    <mergeCell ref="N55:P55"/>
    <mergeCell ref="B59:C59"/>
    <mergeCell ref="N59:P59"/>
    <mergeCell ref="B60:C60"/>
    <mergeCell ref="N60:P60"/>
    <mergeCell ref="N52:P52"/>
    <mergeCell ref="N53:P53"/>
    <mergeCell ref="N54:P54"/>
    <mergeCell ref="B54:C54"/>
    <mergeCell ref="B56:C56"/>
    <mergeCell ref="N56:P56"/>
    <mergeCell ref="B52:C52"/>
    <mergeCell ref="B53:C53"/>
    <mergeCell ref="B58:C58"/>
    <mergeCell ref="B57:C57"/>
    <mergeCell ref="N57:P57"/>
    <mergeCell ref="N58:P58"/>
    <mergeCell ref="N61:P61"/>
    <mergeCell ref="L62:L72"/>
    <mergeCell ref="M62:M72"/>
    <mergeCell ref="N67:P67"/>
    <mergeCell ref="G62:G72"/>
    <mergeCell ref="H62:H72"/>
    <mergeCell ref="I62:I72"/>
    <mergeCell ref="J62:J72"/>
    <mergeCell ref="K62:K72"/>
    <mergeCell ref="N69:P69"/>
    <mergeCell ref="N70:P70"/>
    <mergeCell ref="N71:P71"/>
    <mergeCell ref="N72:P72"/>
    <mergeCell ref="B84:C95"/>
    <mergeCell ref="D84:D95"/>
    <mergeCell ref="E84:E95"/>
    <mergeCell ref="F84:F95"/>
    <mergeCell ref="G84:G95"/>
    <mergeCell ref="H84:H95"/>
    <mergeCell ref="I84:I95"/>
    <mergeCell ref="J84:J95"/>
    <mergeCell ref="K84:K95"/>
    <mergeCell ref="L84:L95"/>
    <mergeCell ref="M84:M95"/>
    <mergeCell ref="N84:P84"/>
    <mergeCell ref="N87:P87"/>
    <mergeCell ref="N88:P88"/>
    <mergeCell ref="N89:P89"/>
    <mergeCell ref="N91:P91"/>
    <mergeCell ref="N95:P95"/>
    <mergeCell ref="N83:P83"/>
    <mergeCell ref="N86:P86"/>
    <mergeCell ref="N85:P85"/>
    <mergeCell ref="N90:P90"/>
    <mergeCell ref="N92:P92"/>
    <mergeCell ref="N93:P93"/>
    <mergeCell ref="N94:P94"/>
    <mergeCell ref="L73:L83"/>
    <mergeCell ref="M73:M83"/>
    <mergeCell ref="N82:P82"/>
    <mergeCell ref="B99:C99"/>
    <mergeCell ref="N99:P99"/>
    <mergeCell ref="B100:C100"/>
    <mergeCell ref="N100:P100"/>
    <mergeCell ref="B101:C101"/>
    <mergeCell ref="N101:P101"/>
    <mergeCell ref="B96:C96"/>
    <mergeCell ref="N96:P96"/>
    <mergeCell ref="B97:C97"/>
    <mergeCell ref="N97:P97"/>
    <mergeCell ref="B98:C98"/>
    <mergeCell ref="N98:P98"/>
    <mergeCell ref="N115:P115"/>
    <mergeCell ref="N116:P116"/>
    <mergeCell ref="B119:C119"/>
    <mergeCell ref="B113:C113"/>
    <mergeCell ref="B112:C112"/>
    <mergeCell ref="B114:C114"/>
    <mergeCell ref="B115:C115"/>
    <mergeCell ref="B130:C130"/>
    <mergeCell ref="N130:P130"/>
    <mergeCell ref="N117:P117"/>
    <mergeCell ref="B118:C118"/>
    <mergeCell ref="N118:P118"/>
    <mergeCell ref="B120:C120"/>
    <mergeCell ref="N120:P120"/>
    <mergeCell ref="B131:C131"/>
    <mergeCell ref="N131:P131"/>
    <mergeCell ref="B132:C132"/>
    <mergeCell ref="D132:M132"/>
    <mergeCell ref="N132:Z132"/>
    <mergeCell ref="B123:C123"/>
    <mergeCell ref="N123:P123"/>
    <mergeCell ref="B126:C126"/>
    <mergeCell ref="N126:P126"/>
    <mergeCell ref="B129:C129"/>
    <mergeCell ref="N129:P129"/>
    <mergeCell ref="B133:C133"/>
    <mergeCell ref="B134:C134"/>
    <mergeCell ref="B135:C135"/>
    <mergeCell ref="B136:C136"/>
    <mergeCell ref="B137:C137"/>
    <mergeCell ref="B138:C138"/>
    <mergeCell ref="D136:Z138"/>
    <mergeCell ref="B139:C139"/>
    <mergeCell ref="B140:C140"/>
    <mergeCell ref="D133:Z135"/>
    <mergeCell ref="B141:C141"/>
    <mergeCell ref="B142:C142"/>
    <mergeCell ref="B143:C143"/>
    <mergeCell ref="B144:C144"/>
    <mergeCell ref="D139:Z141"/>
    <mergeCell ref="B145:C145"/>
    <mergeCell ref="D145:M147"/>
    <mergeCell ref="N145:Z147"/>
    <mergeCell ref="B146:C146"/>
    <mergeCell ref="B147:C147"/>
    <mergeCell ref="D142:Z144"/>
    <mergeCell ref="B148:C148"/>
    <mergeCell ref="D148:M150"/>
    <mergeCell ref="N148:Z150"/>
    <mergeCell ref="B149:C149"/>
    <mergeCell ref="B150:C150"/>
    <mergeCell ref="B151:C151"/>
    <mergeCell ref="D151:M153"/>
    <mergeCell ref="N151:Z153"/>
    <mergeCell ref="B152:C152"/>
    <mergeCell ref="B153:C153"/>
    <mergeCell ref="B154:C154"/>
    <mergeCell ref="D154:M156"/>
    <mergeCell ref="N154:Z156"/>
    <mergeCell ref="B155:C155"/>
    <mergeCell ref="B156:C156"/>
    <mergeCell ref="B157:C157"/>
    <mergeCell ref="D157:M159"/>
    <mergeCell ref="N157:Z159"/>
    <mergeCell ref="B158:C158"/>
    <mergeCell ref="B159:C159"/>
    <mergeCell ref="B160:C160"/>
    <mergeCell ref="D160:M162"/>
    <mergeCell ref="N160:Z162"/>
    <mergeCell ref="B161:C161"/>
    <mergeCell ref="B162:C162"/>
    <mergeCell ref="B163:C163"/>
    <mergeCell ref="D163:M165"/>
    <mergeCell ref="N163:Z165"/>
    <mergeCell ref="B164:C164"/>
    <mergeCell ref="B165:C165"/>
    <mergeCell ref="B166:C166"/>
    <mergeCell ref="B167:C167"/>
    <mergeCell ref="B168:C168"/>
    <mergeCell ref="D166:Z168"/>
    <mergeCell ref="B169:C169"/>
    <mergeCell ref="B170:C170"/>
    <mergeCell ref="B171:C171"/>
    <mergeCell ref="B172:C172"/>
    <mergeCell ref="D172:M174"/>
    <mergeCell ref="N172:Z174"/>
    <mergeCell ref="B173:C173"/>
    <mergeCell ref="B174:C174"/>
    <mergeCell ref="D169:Z171"/>
    <mergeCell ref="B175:C175"/>
    <mergeCell ref="D175:M177"/>
    <mergeCell ref="N175:Z177"/>
    <mergeCell ref="B176:C176"/>
    <mergeCell ref="B177:C177"/>
    <mergeCell ref="B178:C178"/>
    <mergeCell ref="D178:M180"/>
    <mergeCell ref="N178:Z180"/>
    <mergeCell ref="B179:C179"/>
    <mergeCell ref="B180:C180"/>
  </mergeCells>
  <conditionalFormatting sqref="B34">
    <cfRule type="duplicateValues" dxfId="406" priority="65"/>
  </conditionalFormatting>
  <conditionalFormatting sqref="B35">
    <cfRule type="duplicateValues" dxfId="405" priority="64"/>
  </conditionalFormatting>
  <conditionalFormatting sqref="N35">
    <cfRule type="duplicateValues" dxfId="404" priority="61"/>
  </conditionalFormatting>
  <conditionalFormatting sqref="B36:B59">
    <cfRule type="duplicateValues" dxfId="403" priority="62"/>
  </conditionalFormatting>
  <conditionalFormatting sqref="B37:B59">
    <cfRule type="duplicateValues" dxfId="402" priority="39"/>
  </conditionalFormatting>
  <conditionalFormatting sqref="N98">
    <cfRule type="duplicateValues" dxfId="401" priority="66"/>
    <cfRule type="duplicateValues" dxfId="400" priority="67"/>
  </conditionalFormatting>
  <conditionalFormatting sqref="B101:B104">
    <cfRule type="duplicateValues" dxfId="399" priority="55"/>
  </conditionalFormatting>
  <conditionalFormatting sqref="B108:B111">
    <cfRule type="duplicateValues" dxfId="398" priority="43"/>
    <cfRule type="duplicateValues" dxfId="397" priority="44"/>
    <cfRule type="duplicateValues" dxfId="396" priority="45"/>
  </conditionalFormatting>
  <conditionalFormatting sqref="B110:B111">
    <cfRule type="duplicateValues" dxfId="395" priority="50"/>
    <cfRule type="duplicateValues" dxfId="394" priority="51"/>
    <cfRule type="duplicateValues" dxfId="393" priority="52"/>
  </conditionalFormatting>
  <conditionalFormatting sqref="N110:N130">
    <cfRule type="duplicateValues" dxfId="392" priority="59"/>
    <cfRule type="duplicateValues" dxfId="391" priority="60"/>
  </conditionalFormatting>
  <conditionalFormatting sqref="B34:B59">
    <cfRule type="duplicateValues" dxfId="390" priority="68"/>
  </conditionalFormatting>
  <conditionalFormatting sqref="B35:B59">
    <cfRule type="duplicateValues" dxfId="389" priority="70"/>
  </conditionalFormatting>
  <conditionalFormatting sqref="N34:N59">
    <cfRule type="duplicateValues" dxfId="388" priority="69"/>
  </conditionalFormatting>
  <conditionalFormatting sqref="N37:N59">
    <cfRule type="duplicateValues" dxfId="387" priority="63"/>
  </conditionalFormatting>
  <conditionalFormatting sqref="N98:N113">
    <cfRule type="duplicateValues" dxfId="386" priority="53"/>
    <cfRule type="duplicateValues" dxfId="385" priority="54"/>
  </conditionalFormatting>
  <conditionalFormatting sqref="N105:N113">
    <cfRule type="duplicateValues" dxfId="384" priority="56"/>
    <cfRule type="duplicateValues" dxfId="383" priority="57"/>
  </conditionalFormatting>
  <conditionalFormatting sqref="N105:N113">
    <cfRule type="duplicateValues" dxfId="382" priority="48"/>
    <cfRule type="duplicateValues" dxfId="381" priority="49"/>
  </conditionalFormatting>
  <conditionalFormatting sqref="N105:N130">
    <cfRule type="duplicateValues" dxfId="380" priority="46"/>
    <cfRule type="duplicateValues" dxfId="379" priority="47"/>
  </conditionalFormatting>
  <conditionalFormatting sqref="N62 N65:N95">
    <cfRule type="duplicateValues" dxfId="378" priority="71"/>
    <cfRule type="duplicateValues" dxfId="377" priority="72"/>
    <cfRule type="duplicateValues" dxfId="376" priority="73"/>
  </conditionalFormatting>
  <conditionalFormatting sqref="B118:B119 B110:B111 B122:B130">
    <cfRule type="duplicateValues" dxfId="375" priority="40"/>
    <cfRule type="duplicateValues" dxfId="374" priority="41"/>
    <cfRule type="duplicateValues" dxfId="373" priority="42"/>
  </conditionalFormatting>
  <conditionalFormatting sqref="B18">
    <cfRule type="duplicateValues" dxfId="372" priority="74"/>
  </conditionalFormatting>
  <conditionalFormatting sqref="N106:N113">
    <cfRule type="duplicateValues" dxfId="371" priority="37"/>
    <cfRule type="duplicateValues" dxfId="370" priority="38"/>
  </conditionalFormatting>
  <conditionalFormatting sqref="N107:N125">
    <cfRule type="duplicateValues" dxfId="369" priority="35"/>
    <cfRule type="duplicateValues" dxfId="368" priority="36"/>
  </conditionalFormatting>
  <conditionalFormatting sqref="N118:N121">
    <cfRule type="duplicateValues" dxfId="367" priority="31"/>
    <cfRule type="duplicateValues" dxfId="366" priority="32"/>
  </conditionalFormatting>
  <conditionalFormatting sqref="N118:N121">
    <cfRule type="duplicateValues" dxfId="365" priority="33"/>
    <cfRule type="duplicateValues" dxfId="364" priority="34"/>
  </conditionalFormatting>
  <conditionalFormatting sqref="N118:N121">
    <cfRule type="duplicateValues" dxfId="363" priority="29"/>
    <cfRule type="duplicateValues" dxfId="362" priority="30"/>
  </conditionalFormatting>
  <conditionalFormatting sqref="N118:N121">
    <cfRule type="duplicateValues" dxfId="361" priority="27"/>
    <cfRule type="duplicateValues" dxfId="360" priority="28"/>
  </conditionalFormatting>
  <conditionalFormatting sqref="B111:B117">
    <cfRule type="duplicateValues" dxfId="359" priority="24"/>
  </conditionalFormatting>
  <conditionalFormatting sqref="B116:B117">
    <cfRule type="duplicateValues" dxfId="358" priority="23"/>
  </conditionalFormatting>
  <conditionalFormatting sqref="B117">
    <cfRule type="duplicateValues" dxfId="357" priority="22"/>
  </conditionalFormatting>
  <conditionalFormatting sqref="B116:B117">
    <cfRule type="duplicateValues" dxfId="356" priority="25"/>
    <cfRule type="duplicateValues" dxfId="355" priority="26"/>
  </conditionalFormatting>
  <conditionalFormatting sqref="B116:B117">
    <cfRule type="duplicateValues" dxfId="354" priority="79"/>
  </conditionalFormatting>
  <conditionalFormatting sqref="B103:B106">
    <cfRule type="duplicateValues" dxfId="353" priority="18"/>
  </conditionalFormatting>
  <conditionalFormatting sqref="B103:B106">
    <cfRule type="duplicateValues" dxfId="352" priority="17"/>
  </conditionalFormatting>
  <conditionalFormatting sqref="B103:B106">
    <cfRule type="duplicateValues" dxfId="351" priority="20"/>
    <cfRule type="duplicateValues" dxfId="350" priority="21"/>
  </conditionalFormatting>
  <conditionalFormatting sqref="B103:B106">
    <cfRule type="duplicateValues" dxfId="349" priority="19"/>
  </conditionalFormatting>
  <conditionalFormatting sqref="B98:B103">
    <cfRule type="duplicateValues" dxfId="348" priority="80"/>
  </conditionalFormatting>
  <conditionalFormatting sqref="B108:B111 B98:B104">
    <cfRule type="duplicateValues" dxfId="347" priority="81"/>
    <cfRule type="duplicateValues" dxfId="346" priority="82"/>
  </conditionalFormatting>
  <conditionalFormatting sqref="B108:B111 B98:B104">
    <cfRule type="duplicateValues" dxfId="345" priority="83"/>
  </conditionalFormatting>
  <conditionalFormatting sqref="B105:B111">
    <cfRule type="duplicateValues" dxfId="344" priority="84"/>
    <cfRule type="duplicateValues" dxfId="343" priority="85"/>
    <cfRule type="duplicateValues" dxfId="342" priority="86"/>
  </conditionalFormatting>
  <conditionalFormatting sqref="B120:B121">
    <cfRule type="duplicateValues" dxfId="341" priority="8"/>
    <cfRule type="duplicateValues" dxfId="340" priority="9"/>
    <cfRule type="duplicateValues" dxfId="339" priority="10"/>
  </conditionalFormatting>
  <conditionalFormatting sqref="B120:B121">
    <cfRule type="duplicateValues" dxfId="338" priority="11"/>
    <cfRule type="duplicateValues" dxfId="337" priority="12"/>
  </conditionalFormatting>
  <conditionalFormatting sqref="B120:B121">
    <cfRule type="duplicateValues" dxfId="336" priority="13"/>
  </conditionalFormatting>
  <conditionalFormatting sqref="B120:B121">
    <cfRule type="duplicateValues" dxfId="335" priority="14"/>
    <cfRule type="duplicateValues" dxfId="334" priority="15"/>
    <cfRule type="duplicateValues" dxfId="333" priority="16"/>
  </conditionalFormatting>
  <conditionalFormatting sqref="B14:B17">
    <cfRule type="duplicateValues" dxfId="332" priority="88"/>
  </conditionalFormatting>
  <conditionalFormatting sqref="B6:B12">
    <cfRule type="duplicateValues" dxfId="331" priority="393"/>
  </conditionalFormatting>
  <conditionalFormatting sqref="B21:B32">
    <cfRule type="duplicateValues" dxfId="330" priority="412"/>
  </conditionalFormatting>
  <conditionalFormatting sqref="B20:B32">
    <cfRule type="duplicateValues" dxfId="329" priority="413"/>
  </conditionalFormatting>
  <conditionalFormatting sqref="B19">
    <cfRule type="duplicateValues" dxfId="328" priority="432"/>
  </conditionalFormatting>
  <printOptions horizontalCentered="1" verticalCentered="1"/>
  <pageMargins left="0.19685039370078741" right="0.19685039370078741" top="0.19685039370078741" bottom="0.19685039370078741" header="0.31496062992125984" footer="0.31496062992125984"/>
  <pageSetup paperSize="149" scale="10" fitToHeight="0" orientation="landscape" horizontalDpi="360" verticalDpi="360" r:id="rId1"/>
  <rowBreaks count="7" manualBreakCount="7">
    <brk id="17" max="25" man="1"/>
    <brk id="32" max="25" man="1"/>
    <brk id="60" max="25" man="1"/>
    <brk id="96" max="25" man="1"/>
    <brk id="131" max="16383" man="1"/>
    <brk id="159" max="25" man="1"/>
    <brk id="174" max="2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8D351-135A-4E71-8318-BD7E28A4161F}">
  <dimension ref="A1:AZ216"/>
  <sheetViews>
    <sheetView workbookViewId="0"/>
  </sheetViews>
  <sheetFormatPr defaultColWidth="9" defaultRowHeight="32.5" x14ac:dyDescent="0.25"/>
  <cols>
    <col min="1" max="1" width="26.453125" style="128" customWidth="1"/>
    <col min="2" max="3" width="93.81640625" style="128" customWidth="1"/>
    <col min="4" max="4" width="55.54296875" style="128" customWidth="1"/>
    <col min="5" max="5" width="71.90625" style="132" customWidth="1"/>
    <col min="6" max="7" width="55.54296875" style="132" customWidth="1"/>
    <col min="8" max="8" width="73.7265625" style="132" customWidth="1"/>
    <col min="9" max="13" width="55.54296875" style="128" customWidth="1"/>
    <col min="14" max="16" width="81.08984375" style="128" customWidth="1"/>
    <col min="17" max="18" width="58.26953125" style="128" customWidth="1"/>
    <col min="19" max="19" width="94.6328125" style="128" customWidth="1"/>
    <col min="20" max="22" width="58.26953125" style="128" customWidth="1"/>
    <col min="23" max="25" width="58.26953125" style="132" customWidth="1"/>
    <col min="26" max="26" width="58.26953125" style="128" customWidth="1"/>
    <col min="27" max="36" width="9" style="128"/>
    <col min="37" max="37" width="8.7265625" style="128" customWidth="1"/>
    <col min="38" max="16384" width="9" style="128"/>
  </cols>
  <sheetData>
    <row r="1" spans="1:26" ht="88.5" x14ac:dyDescent="0.25">
      <c r="B1" s="1087" t="s">
        <v>539</v>
      </c>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9"/>
    </row>
    <row r="2" spans="1:26" ht="89" thickBot="1" x14ac:dyDescent="0.3">
      <c r="B2" s="1090" t="s">
        <v>551</v>
      </c>
      <c r="C2" s="1091"/>
      <c r="D2" s="1091"/>
      <c r="E2" s="1091"/>
      <c r="F2" s="1091"/>
      <c r="G2" s="1091"/>
      <c r="H2" s="1091"/>
      <c r="I2" s="1091"/>
      <c r="J2" s="1091"/>
      <c r="K2" s="1091"/>
      <c r="L2" s="1137"/>
      <c r="M2" s="1137"/>
      <c r="N2" s="1137"/>
      <c r="O2" s="1091"/>
      <c r="P2" s="1091"/>
      <c r="Q2" s="1091"/>
      <c r="R2" s="1091"/>
      <c r="S2" s="1091"/>
      <c r="T2" s="1091"/>
      <c r="U2" s="1091"/>
      <c r="V2" s="1091"/>
      <c r="W2" s="1091"/>
      <c r="X2" s="1091"/>
      <c r="Y2" s="1091"/>
      <c r="Z2" s="1092"/>
    </row>
    <row r="3" spans="1:26" s="129" customFormat="1" ht="158.5" customHeight="1" x14ac:dyDescent="0.25">
      <c r="B3" s="1093" t="s">
        <v>38</v>
      </c>
      <c r="C3" s="1070"/>
      <c r="D3" s="1071" t="s">
        <v>39</v>
      </c>
      <c r="E3" s="1071" t="s">
        <v>32</v>
      </c>
      <c r="F3" s="1094" t="s">
        <v>11</v>
      </c>
      <c r="G3" s="1070"/>
      <c r="H3" s="1071" t="s">
        <v>59</v>
      </c>
      <c r="I3" s="1071" t="s">
        <v>21</v>
      </c>
      <c r="J3" s="1095" t="s">
        <v>9</v>
      </c>
      <c r="K3" s="1138"/>
      <c r="L3" s="1136" t="s">
        <v>8</v>
      </c>
      <c r="M3" s="1136"/>
      <c r="N3" s="1136" t="s">
        <v>7</v>
      </c>
      <c r="O3" s="1070" t="s">
        <v>36</v>
      </c>
      <c r="P3" s="1071" t="s">
        <v>37</v>
      </c>
      <c r="Q3" s="1071" t="s">
        <v>45</v>
      </c>
      <c r="R3" s="1071" t="s">
        <v>10</v>
      </c>
      <c r="S3" s="1071" t="s">
        <v>62</v>
      </c>
      <c r="T3" s="1094" t="s">
        <v>35</v>
      </c>
      <c r="U3" s="1070"/>
      <c r="V3" s="1094" t="s">
        <v>60</v>
      </c>
      <c r="W3" s="1094" t="s">
        <v>61</v>
      </c>
      <c r="X3" s="1095" t="s">
        <v>63</v>
      </c>
      <c r="Y3" s="1096"/>
      <c r="Z3" s="1099" t="s">
        <v>43</v>
      </c>
    </row>
    <row r="4" spans="1:26" s="129" customFormat="1" ht="158.5" customHeight="1" x14ac:dyDescent="0.25">
      <c r="B4" s="1093"/>
      <c r="C4" s="1070"/>
      <c r="D4" s="1071"/>
      <c r="E4" s="1071"/>
      <c r="F4" s="1094"/>
      <c r="G4" s="1070"/>
      <c r="H4" s="1071"/>
      <c r="I4" s="1071"/>
      <c r="J4" s="1097"/>
      <c r="K4" s="1139"/>
      <c r="L4" s="1136"/>
      <c r="M4" s="1136"/>
      <c r="N4" s="1136"/>
      <c r="O4" s="1070"/>
      <c r="P4" s="1071"/>
      <c r="Q4" s="1071"/>
      <c r="R4" s="1071"/>
      <c r="S4" s="1071"/>
      <c r="T4" s="1094"/>
      <c r="U4" s="1070"/>
      <c r="V4" s="1094"/>
      <c r="W4" s="1094"/>
      <c r="X4" s="1097"/>
      <c r="Y4" s="1098"/>
      <c r="Z4" s="1099"/>
    </row>
    <row r="5" spans="1:26" ht="90" x14ac:dyDescent="0.25">
      <c r="B5" s="1067" t="s">
        <v>26</v>
      </c>
      <c r="C5" s="1068"/>
      <c r="D5" s="1068"/>
      <c r="E5" s="1068"/>
      <c r="F5" s="1068"/>
      <c r="G5" s="1068"/>
      <c r="H5" s="1068"/>
      <c r="I5" s="1068"/>
      <c r="J5" s="1068"/>
      <c r="K5" s="1068"/>
      <c r="L5" s="1068"/>
      <c r="M5" s="1068"/>
      <c r="N5" s="1068"/>
      <c r="O5" s="1068"/>
      <c r="P5" s="1068"/>
      <c r="Q5" s="1068"/>
      <c r="R5" s="1068"/>
      <c r="S5" s="1068"/>
      <c r="T5" s="1068"/>
      <c r="U5" s="1068"/>
      <c r="V5" s="1068"/>
      <c r="W5" s="1068"/>
      <c r="X5" s="1068"/>
      <c r="Y5" s="1068"/>
      <c r="Z5" s="1069"/>
    </row>
    <row r="6" spans="1:26" s="350" customFormat="1" ht="368" x14ac:dyDescent="0.25">
      <c r="B6" s="1085" t="str">
        <f>input!C63</f>
        <v>LUCKY F. GERONILLA</v>
      </c>
      <c r="C6" s="1086"/>
      <c r="D6" s="305">
        <f>input!D63</f>
        <v>9927</v>
      </c>
      <c r="E6" s="305" t="str">
        <f>input!E63</f>
        <v>Grade Application Analyst</v>
      </c>
      <c r="F6" s="1077" t="str">
        <f>input!F63</f>
        <v>Occupational Illness / Pain</v>
      </c>
      <c r="G6" s="1078"/>
      <c r="H6" s="305" t="str">
        <f>input!G63</f>
        <v>Nayak Mine Office Compound</v>
      </c>
      <c r="I6" s="305" t="str">
        <f>input!H63</f>
        <v>S (N/A)</v>
      </c>
      <c r="J6" s="1079">
        <f>input!I63</f>
        <v>46113</v>
      </c>
      <c r="K6" s="1080"/>
      <c r="L6" s="1126">
        <f>input!J63</f>
        <v>0.2951388888888889</v>
      </c>
      <c r="M6" s="1126"/>
      <c r="N6" s="392" t="str">
        <f>input!K63</f>
        <v>Second</v>
      </c>
      <c r="O6" s="352" t="str">
        <f>input!L63</f>
        <v>Kurt Linis Ljomir Ursua</v>
      </c>
      <c r="P6" s="352" t="str">
        <f>input!M63</f>
        <v>Keziah C. Chamollog</v>
      </c>
      <c r="Q6" s="352" t="str">
        <f>input!N63</f>
        <v>Mark D. Banasan</v>
      </c>
      <c r="R6" s="352" t="str">
        <f>input!O63</f>
        <v>OI</v>
      </c>
      <c r="S6" s="352" t="str">
        <f>input!P63</f>
        <v>Outgoing : Running in an attempt to ride the bus.</v>
      </c>
      <c r="T6" s="1083" t="str">
        <f>input!Q63</f>
        <v>AOV / MAT / WDL</v>
      </c>
      <c r="U6" s="1084"/>
      <c r="V6" s="305" t="str">
        <f>input!R63</f>
        <v>MEGG</v>
      </c>
      <c r="W6" s="305" t="str">
        <f>input!S63</f>
        <v>Mine Geology</v>
      </c>
      <c r="X6" s="1077" t="str">
        <f>input!T63</f>
        <v>Mine Resource and Ore Reserves</v>
      </c>
      <c r="Y6" s="1078"/>
      <c r="Z6" s="353" t="str">
        <f>input!U63</f>
        <v>KTA</v>
      </c>
    </row>
    <row r="7" spans="1:26" s="350" customFormat="1" ht="276" customHeight="1" x14ac:dyDescent="0.25">
      <c r="B7" s="1085" t="str">
        <f>input!C64</f>
        <v>RUBEN C. MIANA</v>
      </c>
      <c r="C7" s="1086"/>
      <c r="D7" s="305">
        <f>input!D64</f>
        <v>7241</v>
      </c>
      <c r="E7" s="305" t="str">
        <f>input!E64</f>
        <v>Locomotive Optr. / Helper</v>
      </c>
      <c r="F7" s="1077" t="str">
        <f>input!F64</f>
        <v>Occupational Illness / Pain</v>
      </c>
      <c r="G7" s="1078"/>
      <c r="H7" s="305" t="str">
        <f>input!G64</f>
        <v>Mainline / Access</v>
      </c>
      <c r="I7" s="305" t="str">
        <f>input!H64</f>
        <v>900L</v>
      </c>
      <c r="J7" s="1079">
        <f>input!I64</f>
        <v>46116</v>
      </c>
      <c r="K7" s="1080"/>
      <c r="L7" s="1126">
        <f>input!J64</f>
        <v>0.75</v>
      </c>
      <c r="M7" s="1126"/>
      <c r="N7" s="392" t="str">
        <f>input!K64</f>
        <v>Third</v>
      </c>
      <c r="O7" s="352" t="str">
        <f>input!L64</f>
        <v>Jayson T. Capia-ao</v>
      </c>
      <c r="P7" s="352" t="str">
        <f>input!M64</f>
        <v>Randolf O. Anongos</v>
      </c>
      <c r="Q7" s="352" t="str">
        <f>input!N64</f>
        <v>Silvestre L. Miguel</v>
      </c>
      <c r="R7" s="352" t="str">
        <f>input!O64</f>
        <v>OI</v>
      </c>
      <c r="S7" s="352" t="str">
        <f>input!P64</f>
        <v>Cutting of trabessa along 6KB</v>
      </c>
      <c r="T7" s="1083" t="str">
        <f>input!Q64</f>
        <v>ENC / WLT / FPP</v>
      </c>
      <c r="U7" s="1084"/>
      <c r="V7" s="305" t="str">
        <f>input!R64</f>
        <v>MOG</v>
      </c>
      <c r="W7" s="305" t="str">
        <f>input!S64</f>
        <v>GMS</v>
      </c>
      <c r="X7" s="1077" t="str">
        <f>input!T64</f>
        <v>Main Haulage / Drift &amp; Track Maintenance</v>
      </c>
      <c r="Y7" s="1078"/>
      <c r="Z7" s="353" t="str">
        <f>input!U64</f>
        <v>KTA</v>
      </c>
    </row>
    <row r="8" spans="1:26" s="350" customFormat="1" ht="276" customHeight="1" x14ac:dyDescent="0.25">
      <c r="B8" s="1085" t="str">
        <f>input!C65</f>
        <v>BAGNI G. DOMONGIT</v>
      </c>
      <c r="C8" s="1086"/>
      <c r="D8" s="305">
        <f>input!D65</f>
        <v>1133</v>
      </c>
      <c r="E8" s="305" t="str">
        <f>input!E65</f>
        <v>QA/QC Aide</v>
      </c>
      <c r="F8" s="1077" t="str">
        <f>input!F65</f>
        <v>Occupational Illness / Pain</v>
      </c>
      <c r="G8" s="1078"/>
      <c r="H8" s="305" t="str">
        <f>input!G65</f>
        <v>Stope</v>
      </c>
      <c r="I8" s="305" t="str">
        <f>input!H65</f>
        <v>900L</v>
      </c>
      <c r="J8" s="1079">
        <f>input!I65</f>
        <v>46120</v>
      </c>
      <c r="K8" s="1080"/>
      <c r="L8" s="1126">
        <f>input!J65</f>
        <v>0.3888888888888889</v>
      </c>
      <c r="M8" s="1126"/>
      <c r="N8" s="392" t="str">
        <f>input!K65</f>
        <v>Second</v>
      </c>
      <c r="O8" s="352" t="str">
        <f>input!L65</f>
        <v>Kurt Linis Ljomir Ursua</v>
      </c>
      <c r="P8" s="352" t="str">
        <f>input!M65</f>
        <v>Bullet P. Tangcalagan</v>
      </c>
      <c r="Q8" s="352" t="str">
        <f>input!N65</f>
        <v>Sandro Daniel G. Cababa</v>
      </c>
      <c r="R8" s="352" t="str">
        <f>input!O65</f>
        <v>OI</v>
      </c>
      <c r="S8" s="352" t="str">
        <f>input!P65</f>
        <v>To conduct sampling activity along Section 1</v>
      </c>
      <c r="T8" s="1083" t="str">
        <f>input!Q65</f>
        <v>AOV / MAT</v>
      </c>
      <c r="U8" s="1084"/>
      <c r="V8" s="305" t="str">
        <f>input!R65</f>
        <v>MEGG</v>
      </c>
      <c r="W8" s="305" t="str">
        <f>input!S65</f>
        <v>Mine Geology</v>
      </c>
      <c r="X8" s="1077" t="str">
        <f>input!T65</f>
        <v>Mine Geology Operations</v>
      </c>
      <c r="Y8" s="1078"/>
      <c r="Z8" s="353" t="str">
        <f>input!U65</f>
        <v>KTA</v>
      </c>
    </row>
    <row r="9" spans="1:26" s="350" customFormat="1" ht="276" customHeight="1" x14ac:dyDescent="0.25">
      <c r="B9" s="1085" t="str">
        <f>input!C66</f>
        <v>GASPAR T. BANGGUIYAO JR.</v>
      </c>
      <c r="C9" s="1086"/>
      <c r="D9" s="305">
        <f>input!D66</f>
        <v>7081</v>
      </c>
      <c r="E9" s="305" t="str">
        <f>input!E66</f>
        <v>Maintenance Man (MMME)</v>
      </c>
      <c r="F9" s="1077" t="str">
        <f>input!F66</f>
        <v>Struck by Falling Rock</v>
      </c>
      <c r="G9" s="1078"/>
      <c r="H9" s="305" t="str">
        <f>input!G66</f>
        <v>Rock Drill Shop</v>
      </c>
      <c r="I9" s="305" t="str">
        <f>input!H66</f>
        <v>1150L</v>
      </c>
      <c r="J9" s="1079">
        <f>input!I66</f>
        <v>46120</v>
      </c>
      <c r="K9" s="1080"/>
      <c r="L9" s="1126">
        <f>input!J66</f>
        <v>0.66180555555555554</v>
      </c>
      <c r="M9" s="1126"/>
      <c r="N9" s="392" t="str">
        <f>input!K66</f>
        <v>Third</v>
      </c>
      <c r="O9" s="352" t="str">
        <f>input!L66</f>
        <v>Fernando A. Bustillo Jr.</v>
      </c>
      <c r="P9" s="352" t="str">
        <f>input!M66</f>
        <v>Alfon B. Yodong</v>
      </c>
      <c r="Q9" s="352" t="str">
        <f>input!N66</f>
        <v>Arthur M. Padica</v>
      </c>
      <c r="R9" s="352" t="str">
        <f>input!O66</f>
        <v>FAC</v>
      </c>
      <c r="S9" s="352" t="str">
        <f>input!P66</f>
        <v>Manual handling of an LHD tire</v>
      </c>
      <c r="T9" s="1083" t="str">
        <f>input!Q66</f>
        <v>JAW</v>
      </c>
      <c r="U9" s="1084"/>
      <c r="V9" s="305" t="str">
        <f>input!R66</f>
        <v>MOG</v>
      </c>
      <c r="W9" s="305" t="str">
        <f>input!S66</f>
        <v>MMME</v>
      </c>
      <c r="X9" s="1077" t="str">
        <f>input!T66</f>
        <v>Mobile</v>
      </c>
      <c r="Y9" s="1078"/>
      <c r="Z9" s="353" t="str">
        <f>input!U66</f>
        <v>KTA</v>
      </c>
    </row>
    <row r="10" spans="1:26" s="350" customFormat="1" ht="344.5" customHeight="1" x14ac:dyDescent="0.25">
      <c r="B10" s="1085" t="str">
        <f>input!C67</f>
        <v>FELIPE A. DIWAG</v>
      </c>
      <c r="C10" s="1086"/>
      <c r="D10" s="305">
        <f>input!D67</f>
        <v>1942</v>
      </c>
      <c r="E10" s="305" t="str">
        <f>input!E67</f>
        <v>Locomotive Optr. / Helper</v>
      </c>
      <c r="F10" s="1077" t="str">
        <f>input!F67</f>
        <v>Struck by Object</v>
      </c>
      <c r="G10" s="1078"/>
      <c r="H10" s="305" t="str">
        <f>input!G67</f>
        <v>Mainline / Access</v>
      </c>
      <c r="I10" s="305" t="str">
        <f>input!H67</f>
        <v>900L</v>
      </c>
      <c r="J10" s="1079">
        <f>input!I67</f>
        <v>46124</v>
      </c>
      <c r="K10" s="1080"/>
      <c r="L10" s="1126">
        <f>input!J67</f>
        <v>0.17361111111111113</v>
      </c>
      <c r="M10" s="1126"/>
      <c r="N10" s="392" t="str">
        <f>input!K67</f>
        <v>First</v>
      </c>
      <c r="O10" s="352" t="str">
        <f>input!L67</f>
        <v>Jayson T. Capia-ao</v>
      </c>
      <c r="P10" s="352" t="str">
        <f>input!M67</f>
        <v>Randolf O. Anongos</v>
      </c>
      <c r="Q10" s="352" t="str">
        <f>input!N67</f>
        <v>Antonio D. Siyao</v>
      </c>
      <c r="R10" s="352" t="str">
        <f>input!O67</f>
        <v>FAC</v>
      </c>
      <c r="S10" s="352" t="str">
        <f>input!P67</f>
        <v>Traversing the access of 900L while operating the Locomotive</v>
      </c>
      <c r="T10" s="1083" t="str">
        <f>input!Q67</f>
        <v>FPP</v>
      </c>
      <c r="U10" s="1084"/>
      <c r="V10" s="305" t="str">
        <f>input!R67</f>
        <v>MOG</v>
      </c>
      <c r="W10" s="305" t="str">
        <f>input!S67</f>
        <v>GMS</v>
      </c>
      <c r="X10" s="1077" t="str">
        <f>input!T67</f>
        <v>Main Haulage / Drift &amp; Track Maintenance</v>
      </c>
      <c r="Y10" s="1078"/>
      <c r="Z10" s="353" t="str">
        <f>input!U67</f>
        <v>KTA</v>
      </c>
    </row>
    <row r="11" spans="1:26" s="350" customFormat="1" ht="276" customHeight="1" x14ac:dyDescent="0.25">
      <c r="B11" s="1085" t="str">
        <f>input!C68</f>
        <v>LEONITO PEROLINO</v>
      </c>
      <c r="C11" s="1086"/>
      <c r="D11" s="305" t="str">
        <f>input!D68</f>
        <v>N/A - Contracts</v>
      </c>
      <c r="E11" s="305" t="str">
        <f>input!E68</f>
        <v>Drill Helper / Drilling Aide</v>
      </c>
      <c r="F11" s="1077" t="str">
        <f>input!F68</f>
        <v>Struck by Object</v>
      </c>
      <c r="G11" s="1078"/>
      <c r="H11" s="305" t="str">
        <f>input!G68</f>
        <v>Cuddy</v>
      </c>
      <c r="I11" s="305" t="str">
        <f>input!H68</f>
        <v>800L</v>
      </c>
      <c r="J11" s="1079">
        <f>input!I68</f>
        <v>46126</v>
      </c>
      <c r="K11" s="1080"/>
      <c r="L11" s="1126">
        <f>input!J68</f>
        <v>0.44444444444444442</v>
      </c>
      <c r="M11" s="1126"/>
      <c r="N11" s="392" t="str">
        <f>input!K68</f>
        <v>Second</v>
      </c>
      <c r="O11" s="352" t="str">
        <f>input!L68</f>
        <v>DDCP - A.R. Domalsin</v>
      </c>
      <c r="P11" s="352" t="str">
        <f>input!M68</f>
        <v>N/A</v>
      </c>
      <c r="Q11" s="352" t="str">
        <f>input!N68</f>
        <v>DDCP - Allan Kitma</v>
      </c>
      <c r="R11" s="352" t="str">
        <f>input!O68</f>
        <v>FAC</v>
      </c>
      <c r="S11" s="352" t="str">
        <f>input!P68</f>
        <v>Jarring and pulling out of rods</v>
      </c>
      <c r="T11" s="1083" t="str">
        <f>input!Q68</f>
        <v>AOV / MAT / JAW / SAU / WLT</v>
      </c>
      <c r="U11" s="1084"/>
      <c r="V11" s="305" t="str">
        <f>input!R68</f>
        <v>Contracts</v>
      </c>
      <c r="W11" s="305" t="str">
        <f>input!S68</f>
        <v>DDCP</v>
      </c>
      <c r="X11" s="1077" t="str">
        <f>input!T68</f>
        <v>Section 6</v>
      </c>
      <c r="Y11" s="1078"/>
      <c r="Z11" s="353" t="str">
        <f>input!U68</f>
        <v>KTA</v>
      </c>
    </row>
    <row r="12" spans="1:26" s="350" customFormat="1" ht="276" customHeight="1" x14ac:dyDescent="0.25">
      <c r="B12" s="1085" t="str">
        <f>input!C69</f>
        <v>JERON P. MEDRANO</v>
      </c>
      <c r="C12" s="1086"/>
      <c r="D12" s="305">
        <f>input!D69</f>
        <v>8486</v>
      </c>
      <c r="E12" s="305" t="str">
        <f>input!E69</f>
        <v>Assistant Miner</v>
      </c>
      <c r="F12" s="1077" t="str">
        <f>input!F69</f>
        <v>Occupational Illness / Pain</v>
      </c>
      <c r="G12" s="1078"/>
      <c r="H12" s="305" t="str">
        <f>input!G69</f>
        <v>Mainline / Access</v>
      </c>
      <c r="I12" s="305" t="str">
        <f>input!H69</f>
        <v>970L</v>
      </c>
      <c r="J12" s="1079">
        <f>input!I69</f>
        <v>46133</v>
      </c>
      <c r="K12" s="1080"/>
      <c r="L12" s="1126">
        <f>input!J69</f>
        <v>0.42708333333333331</v>
      </c>
      <c r="M12" s="1126"/>
      <c r="N12" s="392" t="str">
        <f>input!K69</f>
        <v>Second</v>
      </c>
      <c r="O12" s="352" t="str">
        <f>input!L69</f>
        <v>Venancio A. Bad-ay</v>
      </c>
      <c r="P12" s="352" t="str">
        <f>input!M69</f>
        <v>Mariel T. Ayong</v>
      </c>
      <c r="Q12" s="304" t="str">
        <f>input!N69</f>
        <v>N/A</v>
      </c>
      <c r="R12" s="352" t="str">
        <f>input!O69</f>
        <v>OI</v>
      </c>
      <c r="S12" s="352" t="str">
        <f>input!P69</f>
        <v>Barring Down</v>
      </c>
      <c r="T12" s="1083" t="str">
        <f>input!Q69</f>
        <v>AOV / MAT / WDL</v>
      </c>
      <c r="U12" s="1084"/>
      <c r="V12" s="305" t="str">
        <f>input!R69</f>
        <v>MOG</v>
      </c>
      <c r="W12" s="305" t="str">
        <f>input!S69</f>
        <v>Dept. 1</v>
      </c>
      <c r="X12" s="1077" t="str">
        <f>input!T69</f>
        <v>Section 2</v>
      </c>
      <c r="Y12" s="1078"/>
      <c r="Z12" s="353" t="str">
        <f>input!U69</f>
        <v>KTA</v>
      </c>
    </row>
    <row r="13" spans="1:26" s="350" customFormat="1" ht="276" customHeight="1" x14ac:dyDescent="0.25">
      <c r="B13" s="1085" t="str">
        <f>input!C70</f>
        <v>JOSEPH A. BANTIYAG</v>
      </c>
      <c r="C13" s="1086"/>
      <c r="D13" s="305">
        <f>input!D70</f>
        <v>1171</v>
      </c>
      <c r="E13" s="305" t="str">
        <f>input!E70</f>
        <v>Lead Miner</v>
      </c>
      <c r="F13" s="1077" t="str">
        <f>input!F70</f>
        <v>Struck by Falling Rock</v>
      </c>
      <c r="G13" s="1078"/>
      <c r="H13" s="305" t="str">
        <f>input!G70</f>
        <v>Mainline / Access</v>
      </c>
      <c r="I13" s="305" t="str">
        <f>input!H70</f>
        <v>1150L</v>
      </c>
      <c r="J13" s="1079">
        <f>input!I70</f>
        <v>46134</v>
      </c>
      <c r="K13" s="1080"/>
      <c r="L13" s="1126">
        <f>input!J70</f>
        <v>6.25E-2</v>
      </c>
      <c r="M13" s="1126"/>
      <c r="N13" s="392" t="str">
        <f>input!K70</f>
        <v>First</v>
      </c>
      <c r="O13" s="352" t="str">
        <f>input!L70</f>
        <v>Hilbert G. Andong</v>
      </c>
      <c r="P13" s="352" t="str">
        <f>input!M70</f>
        <v>Allab B. Lal-wet</v>
      </c>
      <c r="Q13" s="304" t="str">
        <f>input!N70</f>
        <v>Wincy C. Awingan</v>
      </c>
      <c r="R13" s="352" t="str">
        <f>input!O70</f>
        <v>FAC</v>
      </c>
      <c r="S13" s="352" t="str">
        <f>input!P70</f>
        <v>Blast Holes Driiling</v>
      </c>
      <c r="T13" s="1083" t="str">
        <f>input!Q70</f>
        <v>JAW / SAU</v>
      </c>
      <c r="U13" s="1084"/>
      <c r="V13" s="305" t="str">
        <f>input!R70</f>
        <v>MOG</v>
      </c>
      <c r="W13" s="305" t="str">
        <f>input!S70</f>
        <v>Dept. 2</v>
      </c>
      <c r="X13" s="1077" t="str">
        <f>input!T70</f>
        <v>Section 4</v>
      </c>
      <c r="Y13" s="1078"/>
      <c r="Z13" s="353" t="str">
        <f>input!U70</f>
        <v>KTA</v>
      </c>
    </row>
    <row r="14" spans="1:26" s="350" customFormat="1" ht="276" customHeight="1" x14ac:dyDescent="0.25">
      <c r="B14" s="1085" t="str">
        <f>input!C71</f>
        <v>EDWARD P. DAPIDAP</v>
      </c>
      <c r="C14" s="1086"/>
      <c r="D14" s="305">
        <f>input!D71</f>
        <v>7665</v>
      </c>
      <c r="E14" s="305" t="str">
        <f>input!E71</f>
        <v>Locomotive Optr. / Helper</v>
      </c>
      <c r="F14" s="1077" t="str">
        <f>input!F71</f>
        <v>Fall on Same Level</v>
      </c>
      <c r="G14" s="1078"/>
      <c r="H14" s="305" t="str">
        <f>input!G71</f>
        <v>Old Traffic Area / Junction</v>
      </c>
      <c r="I14" s="305" t="str">
        <f>input!H71</f>
        <v>900L</v>
      </c>
      <c r="J14" s="1079" t="str">
        <f>input!I71</f>
        <v>April 4, 2026</v>
      </c>
      <c r="K14" s="1080"/>
      <c r="L14" s="1126">
        <f>input!J71</f>
        <v>6.25E-2</v>
      </c>
      <c r="M14" s="1126"/>
      <c r="N14" s="392" t="str">
        <f>input!K71</f>
        <v>First</v>
      </c>
      <c r="O14" s="352" t="str">
        <f>input!L71</f>
        <v>Jayson T. Capia-ao</v>
      </c>
      <c r="P14" s="352" t="str">
        <f>input!M71</f>
        <v>Randolf O. Anongos</v>
      </c>
      <c r="Q14" s="352" t="str">
        <f>input!N71</f>
        <v>N/A</v>
      </c>
      <c r="R14" s="352" t="str">
        <f>input!O71</f>
        <v>FAC</v>
      </c>
      <c r="S14" s="352" t="str">
        <f>input!P71</f>
        <v>Hand Mucking</v>
      </c>
      <c r="T14" s="1083" t="str">
        <f>input!Q71</f>
        <v>N/A</v>
      </c>
      <c r="U14" s="1084"/>
      <c r="V14" s="305" t="str">
        <f>input!R71</f>
        <v>MOG</v>
      </c>
      <c r="W14" s="305" t="str">
        <f>input!S71</f>
        <v>GMS</v>
      </c>
      <c r="X14" s="1077" t="str">
        <f>input!T71</f>
        <v>Main Haulage / Drift &amp; Track Maintenance</v>
      </c>
      <c r="Y14" s="1078"/>
      <c r="Z14" s="353" t="str">
        <f>input!U71</f>
        <v>KTA</v>
      </c>
    </row>
    <row r="15" spans="1:26" ht="90" x14ac:dyDescent="0.25">
      <c r="B15" s="1072" t="s">
        <v>51</v>
      </c>
      <c r="C15" s="1073"/>
      <c r="D15" s="1073"/>
      <c r="E15" s="1073"/>
      <c r="F15" s="1073"/>
      <c r="G15" s="1073"/>
      <c r="H15" s="1073"/>
      <c r="I15" s="1073"/>
      <c r="J15" s="1073"/>
      <c r="K15" s="1073"/>
      <c r="L15" s="1073"/>
      <c r="M15" s="1073"/>
      <c r="N15" s="1073"/>
      <c r="O15" s="1073"/>
      <c r="P15" s="1073"/>
      <c r="Q15" s="1073"/>
      <c r="R15" s="1073"/>
      <c r="S15" s="1073"/>
      <c r="T15" s="1073"/>
      <c r="U15" s="1073"/>
      <c r="V15" s="1073"/>
      <c r="W15" s="1073"/>
      <c r="X15" s="1073"/>
      <c r="Y15" s="1073"/>
      <c r="Z15" s="1074"/>
    </row>
    <row r="16" spans="1:26" ht="177" customHeight="1" x14ac:dyDescent="0.25">
      <c r="A16" s="350"/>
      <c r="B16" s="1075" t="str">
        <f>input!C72</f>
        <v>JOHN WAYNE L. TUDLONG; JAY-AR B. BANASAN</v>
      </c>
      <c r="C16" s="1076"/>
      <c r="D16" s="305" t="str">
        <f>input!D72</f>
        <v>8627; 0063</v>
      </c>
      <c r="E16" s="305" t="str">
        <f>input!E72</f>
        <v>Mill Mechanical Fitter</v>
      </c>
      <c r="F16" s="1077" t="str">
        <f>input!F72</f>
        <v>Caught on</v>
      </c>
      <c r="G16" s="1078"/>
      <c r="H16" s="305" t="str">
        <f>input!G72</f>
        <v>Crushing Area</v>
      </c>
      <c r="I16" s="305" t="str">
        <f>input!H72</f>
        <v>S (N/A)</v>
      </c>
      <c r="J16" s="1079" t="str">
        <f>input!I72</f>
        <v>April 6, 2026</v>
      </c>
      <c r="K16" s="1080"/>
      <c r="L16" s="1126">
        <f>input!J72</f>
        <v>0.4375</v>
      </c>
      <c r="M16" s="1126"/>
      <c r="N16" s="392" t="str">
        <f>input!K72</f>
        <v>Second</v>
      </c>
      <c r="O16" s="351" t="str">
        <f>input!L72</f>
        <v>Abraham L. Davis</v>
      </c>
      <c r="P16" s="351" t="str">
        <f>input!M72</f>
        <v>Julius K. Finatec</v>
      </c>
      <c r="Q16" s="351" t="str">
        <f>input!N72</f>
        <v>N/A</v>
      </c>
      <c r="R16" s="351" t="str">
        <f>input!O72</f>
        <v>NM</v>
      </c>
      <c r="S16" s="351" t="str">
        <f>input!P72</f>
        <v>Hot works: Welding at Crushing area</v>
      </c>
      <c r="T16" s="1083" t="str">
        <f>input!Q72</f>
        <v>RML / MBK</v>
      </c>
      <c r="U16" s="1084"/>
      <c r="V16" s="305" t="str">
        <f>input!R72</f>
        <v>MPG</v>
      </c>
      <c r="W16" s="305" t="str">
        <f>input!S72</f>
        <v>Mill Engineering</v>
      </c>
      <c r="X16" s="1077" t="str">
        <f>input!T72</f>
        <v>Mill Projects</v>
      </c>
      <c r="Y16" s="1078"/>
      <c r="Z16" s="353" t="str">
        <f>input!U72</f>
        <v>KTA</v>
      </c>
    </row>
    <row r="17" spans="1:26" s="415" customFormat="1" ht="177" customHeight="1" x14ac:dyDescent="0.25">
      <c r="A17" s="409"/>
      <c r="B17" s="1144" t="str">
        <f>input!C76</f>
        <v>SANDY A. SAD-AYAN</v>
      </c>
      <c r="C17" s="1145"/>
      <c r="D17" s="410">
        <f>input!D76</f>
        <v>9954</v>
      </c>
      <c r="E17" s="410" t="str">
        <f>input!E76</f>
        <v>Mill Mechanical Fitter</v>
      </c>
      <c r="F17" s="1142" t="str">
        <f>input!F76</f>
        <v>Fall on Same Level</v>
      </c>
      <c r="G17" s="1143"/>
      <c r="H17" s="410" t="str">
        <f>input!G76</f>
        <v>Boiler Room Extension</v>
      </c>
      <c r="I17" s="410" t="str">
        <f>input!H76</f>
        <v>S (N/A)</v>
      </c>
      <c r="J17" s="1146" t="str">
        <f>input!I76</f>
        <v>April 28, 2026</v>
      </c>
      <c r="K17" s="1147"/>
      <c r="L17" s="1148">
        <f>input!J76</f>
        <v>0.44444444444444442</v>
      </c>
      <c r="M17" s="1148"/>
      <c r="N17" s="411" t="str">
        <f>input!K76</f>
        <v>Second</v>
      </c>
      <c r="O17" s="412" t="str">
        <f>input!L76</f>
        <v>Abraham L. Davis</v>
      </c>
      <c r="P17" s="412" t="str">
        <f>input!M76</f>
        <v>Julius K. Finatec</v>
      </c>
      <c r="Q17" s="412" t="str">
        <f>input!N76</f>
        <v>N/A</v>
      </c>
      <c r="R17" s="413" t="str">
        <f>input!O76</f>
        <v>LTA-NF</v>
      </c>
      <c r="S17" s="412" t="str">
        <f>input!P76</f>
        <v>Window panel installation</v>
      </c>
      <c r="T17" s="1140" t="str">
        <f>input!Q76</f>
        <v>ENC / RML</v>
      </c>
      <c r="U17" s="1141"/>
      <c r="V17" s="410" t="str">
        <f>input!R76</f>
        <v>MPG</v>
      </c>
      <c r="W17" s="410" t="str">
        <f>input!S76</f>
        <v>Mill Engineering</v>
      </c>
      <c r="X17" s="1142" t="str">
        <f>input!T76</f>
        <v>Mill Projects</v>
      </c>
      <c r="Y17" s="1143"/>
      <c r="Z17" s="414" t="str">
        <f>input!U76</f>
        <v>KTA</v>
      </c>
    </row>
    <row r="18" spans="1:26" ht="90" x14ac:dyDescent="0.25">
      <c r="B18" s="1072" t="s">
        <v>80</v>
      </c>
      <c r="C18" s="1073"/>
      <c r="D18" s="1073"/>
      <c r="E18" s="1073"/>
      <c r="F18" s="1073"/>
      <c r="G18" s="1073"/>
      <c r="H18" s="1073"/>
      <c r="I18" s="1073"/>
      <c r="J18" s="1073"/>
      <c r="K18" s="1073"/>
      <c r="L18" s="1073"/>
      <c r="M18" s="1073"/>
      <c r="N18" s="1073"/>
      <c r="O18" s="1073"/>
      <c r="P18" s="1073"/>
      <c r="Q18" s="1073"/>
      <c r="R18" s="1073"/>
      <c r="S18" s="1073"/>
      <c r="T18" s="1073"/>
      <c r="U18" s="1073"/>
      <c r="V18" s="1073"/>
      <c r="W18" s="1073"/>
      <c r="X18" s="1073"/>
      <c r="Y18" s="1073"/>
      <c r="Z18" s="1074"/>
    </row>
    <row r="19" spans="1:26" ht="276" x14ac:dyDescent="0.25">
      <c r="A19" s="350"/>
      <c r="B19" s="1075" t="str">
        <f>input!C73</f>
        <v>HOLDING MOTOR OF THE P&amp;H CRANE #1</v>
      </c>
      <c r="C19" s="1076"/>
      <c r="D19" s="305" t="str">
        <f>input!D73</f>
        <v>N/A - PD</v>
      </c>
      <c r="E19" s="305" t="str">
        <f>input!E73</f>
        <v>Lifting Equipment</v>
      </c>
      <c r="F19" s="1077" t="str">
        <f>input!F73</f>
        <v>Over-Excertion in Pushing / Pulling Objects</v>
      </c>
      <c r="G19" s="1078"/>
      <c r="H19" s="305" t="str">
        <f>input!G73</f>
        <v>Lower Tram</v>
      </c>
      <c r="I19" s="305" t="str">
        <f>input!H73</f>
        <v>S (N/A)</v>
      </c>
      <c r="J19" s="1079" t="str">
        <f>input!I73</f>
        <v>April 27, 2026</v>
      </c>
      <c r="K19" s="1080"/>
      <c r="L19" s="1126">
        <f>input!J73</f>
        <v>2.0833333333333332E-2</v>
      </c>
      <c r="M19" s="1126"/>
      <c r="N19" s="392" t="str">
        <f>input!K73</f>
        <v>First</v>
      </c>
      <c r="O19" s="352" t="str">
        <f>input!L73</f>
        <v>Dexter B. Arevalo</v>
      </c>
      <c r="P19" s="352" t="str">
        <f>input!M73</f>
        <v>Christopher T. Baniaga</v>
      </c>
      <c r="Q19" s="352" t="str">
        <f>input!N73</f>
        <v>Ernie S. Ringor</v>
      </c>
      <c r="R19" s="305" t="str">
        <f>input!O73</f>
        <v>PD</v>
      </c>
      <c r="S19" s="305" t="str">
        <f>input!P73</f>
        <v>Crane in operation</v>
      </c>
      <c r="T19" s="1083" t="str">
        <f>input!Q73</f>
        <v>MBK</v>
      </c>
      <c r="U19" s="1084"/>
      <c r="V19" s="305" t="str">
        <f>input!R73</f>
        <v>MPG</v>
      </c>
      <c r="W19" s="305" t="str">
        <f>input!S73</f>
        <v>Mill Operations</v>
      </c>
      <c r="X19" s="1077" t="str">
        <f>input!T73</f>
        <v>Sand Production</v>
      </c>
      <c r="Y19" s="1078"/>
      <c r="Z19" s="353" t="str">
        <f>input!U73</f>
        <v>KTA</v>
      </c>
    </row>
    <row r="20" spans="1:26" ht="90" x14ac:dyDescent="0.25">
      <c r="B20" s="1072" t="s">
        <v>675</v>
      </c>
      <c r="C20" s="1073"/>
      <c r="D20" s="1073"/>
      <c r="E20" s="1073"/>
      <c r="F20" s="1073"/>
      <c r="G20" s="1073"/>
      <c r="H20" s="1073"/>
      <c r="I20" s="1073"/>
      <c r="J20" s="1073"/>
      <c r="K20" s="1073"/>
      <c r="L20" s="1073"/>
      <c r="M20" s="1073"/>
      <c r="N20" s="1073"/>
      <c r="O20" s="1073"/>
      <c r="P20" s="1073"/>
      <c r="Q20" s="1073"/>
      <c r="R20" s="1073"/>
      <c r="S20" s="1073"/>
      <c r="T20" s="1073"/>
      <c r="U20" s="1073"/>
      <c r="V20" s="1073"/>
      <c r="W20" s="1073"/>
      <c r="X20" s="1073"/>
      <c r="Y20" s="1073"/>
      <c r="Z20" s="1074"/>
    </row>
    <row r="21" spans="1:26" s="133" customFormat="1" ht="184" x14ac:dyDescent="0.25">
      <c r="A21" s="350"/>
      <c r="B21" s="1075" t="str">
        <f>input!C55</f>
        <v>FOREST FIRE</v>
      </c>
      <c r="C21" s="1076"/>
      <c r="D21" s="304" t="str">
        <f>input!D55</f>
        <v>N/A - EI</v>
      </c>
      <c r="E21" s="304" t="str">
        <f>input!E55</f>
        <v>Forest Fire</v>
      </c>
      <c r="F21" s="1077" t="str">
        <f>input!F55</f>
        <v>Fire</v>
      </c>
      <c r="G21" s="1078"/>
      <c r="H21" s="305" t="str">
        <f>input!G55</f>
        <v>Golf Course, Sapid</v>
      </c>
      <c r="I21" s="305" t="str">
        <f>input!H55</f>
        <v>S (N/A)</v>
      </c>
      <c r="J21" s="1100" t="str">
        <f>input!I55</f>
        <v>April 1, 2026</v>
      </c>
      <c r="K21" s="1101"/>
      <c r="L21" s="1126">
        <f>input!J55</f>
        <v>0.88888888888888884</v>
      </c>
      <c r="M21" s="1126"/>
      <c r="N21" s="392" t="str">
        <f>input!K55</f>
        <v>Third</v>
      </c>
      <c r="O21" s="352" t="str">
        <f>input!L55</f>
        <v>N/A</v>
      </c>
      <c r="P21" s="352" t="str">
        <f>input!M55</f>
        <v>N/A</v>
      </c>
      <c r="Q21" s="352" t="str">
        <f>input!N55</f>
        <v>N/A</v>
      </c>
      <c r="R21" s="352" t="str">
        <f>input!O55</f>
        <v>EI</v>
      </c>
      <c r="S21" s="352" t="str">
        <f>input!P55</f>
        <v>Normal Surface Operations</v>
      </c>
      <c r="T21" s="1083" t="str">
        <f>input!Q55</f>
        <v>N/A</v>
      </c>
      <c r="U21" s="1084"/>
      <c r="V21" s="305" t="str">
        <f>input!R55</f>
        <v>ASG</v>
      </c>
      <c r="W21" s="305" t="str">
        <f>input!S55</f>
        <v>IOSD</v>
      </c>
      <c r="X21" s="1077" t="str">
        <f>input!T55</f>
        <v>N/A - Community</v>
      </c>
      <c r="Y21" s="1078"/>
      <c r="Z21" s="353" t="str">
        <f>input!U55</f>
        <v>KTA</v>
      </c>
    </row>
    <row r="22" spans="1:26" s="133" customFormat="1" ht="184" x14ac:dyDescent="0.25">
      <c r="A22" s="350"/>
      <c r="B22" s="1075" t="str">
        <f>input!C56</f>
        <v>FOREST FIRE</v>
      </c>
      <c r="C22" s="1076"/>
      <c r="D22" s="304" t="str">
        <f>input!D56</f>
        <v>N/A - EI</v>
      </c>
      <c r="E22" s="304" t="str">
        <f>input!E56</f>
        <v>Forest Fire</v>
      </c>
      <c r="F22" s="1077" t="str">
        <f>input!F56</f>
        <v>Fire</v>
      </c>
      <c r="G22" s="1078"/>
      <c r="H22" s="305" t="str">
        <f>input!G56</f>
        <v>Golf Course, Sapid</v>
      </c>
      <c r="I22" s="305" t="str">
        <f>input!H56</f>
        <v>S (N/A)</v>
      </c>
      <c r="J22" s="1100" t="str">
        <f>input!I56</f>
        <v>April 4, 2026</v>
      </c>
      <c r="K22" s="1101"/>
      <c r="L22" s="1126">
        <f>input!J56</f>
        <v>0.5229166666666667</v>
      </c>
      <c r="M22" s="1126"/>
      <c r="N22" s="392" t="str">
        <f>input!K56</f>
        <v>Second</v>
      </c>
      <c r="O22" s="352" t="str">
        <f>input!L56</f>
        <v>N/A</v>
      </c>
      <c r="P22" s="352" t="str">
        <f>input!M56</f>
        <v>N/A</v>
      </c>
      <c r="Q22" s="352" t="str">
        <f>input!N56</f>
        <v>N/A</v>
      </c>
      <c r="R22" s="352" t="str">
        <f>input!O56</f>
        <v>EI</v>
      </c>
      <c r="S22" s="352" t="str">
        <f>input!P56</f>
        <v>Normal Surface Operations</v>
      </c>
      <c r="T22" s="1083" t="str">
        <f>input!Q56</f>
        <v>MBK</v>
      </c>
      <c r="U22" s="1084"/>
      <c r="V22" s="305" t="str">
        <f>input!R56</f>
        <v>ASG</v>
      </c>
      <c r="W22" s="305" t="str">
        <f>input!S56</f>
        <v>IOSD</v>
      </c>
      <c r="X22" s="1077" t="str">
        <f>input!T56</f>
        <v>N/A - Community</v>
      </c>
      <c r="Y22" s="1078"/>
      <c r="Z22" s="353" t="str">
        <f>input!U56</f>
        <v>KTA</v>
      </c>
    </row>
    <row r="23" spans="1:26" s="133" customFormat="1" ht="276" x14ac:dyDescent="0.25">
      <c r="A23" s="350"/>
      <c r="B23" s="1075" t="str">
        <f>input!C57</f>
        <v>FOREST FIRE</v>
      </c>
      <c r="C23" s="1076"/>
      <c r="D23" s="304" t="str">
        <f>input!D57</f>
        <v>N/A - EI</v>
      </c>
      <c r="E23" s="304" t="str">
        <f>input!E57</f>
        <v>Forest Fire</v>
      </c>
      <c r="F23" s="1077" t="str">
        <f>input!F57</f>
        <v>Fire</v>
      </c>
      <c r="G23" s="1078"/>
      <c r="H23" s="305" t="str">
        <f>input!G57</f>
        <v>Casubigan / Marivic Area</v>
      </c>
      <c r="I23" s="305" t="str">
        <f>input!H57</f>
        <v>S (N/A)</v>
      </c>
      <c r="J23" s="1100" t="str">
        <f>input!I57</f>
        <v>April 7, 2026</v>
      </c>
      <c r="K23" s="1101"/>
      <c r="L23" s="1126">
        <f>input!J57</f>
        <v>0.39652777777777781</v>
      </c>
      <c r="M23" s="1126"/>
      <c r="N23" s="392" t="str">
        <f>input!K57</f>
        <v>Second</v>
      </c>
      <c r="O23" s="352" t="str">
        <f>input!L57</f>
        <v>N/A</v>
      </c>
      <c r="P23" s="352" t="str">
        <f>input!M57</f>
        <v>N/A</v>
      </c>
      <c r="Q23" s="352" t="str">
        <f>input!N57</f>
        <v>N/A</v>
      </c>
      <c r="R23" s="352" t="str">
        <f>input!O57</f>
        <v>EI</v>
      </c>
      <c r="S23" s="352" t="str">
        <f>input!P57</f>
        <v>Normal Surface Operations</v>
      </c>
      <c r="T23" s="1083" t="str">
        <f>input!Q57</f>
        <v>RML / MBK</v>
      </c>
      <c r="U23" s="1084"/>
      <c r="V23" s="305" t="str">
        <f>input!R57</f>
        <v>ASG</v>
      </c>
      <c r="W23" s="305" t="str">
        <f>input!S57</f>
        <v>IOSD</v>
      </c>
      <c r="X23" s="1077" t="str">
        <f>input!T57</f>
        <v>N/A - Community</v>
      </c>
      <c r="Y23" s="1078"/>
      <c r="Z23" s="353" t="str">
        <f>input!U57</f>
        <v>KTA</v>
      </c>
    </row>
    <row r="24" spans="1:26" s="133" customFormat="1" ht="276" x14ac:dyDescent="0.25">
      <c r="A24" s="350"/>
      <c r="B24" s="1075" t="str">
        <f>input!C58</f>
        <v>FOREST FIRE</v>
      </c>
      <c r="C24" s="1076"/>
      <c r="D24" s="304" t="str">
        <f>input!D58</f>
        <v>N/A - EI</v>
      </c>
      <c r="E24" s="304" t="str">
        <f>input!E58</f>
        <v>Forest Fire</v>
      </c>
      <c r="F24" s="1077" t="str">
        <f>input!F58</f>
        <v>Fire</v>
      </c>
      <c r="G24" s="1078"/>
      <c r="H24" s="305" t="str">
        <f>input!G58</f>
        <v>Tamangan Area, Lime 2</v>
      </c>
      <c r="I24" s="305" t="str">
        <f>input!H58</f>
        <v>S (N/A)</v>
      </c>
      <c r="J24" s="1100" t="str">
        <f>input!I58</f>
        <v>April 8, 2026</v>
      </c>
      <c r="K24" s="1101"/>
      <c r="L24" s="1126">
        <f>input!J58</f>
        <v>0.46180555555555558</v>
      </c>
      <c r="M24" s="1126"/>
      <c r="N24" s="392" t="str">
        <f>input!K58</f>
        <v>Second</v>
      </c>
      <c r="O24" s="352" t="str">
        <f>input!L58</f>
        <v>N/A</v>
      </c>
      <c r="P24" s="352" t="str">
        <f>input!M58</f>
        <v>N/A</v>
      </c>
      <c r="Q24" s="352" t="str">
        <f>input!N58</f>
        <v>N/A</v>
      </c>
      <c r="R24" s="352" t="str">
        <f>input!O58</f>
        <v>EI</v>
      </c>
      <c r="S24" s="352" t="str">
        <f>input!P58</f>
        <v>Normal Surface Operations</v>
      </c>
      <c r="T24" s="1083" t="str">
        <f>input!Q58</f>
        <v>RML / MBK</v>
      </c>
      <c r="U24" s="1084"/>
      <c r="V24" s="305" t="str">
        <f>input!R58</f>
        <v>ASG</v>
      </c>
      <c r="W24" s="305" t="str">
        <f>input!S58</f>
        <v>IOSD</v>
      </c>
      <c r="X24" s="1077" t="str">
        <f>input!T58</f>
        <v>N/A - Community</v>
      </c>
      <c r="Y24" s="1078"/>
      <c r="Z24" s="353" t="str">
        <f>input!U58</f>
        <v>KTA</v>
      </c>
    </row>
    <row r="25" spans="1:26" s="133" customFormat="1" ht="184" x14ac:dyDescent="0.25">
      <c r="A25" s="350"/>
      <c r="B25" s="1075" t="str">
        <f>input!C59</f>
        <v>FOREST FIRE</v>
      </c>
      <c r="C25" s="1076"/>
      <c r="D25" s="304" t="str">
        <f>input!D59</f>
        <v>N/A - EI</v>
      </c>
      <c r="E25" s="304" t="str">
        <f>input!E59</f>
        <v>Forest Fire</v>
      </c>
      <c r="F25" s="1077" t="str">
        <f>input!F59</f>
        <v>Fire</v>
      </c>
      <c r="G25" s="1078"/>
      <c r="H25" s="305" t="str">
        <f>input!G59</f>
        <v>San Antonio Area</v>
      </c>
      <c r="I25" s="305" t="str">
        <f>input!H59</f>
        <v>S (N/A)</v>
      </c>
      <c r="J25" s="1100" t="str">
        <f>input!I59</f>
        <v>April 9, 2026</v>
      </c>
      <c r="K25" s="1101"/>
      <c r="L25" s="1126">
        <f>input!J59</f>
        <v>0.46666666666666662</v>
      </c>
      <c r="M25" s="1126"/>
      <c r="N25" s="392" t="str">
        <f>input!K59</f>
        <v>Second</v>
      </c>
      <c r="O25" s="352" t="str">
        <f>input!L59</f>
        <v>N/A</v>
      </c>
      <c r="P25" s="352" t="str">
        <f>input!M59</f>
        <v>N/A</v>
      </c>
      <c r="Q25" s="352" t="str">
        <f>input!N59</f>
        <v>N/A</v>
      </c>
      <c r="R25" s="352" t="str">
        <f>input!O59</f>
        <v>EI</v>
      </c>
      <c r="S25" s="352" t="str">
        <f>input!P59</f>
        <v>Normal Surface Operations</v>
      </c>
      <c r="T25" s="1083" t="str">
        <f>input!Q59</f>
        <v>ENC</v>
      </c>
      <c r="U25" s="1084"/>
      <c r="V25" s="305" t="str">
        <f>input!R59</f>
        <v>ASG</v>
      </c>
      <c r="W25" s="305" t="str">
        <f>input!S59</f>
        <v>IOSD</v>
      </c>
      <c r="X25" s="1077" t="str">
        <f>input!T59</f>
        <v>N/A - Community</v>
      </c>
      <c r="Y25" s="1078"/>
      <c r="Z25" s="353" t="str">
        <f>input!U59</f>
        <v>KTA</v>
      </c>
    </row>
    <row r="26" spans="1:26" s="133" customFormat="1" ht="184" customHeight="1" x14ac:dyDescent="0.25">
      <c r="A26" s="350"/>
      <c r="B26" s="1075" t="str">
        <f>input!C60</f>
        <v>FOREST FIRE</v>
      </c>
      <c r="C26" s="1076"/>
      <c r="D26" s="304" t="str">
        <f>input!D60</f>
        <v>N/A - EI</v>
      </c>
      <c r="E26" s="304" t="str">
        <f>input!E60</f>
        <v>Forest Fire</v>
      </c>
      <c r="F26" s="1077" t="str">
        <f>input!F60</f>
        <v>Fire</v>
      </c>
      <c r="G26" s="1078"/>
      <c r="H26" s="305" t="str">
        <f>input!G60</f>
        <v>TP3 Dam Area</v>
      </c>
      <c r="I26" s="305" t="str">
        <f>input!H60</f>
        <v>S (N/A)</v>
      </c>
      <c r="J26" s="1100" t="str">
        <f>input!I60</f>
        <v>April 17, 2026</v>
      </c>
      <c r="K26" s="1101"/>
      <c r="L26" s="1126">
        <f>input!J60</f>
        <v>0.68888888888888899</v>
      </c>
      <c r="M26" s="1126"/>
      <c r="N26" s="392" t="str">
        <f>input!K60</f>
        <v>Third</v>
      </c>
      <c r="O26" s="352" t="str">
        <f>input!L60</f>
        <v>N/A</v>
      </c>
      <c r="P26" s="352" t="str">
        <f>input!M60</f>
        <v>N/A</v>
      </c>
      <c r="Q26" s="352" t="str">
        <f>input!N60</f>
        <v>N/A</v>
      </c>
      <c r="R26" s="352" t="str">
        <f>input!O60</f>
        <v>EI</v>
      </c>
      <c r="S26" s="352" t="str">
        <f>input!P60</f>
        <v>Normal Surface Operations</v>
      </c>
      <c r="T26" s="1083" t="str">
        <f>input!Q60</f>
        <v>N/A</v>
      </c>
      <c r="U26" s="1084"/>
      <c r="V26" s="305" t="str">
        <f>input!R60</f>
        <v>ASG</v>
      </c>
      <c r="W26" s="305" t="str">
        <f>input!S60</f>
        <v>IOSD</v>
      </c>
      <c r="X26" s="1077" t="str">
        <f>input!T60</f>
        <v>N/A - Community</v>
      </c>
      <c r="Y26" s="1078"/>
      <c r="Z26" s="353" t="str">
        <f>input!U60</f>
        <v>KTA</v>
      </c>
    </row>
    <row r="27" spans="1:26" s="133" customFormat="1" ht="184" customHeight="1" x14ac:dyDescent="0.25">
      <c r="A27" s="350"/>
      <c r="B27" s="1075" t="str">
        <f>input!C61</f>
        <v>FOREST FIRE</v>
      </c>
      <c r="C27" s="1076"/>
      <c r="D27" s="304" t="str">
        <f>input!D61</f>
        <v>N/A - EI</v>
      </c>
      <c r="E27" s="304" t="str">
        <f>input!E61</f>
        <v>Forest Fire</v>
      </c>
      <c r="F27" s="1077" t="str">
        <f>input!F61</f>
        <v>Fire</v>
      </c>
      <c r="G27" s="1078"/>
      <c r="H27" s="305" t="str">
        <f>input!G61</f>
        <v>Sapid Crusher</v>
      </c>
      <c r="I27" s="305" t="str">
        <f>input!H61</f>
        <v>S (N/A)</v>
      </c>
      <c r="J27" s="1100" t="str">
        <f>input!I61</f>
        <v>April 17, 2026</v>
      </c>
      <c r="K27" s="1101"/>
      <c r="L27" s="1126">
        <f>input!J61</f>
        <v>0.81111111111111101</v>
      </c>
      <c r="M27" s="1126"/>
      <c r="N27" s="392" t="str">
        <f>input!K61</f>
        <v>Third</v>
      </c>
      <c r="O27" s="352" t="str">
        <f>input!L61</f>
        <v>N/A</v>
      </c>
      <c r="P27" s="352" t="str">
        <f>input!M61</f>
        <v>N/A</v>
      </c>
      <c r="Q27" s="352" t="str">
        <f>input!N61</f>
        <v>N/A</v>
      </c>
      <c r="R27" s="352" t="str">
        <f>input!O61</f>
        <v>EI</v>
      </c>
      <c r="S27" s="352" t="str">
        <f>input!P61</f>
        <v>Normal Surface Operations</v>
      </c>
      <c r="T27" s="1083" t="str">
        <f>input!Q61</f>
        <v>N/A</v>
      </c>
      <c r="U27" s="1084"/>
      <c r="V27" s="305" t="str">
        <f>input!R61</f>
        <v>ASG</v>
      </c>
      <c r="W27" s="305" t="str">
        <f>input!S61</f>
        <v>IOSD</v>
      </c>
      <c r="X27" s="1077" t="str">
        <f>input!T61</f>
        <v>N/A - Community</v>
      </c>
      <c r="Y27" s="1078"/>
      <c r="Z27" s="353" t="str">
        <f>input!U61</f>
        <v>KTA</v>
      </c>
    </row>
    <row r="28" spans="1:26" s="133" customFormat="1" ht="184" customHeight="1" x14ac:dyDescent="0.25">
      <c r="A28" s="350"/>
      <c r="B28" s="1075" t="str">
        <f>input!C62</f>
        <v>FOREST FIRE</v>
      </c>
      <c r="C28" s="1076"/>
      <c r="D28" s="304" t="str">
        <f>input!D62</f>
        <v>N/A - EI</v>
      </c>
      <c r="E28" s="304" t="str">
        <f>input!E62</f>
        <v>Forest Fire</v>
      </c>
      <c r="F28" s="1077" t="str">
        <f>input!F62</f>
        <v>Fire</v>
      </c>
      <c r="G28" s="1078"/>
      <c r="H28" s="305" t="str">
        <f>input!G62</f>
        <v>Gate 1, Panad</v>
      </c>
      <c r="I28" s="305" t="str">
        <f>input!H62</f>
        <v>S (N/A)</v>
      </c>
      <c r="J28" s="1100" t="str">
        <f>input!I62</f>
        <v>April 19, 2026</v>
      </c>
      <c r="K28" s="1101"/>
      <c r="L28" s="1126">
        <f>input!J62</f>
        <v>0.70694444444444438</v>
      </c>
      <c r="M28" s="1126"/>
      <c r="N28" s="392" t="str">
        <f>input!K62</f>
        <v>Third</v>
      </c>
      <c r="O28" s="352" t="str">
        <f>input!L62</f>
        <v>N/A</v>
      </c>
      <c r="P28" s="352" t="str">
        <f>input!M62</f>
        <v>N/A</v>
      </c>
      <c r="Q28" s="352" t="str">
        <f>input!N62</f>
        <v>N/A</v>
      </c>
      <c r="R28" s="352" t="str">
        <f>input!O62</f>
        <v>EI</v>
      </c>
      <c r="S28" s="352" t="str">
        <f>input!P62</f>
        <v>Normal Surface Operations</v>
      </c>
      <c r="T28" s="1083" t="str">
        <f>input!Q62</f>
        <v>N/A</v>
      </c>
      <c r="U28" s="1084"/>
      <c r="V28" s="305" t="str">
        <f>input!R62</f>
        <v>ASG</v>
      </c>
      <c r="W28" s="305" t="str">
        <f>input!S62</f>
        <v>IOSD</v>
      </c>
      <c r="X28" s="1077" t="str">
        <f>input!T62</f>
        <v>N/A - Community</v>
      </c>
      <c r="Y28" s="1078"/>
      <c r="Z28" s="353" t="str">
        <f>input!U62</f>
        <v>KTA</v>
      </c>
    </row>
    <row r="29" spans="1:26" s="133" customFormat="1" ht="184" customHeight="1" x14ac:dyDescent="0.25">
      <c r="A29" s="350"/>
      <c r="B29" s="1075" t="str">
        <f>input!C75</f>
        <v>SLURRY SPILL</v>
      </c>
      <c r="C29" s="1076"/>
      <c r="D29" s="304" t="str">
        <f>input!D75</f>
        <v>N/A - EI</v>
      </c>
      <c r="E29" s="304" t="str">
        <f>input!E75</f>
        <v>Leach Tank</v>
      </c>
      <c r="F29" s="1077" t="str">
        <f>input!F75</f>
        <v>Environmental Incident - Chemical Spill</v>
      </c>
      <c r="G29" s="1078"/>
      <c r="H29" s="305" t="str">
        <f>input!G75</f>
        <v>CIP</v>
      </c>
      <c r="I29" s="305" t="str">
        <f>input!H75</f>
        <v>S (N/A)</v>
      </c>
      <c r="J29" s="1100" t="str">
        <f>input!I75</f>
        <v>April 21, 2026</v>
      </c>
      <c r="K29" s="1101"/>
      <c r="L29" s="1126">
        <f>input!J75</f>
        <v>0.46597222222222223</v>
      </c>
      <c r="M29" s="1126"/>
      <c r="N29" s="392" t="str">
        <f>input!K75</f>
        <v>Second</v>
      </c>
      <c r="O29" s="352" t="str">
        <f>input!L75</f>
        <v>Dexter B. Arevalo</v>
      </c>
      <c r="P29" s="352" t="str">
        <f>input!M75</f>
        <v>Jeah B. Taguran</v>
      </c>
      <c r="Q29" s="352" t="str">
        <f>input!N75</f>
        <v>Tofer T. Padsoyan</v>
      </c>
      <c r="R29" s="352" t="str">
        <f>input!O75</f>
        <v>EI</v>
      </c>
      <c r="S29" s="352" t="str">
        <f>input!P75</f>
        <v>Normal Surface Operations</v>
      </c>
      <c r="T29" s="1083" t="str">
        <f>input!Q75</f>
        <v>MBK / RML</v>
      </c>
      <c r="U29" s="1084"/>
      <c r="V29" s="305" t="str">
        <f>input!R75</f>
        <v>MPG</v>
      </c>
      <c r="W29" s="305" t="str">
        <f>input!S75</f>
        <v>Mill Operations</v>
      </c>
      <c r="X29" s="1077" t="str">
        <f>input!T75</f>
        <v>CIP</v>
      </c>
      <c r="Y29" s="1078"/>
      <c r="Z29" s="353"/>
    </row>
    <row r="30" spans="1:26" s="133" customFormat="1" ht="276.5" customHeight="1" thickBot="1" x14ac:dyDescent="0.3">
      <c r="A30" s="350"/>
      <c r="B30" s="1127" t="str">
        <f>input!C74</f>
        <v>FOREST FIRE</v>
      </c>
      <c r="C30" s="1128"/>
      <c r="D30" s="393" t="str">
        <f>input!D74</f>
        <v>N/A - EI</v>
      </c>
      <c r="E30" s="393" t="str">
        <f>input!E74</f>
        <v>Forest Fire</v>
      </c>
      <c r="F30" s="1129" t="str">
        <f>input!F74</f>
        <v>Fire</v>
      </c>
      <c r="G30" s="1130"/>
      <c r="H30" s="394" t="str">
        <f>input!G74</f>
        <v>Panad Roadway, Poblacion</v>
      </c>
      <c r="I30" s="394" t="str">
        <f>input!H74</f>
        <v>S (N/A)</v>
      </c>
      <c r="J30" s="1131" t="str">
        <f>input!I74</f>
        <v>April 27, 2026</v>
      </c>
      <c r="K30" s="1132"/>
      <c r="L30" s="1133">
        <f>input!J74</f>
        <v>0.47638888888888892</v>
      </c>
      <c r="M30" s="1133"/>
      <c r="N30" s="395" t="str">
        <f>input!K74</f>
        <v>Second</v>
      </c>
      <c r="O30" s="396" t="str">
        <f>input!L74</f>
        <v>N/A</v>
      </c>
      <c r="P30" s="396" t="str">
        <f>input!M74</f>
        <v>N/A</v>
      </c>
      <c r="Q30" s="396" t="str">
        <f>input!N74</f>
        <v>N/A</v>
      </c>
      <c r="R30" s="396" t="str">
        <f>input!O74</f>
        <v>EI</v>
      </c>
      <c r="S30" s="396" t="str">
        <f>input!P74</f>
        <v>Normal Surface Operations</v>
      </c>
      <c r="T30" s="1134" t="str">
        <f>input!Q74</f>
        <v>N/A</v>
      </c>
      <c r="U30" s="1135"/>
      <c r="V30" s="394" t="str">
        <f>input!R74</f>
        <v>ASG</v>
      </c>
      <c r="W30" s="394" t="str">
        <f>input!S74</f>
        <v>IOSD</v>
      </c>
      <c r="X30" s="1129" t="str">
        <f>input!T74</f>
        <v>N/A - Community</v>
      </c>
      <c r="Y30" s="1130"/>
      <c r="Z30" s="397" t="str">
        <f>input!U74</f>
        <v>KTA</v>
      </c>
    </row>
    <row r="31" spans="1:26" ht="82" customHeight="1" x14ac:dyDescent="0.25">
      <c r="B31" s="1102" t="s">
        <v>22</v>
      </c>
      <c r="C31" s="1103"/>
      <c r="D31" s="306" t="s">
        <v>6</v>
      </c>
      <c r="E31" s="306" t="s">
        <v>2</v>
      </c>
      <c r="F31" s="306" t="s">
        <v>3</v>
      </c>
      <c r="G31" s="306" t="s">
        <v>1</v>
      </c>
      <c r="H31" s="306" t="s">
        <v>0</v>
      </c>
      <c r="I31" s="306" t="s">
        <v>53</v>
      </c>
      <c r="J31" s="306" t="s">
        <v>12</v>
      </c>
      <c r="K31" s="306" t="s">
        <v>693</v>
      </c>
      <c r="L31" s="306" t="s">
        <v>5</v>
      </c>
      <c r="M31" s="307" t="s">
        <v>40</v>
      </c>
      <c r="N31" s="1008" t="s">
        <v>11</v>
      </c>
      <c r="O31" s="1008"/>
      <c r="P31" s="1007"/>
      <c r="Q31" s="308" t="s">
        <v>6</v>
      </c>
      <c r="R31" s="308" t="s">
        <v>2</v>
      </c>
      <c r="S31" s="308" t="s">
        <v>3</v>
      </c>
      <c r="T31" s="308" t="s">
        <v>1</v>
      </c>
      <c r="U31" s="308" t="s">
        <v>0</v>
      </c>
      <c r="V31" s="308" t="s">
        <v>53</v>
      </c>
      <c r="W31" s="308" t="s">
        <v>12</v>
      </c>
      <c r="X31" s="308" t="s">
        <v>693</v>
      </c>
      <c r="Y31" s="308" t="s">
        <v>5</v>
      </c>
      <c r="Z31" s="309" t="s">
        <v>40</v>
      </c>
    </row>
    <row r="32" spans="1:26" ht="92" x14ac:dyDescent="0.25">
      <c r="B32" s="1104" t="s">
        <v>33</v>
      </c>
      <c r="C32" s="1105"/>
      <c r="D32" s="310">
        <f>COUNTIFS(input!$O:$O,April!$D$31,input!$E:$E,April!B32,input!$A:$A,April!$B$2)</f>
        <v>0</v>
      </c>
      <c r="E32" s="310">
        <f>COUNTIFS(input!$O:$O,April!$E$31,input!$E:$E,April!B32,input!$A:$A,April!$B$2)</f>
        <v>0</v>
      </c>
      <c r="F32" s="310">
        <f>COUNTIFS(input!$O:$O,April!$F$31,input!$E:$E,April!B32,input!$A:$A,April!$B$2)</f>
        <v>0</v>
      </c>
      <c r="G32" s="311">
        <f>COUNTIFS(input!$O:$O,April!$G$31,input!$E:$E,April!B32,input!$A:$A,April!$B$2)</f>
        <v>0</v>
      </c>
      <c r="H32" s="311">
        <f>COUNTIFS(input!$O:$O,April!$H$31,input!$E:$E,April!B32,input!$A:$A,April!$B$2)</f>
        <v>0</v>
      </c>
      <c r="I32" s="311">
        <f>COUNTIFS(input!$O:$O,April!$I$31,input!$E:$E,April!B32,input!$A:$A,April!$B$2)</f>
        <v>1</v>
      </c>
      <c r="J32" s="311">
        <f>COUNTIFS(input!$O:$O,April!$K$31,input!$E:$E,April!B32,input!$A:$A,April!$B$2)</f>
        <v>0</v>
      </c>
      <c r="K32" s="311">
        <f>COUNTIFS(input!$O:$O,April!$K$31,input!$E:$E,April!B32,input!$A:$A,April!$B$2)</f>
        <v>0</v>
      </c>
      <c r="L32" s="312">
        <f>SUM(D32:K32)</f>
        <v>1</v>
      </c>
      <c r="M32" s="313" cm="1">
        <f t="array" ref="M32">_xlfn.IFS(L32=0,0,L32&gt;=1,L32/$L$62)</f>
        <v>4.5454545454545456E-2</v>
      </c>
      <c r="N32" s="1106" t="s">
        <v>86</v>
      </c>
      <c r="O32" s="1106"/>
      <c r="P32" s="1105"/>
      <c r="Q32" s="310">
        <f>COUNTIFS(input!$O:$O,April!$Q$31,input!$F:$F,April!N32,input!$A:$A,April!$B$2)</f>
        <v>0</v>
      </c>
      <c r="R32" s="310">
        <f>COUNTIFS(input!$O:$O,April!$R$31,input!$F:$F,April!N32,input!$A:$A,April!$B$2)</f>
        <v>0</v>
      </c>
      <c r="S32" s="310">
        <f>COUNTIFS(input!$O:$O,April!$S$31,input!$F:$F,April!N32,input!$A:$A,April!$B$2)</f>
        <v>0</v>
      </c>
      <c r="T32" s="314">
        <f>COUNTIFS(input!$O:$O,April!$T$31,input!$F:$F,April!N32,input!$A:$A,April!$B$2)</f>
        <v>2</v>
      </c>
      <c r="U32" s="314">
        <f>COUNTIFS(input!$O:$O,April!$U$31,input!$F:$F,April!N32,input!$A:$A,April!$B$2)</f>
        <v>0</v>
      </c>
      <c r="V32" s="314">
        <f>COUNTIFS(input!$O:$O,April!$V$31,input!$F:$F,April!N32,input!$A:$A,April!$B$2)</f>
        <v>0</v>
      </c>
      <c r="W32" s="314">
        <f>COUNTIFS(input!$O:$O,April!$W$31,input!$F:$F,April!N32,input!$A:$A,April!$B$2)</f>
        <v>0</v>
      </c>
      <c r="X32" s="314">
        <f>COUNTIFS(input!$O:$O,April!$X$31,input!$F:$F,April!N32,input!$A:$A,April!$B$2)</f>
        <v>0</v>
      </c>
      <c r="Y32" s="312">
        <f>SUM(Q32:X32)</f>
        <v>2</v>
      </c>
      <c r="Z32" s="315" cm="1">
        <f t="array" ref="Z32">_xlfn.IFS(Y32=0,0,Y32&gt;=1,Y32/$Y$62)</f>
        <v>9.0909090909090912E-2</v>
      </c>
    </row>
    <row r="33" spans="2:26" ht="92" hidden="1" x14ac:dyDescent="0.25">
      <c r="B33" s="990" t="s">
        <v>472</v>
      </c>
      <c r="C33" s="991"/>
      <c r="D33" s="316">
        <f>COUNTIFS(input!$O:$O,April!$D$31,input!$E:$E,April!#REF!,input!$A:$A,April!$B$2)</f>
        <v>0</v>
      </c>
      <c r="E33" s="316">
        <f>COUNTIFS(input!$O:$O,April!$E$31,input!$E:$E,April!B33,input!$A:$A,April!$B$2)</f>
        <v>0</v>
      </c>
      <c r="F33" s="317">
        <f>COUNTIFS(input!$O:$O,April!$F$31,input!$E:$E,April!#REF!,input!$A:$A,April!$B$2)</f>
        <v>0</v>
      </c>
      <c r="G33" s="318">
        <f>COUNTIFS(input!$O:$O,April!$G$31,input!$E:$E,April!#REF!,input!$A:$A,April!$B$2)</f>
        <v>0</v>
      </c>
      <c r="H33" s="318">
        <f>COUNTIFS(input!$O:$O,April!$H$31,input!$E:$E,April!#REF!,input!$A:$A,April!$B$2)</f>
        <v>0</v>
      </c>
      <c r="I33" s="318">
        <f>COUNTIFS(input!$O:$O,April!$I$31,input!$E:$E,April!#REF!,input!$A:$A,April!$B$2)</f>
        <v>0</v>
      </c>
      <c r="J33" s="318">
        <f>COUNTIFS(input!$O:$O,April!$J$31,input!$E:$E,April!#REF!,input!$A:$A,April!$B$2)</f>
        <v>0</v>
      </c>
      <c r="K33" s="319">
        <f>COUNTIFS(input!$O:$O,April!$K$31,input!$E:$E,April!#REF!,input!$A:$A,April!$B$2)</f>
        <v>0</v>
      </c>
      <c r="L33" s="312">
        <f t="shared" ref="L33:L60" si="0">SUM(D33:K33)</f>
        <v>0</v>
      </c>
      <c r="M33" s="313" cm="1">
        <f t="array" ref="M33">_xlfn.IFS(L33=0,0,L33&gt;=1,L33/$L$62)</f>
        <v>0</v>
      </c>
      <c r="N33" s="1065" t="s">
        <v>138</v>
      </c>
      <c r="O33" s="1065"/>
      <c r="P33" s="1066"/>
      <c r="Q33" s="316">
        <f>COUNTIFS(input!$O:$O,April!$Q$31,input!$F:$F,April!N33,input!$A:$A,April!$B$2)</f>
        <v>0</v>
      </c>
      <c r="R33" s="316">
        <f>COUNTIFS(input!$O:$O,April!$R$31,input!$F:$F,April!N33,input!$A:$A,April!$B$2)</f>
        <v>0</v>
      </c>
      <c r="S33" s="316">
        <f>COUNTIFS(input!$O:$O,April!$S$31,input!$F:$F,April!N33,input!$A:$A,April!$B$2)</f>
        <v>0</v>
      </c>
      <c r="T33" s="321">
        <f>COUNTIFS(input!$O:$O,April!$T$31,input!$F:$F,April!N33,input!$A:$A,April!$B$2)</f>
        <v>0</v>
      </c>
      <c r="U33" s="322">
        <f>COUNTIFS(input!$O:$O,April!$U$31,input!$F:$F,April!N33,input!$A:$A,April!$B$2)</f>
        <v>0</v>
      </c>
      <c r="V33" s="322">
        <f>COUNTIFS(input!$O:$O,April!$V$31,input!$F:$F,April!N33,input!$A:$A,April!$B$2)</f>
        <v>0</v>
      </c>
      <c r="W33" s="323">
        <f>COUNTIFS(input!$O:$O,April!$W$31,input!$F:$F,April!N33,input!$A:$A,April!$B$2)</f>
        <v>0</v>
      </c>
      <c r="X33" s="324">
        <f>COUNTIFS(input!$O:$O,April!$X$31,input!$F:$F,April!N33,input!$A:$A,April!$B$2)</f>
        <v>0</v>
      </c>
      <c r="Y33" s="312">
        <f>SUM(Q33:X33)</f>
        <v>0</v>
      </c>
      <c r="Z33" s="315" cm="1">
        <f t="array" ref="Z33">_xlfn.IFS(Y33=0,0,Y33&gt;=1,Y33/$Y$62)</f>
        <v>0</v>
      </c>
    </row>
    <row r="34" spans="2:26" ht="92" customHeight="1" x14ac:dyDescent="0.25">
      <c r="B34" s="990" t="s">
        <v>1536</v>
      </c>
      <c r="C34" s="991"/>
      <c r="D34" s="316">
        <f>COUNTIFS(input!$O:$O,April!$D$31,input!$E:$E,April!B34,input!$A:$A,April!$B$2)</f>
        <v>0</v>
      </c>
      <c r="E34" s="316">
        <f>COUNTIFS(input!$O:$O,April!$E$31,input!$E:$E,April!B34,input!$A:$A,April!$B$2)</f>
        <v>0</v>
      </c>
      <c r="F34" s="316">
        <f>COUNTIFS(input!$O:$O,April!$F$31,input!$E:$E,April!B34,input!$A:$A,April!$B$2)</f>
        <v>0</v>
      </c>
      <c r="G34" s="318">
        <f>COUNTIFS(input!$O:$O,April!$G$31,input!$E:$E,April!B34,input!$A:$A,April!$B$2)</f>
        <v>1</v>
      </c>
      <c r="H34" s="318">
        <f>COUNTIFS(input!$O:$O,April!$H$31,input!$E:$E,April!B34,input!$A:$A,April!$B$2)</f>
        <v>0</v>
      </c>
      <c r="I34" s="318">
        <f>COUNTIFS(input!$O:$O,April!$I$31,input!$E:$E,April!B34,input!$A:$A,April!$B$2)</f>
        <v>0</v>
      </c>
      <c r="J34" s="318">
        <f>COUNTIFS(input!$O:$O,April!$J$31,input!$E:$E,April!B34,input!$A:$A,April!$B$2)</f>
        <v>0</v>
      </c>
      <c r="K34" s="319">
        <f>COUNTIFS(input!$O:$O,April!$K$31,input!$E:$E,April!B34,input!$A:$A,April!$B$2)</f>
        <v>0</v>
      </c>
      <c r="L34" s="312">
        <f>SUM(D34:K34)</f>
        <v>1</v>
      </c>
      <c r="M34" s="313" cm="1">
        <f t="array" ref="M34">_xlfn.IFS(L34=0,0,L34&gt;=1,L34/$L$62)</f>
        <v>4.5454545454545456E-2</v>
      </c>
      <c r="N34" s="1016" t="s">
        <v>17</v>
      </c>
      <c r="O34" s="1016"/>
      <c r="P34" s="991"/>
      <c r="Q34" s="316">
        <f>COUNTIFS(input!$O:$O,April!$Q$31,input!$F:$F,April!N34,input!$A:$A,April!$B$2)</f>
        <v>0</v>
      </c>
      <c r="R34" s="316">
        <f>COUNTIFS(input!$O:$O,April!$R$31,input!$F:$F,April!N34,input!$A:$A,April!$B$2)</f>
        <v>0</v>
      </c>
      <c r="S34" s="316">
        <f>COUNTIFS(input!$O:$O,April!$S$31,input!$F:$F,April!N34,input!$A:$A,April!$B$2)</f>
        <v>0</v>
      </c>
      <c r="T34" s="321">
        <f>COUNTIFS(input!$O:$O,April!$T$31,input!$F:$F,April!N34,input!$A:$A,April!$B$2)</f>
        <v>2</v>
      </c>
      <c r="U34" s="322">
        <f>COUNTIFS(input!$O:$O,April!$U$31,input!$F:$F,April!N34,input!$A:$A,April!$B$2)</f>
        <v>0</v>
      </c>
      <c r="V34" s="322">
        <f>COUNTIFS(input!$O:$O,April!$V$31,input!$F:$F,April!N34,input!$A:$A,April!$B$2)</f>
        <v>0</v>
      </c>
      <c r="W34" s="323">
        <f>COUNTIFS(input!$O:$O,April!$W$31,input!$F:$F,April!N34,input!$A:$A,April!$B$2)</f>
        <v>0</v>
      </c>
      <c r="X34" s="324">
        <f>COUNTIFS(input!$O:$O,April!$X$31,input!$F:$F,April!N34,input!$A:$A,April!$B$2)</f>
        <v>0</v>
      </c>
      <c r="Y34" s="312">
        <f t="shared" ref="Y34:Y61" si="1">SUM(Q34:X34)</f>
        <v>2</v>
      </c>
      <c r="Z34" s="315" cm="1">
        <f t="array" ref="Z34">_xlfn.IFS(Y34=0,0,Y34&gt;=1,Y34/$Y$62)</f>
        <v>9.0909090909090912E-2</v>
      </c>
    </row>
    <row r="35" spans="2:26" ht="92" customHeight="1" x14ac:dyDescent="0.25">
      <c r="B35" s="990" t="s">
        <v>682</v>
      </c>
      <c r="C35" s="991"/>
      <c r="D35" s="316">
        <f>COUNTIFS(input!$O:$O,April!$D$31,input!$E:$E,April!B34,input!$A:$A,April!$B$2)</f>
        <v>0</v>
      </c>
      <c r="E35" s="316">
        <f>COUNTIFS(input!$O:$O,April!$E$31,input!$E:$E,April!B35,input!$A:$A,April!$B$2)</f>
        <v>0</v>
      </c>
      <c r="F35" s="317">
        <f>COUNTIFS(input!$O:$O,April!$F$31,input!$E:$E,April!B34,input!$A:$A,April!$B$2)</f>
        <v>0</v>
      </c>
      <c r="G35" s="318">
        <f>COUNTIFS(input!$O:$O,April!$G$31,input!$E:$E,April!B34,input!$A:$A,April!$B$2)</f>
        <v>1</v>
      </c>
      <c r="H35" s="318">
        <f>COUNTIFS(input!$O:$O,April!$H$31,input!$E:$E,April!B34,input!$A:$A,April!$B$2)</f>
        <v>0</v>
      </c>
      <c r="I35" s="318">
        <f>COUNTIFS(input!$O:$O,April!$I$31,input!$E:$E,April!B34,input!$A:$A,April!$B$2)</f>
        <v>0</v>
      </c>
      <c r="J35" s="318">
        <f>COUNTIFS(input!$O:$O,April!$J$31,input!$E:$E,April!B34,input!$A:$A,April!$B$2)</f>
        <v>0</v>
      </c>
      <c r="K35" s="319">
        <f>COUNTIFS(input!$O:$O,April!$K$31,input!$E:$E,April!B34,input!$A:$A,April!$B$2)</f>
        <v>0</v>
      </c>
      <c r="L35" s="312">
        <f t="shared" si="0"/>
        <v>1</v>
      </c>
      <c r="M35" s="313" cm="1">
        <f t="array" ref="M35">_xlfn.IFS(L35=0,0,L35&gt;=1,L35/$L$62)</f>
        <v>4.5454545454545456E-2</v>
      </c>
      <c r="N35" s="1065" t="s">
        <v>20</v>
      </c>
      <c r="O35" s="1065"/>
      <c r="P35" s="1066"/>
      <c r="Q35" s="316">
        <f>COUNTIFS(input!$O:$O,April!$Q$31,input!$F:$F,April!N35,input!$A:$A,April!$B$2)</f>
        <v>0</v>
      </c>
      <c r="R35" s="316">
        <f>COUNTIFS(input!$O:$O,April!$R$31,input!$F:$F,April!N35,input!$A:$A,April!$B$2)</f>
        <v>0</v>
      </c>
      <c r="S35" s="316">
        <f>COUNTIFS(input!$O:$O,April!$S$31,input!$F:$F,April!N35,input!$A:$A,April!$B$2)</f>
        <v>0</v>
      </c>
      <c r="T35" s="321">
        <f>COUNTIFS(input!$O:$O,April!$T$31,input!$F:$F,April!N35,input!$A:$A,April!$B$2)</f>
        <v>0</v>
      </c>
      <c r="U35" s="322">
        <f>COUNTIFS(input!$O:$O,April!$U$31,input!$F:$F,April!N35,input!$A:$A,April!$B$2)</f>
        <v>0</v>
      </c>
      <c r="V35" s="322">
        <f>COUNTIFS(input!$O:$O,April!$V$31,input!$F:$F,April!N35,input!$A:$A,April!$B$2)</f>
        <v>0</v>
      </c>
      <c r="W35" s="323">
        <f>COUNTIFS(input!$O:$O,April!$W$31,input!$F:$F,April!N35,input!$A:$A,April!$B$2)</f>
        <v>0</v>
      </c>
      <c r="X35" s="324">
        <f>COUNTIFS(input!$O:$O,April!$X$31,input!$F:$F,April!N35,input!$A:$A,April!$B$2)</f>
        <v>0</v>
      </c>
      <c r="Y35" s="312">
        <f t="shared" si="1"/>
        <v>0</v>
      </c>
      <c r="Z35" s="315" cm="1">
        <f t="array" ref="Z35">_xlfn.IFS(Y35=0,0,Y35&gt;=1,Y35/$Y$62)</f>
        <v>0</v>
      </c>
    </row>
    <row r="36" spans="2:26" ht="92" customHeight="1" x14ac:dyDescent="0.25">
      <c r="B36" s="990" t="s">
        <v>493</v>
      </c>
      <c r="C36" s="991"/>
      <c r="D36" s="316">
        <f>COUNTIFS(input!$O:$O,April!$D$31,input!$E:$E,April!B35,input!$A:$A,April!$B$2)</f>
        <v>0</v>
      </c>
      <c r="E36" s="316">
        <f>COUNTIFS(input!$O:$O,April!$E$31,input!$E:$E,April!B36,input!$A:$A,April!$B$2)</f>
        <v>0</v>
      </c>
      <c r="F36" s="317">
        <f>COUNTIFS(input!$O:$O,April!$F$31,input!$E:$E,April!B35,input!$A:$A,April!$B$2)</f>
        <v>0</v>
      </c>
      <c r="G36" s="318">
        <f>COUNTIFS(input!$O:$O,April!$G$31,input!$E:$E,April!B35,input!$A:$A,April!$B$2)</f>
        <v>0</v>
      </c>
      <c r="H36" s="318">
        <f>COUNTIFS(input!$O:$O,April!$H$31,input!$E:$E,April!B35,input!$A:$A,April!$B$2)</f>
        <v>0</v>
      </c>
      <c r="I36" s="318">
        <f>COUNTIFS(input!$O:$O,April!$I$31,input!$E:$E,April!B35,input!$A:$A,April!$B$2)</f>
        <v>0</v>
      </c>
      <c r="J36" s="318">
        <f>COUNTIFS(input!$O:$O,April!$J$31,input!$E:$E,April!B35,input!$A:$A,April!$B$2)</f>
        <v>0</v>
      </c>
      <c r="K36" s="319">
        <f>COUNTIFS(input!$O:$O,April!$K$31,input!$E:$E,April!B35,input!$A:$A,April!$B$2)</f>
        <v>9</v>
      </c>
      <c r="L36" s="312">
        <f t="shared" si="0"/>
        <v>9</v>
      </c>
      <c r="M36" s="313" cm="1">
        <f t="array" ref="M36">_xlfn.IFS(L36=0,0,L36&gt;=1,L36/$L$62)</f>
        <v>0.40909090909090912</v>
      </c>
      <c r="N36" s="1016" t="s">
        <v>25</v>
      </c>
      <c r="O36" s="1016"/>
      <c r="P36" s="991"/>
      <c r="Q36" s="316">
        <f>COUNTIFS(input!$O:$O,April!$Q$31,input!$F:$F,April!N36,input!$A:$A,April!$B$2)</f>
        <v>0</v>
      </c>
      <c r="R36" s="316">
        <f>COUNTIFS(input!$O:$O,April!$R$31,input!$F:$F,April!N36,input!$A:$A,April!$B$2)</f>
        <v>0</v>
      </c>
      <c r="S36" s="316">
        <f>COUNTIFS(input!$O:$O,April!$S$31,input!$F:$F,April!N36,input!$A:$A,April!$B$2)</f>
        <v>0</v>
      </c>
      <c r="T36" s="321">
        <f>COUNTIFS(input!$O:$O,April!$T$31,input!$F:$F,April!N36,input!$A:$A,April!$B$2)</f>
        <v>0</v>
      </c>
      <c r="U36" s="322">
        <f>COUNTIFS(input!$O:$O,April!$U$31,input!$F:$F,April!N36,input!$A:$A,April!$B$2)</f>
        <v>1</v>
      </c>
      <c r="V36" s="322">
        <f>COUNTIFS(input!$O:$O,April!$V$31,input!$F:$F,April!N36,input!$A:$A,April!$B$2)</f>
        <v>0</v>
      </c>
      <c r="W36" s="323">
        <f>COUNTIFS(input!$O:$O,April!$W$31,input!$F:$F,April!N36,input!$A:$A,April!$B$2)</f>
        <v>0</v>
      </c>
      <c r="X36" s="324">
        <f>COUNTIFS(input!$O:$O,April!$X$31,input!$F:$F,April!N36,input!$A:$A,April!$B$2)</f>
        <v>0</v>
      </c>
      <c r="Y36" s="312">
        <f t="shared" si="1"/>
        <v>1</v>
      </c>
      <c r="Z36" s="315" cm="1">
        <f t="array" ref="Z36">_xlfn.IFS(Y36=0,0,Y36&gt;=1,Y36/$Y$62)</f>
        <v>4.5454545454545456E-2</v>
      </c>
    </row>
    <row r="37" spans="2:26" ht="92" customHeight="1" x14ac:dyDescent="0.25">
      <c r="B37" s="990" t="s">
        <v>681</v>
      </c>
      <c r="C37" s="991"/>
      <c r="D37" s="316">
        <f>COUNTIFS(input!$O:$O,April!$D$31,input!$E:$E,April!B36,input!$A:$A,April!$B$2)</f>
        <v>0</v>
      </c>
      <c r="E37" s="316">
        <f>COUNTIFS(input!$O:$O,April!$E$31,input!$E:$E,April!B37,input!$A:$A,April!$B$2)</f>
        <v>0</v>
      </c>
      <c r="F37" s="317">
        <f>COUNTIFS(input!$O:$O,April!$F$31,input!$E:$E,April!B36,input!$A:$A,April!$B$2)</f>
        <v>0</v>
      </c>
      <c r="G37" s="325">
        <f>COUNTIFS(input!$O:$O,April!$G$31,input!$E:$E,April!B36,input!$A:$A,April!$B$2)</f>
        <v>0</v>
      </c>
      <c r="H37" s="318">
        <f>COUNTIFS(input!$O:$O,April!$H$31,input!$E:$E,April!B36,input!$A:$A,April!$B$2)</f>
        <v>0</v>
      </c>
      <c r="I37" s="318">
        <f>COUNTIFS(input!$O:$O,April!$I$31,input!$E:$E,April!B36,input!$A:$A,April!$B$2)</f>
        <v>0</v>
      </c>
      <c r="J37" s="318">
        <f>COUNTIFS(input!$O:$O,April!$J$31,input!$E:$E,April!B36,input!$A:$A,April!$B$2)</f>
        <v>0</v>
      </c>
      <c r="K37" s="319">
        <f>COUNTIFS(input!$O:$O,April!$K$31,input!$E:$E,April!B36,input!$A:$A,April!$B$2)</f>
        <v>0</v>
      </c>
      <c r="L37" s="312">
        <f t="shared" si="0"/>
        <v>0</v>
      </c>
      <c r="M37" s="313" cm="1">
        <f t="array" ref="M37">_xlfn.IFS(L37=0,0,L37&gt;=1,L37/$L$62)</f>
        <v>0</v>
      </c>
      <c r="N37" s="1016" t="s">
        <v>19</v>
      </c>
      <c r="O37" s="1016"/>
      <c r="P37" s="991"/>
      <c r="Q37" s="316">
        <f>COUNTIFS(input!$O:$O,April!$Q$31,input!$F:$F,April!N37,input!$A:$A,April!$B$2)</f>
        <v>0</v>
      </c>
      <c r="R37" s="316">
        <f>COUNTIFS(input!$O:$O,April!$R$31,input!$F:$F,April!N37,input!$A:$A,April!$B$2)</f>
        <v>1</v>
      </c>
      <c r="S37" s="316">
        <f>COUNTIFS(input!$O:$O,April!$S$31,input!$F:$F,April!N37,input!$A:$A,April!$B$2)</f>
        <v>0</v>
      </c>
      <c r="T37" s="321">
        <f>COUNTIFS(input!$O:$O,April!$T$31,input!$F:$F,April!N37,input!$A:$A,April!$B$2)</f>
        <v>1</v>
      </c>
      <c r="U37" s="322">
        <f>COUNTIFS(input!$O:$O,April!$U$31,input!$F:$F,April!N37,input!$A:$A,April!$B$2)</f>
        <v>0</v>
      </c>
      <c r="V37" s="322">
        <f>COUNTIFS(input!$O:$O,April!$V$31,input!$F:$F,April!N37,input!$A:$A,April!$B$2)</f>
        <v>0</v>
      </c>
      <c r="W37" s="323">
        <f>COUNTIFS(input!$O:$O,April!$W$31,input!$F:$F,April!N37,input!$A:$A,April!$B$2)</f>
        <v>0</v>
      </c>
      <c r="X37" s="324">
        <f>COUNTIFS(input!$O:$O,April!$X$31,input!$F:$F,April!N37,input!$A:$A,April!$B$2)</f>
        <v>0</v>
      </c>
      <c r="Y37" s="312">
        <f t="shared" si="1"/>
        <v>2</v>
      </c>
      <c r="Z37" s="315" cm="1">
        <f t="array" ref="Z37">_xlfn.IFS(Y37=0,0,Y37&gt;=1,Y37/$Y$62)</f>
        <v>9.0909090909090912E-2</v>
      </c>
    </row>
    <row r="38" spans="2:26" ht="92" hidden="1" customHeight="1" x14ac:dyDescent="0.25">
      <c r="B38" s="990" t="s">
        <v>776</v>
      </c>
      <c r="C38" s="991"/>
      <c r="D38" s="316">
        <f>COUNTIFS(input!$O:$O,April!$D$31,input!$E:$E,April!B37,input!$A:$A,April!$B$2)</f>
        <v>0</v>
      </c>
      <c r="E38" s="316">
        <f>COUNTIFS(input!$O:$O,April!$E$31,input!$E:$E,April!B38,input!$A:$A,April!$B$2)</f>
        <v>0</v>
      </c>
      <c r="F38" s="317">
        <f>COUNTIFS(input!$O:$O,April!$F$31,input!$E:$E,April!B37,input!$A:$A,April!$B$2)</f>
        <v>0</v>
      </c>
      <c r="G38" s="318">
        <f>COUNTIFS(input!$O:$O,April!$G$31,input!$E:$E,April!B37,input!$A:$A,April!$B$2)</f>
        <v>0</v>
      </c>
      <c r="H38" s="318">
        <f>COUNTIFS(input!$O:$O,April!$H$31,input!$E:$E,April!B37,input!$A:$A,April!$B$2)</f>
        <v>0</v>
      </c>
      <c r="I38" s="318">
        <f>COUNTIFS(input!$O:$O,April!$I$31,input!$E:$E,April!B37,input!$A:$A,April!$B$2)</f>
        <v>0</v>
      </c>
      <c r="J38" s="318">
        <f>COUNTIFS(input!$O:$O,April!$J$31,input!$E:$E,April!B37,input!$A:$A,April!$B$2)</f>
        <v>0</v>
      </c>
      <c r="K38" s="319">
        <f>COUNTIFS(input!$O:$O,April!$K$31,input!$E:$E,April!B37,input!$A:$A,April!$B$2)</f>
        <v>0</v>
      </c>
      <c r="L38" s="312">
        <f t="shared" si="0"/>
        <v>0</v>
      </c>
      <c r="M38" s="313" cm="1">
        <f t="array" ref="M38">_xlfn.IFS(L38=0,0,L38&gt;=1,L38/$L$62)</f>
        <v>0</v>
      </c>
      <c r="N38" s="1065" t="s">
        <v>27</v>
      </c>
      <c r="O38" s="1065"/>
      <c r="P38" s="1066"/>
      <c r="Q38" s="316">
        <f>COUNTIFS(input!$O:$O,April!$Q$31,input!$F:$F,April!N38,input!$A:$A,April!$B$2)</f>
        <v>0</v>
      </c>
      <c r="R38" s="316">
        <f>COUNTIFS(input!$O:$O,April!$R$31,input!$F:$F,April!N38,input!$A:$A,April!$B$2)</f>
        <v>0</v>
      </c>
      <c r="S38" s="316">
        <f>COUNTIFS(input!$O:$O,April!$S$31,input!$F:$F,April!N38,input!$A:$A,April!$B$2)</f>
        <v>0</v>
      </c>
      <c r="T38" s="321">
        <f>COUNTIFS(input!$O:$O,April!$T$31,input!$F:$F,April!N38,input!$A:$A,April!$B$2)</f>
        <v>0</v>
      </c>
      <c r="U38" s="322">
        <f>COUNTIFS(input!$O:$O,April!$U$31,input!$F:$F,April!N38,input!$A:$A,April!$B$2)</f>
        <v>0</v>
      </c>
      <c r="V38" s="322">
        <f>COUNTIFS(input!$O:$O,April!$V$31,input!$F:$F,April!N38,input!$A:$A,April!$B$2)</f>
        <v>0</v>
      </c>
      <c r="W38" s="323">
        <f>COUNTIFS(input!$O:$O,April!$W$31,input!$F:$F,April!N38,input!$A:$A,April!$B$2)</f>
        <v>0</v>
      </c>
      <c r="X38" s="324">
        <f>COUNTIFS(input!$O:$O,April!$X$31,input!$F:$F,April!N38,input!$A:$A,April!$B$2)</f>
        <v>0</v>
      </c>
      <c r="Y38" s="312">
        <f t="shared" si="1"/>
        <v>0</v>
      </c>
      <c r="Z38" s="315" cm="1">
        <f t="array" ref="Z38">_xlfn.IFS(Y38=0,0,Y38&gt;=1,Y38/$Y$62)</f>
        <v>0</v>
      </c>
    </row>
    <row r="39" spans="2:26" ht="92" hidden="1" customHeight="1" x14ac:dyDescent="0.25">
      <c r="B39" s="990" t="s">
        <v>622</v>
      </c>
      <c r="C39" s="991"/>
      <c r="D39" s="316">
        <f>COUNTIFS(input!$O:$O,April!$D$31,input!$E:$E,April!B38,input!$A:$A,April!$B$2)</f>
        <v>0</v>
      </c>
      <c r="E39" s="316">
        <f>COUNTIFS(input!$O:$O,April!$E$31,input!$E:$E,April!B39,input!$A:$A,April!$B$2)</f>
        <v>0</v>
      </c>
      <c r="F39" s="317">
        <f>COUNTIFS(input!$O:$O,April!$F$31,input!$E:$E,April!B38,input!$A:$A,April!$B$2)</f>
        <v>0</v>
      </c>
      <c r="G39" s="318">
        <f>COUNTIFS(input!$O:$O,April!$G$31,input!$E:$E,April!B38,input!$A:$A,April!$B$2)</f>
        <v>0</v>
      </c>
      <c r="H39" s="318">
        <f>COUNTIFS(input!$O:$O,April!$H$31,input!$E:$E,April!B38,input!$A:$A,April!$B$2)</f>
        <v>0</v>
      </c>
      <c r="I39" s="318">
        <f>COUNTIFS(input!$O:$O,April!$I$31,input!$E:$E,April!B38,input!$A:$A,April!$B$2)</f>
        <v>0</v>
      </c>
      <c r="J39" s="318">
        <f>COUNTIFS(input!$O:$O,April!$J$31,input!$E:$E,April!B38,input!$A:$A,April!$B$2)</f>
        <v>0</v>
      </c>
      <c r="K39" s="319">
        <f>COUNTIFS(input!$O:$O,April!$K$31,input!$E:$E,April!B38,input!$A:$A,April!$B$2)</f>
        <v>0</v>
      </c>
      <c r="L39" s="312">
        <f t="shared" si="0"/>
        <v>0</v>
      </c>
      <c r="M39" s="313" cm="1">
        <f t="array" ref="M39">_xlfn.IFS(L39=0,0,L39&gt;=1,L39/$L$62)</f>
        <v>0</v>
      </c>
      <c r="N39" s="1065" t="s">
        <v>64</v>
      </c>
      <c r="O39" s="1065"/>
      <c r="P39" s="1066"/>
      <c r="Q39" s="316">
        <f>COUNTIFS(input!$O:$O,April!$Q$31,input!$F:$F,April!N39,input!$A:$A,April!$B$2)</f>
        <v>0</v>
      </c>
      <c r="R39" s="316">
        <f>COUNTIFS(input!$O:$O,April!$R$31,input!$F:$F,April!N39,input!$A:$A,April!$B$2)</f>
        <v>0</v>
      </c>
      <c r="S39" s="316">
        <f>COUNTIFS(input!$O:$O,April!$S$31,input!$F:$F,April!N39,input!$A:$A,April!$B$2)</f>
        <v>0</v>
      </c>
      <c r="T39" s="321">
        <f>COUNTIFS(input!$O:$O,April!$T$31,input!$F:$F,April!N39,input!$A:$A,April!$B$2)</f>
        <v>0</v>
      </c>
      <c r="U39" s="322">
        <f>COUNTIFS(input!$O:$O,April!$U$31,input!$F:$F,April!N39,input!$A:$A,April!$B$2)</f>
        <v>0</v>
      </c>
      <c r="V39" s="322">
        <f>COUNTIFS(input!$O:$O,April!$V$31,input!$F:$F,April!N39,input!$A:$A,April!$B$2)</f>
        <v>0</v>
      </c>
      <c r="W39" s="323">
        <f>COUNTIFS(input!$O:$O,April!$W$31,input!$F:$F,April!N39,input!$A:$A,April!$B$2)</f>
        <v>0</v>
      </c>
      <c r="X39" s="324">
        <f>COUNTIFS(input!$O:$O,April!$X$31,input!$F:$F,April!N39,input!$A:$A,April!$B$2)</f>
        <v>0</v>
      </c>
      <c r="Y39" s="312">
        <f t="shared" si="1"/>
        <v>0</v>
      </c>
      <c r="Z39" s="315" cm="1">
        <f t="array" ref="Z39">_xlfn.IFS(Y39=0,0,Y39&gt;=1,Y39/$Y$62)</f>
        <v>0</v>
      </c>
    </row>
    <row r="40" spans="2:26" ht="92" customHeight="1" x14ac:dyDescent="0.25">
      <c r="B40" s="990" t="s">
        <v>1434</v>
      </c>
      <c r="C40" s="991"/>
      <c r="D40" s="316">
        <f>COUNTIFS(input!$O:$O,April!$D$31,input!$E:$E,April!B40,input!$A:$A,April!$B$2)</f>
        <v>0</v>
      </c>
      <c r="E40" s="316">
        <f>COUNTIFS(input!$O:$O,April!$E$31,input!$E:$E,April!B40,input!$A:$A,April!$B$2)</f>
        <v>0</v>
      </c>
      <c r="F40" s="317">
        <f>COUNTIFS(input!$O:$O,April!$F$31,input!$E:$E,April!B40,input!$A:$A,April!$B$2)</f>
        <v>0</v>
      </c>
      <c r="G40" s="318">
        <f>COUNTIFS(input!$O:$O,April!$G$31,input!$E:$E,April!B40,input!$A:$A,April!$B$2)</f>
        <v>0</v>
      </c>
      <c r="H40" s="318">
        <f>COUNTIFS(input!$O:$O,April!$H$31,input!$E:$E,April!B40,input!$A:$A,April!$B$2)</f>
        <v>0</v>
      </c>
      <c r="I40" s="318">
        <f>COUNTIFS(input!$O:$O,April!$I$31,input!$E:$E,April!B40,input!$A:$A,April!$B$2)</f>
        <v>1</v>
      </c>
      <c r="J40" s="318">
        <f>COUNTIFS(input!$O:$O,April!$J$31,input!$E:$E,April!B40,input!$A:$A,April!$B$2)</f>
        <v>0</v>
      </c>
      <c r="K40" s="319">
        <f>COUNTIFS(input!$O:$O,April!$K$31,input!$E:$E,April!B40,input!$A:$A,April!$B$2)</f>
        <v>0</v>
      </c>
      <c r="L40" s="312">
        <f>SUM(D40:K40)</f>
        <v>1</v>
      </c>
      <c r="M40" s="313" cm="1">
        <f t="array" ref="M40">_xlfn.IFS(L40=0,0,L40&gt;=1,L40/$L$62)</f>
        <v>4.5454545454545456E-2</v>
      </c>
      <c r="N40" s="1065" t="s">
        <v>24</v>
      </c>
      <c r="O40" s="1065"/>
      <c r="P40" s="1066"/>
      <c r="Q40" s="316">
        <f>COUNTIFS(input!$O:$O,April!$Q$31,input!$F:$F,April!N40,input!$A:$A,April!$B$2)</f>
        <v>0</v>
      </c>
      <c r="R40" s="316">
        <f>COUNTIFS(input!$O:$O,April!$R$31,input!$F:$F,April!N40,input!$A:$A,April!$B$2)</f>
        <v>0</v>
      </c>
      <c r="S40" s="316">
        <f>COUNTIFS(input!$O:$O,April!$S$31,input!$F:$F,April!N40,input!$A:$A,April!$B$2)</f>
        <v>0</v>
      </c>
      <c r="T40" s="321">
        <f>COUNTIFS(input!$O:$O,April!$T$31,input!$F:$F,April!N40,input!$A:$A,April!$B$2)</f>
        <v>0</v>
      </c>
      <c r="U40" s="322">
        <f>COUNTIFS(input!$O:$O,April!$U$31,input!$F:$F,April!N40,input!$A:$A,April!$B$2)</f>
        <v>0</v>
      </c>
      <c r="V40" s="322">
        <f>COUNTIFS(input!$O:$O,April!$V$31,input!$F:$F,April!N40,input!$A:$A,April!$B$2)</f>
        <v>0</v>
      </c>
      <c r="W40" s="323">
        <f>COUNTIFS(input!$O:$O,April!$W$31,input!$F:$F,April!N40,input!$A:$A,April!$B$2)</f>
        <v>0</v>
      </c>
      <c r="X40" s="324">
        <f>COUNTIFS(input!$O:$O,April!$X$31,input!$F:$F,April!N40,input!$A:$A,April!$B$2)</f>
        <v>0</v>
      </c>
      <c r="Y40" s="312">
        <f t="shared" si="1"/>
        <v>0</v>
      </c>
      <c r="Z40" s="315" cm="1">
        <f t="array" ref="Z40">_xlfn.IFS(Y40=0,0,Y40&gt;=1,Y40/$Y$62)</f>
        <v>0</v>
      </c>
    </row>
    <row r="41" spans="2:26" ht="92" hidden="1" customHeight="1" x14ac:dyDescent="0.25">
      <c r="B41" s="990" t="s">
        <v>413</v>
      </c>
      <c r="C41" s="991"/>
      <c r="D41" s="316">
        <f>COUNTIFS(input!$O:$O,April!$D$31,input!$E:$E,April!B39,input!$A:$A,April!$B$2)</f>
        <v>0</v>
      </c>
      <c r="E41" s="316">
        <f>COUNTIFS(input!$O:$O,April!$E$31,input!$E:$E,April!B41,input!$A:$A,April!$B$2)</f>
        <v>0</v>
      </c>
      <c r="F41" s="317">
        <f>COUNTIFS(input!$O:$O,April!$F$31,input!$E:$E,April!B39,input!$A:$A,April!$B$2)</f>
        <v>0</v>
      </c>
      <c r="G41" s="318">
        <f>COUNTIFS(input!$O:$O,April!$G$31,input!$E:$E,April!B39,input!$A:$A,April!$B$2)</f>
        <v>0</v>
      </c>
      <c r="H41" s="318">
        <f>COUNTIFS(input!$O:$O,April!$H$31,input!$E:$E,April!B39,input!$A:$A,April!$B$2)</f>
        <v>0</v>
      </c>
      <c r="I41" s="318">
        <f>COUNTIFS(input!$O:$O,April!$I$31,input!$E:$E,April!B39,input!$A:$A,April!$B$2)</f>
        <v>0</v>
      </c>
      <c r="J41" s="318">
        <f>COUNTIFS(input!$O:$O,April!$J$31,input!$E:$E,April!B39,input!$A:$A,April!$B$2)</f>
        <v>0</v>
      </c>
      <c r="K41" s="319">
        <f>COUNTIFS(input!$O:$O,April!$K$31,input!$E:$E,April!B39,input!$A:$A,April!$B$2)</f>
        <v>0</v>
      </c>
      <c r="L41" s="312">
        <f t="shared" si="0"/>
        <v>0</v>
      </c>
      <c r="M41" s="313" cm="1">
        <f t="array" ref="M41">_xlfn.IFS(L41=0,0,L41&gt;=1,L41/$L$62)</f>
        <v>0</v>
      </c>
      <c r="N41" s="1065" t="s">
        <v>65</v>
      </c>
      <c r="O41" s="1065"/>
      <c r="P41" s="1066"/>
      <c r="Q41" s="316">
        <f>COUNTIFS(input!$O:$O,April!$Q$31,input!$F:$F,April!N41,input!$A:$A,April!$B$2)</f>
        <v>0</v>
      </c>
      <c r="R41" s="316">
        <f>COUNTIFS(input!$O:$O,April!$R$31,input!$F:$F,April!N41,input!$A:$A,April!$B$2)</f>
        <v>0</v>
      </c>
      <c r="S41" s="316">
        <f>COUNTIFS(input!$O:$O,April!$S$31,input!$F:$F,April!N41,input!$A:$A,April!$B$2)</f>
        <v>0</v>
      </c>
      <c r="T41" s="321">
        <f>COUNTIFS(input!$O:$O,April!$T$31,input!$F:$F,April!N41,input!$A:$A,April!$B$2)</f>
        <v>0</v>
      </c>
      <c r="U41" s="322">
        <f>COUNTIFS(input!$O:$O,April!$U$31,input!$F:$F,April!N41,input!$A:$A,April!$B$2)</f>
        <v>0</v>
      </c>
      <c r="V41" s="322">
        <f>COUNTIFS(input!$O:$O,April!$V$31,input!$F:$F,April!N41,input!$A:$A,April!$B$2)</f>
        <v>0</v>
      </c>
      <c r="W41" s="323">
        <f>COUNTIFS(input!$O:$O,April!$W$31,input!$F:$F,April!N41,input!$A:$A,April!$B$2)</f>
        <v>0</v>
      </c>
      <c r="X41" s="324">
        <f>COUNTIFS(input!$O:$O,April!$X$31,input!$F:$F,April!N41,input!$A:$A,April!$B$2)</f>
        <v>0</v>
      </c>
      <c r="Y41" s="312">
        <f t="shared" si="1"/>
        <v>0</v>
      </c>
      <c r="Z41" s="315" cm="1">
        <f t="array" ref="Z41">_xlfn.IFS(Y41=0,0,Y41&gt;=1,Y41/$Y$62)</f>
        <v>0</v>
      </c>
    </row>
    <row r="42" spans="2:26" ht="92" x14ac:dyDescent="0.25">
      <c r="B42" s="990" t="s">
        <v>658</v>
      </c>
      <c r="C42" s="991"/>
      <c r="D42" s="316">
        <f>COUNTIFS(input!$O:$O,April!$D$31,input!$E:$E,April!B41,input!$A:$A,April!$B$2)</f>
        <v>0</v>
      </c>
      <c r="E42" s="316">
        <f>COUNTIFS(input!$O:$O,April!$E$31,input!$E:$E,April!B42,input!$A:$A,April!$B$2)</f>
        <v>0</v>
      </c>
      <c r="F42" s="317">
        <f>COUNTIFS(input!$O:$O,April!$F$31,input!$E:$E,April!B41,input!$A:$A,April!$B$2)</f>
        <v>0</v>
      </c>
      <c r="G42" s="318">
        <f>COUNTIFS(input!$O:$O,April!$G$31,input!$E:$E,April!B41,input!$A:$A,April!$B$2)</f>
        <v>0</v>
      </c>
      <c r="H42" s="318">
        <f>COUNTIFS(input!$O:$O,April!$H$31,input!$E:$E,April!B41,input!$A:$A,April!$B$2)</f>
        <v>0</v>
      </c>
      <c r="I42" s="318">
        <f>COUNTIFS(input!$O:$O,April!$I$31,input!$E:$E,April!B41,input!$A:$A,April!$B$2)</f>
        <v>0</v>
      </c>
      <c r="J42" s="318">
        <f>COUNTIFS(input!$O:$O,April!$J$31,input!$E:$E,April!B41,input!$A:$A,April!$B$2)</f>
        <v>0</v>
      </c>
      <c r="K42" s="319">
        <f>COUNTIFS(input!$O:$O,April!$K$31,input!$E:$E,April!B41,input!$A:$A,April!$B$2)</f>
        <v>0</v>
      </c>
      <c r="L42" s="312">
        <f t="shared" si="0"/>
        <v>0</v>
      </c>
      <c r="M42" s="313" cm="1">
        <f t="array" ref="M42">_xlfn.IFS(L42=0,0,L42&gt;=1,L42/$L$62)</f>
        <v>0</v>
      </c>
      <c r="N42" s="1016" t="s">
        <v>339</v>
      </c>
      <c r="O42" s="1016"/>
      <c r="P42" s="991"/>
      <c r="Q42" s="316">
        <f>COUNTIFS(input!$O:$O,April!$Q$31,input!$F:$F,April!N42,input!$A:$A,April!$B$2)</f>
        <v>0</v>
      </c>
      <c r="R42" s="316">
        <f>COUNTIFS(input!$O:$O,April!$R$31,input!$F:$F,April!N42,input!$A:$A,April!$B$2)</f>
        <v>0</v>
      </c>
      <c r="S42" s="316">
        <f>COUNTIFS(input!$O:$O,April!$S$31,input!$F:$F,April!N42,input!$A:$A,April!$B$2)</f>
        <v>0</v>
      </c>
      <c r="T42" s="321">
        <f>COUNTIFS(input!$O:$O,April!$T$31,input!$F:$F,April!N42,input!$A:$A,April!$B$2)</f>
        <v>0</v>
      </c>
      <c r="U42" s="322">
        <f>COUNTIFS(input!$O:$O,April!$U$31,input!$F:$F,April!N42,input!$A:$A,April!$B$2)</f>
        <v>0</v>
      </c>
      <c r="V42" s="322">
        <f>COUNTIFS(input!$O:$O,April!$V$31,input!$F:$F,April!N42,input!$A:$A,April!$B$2)</f>
        <v>0</v>
      </c>
      <c r="W42" s="323">
        <f>COUNTIFS(input!$O:$O,April!$W$31,input!$F:$F,April!N42,input!$A:$A,April!$B$2)</f>
        <v>1</v>
      </c>
      <c r="X42" s="324">
        <f>COUNTIFS(input!$O:$O,April!$X$31,input!$F:$F,April!N42,input!$A:$A,April!$B$2)</f>
        <v>0</v>
      </c>
      <c r="Y42" s="312">
        <f t="shared" si="1"/>
        <v>1</v>
      </c>
      <c r="Z42" s="315" cm="1">
        <f t="array" ref="Z42">_xlfn.IFS(Y42=0,0,Y42&gt;=1,Y42/$Y$62)</f>
        <v>4.5454545454545456E-2</v>
      </c>
    </row>
    <row r="43" spans="2:26" ht="92" hidden="1" customHeight="1" x14ac:dyDescent="0.25">
      <c r="B43" s="990" t="s">
        <v>18</v>
      </c>
      <c r="C43" s="991"/>
      <c r="D43" s="316">
        <f>COUNTIFS(input!$O:$O,April!$D$31,input!$E:$E,April!B42,input!$A:$A,April!$B$2)</f>
        <v>0</v>
      </c>
      <c r="E43" s="316">
        <f>COUNTIFS(input!$O:$O,April!$E$31,input!$E:$E,April!B43,input!$A:$A,April!$B$2)</f>
        <v>0</v>
      </c>
      <c r="F43" s="317">
        <f>COUNTIFS(input!$O:$O,April!$F$31,input!$E:$E,April!B42,input!$A:$A,April!$B$2)</f>
        <v>0</v>
      </c>
      <c r="G43" s="318">
        <f>COUNTIFS(input!$O:$O,April!$G$31,input!$E:$E,April!B42,input!$A:$A,April!$B$2)</f>
        <v>0</v>
      </c>
      <c r="H43" s="318">
        <f>COUNTIFS(input!$O:$O,April!$H$31,input!$E:$E,April!B42,input!$A:$A,April!$B$2)</f>
        <v>0</v>
      </c>
      <c r="I43" s="318">
        <f>COUNTIFS(input!$O:$O,April!$I$31,input!$E:$E,April!B42,input!$A:$A,April!$B$2)</f>
        <v>0</v>
      </c>
      <c r="J43" s="318">
        <f>COUNTIFS(input!$O:$O,April!$J$31,input!$E:$E,April!B42,input!$A:$A,April!$B$2)</f>
        <v>0</v>
      </c>
      <c r="K43" s="319">
        <f>COUNTIFS(input!$O:$O,April!$K$31,input!$E:$E,April!B42,input!$A:$A,April!$B$2)</f>
        <v>0</v>
      </c>
      <c r="L43" s="312">
        <f t="shared" si="0"/>
        <v>0</v>
      </c>
      <c r="M43" s="313" cm="1">
        <f t="array" ref="M43">_xlfn.IFS(L43=0,0,L43&gt;=1,L43/$L$62)</f>
        <v>0</v>
      </c>
      <c r="N43" s="1065" t="s">
        <v>67</v>
      </c>
      <c r="O43" s="1065"/>
      <c r="P43" s="1066"/>
      <c r="Q43" s="316">
        <f>COUNTIFS(input!$O:$O,April!$Q$31,input!$F:$F,April!N43,input!$A:$A,April!$B$2)</f>
        <v>0</v>
      </c>
      <c r="R43" s="316">
        <f>COUNTIFS(input!$O:$O,April!$R$31,input!$F:$F,April!N43,input!$A:$A,April!$B$2)</f>
        <v>0</v>
      </c>
      <c r="S43" s="316">
        <f>COUNTIFS(input!$O:$O,April!$S$31,input!$F:$F,April!N43,input!$A:$A,April!$B$2)</f>
        <v>0</v>
      </c>
      <c r="T43" s="321">
        <f>COUNTIFS(input!$O:$O,April!$T$31,input!$F:$F,April!N43,input!$A:$A,April!$B$2)</f>
        <v>0</v>
      </c>
      <c r="U43" s="322">
        <f>COUNTIFS(input!$O:$O,April!$U$31,input!$F:$F,April!N43,input!$A:$A,April!$B$2)</f>
        <v>0</v>
      </c>
      <c r="V43" s="322">
        <f>COUNTIFS(input!$O:$O,April!$V$31,input!$F:$F,April!N43,input!$A:$A,April!$B$2)</f>
        <v>0</v>
      </c>
      <c r="W43" s="323">
        <f>COUNTIFS(input!$O:$O,April!$W$31,input!$F:$F,April!N43,input!$A:$A,April!$B$2)</f>
        <v>0</v>
      </c>
      <c r="X43" s="324">
        <f>COUNTIFS(input!$O:$O,April!$X$31,input!$F:$F,April!N43,input!$A:$A,April!$B$2)</f>
        <v>0</v>
      </c>
      <c r="Y43" s="312">
        <f t="shared" si="1"/>
        <v>0</v>
      </c>
      <c r="Z43" s="315" cm="1">
        <f t="array" ref="Z43">_xlfn.IFS(Y43=0,0,Y43&gt;=1,Y43/$Y$62)</f>
        <v>0</v>
      </c>
    </row>
    <row r="44" spans="2:26" ht="92" customHeight="1" x14ac:dyDescent="0.25">
      <c r="B44" s="990" t="s">
        <v>410</v>
      </c>
      <c r="C44" s="991"/>
      <c r="D44" s="316">
        <f>COUNTIFS(input!$O:$O,April!$D$31,input!$E:$E,April!B43,input!$A:$A,April!$B$2)</f>
        <v>0</v>
      </c>
      <c r="E44" s="316">
        <f>COUNTIFS(input!$O:$O,April!$E$31,input!$E:$E,April!B44,input!$A:$A,April!$B$2)</f>
        <v>0</v>
      </c>
      <c r="F44" s="317">
        <f>COUNTIFS(input!$O:$O,April!$F$31,input!$E:$E,April!B43,input!$A:$A,April!$B$2)</f>
        <v>0</v>
      </c>
      <c r="G44" s="318">
        <f>COUNTIFS(input!$O:$O,April!$G$31,input!$E:$E,April!B43,input!$A:$A,April!$B$2)</f>
        <v>1</v>
      </c>
      <c r="H44" s="318">
        <f>COUNTIFS(input!$O:$O,April!$H$31,input!$E:$E,April!B43,input!$A:$A,April!$B$2)</f>
        <v>0</v>
      </c>
      <c r="I44" s="318">
        <f>COUNTIFS(input!$O:$O,April!$I$31,input!$E:$E,April!B43,input!$A:$A,April!$B$2)</f>
        <v>0</v>
      </c>
      <c r="J44" s="318">
        <f>COUNTIFS(input!$O:$O,April!$J$31,input!$E:$E,April!B43,input!$A:$A,April!$B$2)</f>
        <v>0</v>
      </c>
      <c r="K44" s="319">
        <f>COUNTIFS(input!$O:$O,April!$K$31,input!$E:$E,April!B43,input!$A:$A,April!$B$2)</f>
        <v>0</v>
      </c>
      <c r="L44" s="312">
        <f t="shared" si="0"/>
        <v>1</v>
      </c>
      <c r="M44" s="313" cm="1">
        <f t="array" ref="M44">_xlfn.IFS(L44=0,0,L44&gt;=1,L44/$L$62)</f>
        <v>4.5454545454545456E-2</v>
      </c>
      <c r="N44" s="1016" t="s">
        <v>122</v>
      </c>
      <c r="O44" s="1016"/>
      <c r="P44" s="991"/>
      <c r="Q44" s="316">
        <f>COUNTIFS(input!$O:$O,April!$Q$31,input!$F:$F,April!N44,input!$A:$A,April!$B$2)</f>
        <v>0</v>
      </c>
      <c r="R44" s="316">
        <f>COUNTIFS(input!$O:$O,April!$R$31,input!$F:$F,April!N44,input!$A:$A,April!$B$2)</f>
        <v>0</v>
      </c>
      <c r="S44" s="316">
        <f>COUNTIFS(input!$O:$O,April!$S$31,input!$F:$F,April!N44,input!$A:$A,April!$B$2)</f>
        <v>0</v>
      </c>
      <c r="T44" s="321">
        <f>COUNTIFS(input!$O:$O,April!$T$31,input!$F:$F,April!N44,input!$A:$A,April!$B$2)</f>
        <v>0</v>
      </c>
      <c r="U44" s="322">
        <f>COUNTIFS(input!$O:$O,April!$U$31,input!$F:$F,April!N44,input!$A:$A,April!$B$2)</f>
        <v>0</v>
      </c>
      <c r="V44" s="322">
        <f>COUNTIFS(input!$O:$O,April!$V$31,input!$F:$F,April!N44,input!$A:$A,April!$B$2)</f>
        <v>0</v>
      </c>
      <c r="W44" s="323">
        <f>COUNTIFS(input!$O:$O,April!$W$31,input!$F:$F,April!N44,input!$A:$A,April!$B$2)</f>
        <v>0</v>
      </c>
      <c r="X44" s="324">
        <f>COUNTIFS(input!$O:$O,April!$X$31,input!$F:$F,April!N44,input!$A:$A,April!$B$2)</f>
        <v>9</v>
      </c>
      <c r="Y44" s="312">
        <f t="shared" si="1"/>
        <v>9</v>
      </c>
      <c r="Z44" s="315" cm="1">
        <f t="array" ref="Z44">_xlfn.IFS(Y44=0,0,Y44&gt;=1,Y44/$Y$62)</f>
        <v>0.40909090909090912</v>
      </c>
    </row>
    <row r="45" spans="2:26" ht="92" customHeight="1" x14ac:dyDescent="0.25">
      <c r="B45" s="990" t="s">
        <v>1509</v>
      </c>
      <c r="C45" s="991"/>
      <c r="D45" s="316">
        <f>COUNTIFS(input!$O:$O,April!$D$31,input!$E:$E,April!B45,input!$A:$A,April!$B$2)</f>
        <v>0</v>
      </c>
      <c r="E45" s="316">
        <f>COUNTIFS(input!$O:$O,April!$E$31,input!$E:$E,April!B45,input!$A:$A,April!$B$2)</f>
        <v>0</v>
      </c>
      <c r="F45" s="317">
        <f>COUNTIFS(input!$O:$O,April!$F$31,input!$E:$E,April!B45,input!$A:$A,April!$B$2)</f>
        <v>0</v>
      </c>
      <c r="G45" s="318">
        <f>COUNTIFS(input!$O:$O,April!$G$31,input!$E:$E,April!B45,input!$A:$A,April!$B$2)</f>
        <v>0</v>
      </c>
      <c r="H45" s="318">
        <f>COUNTIFS(input!$O:$O,April!$H$31,input!$E:$E,April!B45,input!$A:$A,April!$B$2)</f>
        <v>0</v>
      </c>
      <c r="I45" s="318">
        <f>COUNTIFS(input!$O:$O,April!$I$31,input!$E:$E,April!B45,input!$A:$A,April!$B$2)</f>
        <v>0</v>
      </c>
      <c r="J45" s="318">
        <f>COUNTIFS(input!$O:$O,April!$J$31,input!$E:$E,April!B45,input!$A:$A,April!$B$2)</f>
        <v>1</v>
      </c>
      <c r="K45" s="319">
        <f>COUNTIFS(input!$O:$O,April!$K$31,input!$E:$E,April!B45,input!$A:$A,April!$B$2)</f>
        <v>0</v>
      </c>
      <c r="L45" s="312">
        <f>SUM(D45:K45)</f>
        <v>1</v>
      </c>
      <c r="M45" s="313" cm="1">
        <f t="array" ref="M45">_xlfn.IFS(L45=0,0,L45&gt;=1,L45/$L$62)</f>
        <v>4.5454545454545456E-2</v>
      </c>
      <c r="N45" s="1065" t="s">
        <v>135</v>
      </c>
      <c r="O45" s="1065"/>
      <c r="P45" s="1066"/>
      <c r="Q45" s="316">
        <f>COUNTIFS(input!$O:$O,April!$Q$31,input!$F:$F,April!N45,input!$A:$A,April!$B$2)</f>
        <v>0</v>
      </c>
      <c r="R45" s="316">
        <f>COUNTIFS(input!$O:$O,April!$R$31,input!$F:$F,April!N45,input!$A:$A,April!$B$2)</f>
        <v>0</v>
      </c>
      <c r="S45" s="316">
        <f>COUNTIFS(input!$O:$O,April!$S$31,input!$F:$F,April!N45,input!$A:$A,April!$B$2)</f>
        <v>0</v>
      </c>
      <c r="T45" s="321">
        <f>COUNTIFS(input!$O:$O,April!$T$31,input!$F:$F,April!N45,input!$A:$A,April!$B$2)</f>
        <v>0</v>
      </c>
      <c r="U45" s="322">
        <f>COUNTIFS(input!$O:$O,April!$U$31,input!$F:$F,April!N45,input!$A:$A,April!$B$2)</f>
        <v>0</v>
      </c>
      <c r="V45" s="322">
        <f>COUNTIFS(input!$O:$O,April!$V$31,input!$F:$F,April!N45,input!$A:$A,April!$B$2)</f>
        <v>0</v>
      </c>
      <c r="W45" s="323">
        <f>COUNTIFS(input!$O:$O,April!$W$31,input!$F:$F,April!N45,input!$A:$A,April!$B$2)</f>
        <v>0</v>
      </c>
      <c r="X45" s="324">
        <f>COUNTIFS(input!$O:$O,April!$X$31,input!$F:$F,April!N45,input!$A:$A,April!$B$2)</f>
        <v>0</v>
      </c>
      <c r="Y45" s="312">
        <f t="shared" si="1"/>
        <v>0</v>
      </c>
      <c r="Z45" s="315" cm="1">
        <f t="array" ref="Z45">_xlfn.IFS(Y45=0,0,Y45&gt;=1,Y45/$Y$62)</f>
        <v>0</v>
      </c>
    </row>
    <row r="46" spans="2:26" ht="92" hidden="1" customHeight="1" x14ac:dyDescent="0.25">
      <c r="B46" s="990" t="s">
        <v>747</v>
      </c>
      <c r="C46" s="991"/>
      <c r="D46" s="316">
        <f>COUNTIFS(input!$O:$O,April!$D$31,input!$E:$E,April!B44,input!$A:$A,April!$B$2)</f>
        <v>0</v>
      </c>
      <c r="E46" s="316">
        <f>COUNTIFS(input!$O:$O,April!$E$31,input!$E:$E,April!B46,input!$A:$A,April!$B$2)</f>
        <v>0</v>
      </c>
      <c r="F46" s="317">
        <f>COUNTIFS(input!$O:$O,April!$F$31,input!$E:$E,April!B44,input!$A:$A,April!$B$2)</f>
        <v>0</v>
      </c>
      <c r="G46" s="318">
        <f>COUNTIFS(input!$O:$O,April!$G$31,input!$E:$E,April!B44,input!$A:$A,April!$B$2)</f>
        <v>0</v>
      </c>
      <c r="H46" s="318">
        <f>COUNTIFS(input!$O:$O,April!$H$31,input!$E:$E,April!B44,input!$A:$A,April!$B$2)</f>
        <v>0</v>
      </c>
      <c r="I46" s="318">
        <f>COUNTIFS(input!$O:$O,April!$I$31,input!$E:$E,April!B44,input!$A:$A,April!$B$2)</f>
        <v>0</v>
      </c>
      <c r="J46" s="318">
        <f>COUNTIFS(input!$O:$O,April!$J$31,input!$E:$E,April!B44,input!$A:$A,April!$B$2)</f>
        <v>0</v>
      </c>
      <c r="K46" s="319">
        <f>COUNTIFS(input!$O:$O,April!$K$31,input!$E:$E,April!B44,input!$A:$A,April!$B$2)</f>
        <v>0</v>
      </c>
      <c r="L46" s="312">
        <f t="shared" si="0"/>
        <v>0</v>
      </c>
      <c r="M46" s="313" cm="1">
        <f t="array" ref="M46">_xlfn.IFS(L46=0,0,L46&gt;=1,L46/$L$62)</f>
        <v>0</v>
      </c>
      <c r="N46" s="1065" t="s">
        <v>95</v>
      </c>
      <c r="O46" s="1065"/>
      <c r="P46" s="1066"/>
      <c r="Q46" s="316">
        <f>COUNTIFS(input!$O:$O,April!$Q$31,input!$F:$F,April!N46,input!$A:$A,April!$B$2)</f>
        <v>0</v>
      </c>
      <c r="R46" s="316">
        <f>COUNTIFS(input!$O:$O,April!$R$31,input!$F:$F,April!N46,input!$A:$A,April!$B$2)</f>
        <v>0</v>
      </c>
      <c r="S46" s="316">
        <f>COUNTIFS(input!$O:$O,April!$S$31,input!$F:$F,April!N46,input!$A:$A,April!$B$2)</f>
        <v>0</v>
      </c>
      <c r="T46" s="321">
        <f>COUNTIFS(input!$O:$O,April!$T$31,input!$F:$F,April!N46,input!$A:$A,April!$B$2)</f>
        <v>0</v>
      </c>
      <c r="U46" s="322">
        <f>COUNTIFS(input!$O:$O,April!$U$31,input!$F:$F,April!N46,input!$A:$A,April!$B$2)</f>
        <v>0</v>
      </c>
      <c r="V46" s="322">
        <f>COUNTIFS(input!$O:$O,April!$V$31,input!$F:$F,April!N46,input!$A:$A,April!$B$2)</f>
        <v>0</v>
      </c>
      <c r="W46" s="323">
        <f>COUNTIFS(input!$O:$O,April!$W$31,input!$F:$F,April!N46,input!$A:$A,April!$B$2)</f>
        <v>0</v>
      </c>
      <c r="X46" s="324">
        <f>COUNTIFS(input!$O:$O,April!$X$31,input!$F:$F,April!N46,input!$A:$A,April!$B$2)</f>
        <v>0</v>
      </c>
      <c r="Y46" s="312">
        <f t="shared" si="1"/>
        <v>0</v>
      </c>
      <c r="Z46" s="315" cm="1">
        <f t="array" ref="Z46">_xlfn.IFS(Y46=0,0,Y46&gt;=1,Y46/$Y$62)</f>
        <v>0</v>
      </c>
    </row>
    <row r="47" spans="2:26" ht="92" customHeight="1" x14ac:dyDescent="0.25">
      <c r="B47" s="990" t="s">
        <v>333</v>
      </c>
      <c r="C47" s="991"/>
      <c r="D47" s="316">
        <f>COUNTIFS(input!$O:$O,April!$D$31,input!$E:$E,April!B47,input!$A:$A,April!$B$2)</f>
        <v>0</v>
      </c>
      <c r="E47" s="316">
        <f>COUNTIFS(input!$O:$O,April!$E$31,input!$E:$E,April!B47,input!$A:$A,April!$B$2)</f>
        <v>0</v>
      </c>
      <c r="F47" s="329">
        <f>COUNTIFS(input!$O:$O,April!$F$31,input!$E:$E,April!B47,input!$A:$A,April!$B$2)</f>
        <v>0</v>
      </c>
      <c r="G47" s="330">
        <f>COUNTIFS(input!$O:$O,April!$G$31,input!$E:$E,April!B47,input!$A:$A,April!$B$2)</f>
        <v>2</v>
      </c>
      <c r="H47" s="330">
        <f>COUNTIFS(input!$O:$O,April!$H$31,input!$E:$E,April!B47,input!$A:$A,April!$B$2)</f>
        <v>0</v>
      </c>
      <c r="I47" s="330">
        <f>COUNTIFS(input!$O:$O,April!$I$31,input!$E:$E,April!B47,input!$A:$A,April!$B$2)</f>
        <v>1</v>
      </c>
      <c r="J47" s="330">
        <f>COUNTIFS(input!$O:$O,April!$J$31,input!$E:$E,April!B47,input!$A:$A,April!$B$2)</f>
        <v>0</v>
      </c>
      <c r="K47" s="330">
        <f>COUNTIFS(input!$O:$O,April!$K$31,input!$E:$E,April!B47,input!$A:$A,April!$B$2)</f>
        <v>0</v>
      </c>
      <c r="L47" s="312">
        <f>SUM(D47:K47)</f>
        <v>3</v>
      </c>
      <c r="M47" s="313" cm="1">
        <f t="array" ref="M47">_xlfn.IFS(L47=0,0,L47&gt;=1,L47/$L$62)</f>
        <v>0.13636363636363635</v>
      </c>
      <c r="N47" s="1065" t="s">
        <v>68</v>
      </c>
      <c r="O47" s="1065"/>
      <c r="P47" s="1066"/>
      <c r="Q47" s="316">
        <f>COUNTIFS(input!$O:$O,April!$Q$31,input!$F:$F,April!N47,input!$A:$A,April!$B$2)</f>
        <v>0</v>
      </c>
      <c r="R47" s="316">
        <f>COUNTIFS(input!$O:$O,April!$R$31,input!$F:$F,April!N47,input!$A:$A,April!$B$2)</f>
        <v>0</v>
      </c>
      <c r="S47" s="316">
        <f>COUNTIFS(input!$O:$O,April!$S$31,input!$F:$F,April!N47,input!$A:$A,April!$B$2)</f>
        <v>0</v>
      </c>
      <c r="T47" s="321">
        <f>COUNTIFS(input!$O:$O,April!$T$31,input!$F:$F,April!N47,input!$A:$A,April!$B$2)</f>
        <v>0</v>
      </c>
      <c r="U47" s="322">
        <f>COUNTIFS(input!$O:$O,April!$U$31,input!$F:$F,April!N47,input!$A:$A,April!$B$2)</f>
        <v>0</v>
      </c>
      <c r="V47" s="322">
        <f>COUNTIFS(input!$O:$O,April!$V$31,input!$F:$F,April!N47,input!$A:$A,April!$B$2)</f>
        <v>0</v>
      </c>
      <c r="W47" s="323">
        <f>COUNTIFS(input!$O:$O,April!$W$31,input!$F:$F,April!N47,input!$A:$A,April!$B$2)</f>
        <v>0</v>
      </c>
      <c r="X47" s="324">
        <f>COUNTIFS(input!$O:$O,April!$X$31,input!$F:$F,April!N47,input!$A:$A,April!$B$2)</f>
        <v>0</v>
      </c>
      <c r="Y47" s="312">
        <f t="shared" si="1"/>
        <v>0</v>
      </c>
      <c r="Z47" s="315" cm="1">
        <f t="array" ref="Z47">_xlfn.IFS(Y47=0,0,Y47&gt;=1,Y47/$Y$62)</f>
        <v>0</v>
      </c>
    </row>
    <row r="48" spans="2:26" ht="92" customHeight="1" x14ac:dyDescent="0.25">
      <c r="B48" s="990" t="s">
        <v>1550</v>
      </c>
      <c r="C48" s="991"/>
      <c r="D48" s="316">
        <f>COUNTIFS(input!$O:$O,April!$D$31,input!$E:$E,April!B48,input!$A:$A,April!$B$2)</f>
        <v>0</v>
      </c>
      <c r="E48" s="316">
        <f>COUNTIFS(input!$O:$O,April!$E$31,input!$E:$E,April!B48,input!$A:$A,April!$B$2)</f>
        <v>0</v>
      </c>
      <c r="F48" s="329">
        <f>COUNTIFS(input!$O:$O,April!$F$31,input!$E:$E,April!B48,input!$A:$A,April!$B$2)</f>
        <v>0</v>
      </c>
      <c r="G48" s="330">
        <f>COUNTIFS(input!$O:$O,April!$G$31,input!$E:$E,April!B48,input!$A:$A,April!$B$2)</f>
        <v>0</v>
      </c>
      <c r="H48" s="330">
        <f>COUNTIFS(input!$O:$O,April!$H$31,input!$E:$E,April!B48,input!$A:$A,April!$B$2)</f>
        <v>0</v>
      </c>
      <c r="I48" s="330">
        <f>COUNTIFS(input!$O:$O,April!$I$31,input!$E:$E,April!B48,input!$A:$A,April!$B$2)</f>
        <v>0</v>
      </c>
      <c r="J48" s="330">
        <f>COUNTIFS(input!$O:$O,April!$J$31,input!$E:$E,April!B48,input!$A:$A,April!$B$2)</f>
        <v>0</v>
      </c>
      <c r="K48" s="330">
        <f>COUNTIFS(input!$O:$O,April!$K$31,input!$E:$E,April!B48,input!$A:$A,April!$B$2)</f>
        <v>1</v>
      </c>
      <c r="L48" s="312">
        <f>SUM(D48:K48)</f>
        <v>1</v>
      </c>
      <c r="M48" s="313" cm="1">
        <f t="array" ref="M48">_xlfn.IFS(L48=0,0,L48&gt;=1,L48/$L$62)</f>
        <v>4.5454545454545456E-2</v>
      </c>
      <c r="N48" s="390" t="s">
        <v>69</v>
      </c>
      <c r="O48" s="390"/>
      <c r="P48" s="391"/>
      <c r="Q48" s="316">
        <f>COUNTIFS(input!$O:$O,April!$Q$31,input!$F:$F,April!N48,input!$A:$A,April!$B$2)</f>
        <v>0</v>
      </c>
      <c r="R48" s="316">
        <f>COUNTIFS(input!$O:$O,April!$R$31,input!$F:$F,April!N48,input!$A:$A,April!$B$2)</f>
        <v>0</v>
      </c>
      <c r="S48" s="316">
        <f>COUNTIFS(input!$O:$O,April!$S$31,input!$F:$F,April!N48,input!$A:$A,April!$B$2)</f>
        <v>0</v>
      </c>
      <c r="T48" s="321">
        <f>COUNTIFS(input!$O:$O,April!$T$31,input!$F:$F,April!N48,input!$A:$A,April!$B$2)</f>
        <v>0</v>
      </c>
      <c r="U48" s="322">
        <f>COUNTIFS(input!$O:$O,April!$U$31,input!$F:$F,April!N48,input!$A:$A,April!$B$2)</f>
        <v>0</v>
      </c>
      <c r="V48" s="322">
        <f>COUNTIFS(input!$O:$O,April!$V$31,input!$F:$F,April!N48,input!$A:$A,April!$B$2)</f>
        <v>0</v>
      </c>
      <c r="W48" s="323">
        <f>COUNTIFS(input!$O:$O,April!$W$31,input!$F:$F,April!N48,input!$A:$A,April!$B$2)</f>
        <v>0</v>
      </c>
      <c r="X48" s="324">
        <f>COUNTIFS(input!$O:$O,April!$X$31,input!$F:$F,April!N48,input!$A:$A,April!$B$2)</f>
        <v>0</v>
      </c>
      <c r="Y48" s="312">
        <f t="shared" ref="Y48:Y54" si="2">SUM(Q48:X48)</f>
        <v>0</v>
      </c>
      <c r="Z48" s="315" cm="1">
        <f t="array" ref="Z48">_xlfn.IFS(Y48=0,0,Y48&gt;=1,Y48/$Y$62)</f>
        <v>0</v>
      </c>
    </row>
    <row r="49" spans="2:26" ht="92" hidden="1" customHeight="1" x14ac:dyDescent="0.25">
      <c r="B49" s="990" t="s">
        <v>93</v>
      </c>
      <c r="C49" s="991"/>
      <c r="D49" s="316">
        <f>COUNTIFS(input!$O:$O,April!$D$31,input!$E:$E,April!B46,input!$A:$A,April!$B$2)</f>
        <v>0</v>
      </c>
      <c r="E49" s="316">
        <f>COUNTIFS(input!$O:$O,April!$E$31,input!$E:$E,April!B49,input!$A:$A,April!$B$2)</f>
        <v>0</v>
      </c>
      <c r="F49" s="317">
        <f>COUNTIFS(input!$O:$O,April!$F$31,input!$E:$E,April!B46,input!$A:$A,April!$B$2)</f>
        <v>0</v>
      </c>
      <c r="G49" s="318">
        <f>COUNTIFS(input!$O:$O,April!$G$31,input!$E:$E,April!B46,input!$A:$A,April!$B$2)</f>
        <v>0</v>
      </c>
      <c r="H49" s="318">
        <f>COUNTIFS(input!$O:$O,April!$H$31,input!$E:$E,April!B46,input!$A:$A,April!$B$2)</f>
        <v>0</v>
      </c>
      <c r="I49" s="318">
        <f>COUNTIFS(input!$O:$O,April!$I$31,input!$E:$E,April!B46,input!$A:$A,April!$B$2)</f>
        <v>0</v>
      </c>
      <c r="J49" s="318">
        <f>COUNTIFS(input!$O:$O,April!$J$31,input!$E:$E,April!B46,input!$A:$A,April!$B$2)</f>
        <v>0</v>
      </c>
      <c r="K49" s="319">
        <f>COUNTIFS(input!$O:$O,April!$K$31,input!$E:$E,April!B46,input!$A:$A,April!$B$2)</f>
        <v>0</v>
      </c>
      <c r="L49" s="312">
        <f t="shared" si="0"/>
        <v>0</v>
      </c>
      <c r="M49" s="313" cm="1">
        <f t="array" ref="M49">_xlfn.IFS(L49=0,0,L49&gt;=1,L49/$L$62)</f>
        <v>0</v>
      </c>
      <c r="N49" s="390" t="s">
        <v>84</v>
      </c>
      <c r="O49" s="390"/>
      <c r="P49" s="391"/>
      <c r="Q49" s="316">
        <f>COUNTIFS(input!$O:$O,April!$Q$31,input!$F:$F,April!N49,input!$A:$A,April!$B$2)</f>
        <v>0</v>
      </c>
      <c r="R49" s="316">
        <f>COUNTIFS(input!$O:$O,April!$R$31,input!$F:$F,April!N49,input!$A:$A,April!$B$2)</f>
        <v>0</v>
      </c>
      <c r="S49" s="316">
        <f>COUNTIFS(input!$O:$O,April!$S$31,input!$F:$F,April!N49,input!$A:$A,April!$B$2)</f>
        <v>0</v>
      </c>
      <c r="T49" s="321">
        <f>COUNTIFS(input!$O:$O,April!$T$31,input!$F:$F,April!N49,input!$A:$A,April!$B$2)</f>
        <v>0</v>
      </c>
      <c r="U49" s="322">
        <f>COUNTIFS(input!$O:$O,April!$U$31,input!$F:$F,April!N49,input!$A:$A,April!$B$2)</f>
        <v>0</v>
      </c>
      <c r="V49" s="322">
        <f>COUNTIFS(input!$O:$O,April!$V$31,input!$F:$F,April!N49,input!$A:$A,April!$B$2)</f>
        <v>0</v>
      </c>
      <c r="W49" s="323">
        <f>COUNTIFS(input!$O:$O,April!$W$31,input!$F:$F,April!N49,input!$A:$A,April!$B$2)</f>
        <v>0</v>
      </c>
      <c r="X49" s="324">
        <f>COUNTIFS(input!$O:$O,April!$X$31,input!$F:$F,April!N49,input!$A:$A,April!$B$2)</f>
        <v>0</v>
      </c>
      <c r="Y49" s="312">
        <f t="shared" si="2"/>
        <v>0</v>
      </c>
      <c r="Z49" s="315" cm="1">
        <f t="array" ref="Z49">_xlfn.IFS(Y49=0,0,Y49&gt;=1,Y49/$Y$62)</f>
        <v>0</v>
      </c>
    </row>
    <row r="50" spans="2:26" ht="92" hidden="1" customHeight="1" x14ac:dyDescent="0.25">
      <c r="B50" s="990" t="s">
        <v>334</v>
      </c>
      <c r="C50" s="991"/>
      <c r="D50" s="316">
        <f>COUNTIFS(input!$O:$O,April!$D$31,input!$E:$E,April!B49,input!$A:$A,April!$B$2)</f>
        <v>0</v>
      </c>
      <c r="E50" s="316">
        <f>COUNTIFS(input!$O:$O,April!$E$31,input!$E:$E,April!B50,input!$A:$A,April!$B$2)</f>
        <v>0</v>
      </c>
      <c r="F50" s="317">
        <f>COUNTIFS(input!$O:$O,April!$F$31,input!$E:$E,April!B49,input!$A:$A,April!$B$2)</f>
        <v>0</v>
      </c>
      <c r="G50" s="318">
        <f>COUNTIFS(input!$O:$O,April!$G$31,input!$E:$E,April!B49,input!$A:$A,April!$B$2)</f>
        <v>0</v>
      </c>
      <c r="H50" s="318">
        <f>COUNTIFS(input!$O:$O,April!$H$31,input!$E:$E,April!B49,input!$A:$A,April!$B$2)</f>
        <v>0</v>
      </c>
      <c r="I50" s="318">
        <f>COUNTIFS(input!$O:$O,April!$I$31,input!$E:$E,April!B49,input!$A:$A,April!$B$2)</f>
        <v>0</v>
      </c>
      <c r="J50" s="318">
        <f>COUNTIFS(input!$O:$O,April!$J$31,input!$E:$E,April!B49,input!$A:$A,April!$B$2)</f>
        <v>0</v>
      </c>
      <c r="K50" s="319">
        <f>COUNTIFS(input!$O:$O,April!$K$31,input!$E:$E,April!B49,input!$A:$A,April!$B$2)</f>
        <v>0</v>
      </c>
      <c r="L50" s="312">
        <f t="shared" si="0"/>
        <v>0</v>
      </c>
      <c r="M50" s="313" cm="1">
        <f t="array" ref="M50">_xlfn.IFS(L50=0,0,L50&gt;=1,L50/$L$62)</f>
        <v>0</v>
      </c>
      <c r="N50" s="390" t="s">
        <v>56</v>
      </c>
      <c r="O50" s="390"/>
      <c r="P50" s="391"/>
      <c r="Q50" s="316">
        <f>COUNTIFS(input!$O:$O,April!$Q$31,input!$F:$F,April!N50,input!$A:$A,April!$B$2)</f>
        <v>0</v>
      </c>
      <c r="R50" s="316">
        <f>COUNTIFS(input!$O:$O,April!$R$31,input!$F:$F,April!N50,input!$A:$A,April!$B$2)</f>
        <v>0</v>
      </c>
      <c r="S50" s="316">
        <f>COUNTIFS(input!$O:$O,April!$S$31,input!$F:$F,April!N50,input!$A:$A,April!$B$2)</f>
        <v>0</v>
      </c>
      <c r="T50" s="321">
        <f>COUNTIFS(input!$O:$O,April!$T$31,input!$F:$F,April!N50,input!$A:$A,April!$B$2)</f>
        <v>0</v>
      </c>
      <c r="U50" s="322">
        <f>COUNTIFS(input!$O:$O,April!$U$31,input!$F:$F,April!N50,input!$A:$A,April!$B$2)</f>
        <v>0</v>
      </c>
      <c r="V50" s="322">
        <f>COUNTIFS(input!$O:$O,April!$V$31,input!$F:$F,April!N50,input!$A:$A,April!$B$2)</f>
        <v>0</v>
      </c>
      <c r="W50" s="323">
        <f>COUNTIFS(input!$O:$O,April!$W$31,input!$F:$F,April!N50,input!$A:$A,April!$B$2)</f>
        <v>0</v>
      </c>
      <c r="X50" s="324">
        <f>COUNTIFS(input!$O:$O,April!$X$31,input!$F:$F,April!N50,input!$A:$A,April!$B$2)</f>
        <v>0</v>
      </c>
      <c r="Y50" s="312">
        <f t="shared" si="2"/>
        <v>0</v>
      </c>
      <c r="Z50" s="315" cm="1">
        <f t="array" ref="Z50">_xlfn.IFS(Y50=0,0,Y50&gt;=1,Y50/$Y$62)</f>
        <v>0</v>
      </c>
    </row>
    <row r="51" spans="2:26" ht="92" customHeight="1" x14ac:dyDescent="0.25">
      <c r="B51" s="990" t="s">
        <v>881</v>
      </c>
      <c r="C51" s="991"/>
      <c r="D51" s="316">
        <f>COUNTIFS(input!$O:$O,April!$D$31,input!$E:$E,April!B50,input!$A:$A,April!$B$2)</f>
        <v>0</v>
      </c>
      <c r="E51" s="316">
        <f>COUNTIFS(input!$O:$O,April!$E$31,input!$E:$E,April!B51,input!$A:$A,April!$B$2)</f>
        <v>0</v>
      </c>
      <c r="F51" s="317">
        <f>COUNTIFS(input!$O:$O,April!$F$31,input!$E:$E,April!B50,input!$A:$A,April!$B$2)</f>
        <v>0</v>
      </c>
      <c r="G51" s="318">
        <f>COUNTIFS(input!$O:$O,April!$G$31,input!$E:$E,April!B50,input!$A:$A,April!$B$2)</f>
        <v>1</v>
      </c>
      <c r="H51" s="318">
        <f>COUNTIFS(input!$O:$O,April!$H$31,input!$E:$E,April!B50,input!$A:$A,April!$B$2)</f>
        <v>0</v>
      </c>
      <c r="I51" s="318">
        <f>COUNTIFS(input!$O:$O,April!$I$31,input!$E:$E,April!B50,input!$A:$A,April!$B$2)</f>
        <v>0</v>
      </c>
      <c r="J51" s="318">
        <f>COUNTIFS(input!$O:$O,April!$J$31,input!$E:$E,April!B50,input!$A:$A,April!$B$2)</f>
        <v>0</v>
      </c>
      <c r="K51" s="318">
        <f>COUNTIFS(input!$O:$O,April!$K$31,input!$E:$E,April!B51,input!$A:$A,April!$B$2)</f>
        <v>0</v>
      </c>
      <c r="L51" s="312">
        <f t="shared" si="0"/>
        <v>1</v>
      </c>
      <c r="M51" s="313" cm="1">
        <f t="array" ref="M51">_xlfn.IFS(L51=0,0,L51&gt;=1,L51/$L$62)</f>
        <v>4.5454545454545456E-2</v>
      </c>
      <c r="N51" s="389" t="s">
        <v>203</v>
      </c>
      <c r="O51" s="389"/>
      <c r="P51" s="388"/>
      <c r="Q51" s="316">
        <f>COUNTIFS(input!$O:$O,April!$Q$31,input!$F:$F,April!N51,input!$A:$A,April!$B$2)</f>
        <v>0</v>
      </c>
      <c r="R51" s="316">
        <f>COUNTIFS(input!$O:$O,April!$R$31,input!$F:$F,April!N51,input!$A:$A,April!$B$2)</f>
        <v>0</v>
      </c>
      <c r="S51" s="316">
        <f>COUNTIFS(input!$O:$O,April!$S$31,input!$F:$F,April!N51,input!$A:$A,April!$B$2)</f>
        <v>0</v>
      </c>
      <c r="T51" s="321">
        <f>COUNTIFS(input!$O:$O,April!$T$31,input!$F:$F,April!N51,input!$A:$A,April!$B$2)</f>
        <v>0</v>
      </c>
      <c r="U51" s="322">
        <f>COUNTIFS(input!$O:$O,April!$U$31,input!$F:$F,April!N51,input!$A:$A,April!$B$2)</f>
        <v>0</v>
      </c>
      <c r="V51" s="322">
        <f>COUNTIFS(input!$O:$O,April!$V$31,input!$F:$F,April!N51,input!$A:$A,April!$B$2)</f>
        <v>4</v>
      </c>
      <c r="W51" s="323">
        <f>COUNTIFS(input!$O:$O,April!$W$31,input!$F:$F,April!N51,input!$A:$A,April!$B$2)</f>
        <v>0</v>
      </c>
      <c r="X51" s="324">
        <f>COUNTIFS(input!$O:$O,April!$X$31,input!$F:$F,April!N51,input!$A:$A,April!$B$2)</f>
        <v>0</v>
      </c>
      <c r="Y51" s="312">
        <f t="shared" si="2"/>
        <v>4</v>
      </c>
      <c r="Z51" s="315" cm="1">
        <f t="array" ref="Z51">_xlfn.IFS(Y51=0,0,Y51&gt;=1,Y51/$Y$62)</f>
        <v>0.18181818181818182</v>
      </c>
    </row>
    <row r="52" spans="2:26" ht="92" hidden="1" customHeight="1" x14ac:dyDescent="0.25">
      <c r="B52" s="990" t="s">
        <v>813</v>
      </c>
      <c r="C52" s="991"/>
      <c r="D52" s="316">
        <f>COUNTIFS(input!$O:$O,April!$D$31,input!$E:$E,April!B51,input!$A:$A,April!$B$2)</f>
        <v>0</v>
      </c>
      <c r="E52" s="316">
        <f>COUNTIFS(input!$O:$O,April!$E$31,input!$E:$E,April!B52,input!$A:$A,April!$B$2)</f>
        <v>0</v>
      </c>
      <c r="F52" s="317">
        <f>COUNTIFS(input!$O:$O,April!$F$31,input!$E:$E,April!B51,input!$A:$A,April!$B$2)</f>
        <v>0</v>
      </c>
      <c r="G52" s="318">
        <f>COUNTIFS(input!$O:$O,April!$G$31,input!$E:$E,April!B51,input!$A:$A,April!$B$2)</f>
        <v>0</v>
      </c>
      <c r="H52" s="318">
        <f>COUNTIFS(input!$O:$O,April!$H$31,input!$E:$E,April!B51,input!$A:$A,April!$B$2)</f>
        <v>0</v>
      </c>
      <c r="I52" s="318">
        <f>COUNTIFS(input!$O:$O,April!$I$31,input!$E:$E,April!B51,input!$A:$A,April!$B$2)</f>
        <v>0</v>
      </c>
      <c r="J52" s="318">
        <f>COUNTIFS(input!$O:$O,April!$J$31,input!$E:$E,April!B51,input!$A:$A,April!$B$2)</f>
        <v>0</v>
      </c>
      <c r="K52" s="319">
        <f>COUNTIFS(input!$O:$O,April!$K$31,input!$E:$E,April!B51,input!$A:$A,April!$B$2)</f>
        <v>0</v>
      </c>
      <c r="L52" s="312">
        <f t="shared" si="0"/>
        <v>0</v>
      </c>
      <c r="M52" s="313" cm="1">
        <f t="array" ref="M52">_xlfn.IFS(L52=0,0,L52&gt;=1,L52/$L$62)</f>
        <v>0</v>
      </c>
      <c r="N52" s="390" t="s">
        <v>42</v>
      </c>
      <c r="O52" s="390"/>
      <c r="P52" s="391"/>
      <c r="Q52" s="316">
        <f>COUNTIFS(input!$O:$O,April!$Q$31,input!$F:$F,April!N52,input!$A:$A,April!$B$2)</f>
        <v>0</v>
      </c>
      <c r="R52" s="316">
        <f>COUNTIFS(input!$O:$O,April!$R$31,input!$F:$F,April!N52,input!$A:$A,April!$B$2)</f>
        <v>0</v>
      </c>
      <c r="S52" s="316">
        <f>COUNTIFS(input!$O:$O,April!$S$31,input!$F:$F,April!N52,input!$A:$A,April!$B$2)</f>
        <v>0</v>
      </c>
      <c r="T52" s="321">
        <f>COUNTIFS(input!$O:$O,April!$T$31,input!$F:$F,April!N52,input!$A:$A,April!$B$2)</f>
        <v>0</v>
      </c>
      <c r="U52" s="322">
        <f>COUNTIFS(input!$O:$O,April!$U$31,input!$F:$F,April!N52,input!$A:$A,April!$B$2)</f>
        <v>0</v>
      </c>
      <c r="V52" s="322">
        <f>COUNTIFS(input!$O:$O,April!$V$31,input!$F:$F,April!N52,input!$A:$A,April!$B$2)</f>
        <v>0</v>
      </c>
      <c r="W52" s="323">
        <f>COUNTIFS(input!$O:$O,April!$W$31,input!$F:$F,April!N52,input!$A:$A,April!$B$2)</f>
        <v>0</v>
      </c>
      <c r="X52" s="324">
        <f>COUNTIFS(input!$O:$O,April!$X$31,input!$F:$F,April!N52,input!$A:$A,April!$B$2)</f>
        <v>0</v>
      </c>
      <c r="Y52" s="312">
        <f t="shared" si="2"/>
        <v>0</v>
      </c>
      <c r="Z52" s="315" cm="1">
        <f t="array" ref="Z52">_xlfn.IFS(Y52=0,0,Y52&gt;=1,Y52/$Y$62)</f>
        <v>0</v>
      </c>
    </row>
    <row r="53" spans="2:26" ht="92" hidden="1" customHeight="1" x14ac:dyDescent="0.25">
      <c r="B53" s="990" t="s">
        <v>770</v>
      </c>
      <c r="C53" s="991"/>
      <c r="D53" s="316">
        <f>COUNTIFS(input!$O:$O,April!$D$31,input!$E:$E,April!B52,input!$A:$A,April!$B$2)</f>
        <v>0</v>
      </c>
      <c r="E53" s="316">
        <f>COUNTIFS(input!$O:$O,April!$E$31,input!$E:$E,April!B53,input!$A:$A,April!$B$2)</f>
        <v>0</v>
      </c>
      <c r="F53" s="317">
        <f>COUNTIFS(input!$O:$O,April!$F$31,input!$E:$E,April!B52,input!$A:$A,April!$B$2)</f>
        <v>0</v>
      </c>
      <c r="G53" s="318">
        <f>COUNTIFS(input!$O:$O,April!$G$31,input!$E:$E,April!B52,input!$A:$A,April!$B$2)</f>
        <v>0</v>
      </c>
      <c r="H53" s="318">
        <f>COUNTIFS(input!$O:$O,April!$H$31,input!$E:$E,April!B52,input!$A:$A,April!$B$2)</f>
        <v>0</v>
      </c>
      <c r="I53" s="318">
        <f>COUNTIFS(input!$O:$O,April!$I$31,input!$E:$E,April!B52,input!$A:$A,April!$B$2)</f>
        <v>0</v>
      </c>
      <c r="J53" s="318">
        <f>COUNTIFS(input!$O:$O,April!$J$31,input!$E:$E,April!B52,input!$A:$A,April!$B$2)</f>
        <v>0</v>
      </c>
      <c r="K53" s="319">
        <f>COUNTIFS(input!$O:$O,April!$K$31,input!$E:$E,April!B52,input!$A:$A,April!$B$2)</f>
        <v>0</v>
      </c>
      <c r="L53" s="312">
        <f t="shared" si="0"/>
        <v>0</v>
      </c>
      <c r="M53" s="313" cm="1">
        <f t="array" ref="M53">_xlfn.IFS(L53=0,0,L53&gt;=1,L53/$L$62)</f>
        <v>0</v>
      </c>
      <c r="N53" s="390" t="s">
        <v>703</v>
      </c>
      <c r="O53" s="390"/>
      <c r="P53" s="391"/>
      <c r="Q53" s="316">
        <f>COUNTIFS(input!$O:$O,April!$Q$31,input!$F:$F,April!N53,input!$A:$A,April!$B$2)</f>
        <v>0</v>
      </c>
      <c r="R53" s="316">
        <f>COUNTIFS(input!$O:$O,April!$R$31,input!$F:$F,April!N53,input!$A:$A,April!$B$2)</f>
        <v>0</v>
      </c>
      <c r="S53" s="316">
        <f>COUNTIFS(input!$O:$O,April!$S$31,input!$F:$F,April!N53,input!$A:$A,April!$B$2)</f>
        <v>0</v>
      </c>
      <c r="T53" s="321">
        <f>COUNTIFS(input!$O:$O,April!$T$31,input!$F:$F,April!N53,input!$A:$A,April!$B$2)</f>
        <v>0</v>
      </c>
      <c r="U53" s="322">
        <f>COUNTIFS(input!$O:$O,April!$U$31,input!$F:$F,April!N53,input!$A:$A,April!$B$2)</f>
        <v>0</v>
      </c>
      <c r="V53" s="322">
        <f>COUNTIFS(input!$O:$O,April!$V$31,input!$F:$F,April!N53,input!$A:$A,April!$B$2)</f>
        <v>0</v>
      </c>
      <c r="W53" s="323">
        <f>COUNTIFS(input!$O:$O,April!$W$31,input!$F:$F,April!N53,input!$A:$A,April!$B$2)</f>
        <v>0</v>
      </c>
      <c r="X53" s="324">
        <f>COUNTIFS(input!$O:$O,April!$X$31,input!$F:$F,April!N53,input!$A:$A,April!$B$2)</f>
        <v>0</v>
      </c>
      <c r="Y53" s="312">
        <f t="shared" si="2"/>
        <v>0</v>
      </c>
      <c r="Z53" s="315" cm="1">
        <f t="array" ref="Z53">_xlfn.IFS(Y53=0,0,Y53&gt;=1,Y53/$Y$62)</f>
        <v>0</v>
      </c>
    </row>
    <row r="54" spans="2:26" ht="92" customHeight="1" x14ac:dyDescent="0.25">
      <c r="B54" s="990" t="s">
        <v>850</v>
      </c>
      <c r="C54" s="991"/>
      <c r="D54" s="316">
        <f>COUNTIFS(input!$O:$O,April!$D$31,input!$E:$E,April!B53,input!$A:$A,April!$B$2)</f>
        <v>0</v>
      </c>
      <c r="E54" s="316">
        <f>COUNTIFS(input!$O:$O,April!$E$31,input!$E:$E,April!B54,input!$A:$A,April!$B$2)</f>
        <v>0</v>
      </c>
      <c r="F54" s="317">
        <f>COUNTIFS(input!$O:$O,April!$F$31,input!$E:$E,April!B54,input!$A:$A,April!$B$2)</f>
        <v>0</v>
      </c>
      <c r="G54" s="318">
        <f>COUNTIFS(input!$O:$O,April!$G$31,input!$E:$E,April!B53,input!$A:$A,April!$B$2)</f>
        <v>0</v>
      </c>
      <c r="H54" s="318">
        <f>COUNTIFS(input!$O:$O,April!$H$31,input!$E:$E,April!B53,input!$A:$A,April!$B$2)</f>
        <v>0</v>
      </c>
      <c r="I54" s="318">
        <f>COUNTIFS(input!$O:$O,April!$I$31,input!$E:$E,April!B53,input!$A:$A,April!$B$2)</f>
        <v>0</v>
      </c>
      <c r="J54" s="318">
        <f>COUNTIFS(input!$O:$O,April!$J$31,input!$E:$E,April!B53,input!$A:$A,April!$B$2)</f>
        <v>0</v>
      </c>
      <c r="K54" s="319">
        <f>COUNTIFS(input!$O:$O,April!$K$31,input!$E:$E,April!B53,input!$A:$A,April!$B$2)</f>
        <v>0</v>
      </c>
      <c r="L54" s="312">
        <f t="shared" si="0"/>
        <v>0</v>
      </c>
      <c r="M54" s="313" cm="1">
        <f t="array" ref="M54">_xlfn.IFS(L54=0,0,L54&gt;=1,L54/$L$62)</f>
        <v>0</v>
      </c>
      <c r="N54" s="1016" t="s">
        <v>1533</v>
      </c>
      <c r="O54" s="1016"/>
      <c r="P54" s="991"/>
      <c r="Q54" s="316">
        <f>COUNTIFS(input!$O:$O,April!$Q$31,input!$F:$F,April!N54,input!$A:$A,April!$B$2)</f>
        <v>0</v>
      </c>
      <c r="R54" s="316">
        <f>COUNTIFS(input!$O:$O,April!$R$31,input!$F:$F,April!N54,input!$A:$A,April!$B$2)</f>
        <v>0</v>
      </c>
      <c r="S54" s="316">
        <f>COUNTIFS(input!$O:$O,April!$S$31,input!$F:$F,April!N54,input!$A:$A,April!$B$2)</f>
        <v>0</v>
      </c>
      <c r="T54" s="321">
        <f>COUNTIFS(input!$O:$O,April!$T$31,input!$F:$F,April!N54,input!$A:$A,April!$B$2)</f>
        <v>0</v>
      </c>
      <c r="U54" s="322">
        <f>COUNTIFS(input!$O:$O,April!$U$31,input!$F:$F,April!N54,input!$A:$A,April!$B$2)</f>
        <v>0</v>
      </c>
      <c r="V54" s="322">
        <f>COUNTIFS(input!$O:$O,April!$V$31,input!$F:$F,April!N54,input!$A:$A,April!$B$2)</f>
        <v>0</v>
      </c>
      <c r="W54" s="323">
        <f>COUNTIFS(input!$O:$O,April!$W$31,input!$F:$F,April!N54,input!$A:$A,April!$B$2)</f>
        <v>0</v>
      </c>
      <c r="X54" s="324">
        <f>COUNTIFS(input!$O:$O,April!$X$31,input!$F:$F,April!N54,input!$A:$A,April!$B$2)</f>
        <v>1</v>
      </c>
      <c r="Y54" s="312">
        <f t="shared" si="2"/>
        <v>1</v>
      </c>
      <c r="Z54" s="315" cm="1">
        <f t="array" ref="Z54">_xlfn.IFS(Y54=0,0,Y54&gt;=1,Y54/$Y$62)</f>
        <v>4.5454545454545456E-2</v>
      </c>
    </row>
    <row r="55" spans="2:26" ht="92" x14ac:dyDescent="0.25">
      <c r="B55" s="990" t="s">
        <v>130</v>
      </c>
      <c r="C55" s="991"/>
      <c r="D55" s="316">
        <f>COUNTIFS(input!$O:$O,April!$D$31,input!$E:$E,April!B54,input!$A:$A,April!$B$2)</f>
        <v>0</v>
      </c>
      <c r="E55" s="316">
        <f>COUNTIFS(input!$O:$O,April!$E$31,input!$E:$E,April!B55,input!$A:$A,April!$B$2)</f>
        <v>1</v>
      </c>
      <c r="F55" s="329">
        <f>COUNTIFS(input!$O:$O,April!$F$31,input!$E:$E,April!B54,input!$A:$A,April!$B$2)</f>
        <v>0</v>
      </c>
      <c r="G55" s="330">
        <f>COUNTIFS(input!$O:$O,April!$G$31,input!$E:$E,April!B54,input!$A:$A,April!$B$2)</f>
        <v>0</v>
      </c>
      <c r="H55" s="318">
        <f>COUNTIFS(input!$O:$O,April!$H$31,input!$E:$E,April!B54,input!$A:$A,April!$B$2)</f>
        <v>0</v>
      </c>
      <c r="I55" s="330">
        <f>COUNTIFS(input!$O:$O,April!$I$31,input!$E:$E,April!B54,input!$A:$A,April!$B$2)</f>
        <v>0</v>
      </c>
      <c r="J55" s="330">
        <f>COUNTIFS(input!$O:$O,April!$J$31,input!$E:$E,April!B54,input!$A:$A,April!$B$2)</f>
        <v>0</v>
      </c>
      <c r="K55" s="330">
        <f>COUNTIFS(input!$O:$O,April!$K$31,input!$E:$E,April!B54,input!$A:$A,April!$B$2)</f>
        <v>0</v>
      </c>
      <c r="L55" s="312">
        <f t="shared" si="0"/>
        <v>1</v>
      </c>
      <c r="M55" s="313" cm="1">
        <f t="array" ref="M55">_xlfn.IFS(L55=0,0,L55&gt;=1,L55/$L$62)</f>
        <v>4.5454545454545456E-2</v>
      </c>
      <c r="N55" s="1016"/>
      <c r="O55" s="1016"/>
      <c r="P55" s="991"/>
      <c r="Q55" s="316">
        <f>COUNTIFS(input!$O:$O,April!$Q$31,input!$F:$F,April!N55,input!$A:$A,April!$B$2)</f>
        <v>0</v>
      </c>
      <c r="R55" s="316">
        <f>COUNTIFS(input!$O:$O,April!$R$31,input!$F:$F,April!N55,input!$A:$A,April!$B$2)</f>
        <v>0</v>
      </c>
      <c r="S55" s="316">
        <f>COUNTIFS(input!$O:$O,April!$S$31,input!$F:$F,April!N55,input!$A:$A,April!$B$2)</f>
        <v>0</v>
      </c>
      <c r="T55" s="321">
        <f>COUNTIFS(input!$O:$O,April!$T$31,input!$F:$F,April!N55,input!$A:$A,April!$B$2)</f>
        <v>0</v>
      </c>
      <c r="U55" s="322">
        <f>COUNTIFS(input!$O:$O,April!$U$31,input!$F:$F,April!N55,input!$A:$A,April!$B$2)</f>
        <v>0</v>
      </c>
      <c r="V55" s="322">
        <f>COUNTIFS(input!$O:$O,April!$V$31,input!$F:$F,April!N55,input!$A:$A,April!$B$2)</f>
        <v>0</v>
      </c>
      <c r="W55" s="323">
        <f>COUNTIFS(input!$O:$O,April!$W$31,input!$F:$F,April!N55,input!$A:$A,April!$B$2)</f>
        <v>0</v>
      </c>
      <c r="X55" s="324">
        <f>COUNTIFS(input!$O:$O,April!$X$31,input!$F:$F,April!N55,input!$A:$A,April!$B$2)</f>
        <v>0</v>
      </c>
      <c r="Y55" s="312">
        <f t="shared" si="1"/>
        <v>0</v>
      </c>
      <c r="Z55" s="315" cm="1">
        <f t="array" ref="Z55">_xlfn.IFS(Y55=0,0,Y55&gt;=1,Y55/$Y$62)</f>
        <v>0</v>
      </c>
    </row>
    <row r="56" spans="2:26" ht="92" customHeight="1" x14ac:dyDescent="0.25">
      <c r="B56" s="990" t="s">
        <v>1435</v>
      </c>
      <c r="C56" s="991"/>
      <c r="D56" s="316">
        <f>COUNTIFS(input!$O:$O,April!$D$31,input!$E:$E,April!B56,input!$A:$A,April!$B$2)</f>
        <v>0</v>
      </c>
      <c r="E56" s="316">
        <f>COUNTIFS(input!$O:$O,April!$E$31,input!$E:$E,April!B56,input!$A:$A,April!$B$2)</f>
        <v>0</v>
      </c>
      <c r="F56" s="329">
        <f>COUNTIFS(input!$O:$O,April!$F$31,input!$E:$E,April!B56,input!$A:$A,April!$B$2)</f>
        <v>0</v>
      </c>
      <c r="G56" s="330">
        <f>COUNTIFS(input!$O:$O,April!$G$31,input!$E:$E,April!B56,input!$A:$A,April!$B$2)</f>
        <v>0</v>
      </c>
      <c r="H56" s="330">
        <f>COUNTIFS(input!$O:$O,April!$H$31,input!$E:$E,April!B56,input!$A:$A,April!$B$2)</f>
        <v>0</v>
      </c>
      <c r="I56" s="330">
        <f>COUNTIFS(input!$O:$O,April!$I$31,input!$E:$E,April!B56,input!$A:$A,April!$B$2)</f>
        <v>1</v>
      </c>
      <c r="J56" s="330">
        <f>COUNTIFS(input!$O:$O,April!$J$31,input!$E:$E,April!B56,input!$A:$A,April!$B$2)</f>
        <v>0</v>
      </c>
      <c r="K56" s="330">
        <f>COUNTIFS(input!$O:$O,April!$K$31,input!$E:$E,April!B56,input!$A:$A,April!$B$2)</f>
        <v>0</v>
      </c>
      <c r="L56" s="312">
        <f>SUM(D56:K56)</f>
        <v>1</v>
      </c>
      <c r="M56" s="313" cm="1">
        <f t="array" ref="M56">_xlfn.IFS(L56=0,0,L56&gt;=1,L56/$L$62)</f>
        <v>4.5454545454545456E-2</v>
      </c>
      <c r="N56" s="1065"/>
      <c r="O56" s="1065"/>
      <c r="P56" s="1066"/>
      <c r="Q56" s="316">
        <f>COUNTIFS(input!$O:$O,April!$Q$31,input!$F:$F,April!N56,input!$A:$A,April!$B$2)</f>
        <v>0</v>
      </c>
      <c r="R56" s="316">
        <f>COUNTIFS(input!$O:$O,April!$R$31,input!$F:$F,April!N56,input!$A:$A,April!$B$2)</f>
        <v>0</v>
      </c>
      <c r="S56" s="316">
        <f>COUNTIFS(input!$O:$O,April!$S$31,input!$F:$F,April!N56,input!$A:$A,April!$B$2)</f>
        <v>0</v>
      </c>
      <c r="T56" s="321">
        <f>COUNTIFS(input!$O:$O,April!$T$31,input!$F:$F,April!N56,input!$A:$A,April!$B$2)</f>
        <v>0</v>
      </c>
      <c r="U56" s="322">
        <f>COUNTIFS(input!$O:$O,April!$U$31,input!$F:$F,April!N56,input!$A:$A,April!$B$2)</f>
        <v>0</v>
      </c>
      <c r="V56" s="322">
        <f>COUNTIFS(input!$O:$O,April!$V$31,input!$F:$F,April!N56,input!$A:$A,April!$B$2)</f>
        <v>0</v>
      </c>
      <c r="W56" s="323">
        <f>COUNTIFS(input!$O:$O,April!$W$31,input!$F:$F,April!N56,input!$A:$A,April!$B$2)</f>
        <v>0</v>
      </c>
      <c r="X56" s="324">
        <f>COUNTIFS(input!$O:$O,April!$X$31,input!$F:$F,April!N56,input!$A:$A,April!$B$2)</f>
        <v>0</v>
      </c>
      <c r="Y56" s="312">
        <f t="shared" si="1"/>
        <v>0</v>
      </c>
      <c r="Z56" s="315" cm="1">
        <f t="array" ref="Z56">_xlfn.IFS(Y56=0,0,Y56&gt;=1,Y56/$Y$62)</f>
        <v>0</v>
      </c>
    </row>
    <row r="57" spans="2:26" ht="92" hidden="1" customHeight="1" x14ac:dyDescent="0.25">
      <c r="B57" s="990" t="s">
        <v>777</v>
      </c>
      <c r="C57" s="991"/>
      <c r="D57" s="316">
        <f>COUNTIFS(input!$O:$O,April!$D$31,input!$E:$E,April!B55,input!$A:$A,April!$B$2)</f>
        <v>0</v>
      </c>
      <c r="E57" s="316">
        <f>COUNTIFS(input!$O:$O,April!$E$31,input!$E:$E,April!B57,input!$A:$A,April!$B$2)</f>
        <v>0</v>
      </c>
      <c r="F57" s="329">
        <f>COUNTIFS(input!$O:$O,April!$F$31,input!$E:$E,April!B55,input!$A:$A,April!$B$2)</f>
        <v>0</v>
      </c>
      <c r="G57" s="330">
        <f>COUNTIFS(input!$O:$O,April!$G$31,input!$E:$E,April!B55,input!$A:$A,April!$B$2)</f>
        <v>0</v>
      </c>
      <c r="H57" s="330">
        <f>COUNTIFS(input!$O:$O,April!$H$31,input!$E:$E,April!B54,input!$A:$A,April!$B$2)</f>
        <v>0</v>
      </c>
      <c r="I57" s="330">
        <f>COUNTIFS(input!$O:$O,April!$I$31,input!$E:$E,April!B55,input!$A:$A,April!$B$2)</f>
        <v>0</v>
      </c>
      <c r="J57" s="330">
        <f>COUNTIFS(input!$O:$O,April!$J$31,input!$E:$E,April!B55,input!$A:$A,April!$B$2)</f>
        <v>0</v>
      </c>
      <c r="K57" s="330">
        <f>COUNTIFS(input!$O:$O,April!$K$31,input!$E:$E,April!B55,input!$A:$A,April!$B$2)</f>
        <v>0</v>
      </c>
      <c r="L57" s="312">
        <f t="shared" si="0"/>
        <v>0</v>
      </c>
      <c r="M57" s="320" cm="1">
        <f t="array" ref="M57">_xlfn.IFS(L57=0,0,L57&gt;=1,L57/L62)</f>
        <v>0</v>
      </c>
      <c r="N57" s="1065"/>
      <c r="O57" s="1065"/>
      <c r="P57" s="1066"/>
      <c r="Q57" s="316">
        <f>COUNTIFS(input!$O:$O,April!$Q$31,input!$F:$F,April!N57,input!$A:$A,April!$B$2)</f>
        <v>0</v>
      </c>
      <c r="R57" s="316">
        <f>COUNTIFS(input!$O:$O,April!$R$31,input!$F:$F,April!N57,input!$A:$A,April!$B$2)</f>
        <v>0</v>
      </c>
      <c r="S57" s="316">
        <f>COUNTIFS(input!$O:$O,April!$S$31,input!$F:$F,April!N57,input!$A:$A,April!$B$2)</f>
        <v>0</v>
      </c>
      <c r="T57" s="321">
        <f>COUNTIFS(input!$O:$O,April!$T$31,input!$F:$F,April!N57,input!$A:$A,April!$B$2)</f>
        <v>0</v>
      </c>
      <c r="U57" s="322">
        <f>COUNTIFS(input!$O:$O,April!$U$31,input!$F:$F,April!N57,input!$A:$A,April!$B$2)</f>
        <v>0</v>
      </c>
      <c r="V57" s="322">
        <f>COUNTIFS(input!$O:$O,April!$V$31,input!$F:$F,April!N57,input!$A:$A,April!$B$2)</f>
        <v>0</v>
      </c>
      <c r="W57" s="323">
        <f>COUNTIFS(input!$O:$O,April!$W$31,input!$F:$F,April!N57,input!$A:$A,April!$B$2)</f>
        <v>0</v>
      </c>
      <c r="X57" s="324">
        <f>COUNTIFS(input!$O:$O,April!$X$31,input!$F:$F,April!N57,input!$A:$A,April!$B$2)</f>
        <v>0</v>
      </c>
      <c r="Y57" s="312">
        <f t="shared" si="1"/>
        <v>0</v>
      </c>
      <c r="Z57" s="315" cm="1">
        <f t="array" ref="Z57">_xlfn.IFS(Y57=0,0,Y57&gt;=1,Y57/$Y$62)</f>
        <v>0</v>
      </c>
    </row>
    <row r="58" spans="2:26" ht="92" hidden="1" customHeight="1" x14ac:dyDescent="0.25">
      <c r="B58" s="990" t="s">
        <v>41</v>
      </c>
      <c r="C58" s="991"/>
      <c r="D58" s="316">
        <f>COUNTIFS(input!$O:$O,April!$D$31,input!$E:$E,April!B57,input!$A:$A,April!$B$2)</f>
        <v>0</v>
      </c>
      <c r="E58" s="316">
        <f>COUNTIFS(input!$O:$O,April!$E$31,input!$E:$E,April!B58,input!$A:$A,April!$B$2)</f>
        <v>0</v>
      </c>
      <c r="F58" s="329">
        <f>COUNTIFS(input!$O:$O,April!$F$31,input!$E:$E,April!B57,input!$A:$A,April!$B$2)</f>
        <v>0</v>
      </c>
      <c r="G58" s="330">
        <f>COUNTIFS(input!$O:$O,April!$G$31,input!$E:$E,April!B57,input!$A:$A,April!$B$2)</f>
        <v>0</v>
      </c>
      <c r="H58" s="330">
        <f>COUNTIFS(input!$O:$O,April!$H$31,input!$E:$E,April!B57,input!$A:$A,April!$B$2)</f>
        <v>0</v>
      </c>
      <c r="I58" s="330">
        <f>COUNTIFS(input!$O:$O,April!$I$31,input!$E:$E,April!B57,input!$A:$A,April!$B$2)</f>
        <v>0</v>
      </c>
      <c r="J58" s="330">
        <f>COUNTIFS(input!$O:$O,April!$J$31,input!$E:$E,April!B57,input!$A:$A,April!$B$2)</f>
        <v>0</v>
      </c>
      <c r="K58" s="330">
        <f>COUNTIFS(input!$O:$O,April!$K$31,input!$E:$E,April!B57,input!$A:$A,April!$B$2)</f>
        <v>0</v>
      </c>
      <c r="L58" s="312">
        <f t="shared" si="0"/>
        <v>0</v>
      </c>
      <c r="M58" s="320" cm="1">
        <f t="array" ref="M58">_xlfn.IFS(L58=0,0,L58&gt;=1,L58/L62)</f>
        <v>0</v>
      </c>
      <c r="N58" s="1065"/>
      <c r="O58" s="1065"/>
      <c r="P58" s="1066"/>
      <c r="Q58" s="316">
        <f>COUNTIFS(input!$O:$O,April!$Q$31,input!$F:$F,April!N58,input!$A:$A,April!$B$2)</f>
        <v>0</v>
      </c>
      <c r="R58" s="316">
        <f>COUNTIFS(input!$O:$O,April!$R$31,input!$F:$F,April!N58,input!$A:$A,April!$B$2)</f>
        <v>0</v>
      </c>
      <c r="S58" s="316">
        <f>COUNTIFS(input!$O:$O,April!$S$31,input!$F:$F,April!N58,input!$A:$A,April!$B$2)</f>
        <v>0</v>
      </c>
      <c r="T58" s="321">
        <f>COUNTIFS(input!$O:$O,April!$T$31,input!$F:$F,April!N58,input!$A:$A,April!$B$2)</f>
        <v>0</v>
      </c>
      <c r="U58" s="322">
        <f>COUNTIFS(input!$O:$O,April!$U$31,input!$F:$F,April!N58,input!$A:$A,April!$B$2)</f>
        <v>0</v>
      </c>
      <c r="V58" s="322">
        <f>COUNTIFS(input!$O:$O,April!$V$31,input!$F:$F,April!N58,input!$A:$A,April!$B$2)</f>
        <v>0</v>
      </c>
      <c r="W58" s="323">
        <f>COUNTIFS(input!$O:$O,April!$W$31,input!$F:$F,April!N58,input!$A:$A,April!$B$2)</f>
        <v>0</v>
      </c>
      <c r="X58" s="324">
        <f>COUNTIFS(input!$O:$O,April!$X$31,input!$F:$F,April!N58,input!$A:$A,April!$B$2)</f>
        <v>0</v>
      </c>
      <c r="Y58" s="312">
        <f t="shared" si="1"/>
        <v>0</v>
      </c>
      <c r="Z58" s="315" cm="1">
        <f t="array" ref="Z58">_xlfn.IFS(Y58=0,0,Y58&gt;=1,Y58/$Y$62)</f>
        <v>0</v>
      </c>
    </row>
    <row r="59" spans="2:26" ht="92" hidden="1" x14ac:dyDescent="0.25">
      <c r="B59" s="990" t="s">
        <v>460</v>
      </c>
      <c r="C59" s="991"/>
      <c r="D59" s="316">
        <f>COUNTIFS(input!$O:$O,April!$D$31,input!$E:$E,April!B58,input!$A:$A,April!$B$2)</f>
        <v>0</v>
      </c>
      <c r="E59" s="316">
        <f>COUNTIFS(input!$O:$O,April!$E$31,input!$E:$E,April!B59,input!$A:$A,April!$B$2)</f>
        <v>0</v>
      </c>
      <c r="F59" s="329">
        <f>COUNTIFS(input!$O:$O,April!$F$31,input!$E:$E,April!B58,input!$A:$A,April!$B$2)</f>
        <v>0</v>
      </c>
      <c r="G59" s="330">
        <f>COUNTIFS(input!$O:$O,April!$G$31,input!$E:$E,April!B58,input!$A:$A,April!$B$2)</f>
        <v>0</v>
      </c>
      <c r="H59" s="330">
        <f>COUNTIFS(input!$O:$O,April!$H$31,input!$E:$E,April!B58,input!$A:$A,April!$B$2)</f>
        <v>0</v>
      </c>
      <c r="I59" s="330">
        <f>COUNTIFS(input!$O:$O,April!$I$31,input!$E:$E,April!B58,input!$A:$A,April!$B$2)</f>
        <v>0</v>
      </c>
      <c r="J59" s="330">
        <f>COUNTIFS(input!$O:$O,April!$J$31,input!$E:$E,April!B58,input!$A:$A,April!$B$2)</f>
        <v>0</v>
      </c>
      <c r="K59" s="330">
        <f>COUNTIFS(input!$O:$O,April!$K$31,input!$E:$E,April!B58,input!$A:$A,April!$B$2)</f>
        <v>0</v>
      </c>
      <c r="L59" s="312">
        <f t="shared" si="0"/>
        <v>0</v>
      </c>
      <c r="M59" s="320" cm="1">
        <f t="array" ref="M59">_xlfn.IFS(L59=0,0,L59&gt;=1,L59/$L62)</f>
        <v>0</v>
      </c>
      <c r="N59" s="1058"/>
      <c r="O59" s="1016"/>
      <c r="P59" s="991"/>
      <c r="Q59" s="316">
        <f>COUNTIFS(input!$O:$O,April!$Q$31,input!$F:$F,April!N59,input!$A:$A,April!$B$2)</f>
        <v>0</v>
      </c>
      <c r="R59" s="316">
        <f>COUNTIFS(input!$O:$O,April!$R$31,input!$F:$F,April!N59,input!$A:$A,April!$B$2)</f>
        <v>0</v>
      </c>
      <c r="S59" s="316">
        <f>COUNTIFS(input!$O:$O,April!$S$31,input!$F:$F,April!N59,input!$A:$A,April!$B$2)</f>
        <v>0</v>
      </c>
      <c r="T59" s="321">
        <f>COUNTIFS(input!$O:$O,April!$T$31,input!$F:$F,April!N59,input!$A:$A,April!$B$2)</f>
        <v>0</v>
      </c>
      <c r="U59" s="322">
        <f>COUNTIFS(input!$O:$O,April!$U$31,input!$F:$F,April!N59,input!$A:$A,April!$B$2)</f>
        <v>0</v>
      </c>
      <c r="V59" s="322">
        <f>COUNTIFS(input!$O:$O,April!$V$31,input!$F:$F,April!N59,input!$A:$A,April!$B$2)</f>
        <v>0</v>
      </c>
      <c r="W59" s="323">
        <f>COUNTIFS(input!$O:$O,April!$W$31,input!$F:$F,April!N59,input!$A:$A,April!$B$2)</f>
        <v>0</v>
      </c>
      <c r="X59" s="324">
        <f>COUNTIFS(input!$O:$O,April!$X$31,input!$F:$F,April!N59,input!$A:$A,April!$B$2)</f>
        <v>0</v>
      </c>
      <c r="Y59" s="312">
        <f t="shared" si="1"/>
        <v>0</v>
      </c>
      <c r="Z59" s="315" cm="1">
        <f t="array" ref="Z59">_xlfn.IFS(Y59=0,0,Y59&gt;=1,Y59/$Y$62)</f>
        <v>0</v>
      </c>
    </row>
    <row r="60" spans="2:26" ht="92" hidden="1" customHeight="1" x14ac:dyDescent="0.25">
      <c r="B60" s="990" t="s">
        <v>482</v>
      </c>
      <c r="C60" s="991"/>
      <c r="D60" s="316">
        <f>COUNTIFS(input!$O:$O,April!$D$31,input!$E:$E,April!B59,input!$A:$A,April!$B$2)</f>
        <v>0</v>
      </c>
      <c r="E60" s="316">
        <f>COUNTIFS(input!$O:$O,April!$E$31,input!$E:$E,April!B60,input!$A:$A,April!$B$2)</f>
        <v>0</v>
      </c>
      <c r="F60" s="329">
        <f>COUNTIFS(input!$O:$O,April!$F$31,input!$E:$E,April!B59,input!$A:$A,April!$B$2)</f>
        <v>0</v>
      </c>
      <c r="G60" s="330">
        <f>COUNTIFS(input!$O:$O,April!$G$31,input!$E:$E,April!B59,input!$A:$A,April!$B$2)</f>
        <v>0</v>
      </c>
      <c r="H60" s="330">
        <f>COUNTIFS(input!$O:$O,April!$H$31,input!$E:$E,April!B59,input!$A:$A,April!$B$2)</f>
        <v>0</v>
      </c>
      <c r="I60" s="330">
        <f>COUNTIFS(input!$O:$O,April!$I$31,input!$E:$E,April!B59,input!$A:$A,April!$B$2)</f>
        <v>0</v>
      </c>
      <c r="J60" s="330">
        <f>COUNTIFS(input!$O:$O,April!$J$31,input!$E:$E,April!B59,input!$A:$A,April!$B$2)</f>
        <v>0</v>
      </c>
      <c r="K60" s="330">
        <f>COUNTIFS(input!$O:$O,April!$K$31,input!$E:$E,April!B59,input!$A:$A,April!$B$2)</f>
        <v>0</v>
      </c>
      <c r="L60" s="312">
        <f t="shared" si="0"/>
        <v>0</v>
      </c>
      <c r="M60" s="320" cm="1">
        <f t="array" ref="M60">_xlfn.IFS(L60=0,0,L60&gt;=1,L60/$L62)</f>
        <v>0</v>
      </c>
      <c r="N60" s="1065"/>
      <c r="O60" s="1065"/>
      <c r="P60" s="1066"/>
      <c r="Q60" s="316">
        <f>COUNTIFS(input!$O:$O,April!$Q$31,input!$F:$F,April!N60,input!$A:$A,April!$B$2)</f>
        <v>0</v>
      </c>
      <c r="R60" s="316">
        <f>COUNTIFS(input!$O:$O,April!$R$31,input!$F:$F,April!N60,input!$A:$A,April!$B$2)</f>
        <v>0</v>
      </c>
      <c r="S60" s="316">
        <f>COUNTIFS(input!$O:$O,April!$S$31,input!$F:$F,April!N60,input!$A:$A,April!$B$2)</f>
        <v>0</v>
      </c>
      <c r="T60" s="321">
        <f>COUNTIFS(input!$O:$O,April!$T$31,input!$F:$F,April!N60,input!$A:$A,April!$B$2)</f>
        <v>0</v>
      </c>
      <c r="U60" s="322">
        <f>COUNTIFS(input!$O:$O,April!$U$31,input!$F:$F,April!N60,input!$A:$A,April!$B$2)</f>
        <v>0</v>
      </c>
      <c r="V60" s="322">
        <f>COUNTIFS(input!$O:$O,April!$V$31,input!$F:$F,April!N60,input!$A:$A,April!$B$2)</f>
        <v>0</v>
      </c>
      <c r="W60" s="323">
        <f>COUNTIFS(input!$O:$O,April!$W$31,input!$F:$F,April!N60,input!$A:$A,April!$B$2)</f>
        <v>0</v>
      </c>
      <c r="X60" s="324">
        <f>COUNTIFS(input!$O:$O,April!$X$31,input!$F:$F,April!N60,input!$A:$A,April!$B$2)</f>
        <v>0</v>
      </c>
      <c r="Y60" s="312">
        <f t="shared" si="1"/>
        <v>0</v>
      </c>
      <c r="Z60" s="315" cm="1">
        <f t="array" ref="Z60">_xlfn.IFS(Y60=0,0,Y60&gt;=1,Y60/$Y$62)</f>
        <v>0</v>
      </c>
    </row>
    <row r="61" spans="2:26" ht="92" hidden="1" x14ac:dyDescent="0.25">
      <c r="B61" s="1059" t="s">
        <v>57</v>
      </c>
      <c r="C61" s="1018"/>
      <c r="D61" s="316">
        <f>COUNTIFS(input!$O:$O,April!$D$31,input!$E:$E,April!B61,input!$A:$A,April!$B$2)</f>
        <v>0</v>
      </c>
      <c r="E61" s="316">
        <f>COUNTIFS(input!$O:$O,April!$E$31,input!$E:$E,April!B61,input!$A:$A,April!$B$2)</f>
        <v>0</v>
      </c>
      <c r="F61" s="329">
        <f>COUNTIFS(input!$O:$O,April!$F$31,input!$E:$E,April!B61,input!$A:$A,April!$B$2)</f>
        <v>0</v>
      </c>
      <c r="G61" s="330">
        <f>COUNTIFS(input!$O:$O,April!$G$31,input!$E:$E,April!B61,input!$A:$A,April!$B$2)</f>
        <v>0</v>
      </c>
      <c r="H61" s="330">
        <f>COUNTIFS(input!$O:$O,April!$H$31,input!$E:$E,April!B61,input!$A:$A,April!$B$2)</f>
        <v>0</v>
      </c>
      <c r="I61" s="330">
        <f>COUNTIFS(input!$O:$O,April!$I$31,input!$E:$E,April!B61,input!$A:$A,April!$B$2)</f>
        <v>0</v>
      </c>
      <c r="J61" s="330">
        <f>COUNTIFS(input!$O:$O,April!$J$31,input!$E:$E,April!B61,input!$A:$A,April!$B$2)</f>
        <v>0</v>
      </c>
      <c r="K61" s="330">
        <f>COUNTIFS(input!$O:$O,April!$K$31,input!$E:$E,April!B61,input!$A:$A,April!$B$2)</f>
        <v>0</v>
      </c>
      <c r="L61" s="312">
        <f>SUM(D61:K61)</f>
        <v>0</v>
      </c>
      <c r="M61" s="320" cm="1">
        <f t="array" ref="M61">_xlfn.IFS(L61=0,0,L61&gt;=1,L61/L64)</f>
        <v>0</v>
      </c>
      <c r="N61" s="1065"/>
      <c r="O61" s="1065"/>
      <c r="P61" s="1066"/>
      <c r="Q61" s="326">
        <f>COUNTIFS(input!$O:$O,April!$Q$31,input!$F:$F,April!N61,input!$A:$A,April!$B$2)</f>
        <v>0</v>
      </c>
      <c r="R61" s="326">
        <f>COUNTIFS(input!$O:$O,April!$R$31,input!$F:$F,April!N61,input!$A:$A,April!$B$2)</f>
        <v>0</v>
      </c>
      <c r="S61" s="326">
        <f>COUNTIFS(input!$O:$O,April!$S$31,input!$F:$F,April!N61,input!$A:$A,April!$B$2)</f>
        <v>0</v>
      </c>
      <c r="T61" s="327">
        <f>COUNTIFS(input!$O:$O,April!$T$31,input!$F:$F,April!N61,input!$A:$A,April!$B$2)</f>
        <v>0</v>
      </c>
      <c r="U61" s="327">
        <f>COUNTIFS(input!$O:$O,April!$U$31,input!$F:$F,April!N61,input!$A:$A,April!$B$2)</f>
        <v>0</v>
      </c>
      <c r="V61" s="327">
        <f>COUNTIFS(input!$O:$O,April!$V$31,input!$F:$F,April!N61,input!$A:$A,April!$B$2)</f>
        <v>0</v>
      </c>
      <c r="W61" s="328">
        <f>COUNTIFS(input!$O:$O,April!$W$31,input!$F:$F,April!N61,input!$A:$A,April!$B$2)</f>
        <v>0</v>
      </c>
      <c r="X61" s="324">
        <f>COUNTIFS(input!$O:$O,April!$X$31,input!$F:$F,April!N61,input!$A:$A,April!$B$2)</f>
        <v>0</v>
      </c>
      <c r="Y61" s="312">
        <f t="shared" si="1"/>
        <v>0</v>
      </c>
      <c r="Z61" s="315" cm="1">
        <f t="array" ref="Z61">_xlfn.IFS(Y61=0,0,Y61&gt;=1,Y61/$Y$62)</f>
        <v>0</v>
      </c>
    </row>
    <row r="62" spans="2:26" ht="90.5" thickBot="1" x14ac:dyDescent="0.3">
      <c r="B62" s="1005" t="s">
        <v>4</v>
      </c>
      <c r="C62" s="984"/>
      <c r="D62" s="340">
        <f t="shared" ref="D62:M62" si="3">SUM(D32:D60)</f>
        <v>0</v>
      </c>
      <c r="E62" s="340">
        <f t="shared" si="3"/>
        <v>1</v>
      </c>
      <c r="F62" s="340">
        <f t="shared" si="3"/>
        <v>0</v>
      </c>
      <c r="G62" s="340">
        <f t="shared" si="3"/>
        <v>6</v>
      </c>
      <c r="H62" s="340">
        <f t="shared" si="3"/>
        <v>0</v>
      </c>
      <c r="I62" s="340">
        <f t="shared" si="3"/>
        <v>4</v>
      </c>
      <c r="J62" s="340">
        <f t="shared" si="3"/>
        <v>1</v>
      </c>
      <c r="K62" s="340">
        <f t="shared" si="3"/>
        <v>10</v>
      </c>
      <c r="L62" s="401">
        <f t="shared" si="3"/>
        <v>22</v>
      </c>
      <c r="M62" s="402">
        <f t="shared" si="3"/>
        <v>0.99999999999999967</v>
      </c>
      <c r="N62" s="983" t="s">
        <v>4</v>
      </c>
      <c r="O62" s="983"/>
      <c r="P62" s="984"/>
      <c r="Q62" s="340">
        <f t="shared" ref="Q62:X62" si="4">SUM(Q32:Q60)</f>
        <v>0</v>
      </c>
      <c r="R62" s="340">
        <f t="shared" si="4"/>
        <v>1</v>
      </c>
      <c r="S62" s="340">
        <f t="shared" si="4"/>
        <v>0</v>
      </c>
      <c r="T62" s="340">
        <f t="shared" si="4"/>
        <v>5</v>
      </c>
      <c r="U62" s="340">
        <f t="shared" si="4"/>
        <v>1</v>
      </c>
      <c r="V62" s="340">
        <f t="shared" si="4"/>
        <v>4</v>
      </c>
      <c r="W62" s="340">
        <f t="shared" si="4"/>
        <v>1</v>
      </c>
      <c r="X62" s="340">
        <f t="shared" si="4"/>
        <v>10</v>
      </c>
      <c r="Y62" s="340">
        <f>SUM(Y32:Y61)</f>
        <v>22</v>
      </c>
      <c r="Z62" s="403">
        <f>SUM(Z32:Z60)</f>
        <v>1</v>
      </c>
    </row>
    <row r="63" spans="2:26" ht="270" x14ac:dyDescent="0.25">
      <c r="B63" s="1149" t="s">
        <v>34</v>
      </c>
      <c r="C63" s="1150"/>
      <c r="D63" s="398" t="s">
        <v>6</v>
      </c>
      <c r="E63" s="398" t="s">
        <v>2</v>
      </c>
      <c r="F63" s="398" t="s">
        <v>3</v>
      </c>
      <c r="G63" s="398" t="s">
        <v>1</v>
      </c>
      <c r="H63" s="398" t="s">
        <v>0</v>
      </c>
      <c r="I63" s="398" t="s">
        <v>53</v>
      </c>
      <c r="J63" s="398" t="s">
        <v>12</v>
      </c>
      <c r="K63" s="398" t="s">
        <v>693</v>
      </c>
      <c r="L63" s="398" t="s">
        <v>5</v>
      </c>
      <c r="M63" s="399" t="s">
        <v>40</v>
      </c>
      <c r="N63" s="1151" t="s">
        <v>59</v>
      </c>
      <c r="O63" s="1151"/>
      <c r="P63" s="1152"/>
      <c r="Q63" s="398" t="s">
        <v>6</v>
      </c>
      <c r="R63" s="398" t="s">
        <v>2</v>
      </c>
      <c r="S63" s="398" t="s">
        <v>3</v>
      </c>
      <c r="T63" s="398" t="s">
        <v>1</v>
      </c>
      <c r="U63" s="398" t="s">
        <v>0</v>
      </c>
      <c r="V63" s="398" t="s">
        <v>53</v>
      </c>
      <c r="W63" s="398" t="s">
        <v>12</v>
      </c>
      <c r="X63" s="398" t="s">
        <v>693</v>
      </c>
      <c r="Y63" s="398" t="s">
        <v>5</v>
      </c>
      <c r="Z63" s="400" t="s">
        <v>40</v>
      </c>
    </row>
    <row r="64" spans="2:26" ht="92" hidden="1" x14ac:dyDescent="0.25">
      <c r="B64" s="1111" t="s">
        <v>13</v>
      </c>
      <c r="C64" s="1112"/>
      <c r="D64" s="1037">
        <f>COUNTIFS(input!$O:$O,April!$D$63,input!$K:$K,April!B64,input!$A:$A,April!$B$2)</f>
        <v>0</v>
      </c>
      <c r="E64" s="1037">
        <f>COUNTIFS(input!$O:$O,April!$E$63,input!$K:$K,April!B64,input!$A:$A,April!$B$2)</f>
        <v>0</v>
      </c>
      <c r="F64" s="1037">
        <f>COUNTIFS(input!$O:$O,April!$F$63,input!$K:$K,April!B64,input!$A:$A,April!$B$2)</f>
        <v>0</v>
      </c>
      <c r="G64" s="1043">
        <f>COUNTIFS(input!$O:$O,April!$G$63,input!$K:$K,April!B64,input!$A:$A,April!$B$2)</f>
        <v>3</v>
      </c>
      <c r="H64" s="1043">
        <f>COUNTIFS(input!$O:$O,April!$H$63,input!$K:$K,April!B64,input!$A:$A,April!$B$2)</f>
        <v>0</v>
      </c>
      <c r="I64" s="1055">
        <f>COUNTIFS(input!$O:$O,April!$I$63,input!$K:$K,April!B64,input!$A:$A,April!$B$2)</f>
        <v>0</v>
      </c>
      <c r="J64" s="1043">
        <f>COUNTIFS(input!$O:$O,April!$J$63,input!$K:$K,April!B64,input!$A:$A,April!$B$2)</f>
        <v>1</v>
      </c>
      <c r="K64" s="1043">
        <f>COUNTIFS(input!$O:$O,April!$K$63,input!$K:$K,April!B64,input!$A:$A,April!$B$2)</f>
        <v>0</v>
      </c>
      <c r="L64" s="1022">
        <f>SUM(D64:K70)</f>
        <v>4</v>
      </c>
      <c r="M64" s="1025" cm="1">
        <f t="array" ref="M64">_xlfn.IFS(L64=0,0,L64&gt;=1,L64/L104)</f>
        <v>0.18181818181818182</v>
      </c>
      <c r="N64" s="1124" t="s">
        <v>715</v>
      </c>
      <c r="O64" s="1124"/>
      <c r="P64" s="1125"/>
      <c r="Q64" s="310">
        <f>COUNTIFS(input!$O:$O,April!$Q$63,input!$G:$G,April!N64,input!$A:$A,April!$B$2)</f>
        <v>0</v>
      </c>
      <c r="R64" s="310">
        <f>COUNTIFS(input!$O:$O,April!$R$63,input!$G:$G,April!N64,input!$A:$A,April!$B$2)</f>
        <v>0</v>
      </c>
      <c r="S64" s="310">
        <f>COUNTIFS(input!$O:$O,April!$S$63,input!$G:$G,April!N64,input!$A:$A,April!$B$2)</f>
        <v>0</v>
      </c>
      <c r="T64" s="314">
        <f>COUNTIFS(input!$O:$O,April!$T$63,input!$G:$G,April!N64,input!$A:$A,April!$B$2)</f>
        <v>0</v>
      </c>
      <c r="U64" s="314">
        <f>COUNTIFS(input!$O:$O,April!$U$63,input!$G:$G,April!N64,input!$A:$A,April!$B$2)</f>
        <v>0</v>
      </c>
      <c r="V64" s="314">
        <f>COUNTIFS(input!$O:$O,April!$V$63,input!$G:$G,April!N64,input!$A:$A,April!$B$2)</f>
        <v>0</v>
      </c>
      <c r="W64" s="314">
        <f>COUNTIFS(input!$O:$O,April!$W$63,input!$G:$G,April!N64,input!$A:$A,April!$B$2)</f>
        <v>0</v>
      </c>
      <c r="X64" s="314">
        <f>COUNTIFS(input!$O:$O,April!$X$63,input!$G:$G,April!N64,input!$A:$A,April!$B$2)</f>
        <v>0</v>
      </c>
      <c r="Y64" s="312">
        <f>SUM(Q64:X64)</f>
        <v>0</v>
      </c>
      <c r="Z64" s="339" cm="1">
        <f t="array" ref="Z64">_xlfn.IFS(Y64=0,0,Y64&gt;=1,Y64/$Y$104)</f>
        <v>0</v>
      </c>
    </row>
    <row r="65" spans="2:26" ht="92" x14ac:dyDescent="0.25">
      <c r="B65" s="1030"/>
      <c r="C65" s="1047"/>
      <c r="D65" s="1038"/>
      <c r="E65" s="1038"/>
      <c r="F65" s="1038"/>
      <c r="G65" s="1044"/>
      <c r="H65" s="1044"/>
      <c r="I65" s="1056"/>
      <c r="J65" s="1044"/>
      <c r="K65" s="1044"/>
      <c r="L65" s="1023"/>
      <c r="M65" s="1026"/>
      <c r="N65" s="1016" t="s">
        <v>856</v>
      </c>
      <c r="O65" s="1016"/>
      <c r="P65" s="991"/>
      <c r="Q65" s="310">
        <f>COUNTIFS(input!$O:$O,April!$Q$63,input!$G:$G,April!N65,input!$A:$A,April!$B$2)</f>
        <v>0</v>
      </c>
      <c r="R65" s="310">
        <f>COUNTIFS(input!$O:$O,April!$R$63,input!$G:$G,April!N65,input!$A:$A,April!$B$2)</f>
        <v>1</v>
      </c>
      <c r="S65" s="310">
        <f>COUNTIFS(input!$O:$O,April!$S$63,input!$G:$G,April!N65,input!$A:$A,April!$B$2)</f>
        <v>0</v>
      </c>
      <c r="T65" s="314">
        <f>COUNTIFS(input!$O:$O,April!$T$63,input!$G:$G,April!N65,input!$A:$A,April!$B$2)</f>
        <v>0</v>
      </c>
      <c r="U65" s="314">
        <f>COUNTIFS(input!$O:$O,April!$U$63,input!$G:$G,April!N65,input!$A:$A,April!$B$2)</f>
        <v>0</v>
      </c>
      <c r="V65" s="314">
        <f>COUNTIFS(input!$O:$O,April!$V$63,input!$G:$G,April!N65,input!$A:$A,April!$B$2)</f>
        <v>0</v>
      </c>
      <c r="W65" s="314">
        <f>COUNTIFS(input!$O:$O,April!$W$63,input!$G:$G,April!N65,input!$A:$A,April!$B$2)</f>
        <v>0</v>
      </c>
      <c r="X65" s="314">
        <f>COUNTIFS(input!$O:$O,April!$X$63,input!$G:$G,April!N65,input!$A:$A,April!$B$2)</f>
        <v>0</v>
      </c>
      <c r="Y65" s="312">
        <f t="shared" ref="Y65:Y103" si="5">SUM(Q65:X65)</f>
        <v>1</v>
      </c>
      <c r="Z65" s="339" cm="1">
        <f t="array" ref="Z65">_xlfn.IFS(Y65=0,0,Y65&gt;=1,Y65/$Y$104)</f>
        <v>4.5454545454545456E-2</v>
      </c>
    </row>
    <row r="66" spans="2:26" ht="92" hidden="1" x14ac:dyDescent="0.25">
      <c r="B66" s="1030"/>
      <c r="C66" s="1047"/>
      <c r="D66" s="1038"/>
      <c r="E66" s="1038"/>
      <c r="F66" s="1038"/>
      <c r="G66" s="1044"/>
      <c r="H66" s="1044"/>
      <c r="I66" s="1056"/>
      <c r="J66" s="1044"/>
      <c r="K66" s="1044"/>
      <c r="L66" s="1023"/>
      <c r="M66" s="1026"/>
      <c r="N66" s="996" t="s">
        <v>816</v>
      </c>
      <c r="O66" s="996"/>
      <c r="P66" s="997"/>
      <c r="Q66" s="310">
        <f>COUNTIFS(input!$O:$O,April!$Q$63,input!$G:$G,April!N66,input!$A:$A,April!$B$2)</f>
        <v>0</v>
      </c>
      <c r="R66" s="310">
        <f>COUNTIFS(input!$O:$O,April!$R$63,input!$G:$G,April!N66,input!$A:$A,April!$B$2)</f>
        <v>0</v>
      </c>
      <c r="S66" s="310">
        <f>COUNTIFS(input!$O:$O,April!$S$63,input!$G:$G,April!N66,input!$A:$A,April!$B$2)</f>
        <v>0</v>
      </c>
      <c r="T66" s="314">
        <f>COUNTIFS(input!$O:$O,April!$T$63,input!$G:$G,April!N66,input!$A:$A,April!$B$2)</f>
        <v>0</v>
      </c>
      <c r="U66" s="314">
        <f>COUNTIFS(input!$O:$O,April!$U$63,input!$G:$G,April!N66,input!$A:$A,April!$B$2)</f>
        <v>0</v>
      </c>
      <c r="V66" s="314">
        <f>COUNTIFS(input!$O:$O,April!$V$63,input!$G:$G,April!N66,input!$A:$A,April!$B$2)</f>
        <v>0</v>
      </c>
      <c r="W66" s="314">
        <f>COUNTIFS(input!$O:$O,April!$W$63,input!$G:$G,April!N66,input!$A:$A,April!$B$2)</f>
        <v>0</v>
      </c>
      <c r="X66" s="314">
        <f>COUNTIFS(input!$O:$O,April!$X$63,input!$G:$G,April!N66,input!$A:$A,April!$B$2)</f>
        <v>0</v>
      </c>
      <c r="Y66" s="312">
        <f t="shared" si="5"/>
        <v>0</v>
      </c>
      <c r="Z66" s="339" cm="1">
        <f t="array" ref="Z66">_xlfn.IFS(Y66=0,0,Y66&gt;=1,Y66/$Y$104)</f>
        <v>0</v>
      </c>
    </row>
    <row r="67" spans="2:26" ht="92" hidden="1" x14ac:dyDescent="0.25">
      <c r="B67" s="1030"/>
      <c r="C67" s="1047"/>
      <c r="D67" s="1038"/>
      <c r="E67" s="1038"/>
      <c r="F67" s="1038"/>
      <c r="G67" s="1044"/>
      <c r="H67" s="1044"/>
      <c r="I67" s="1056"/>
      <c r="J67" s="1044"/>
      <c r="K67" s="1044"/>
      <c r="L67" s="1023"/>
      <c r="M67" s="1026"/>
      <c r="N67" s="1065" t="s">
        <v>449</v>
      </c>
      <c r="O67" s="1065"/>
      <c r="P67" s="1066"/>
      <c r="Q67" s="310">
        <f>COUNTIFS(input!$O:$O,April!$Q$63,input!$G:$G,April!N67,input!$A:$A,April!$B$2)</f>
        <v>0</v>
      </c>
      <c r="R67" s="310">
        <f>COUNTIFS(input!$O:$O,April!$R$63,input!$G:$G,April!N67,input!$A:$A,April!$B$2)</f>
        <v>0</v>
      </c>
      <c r="S67" s="310">
        <f>COUNTIFS(input!$O:$O,April!$S$63,input!$G:$G,April!N67,input!$A:$A,April!$B$2)</f>
        <v>0</v>
      </c>
      <c r="T67" s="314">
        <f>COUNTIFS(input!$O:$O,April!$T$63,input!$G:$G,April!N67,input!$A:$A,April!$B$2)</f>
        <v>0</v>
      </c>
      <c r="U67" s="314">
        <f>COUNTIFS(input!$O:$O,April!$U$63,input!$G:$G,April!N67,input!$A:$A,April!$B$2)</f>
        <v>0</v>
      </c>
      <c r="V67" s="314">
        <f>COUNTIFS(input!$O:$O,April!$V$63,input!$G:$G,April!N67,input!$A:$A,April!$B$2)</f>
        <v>0</v>
      </c>
      <c r="W67" s="314">
        <f>COUNTIFS(input!$O:$O,April!$W$63,input!$G:$G,April!N67,input!$A:$A,April!$B$2)</f>
        <v>0</v>
      </c>
      <c r="X67" s="314">
        <f>COUNTIFS(input!$O:$O,April!$X$63,input!$G:$G,April!N67,input!$A:$A,April!$B$2)</f>
        <v>0</v>
      </c>
      <c r="Y67" s="312">
        <f t="shared" si="5"/>
        <v>0</v>
      </c>
      <c r="Z67" s="339" cm="1">
        <f t="array" ref="Z67">_xlfn.IFS(Y67=0,0,Y67&gt;=1,Y67/$Y$104)</f>
        <v>0</v>
      </c>
    </row>
    <row r="68" spans="2:26" ht="92" x14ac:dyDescent="0.25">
      <c r="B68" s="1030"/>
      <c r="C68" s="1047"/>
      <c r="D68" s="1038"/>
      <c r="E68" s="1038"/>
      <c r="F68" s="1038"/>
      <c r="G68" s="1044"/>
      <c r="H68" s="1044"/>
      <c r="I68" s="1056"/>
      <c r="J68" s="1044"/>
      <c r="K68" s="1044"/>
      <c r="L68" s="1023"/>
      <c r="M68" s="1026"/>
      <c r="N68" s="1016" t="s">
        <v>915</v>
      </c>
      <c r="O68" s="1016"/>
      <c r="P68" s="991"/>
      <c r="Q68" s="310">
        <f>COUNTIFS(input!$O:$O,April!$Q$63,input!$G:$G,April!N68,input!$A:$A,April!$B$2)</f>
        <v>0</v>
      </c>
      <c r="R68" s="310">
        <f>COUNTIFS(input!$O:$O,April!$R$63,input!$G:$G,April!N68,input!$A:$A,April!$B$2)</f>
        <v>0</v>
      </c>
      <c r="S68" s="310">
        <f>COUNTIFS(input!$O:$O,April!$S$63,input!$G:$G,April!N68,input!$A:$A,April!$B$2)</f>
        <v>0</v>
      </c>
      <c r="T68" s="314">
        <f>COUNTIFS(input!$O:$O,April!$T$63,input!$G:$G,April!N68,input!$A:$A,April!$B$2)</f>
        <v>0</v>
      </c>
      <c r="U68" s="314">
        <f>COUNTIFS(input!$O:$O,April!$U$63,input!$G:$G,April!N68,input!$A:$A,April!$B$2)</f>
        <v>0</v>
      </c>
      <c r="V68" s="314">
        <f>COUNTIFS(input!$O:$O,April!$V$63,input!$G:$G,April!N68,input!$A:$A,April!$B$2)</f>
        <v>0</v>
      </c>
      <c r="W68" s="314">
        <f>COUNTIFS(input!$O:$O,April!$W$63,input!$G:$G,April!N68,input!$A:$A,April!$B$2)</f>
        <v>0</v>
      </c>
      <c r="X68" s="314">
        <f>COUNTIFS(input!$O:$O,April!$X$63,input!$G:$G,April!N68,input!$A:$A,April!$B$2)</f>
        <v>1</v>
      </c>
      <c r="Y68" s="312">
        <f t="shared" si="5"/>
        <v>1</v>
      </c>
      <c r="Z68" s="339" cm="1">
        <f t="array" ref="Z68">_xlfn.IFS(Y68=0,0,Y68&gt;=1,Y68/$Y$104)</f>
        <v>4.5454545454545456E-2</v>
      </c>
    </row>
    <row r="69" spans="2:26" ht="92" hidden="1" x14ac:dyDescent="0.25">
      <c r="B69" s="1030"/>
      <c r="C69" s="1047"/>
      <c r="D69" s="1038"/>
      <c r="E69" s="1038"/>
      <c r="F69" s="1038"/>
      <c r="G69" s="1044"/>
      <c r="H69" s="1044"/>
      <c r="I69" s="1056"/>
      <c r="J69" s="1044"/>
      <c r="K69" s="1044"/>
      <c r="L69" s="1023"/>
      <c r="M69" s="1026"/>
      <c r="N69" s="1065" t="s">
        <v>898</v>
      </c>
      <c r="O69" s="1065"/>
      <c r="P69" s="1066"/>
      <c r="Q69" s="310">
        <f>COUNTIFS(input!$O:$O,April!$Q$63,input!$G:$G,April!N69,input!$A:$A,April!$B$2)</f>
        <v>0</v>
      </c>
      <c r="R69" s="310">
        <f>COUNTIFS(input!$O:$O,April!$R$63,input!$G:$G,April!N69,input!$A:$A,April!$B$2)</f>
        <v>0</v>
      </c>
      <c r="S69" s="310">
        <f>COUNTIFS(input!$O:$O,April!$S$63,input!$G:$G,April!N69,input!$A:$A,April!$B$2)</f>
        <v>0</v>
      </c>
      <c r="T69" s="314">
        <f>COUNTIFS(input!$O:$O,April!$T$63,input!$G:$G,April!N69,input!$A:$A,April!$B$2)</f>
        <v>0</v>
      </c>
      <c r="U69" s="314">
        <f>COUNTIFS(input!$O:$O,April!$U$63,input!$G:$G,April!N69,input!$A:$A,April!$B$2)</f>
        <v>0</v>
      </c>
      <c r="V69" s="314">
        <f>COUNTIFS(input!$O:$O,April!$V$63,input!$G:$G,April!N69,input!$A:$A,April!$B$2)</f>
        <v>0</v>
      </c>
      <c r="W69" s="314">
        <f>COUNTIFS(input!$O:$O,April!$W$63,input!$G:$G,April!N69,input!$A:$A,April!$B$2)</f>
        <v>0</v>
      </c>
      <c r="X69" s="314">
        <f>COUNTIFS(input!$O:$O,April!$X$63,input!$G:$G,April!N69,input!$A:$A,April!$B$2)</f>
        <v>0</v>
      </c>
      <c r="Y69" s="312">
        <f t="shared" si="5"/>
        <v>0</v>
      </c>
      <c r="Z69" s="339" cm="1">
        <f t="array" ref="Z69">_xlfn.IFS(Y69=0,0,Y69&gt;=1,Y69/$Y$104)</f>
        <v>0</v>
      </c>
    </row>
    <row r="70" spans="2:26" ht="92" x14ac:dyDescent="0.25">
      <c r="B70" s="1030"/>
      <c r="C70" s="1047"/>
      <c r="D70" s="1038"/>
      <c r="E70" s="1038"/>
      <c r="F70" s="1038"/>
      <c r="G70" s="1044"/>
      <c r="H70" s="1044"/>
      <c r="I70" s="1056"/>
      <c r="J70" s="1044"/>
      <c r="K70" s="1044"/>
      <c r="L70" s="1023"/>
      <c r="M70" s="1026"/>
      <c r="N70" s="1016" t="s">
        <v>393</v>
      </c>
      <c r="O70" s="1016"/>
      <c r="P70" s="991"/>
      <c r="Q70" s="310">
        <f>COUNTIFS(input!$O:$O,April!$Q$63,input!$G:$G,April!N70,input!$A:$A,April!$B$2)</f>
        <v>0</v>
      </c>
      <c r="R70" s="310">
        <f>COUNTIFS(input!$O:$O,April!$R$63,input!$G:$G,April!N70,input!$A:$A,April!$B$2)</f>
        <v>0</v>
      </c>
      <c r="S70" s="310">
        <f>COUNTIFS(input!$O:$O,April!$S$63,input!$G:$G,April!N70,input!$A:$A,April!$B$2)</f>
        <v>0</v>
      </c>
      <c r="T70" s="314">
        <f>COUNTIFS(input!$O:$O,April!$T$63,input!$G:$G,April!N70,input!$A:$A,April!$B$2)</f>
        <v>0</v>
      </c>
      <c r="U70" s="314">
        <f>COUNTIFS(input!$O:$O,April!$U$63,input!$G:$G,April!N70,input!$A:$A,April!$B$2)</f>
        <v>0</v>
      </c>
      <c r="V70" s="314">
        <f>COUNTIFS(input!$O:$O,April!$V$63,input!$G:$G,April!N70,input!$A:$A,April!$B$2)</f>
        <v>0</v>
      </c>
      <c r="W70" s="314">
        <f>COUNTIFS(input!$O:$O,April!$W$63,input!$G:$G,April!N70,input!$A:$A,April!$B$2)</f>
        <v>0</v>
      </c>
      <c r="X70" s="314">
        <f>COUNTIFS(input!$O:$O,April!$X$63,input!$G:$G,April!N70,input!$A:$A,April!$B$2)</f>
        <v>1</v>
      </c>
      <c r="Y70" s="312">
        <f t="shared" si="5"/>
        <v>1</v>
      </c>
      <c r="Z70" s="339" cm="1">
        <f t="array" ref="Z70">_xlfn.IFS(Y70=0,0,Y70&gt;=1,Y70/$Y$104)</f>
        <v>4.5454545454545456E-2</v>
      </c>
    </row>
    <row r="71" spans="2:26" ht="92" customHeight="1" x14ac:dyDescent="0.25">
      <c r="B71" s="1030"/>
      <c r="C71" s="1047"/>
      <c r="D71" s="1038"/>
      <c r="E71" s="1038"/>
      <c r="F71" s="1038"/>
      <c r="G71" s="1044"/>
      <c r="H71" s="1044"/>
      <c r="I71" s="1056"/>
      <c r="J71" s="1044"/>
      <c r="K71" s="1044"/>
      <c r="L71" s="1023"/>
      <c r="M71" s="1026"/>
      <c r="N71" s="1016" t="s">
        <v>659</v>
      </c>
      <c r="O71" s="1016"/>
      <c r="P71" s="991"/>
      <c r="Q71" s="310">
        <f>COUNTIFS(input!$O:$O,April!$Q$63,input!$G:$G,April!N71,input!$A:$A,April!$B$2)</f>
        <v>0</v>
      </c>
      <c r="R71" s="310">
        <f>COUNTIFS(input!$O:$O,April!$R$63,input!$G:$G,April!N71,input!$A:$A,April!$B$2)</f>
        <v>0</v>
      </c>
      <c r="S71" s="310">
        <f>COUNTIFS(input!$O:$O,April!$S$63,input!$G:$G,April!N71,input!$A:$A,April!$B$2)</f>
        <v>0</v>
      </c>
      <c r="T71" s="314">
        <f>COUNTIFS(input!$O:$O,April!$T$63,input!$G:$G,April!N71,input!$A:$A,April!$B$2)</f>
        <v>0</v>
      </c>
      <c r="U71" s="314">
        <f>COUNTIFS(input!$O:$O,April!$U$63,input!$G:$G,April!N71,input!$A:$A,April!$B$2)</f>
        <v>1</v>
      </c>
      <c r="V71" s="314">
        <f>COUNTIFS(input!$O:$O,April!$V$63,input!$G:$G,April!N71,input!$A:$A,April!$B$2)</f>
        <v>0</v>
      </c>
      <c r="W71" s="314">
        <f>COUNTIFS(input!$O:$O,April!$W$63,input!$G:$G,April!N71,input!$A:$A,April!$B$2)</f>
        <v>0</v>
      </c>
      <c r="X71" s="314">
        <f>COUNTIFS(input!$O:$O,April!$X$63,input!$G:$G,April!N71,input!$A:$A,April!$B$2)</f>
        <v>0</v>
      </c>
      <c r="Y71" s="312">
        <f t="shared" si="5"/>
        <v>1</v>
      </c>
      <c r="Z71" s="339" cm="1">
        <f t="array" ref="Z71">_xlfn.IFS(Y71=0,0,Y71&gt;=1,Y71/$Y$104)</f>
        <v>4.5454545454545456E-2</v>
      </c>
    </row>
    <row r="72" spans="2:26" ht="92" customHeight="1" x14ac:dyDescent="0.25">
      <c r="B72" s="1030"/>
      <c r="C72" s="1047"/>
      <c r="D72" s="1038"/>
      <c r="E72" s="1038"/>
      <c r="F72" s="1038"/>
      <c r="G72" s="1044"/>
      <c r="H72" s="1044"/>
      <c r="I72" s="1056"/>
      <c r="J72" s="1044"/>
      <c r="K72" s="1044"/>
      <c r="L72" s="1023"/>
      <c r="M72" s="1026"/>
      <c r="N72" s="990" t="s">
        <v>52</v>
      </c>
      <c r="O72" s="1016"/>
      <c r="P72" s="991"/>
      <c r="Q72" s="310">
        <f>COUNTIFS(input!$O:$O,April!$Q$63,input!$G:$G,April!N72,input!$A:$A,April!$B$2)</f>
        <v>0</v>
      </c>
      <c r="R72" s="310">
        <f>COUNTIFS(input!$O:$O,April!$R$63,input!$G:$G,April!N72,input!$A:$A,April!$B$2)</f>
        <v>0</v>
      </c>
      <c r="S72" s="310">
        <f>COUNTIFS(input!$O:$O,April!$S$63,input!$G:$G,April!N72,input!$A:$A,April!$B$2)</f>
        <v>0</v>
      </c>
      <c r="T72" s="314">
        <f>COUNTIFS(input!$O:$O,April!$T$63,input!$G:$G,April!N72,input!$A:$A,April!$B$2)</f>
        <v>1</v>
      </c>
      <c r="U72" s="314">
        <f>COUNTIFS(input!$O:$O,April!$U$63,input!$G:$G,April!N72,input!$A:$A,April!$B$2)</f>
        <v>0</v>
      </c>
      <c r="V72" s="314">
        <f>COUNTIFS(input!$O:$O,April!$V$63,input!$G:$G,April!N72,input!$A:$A,April!$B$2)</f>
        <v>0</v>
      </c>
      <c r="W72" s="314">
        <f>COUNTIFS(input!$O:$O,April!$W$63,input!$G:$G,April!N72,input!$A:$A,April!$B$2)</f>
        <v>0</v>
      </c>
      <c r="X72" s="314">
        <f>COUNTIFS(input!$O:$O,April!$X$63,input!$G:$G,April!N72,input!$A:$A,April!$B$2)</f>
        <v>0</v>
      </c>
      <c r="Y72" s="312">
        <f t="shared" si="5"/>
        <v>1</v>
      </c>
      <c r="Z72" s="339" cm="1">
        <f t="array" ref="Z72">_xlfn.IFS(Y72=0,0,Y72&gt;=1,Y72/$Y$104)</f>
        <v>4.5454545454545456E-2</v>
      </c>
    </row>
    <row r="73" spans="2:26" ht="92" hidden="1" customHeight="1" x14ac:dyDescent="0.25">
      <c r="B73" s="1030"/>
      <c r="C73" s="1047"/>
      <c r="D73" s="1038"/>
      <c r="E73" s="1038"/>
      <c r="F73" s="1038"/>
      <c r="G73" s="1044"/>
      <c r="H73" s="1044"/>
      <c r="I73" s="1056"/>
      <c r="J73" s="1044"/>
      <c r="K73" s="1044"/>
      <c r="L73" s="1023"/>
      <c r="M73" s="1026"/>
      <c r="N73" s="1065" t="s">
        <v>103</v>
      </c>
      <c r="O73" s="1065"/>
      <c r="P73" s="1066"/>
      <c r="Q73" s="310">
        <f>COUNTIFS(input!$O:$O,April!$Q$63,input!$G:$G,April!N73,input!$A:$A,April!$B$2)</f>
        <v>0</v>
      </c>
      <c r="R73" s="310">
        <f>COUNTIFS(input!$O:$O,April!$R$63,input!$G:$G,April!N73,input!$A:$A,April!$B$2)</f>
        <v>0</v>
      </c>
      <c r="S73" s="310">
        <f>COUNTIFS(input!$O:$O,April!$S$63,input!$G:$G,April!N73,input!$A:$A,April!$B$2)</f>
        <v>0</v>
      </c>
      <c r="T73" s="314">
        <f>COUNTIFS(input!$O:$O,April!$T$63,input!$G:$G,April!N73,input!$A:$A,April!$B$2)</f>
        <v>0</v>
      </c>
      <c r="U73" s="314">
        <f>COUNTIFS(input!$O:$O,April!$U$63,input!$G:$G,April!N73,input!$A:$A,April!$B$2)</f>
        <v>0</v>
      </c>
      <c r="V73" s="314">
        <f>COUNTIFS(input!$O:$O,April!$V$63,input!$G:$G,April!N73,input!$A:$A,April!$B$2)</f>
        <v>0</v>
      </c>
      <c r="W73" s="314">
        <f>COUNTIFS(input!$O:$O,April!$W$63,input!$G:$G,April!N73,input!$A:$A,April!$B$2)</f>
        <v>0</v>
      </c>
      <c r="X73" s="314">
        <f>COUNTIFS(input!$O:$O,April!$X$63,input!$G:$G,April!N73,input!$A:$A,April!$B$2)</f>
        <v>0</v>
      </c>
      <c r="Y73" s="312">
        <f t="shared" si="5"/>
        <v>0</v>
      </c>
      <c r="Z73" s="339" cm="1">
        <f t="array" ref="Z73">_xlfn.IFS(Y73=0,0,Y73&gt;=1,Y73/$Y$104)</f>
        <v>0</v>
      </c>
    </row>
    <row r="74" spans="2:26" ht="92" hidden="1" customHeight="1" x14ac:dyDescent="0.25">
      <c r="B74" s="1109"/>
      <c r="C74" s="1113"/>
      <c r="D74" s="1114"/>
      <c r="E74" s="1114"/>
      <c r="F74" s="1114"/>
      <c r="G74" s="1054"/>
      <c r="H74" s="1054"/>
      <c r="I74" s="1057"/>
      <c r="J74" s="1054"/>
      <c r="K74" s="1054"/>
      <c r="L74" s="1024"/>
      <c r="M74" s="1027"/>
      <c r="N74" s="1065" t="s">
        <v>483</v>
      </c>
      <c r="O74" s="1065"/>
      <c r="P74" s="1066"/>
      <c r="Q74" s="310">
        <f>COUNTIFS(input!$O:$O,April!$Q$63,input!$G:$G,April!N74,input!$A:$A,April!$B$2)</f>
        <v>0</v>
      </c>
      <c r="R74" s="310">
        <f>COUNTIFS(input!$O:$O,April!$R$63,input!$G:$G,April!N74,input!$A:$A,April!$B$2)</f>
        <v>0</v>
      </c>
      <c r="S74" s="310">
        <f>COUNTIFS(input!$O:$O,April!$S$63,input!$G:$G,April!N74,input!$A:$A,April!$B$2)</f>
        <v>0</v>
      </c>
      <c r="T74" s="314">
        <f>COUNTIFS(input!$O:$O,April!$T$63,input!$G:$G,April!N74,input!$A:$A,April!$B$2)</f>
        <v>0</v>
      </c>
      <c r="U74" s="314">
        <f>COUNTIFS(input!$O:$O,April!$U$63,input!$G:$G,April!N74,input!$A:$A,April!$B$2)</f>
        <v>0</v>
      </c>
      <c r="V74" s="314">
        <f>COUNTIFS(input!$O:$O,April!$V$63,input!$G:$G,April!N74,input!$A:$A,April!$B$2)</f>
        <v>0</v>
      </c>
      <c r="W74" s="314">
        <f>COUNTIFS(input!$O:$O,April!$W$63,input!$G:$G,April!N74,input!$A:$A,April!$B$2)</f>
        <v>0</v>
      </c>
      <c r="X74" s="314">
        <f>COUNTIFS(input!$O:$O,April!$X$63,input!$G:$G,April!N74,input!$A:$A,April!$B$2)</f>
        <v>0</v>
      </c>
      <c r="Y74" s="312">
        <f t="shared" si="5"/>
        <v>0</v>
      </c>
      <c r="Z74" s="339" cm="1">
        <f t="array" ref="Z74">_xlfn.IFS(Y74=0,0,Y74&gt;=1,Y74/$Y$104)</f>
        <v>0</v>
      </c>
    </row>
    <row r="75" spans="2:26" ht="92" customHeight="1" x14ac:dyDescent="0.25">
      <c r="B75" s="1028" t="s">
        <v>14</v>
      </c>
      <c r="C75" s="1029"/>
      <c r="D75" s="1037">
        <f>COUNTIFS(input!$O:$O,April!$D$63,input!$K:$K,April!B75,input!$A:$A,April!$B$2)</f>
        <v>0</v>
      </c>
      <c r="E75" s="1037">
        <f>COUNTIFS(input!$O:$O,April!$E$63,input!$K:$K,April!B75,input!$A:$A,April!$B$2)</f>
        <v>1</v>
      </c>
      <c r="F75" s="1037">
        <f>COUNTIFS(input!$O:$O,April!$F$63,input!$K:$K,April!B75,input!$A:$A,April!$B$2)</f>
        <v>0</v>
      </c>
      <c r="G75" s="1043">
        <f>COUNTIFS(input!$O:$O,April!$G$63,input!$K:$K,April!B75,input!$A:$A,April!$B$2)</f>
        <v>1</v>
      </c>
      <c r="H75" s="1043">
        <f>COUNTIFS(input!$O:$O,April!$H$63,input!$K:$K,April!B75,input!$A:$A,April!$B$2)</f>
        <v>1</v>
      </c>
      <c r="I75" s="1055">
        <f>COUNTIFS(input!$O:$O,April!$I$63,input!$K:$K,April!B75,input!$A:$A,April!$B$2)</f>
        <v>3</v>
      </c>
      <c r="J75" s="1043">
        <f>COUNTIFS(input!$O:$O,April!$J$63,input!$K:$K,April!B75,input!$A:$A,April!$B$2)</f>
        <v>0</v>
      </c>
      <c r="K75" s="1043">
        <f>COUNTIFS(input!$O:$O,April!$K$63,input!$K:$K,April!B75,input!$A:$A,April!$B$2)</f>
        <v>6</v>
      </c>
      <c r="L75" s="1022">
        <f>SUM(D75:K88)</f>
        <v>12</v>
      </c>
      <c r="M75" s="1025">
        <f>_xlfn.IFS(L75=0,0,L75&gt;=1,L75/L104)</f>
        <v>0.54545454545454541</v>
      </c>
      <c r="N75" s="1016" t="s">
        <v>1421</v>
      </c>
      <c r="O75" s="1016"/>
      <c r="P75" s="991"/>
      <c r="Q75" s="310">
        <f>COUNTIFS(input!$O:$O,April!$Q$63,input!$G:$G,April!N75,input!$A:$A,April!$B$2)</f>
        <v>0</v>
      </c>
      <c r="R75" s="310">
        <f>COUNTIFS(input!$O:$O,April!$R$63,input!$G:$G,April!N75,input!$A:$A,April!$B$2)</f>
        <v>0</v>
      </c>
      <c r="S75" s="310">
        <f>COUNTIFS(input!$O:$O,April!$S$63,input!$G:$G,April!N75,input!$A:$A,April!$B$2)</f>
        <v>0</v>
      </c>
      <c r="T75" s="314">
        <f>COUNTIFS(input!$O:$O,April!$T$63,input!$G:$G,April!N75,input!$A:$A,April!$B$2)</f>
        <v>0</v>
      </c>
      <c r="U75" s="314">
        <f>COUNTIFS(input!$O:$O,April!$U$63,input!$G:$G,April!N75,input!$A:$A,April!$B$2)</f>
        <v>0</v>
      </c>
      <c r="V75" s="314">
        <f>COUNTIFS(input!$O:$O,April!$V$63,input!$G:$G,April!N75,input!$A:$A,April!$B$2)</f>
        <v>0</v>
      </c>
      <c r="W75" s="314">
        <f>COUNTIFS(input!$O:$O,April!$W$63,input!$G:$G,April!N75,input!$A:$A,April!$B$2)</f>
        <v>0</v>
      </c>
      <c r="X75" s="314">
        <f>COUNTIFS(input!$O:$O,April!$X$63,input!$G:$G,April!N75,input!$A:$A,April!$B$2)</f>
        <v>1</v>
      </c>
      <c r="Y75" s="312">
        <f t="shared" si="5"/>
        <v>1</v>
      </c>
      <c r="Z75" s="339" cm="1">
        <f t="array" ref="Z75">_xlfn.IFS(Y75=0,0,Y75&gt;=1,Y75/$Y$104)</f>
        <v>4.5454545454545456E-2</v>
      </c>
    </row>
    <row r="76" spans="2:26" ht="92" customHeight="1" x14ac:dyDescent="0.25">
      <c r="B76" s="1030"/>
      <c r="C76" s="1031"/>
      <c r="D76" s="1038"/>
      <c r="E76" s="1038"/>
      <c r="F76" s="1038"/>
      <c r="G76" s="1044"/>
      <c r="H76" s="1044"/>
      <c r="I76" s="1056"/>
      <c r="J76" s="1044"/>
      <c r="K76" s="1044"/>
      <c r="L76" s="1023"/>
      <c r="M76" s="1026"/>
      <c r="N76" s="1016" t="s">
        <v>678</v>
      </c>
      <c r="O76" s="1016"/>
      <c r="P76" s="991"/>
      <c r="Q76" s="310">
        <f>COUNTIFS(input!$O:$O,April!$Q$63,input!$G:$G,April!N76,input!$A:$A,April!$B$2)</f>
        <v>0</v>
      </c>
      <c r="R76" s="310">
        <f>COUNTIFS(input!$O:$O,April!$R$63,input!$G:$G,April!N76,input!$A:$A,April!$B$2)</f>
        <v>0</v>
      </c>
      <c r="S76" s="310">
        <f>COUNTIFS(input!$O:$O,April!$S$63,input!$G:$G,April!N76,input!$A:$A,April!$B$2)</f>
        <v>0</v>
      </c>
      <c r="T76" s="314">
        <f>COUNTIFS(input!$O:$O,April!$T$63,input!$G:$G,April!N76,input!$A:$A,April!$B$2)</f>
        <v>0</v>
      </c>
      <c r="U76" s="314">
        <f>COUNTIFS(input!$O:$O,April!$U$63,input!$G:$G,April!N76,input!$A:$A,April!$B$2)</f>
        <v>0</v>
      </c>
      <c r="V76" s="314">
        <f>COUNTIFS(input!$O:$O,April!$V$63,input!$G:$G,April!N76,input!$A:$A,April!$B$2)</f>
        <v>0</v>
      </c>
      <c r="W76" s="314">
        <f>COUNTIFS(input!$O:$O,April!$W$63,input!$G:$G,April!N76,input!$A:$A,April!$B$2)</f>
        <v>0</v>
      </c>
      <c r="X76" s="314">
        <f>COUNTIFS(input!$O:$O,April!$X$63,input!$G:$G,April!N76,input!$A:$A,April!$B$2)</f>
        <v>2</v>
      </c>
      <c r="Y76" s="312">
        <f t="shared" si="5"/>
        <v>2</v>
      </c>
      <c r="Z76" s="339" cm="1">
        <f t="array" ref="Z76">_xlfn.IFS(Y76=0,0,Y76&gt;=1,Y76/$Y$104)</f>
        <v>9.0909090909090912E-2</v>
      </c>
    </row>
    <row r="77" spans="2:26" ht="92" hidden="1" customHeight="1" x14ac:dyDescent="0.25">
      <c r="B77" s="1030"/>
      <c r="C77" s="1031"/>
      <c r="D77" s="1038"/>
      <c r="E77" s="1038"/>
      <c r="F77" s="1038"/>
      <c r="G77" s="1044"/>
      <c r="H77" s="1044"/>
      <c r="I77" s="1056"/>
      <c r="J77" s="1044"/>
      <c r="K77" s="1044"/>
      <c r="L77" s="1023"/>
      <c r="M77" s="1026"/>
      <c r="N77" s="1065" t="s">
        <v>694</v>
      </c>
      <c r="O77" s="1065"/>
      <c r="P77" s="1066"/>
      <c r="Q77" s="310">
        <f>COUNTIFS(input!$O:$O,April!$Q$63,input!$G:$G,April!N77,input!$A:$A,April!$B$2)</f>
        <v>0</v>
      </c>
      <c r="R77" s="310">
        <f>COUNTIFS(input!$O:$O,April!$R$63,input!$G:$G,April!N77,input!$A:$A,April!$B$2)</f>
        <v>0</v>
      </c>
      <c r="S77" s="310">
        <f>COUNTIFS(input!$O:$O,April!$S$63,input!$G:$G,April!N77,input!$A:$A,April!$B$2)</f>
        <v>0</v>
      </c>
      <c r="T77" s="314">
        <f>COUNTIFS(input!$O:$O,April!$T$63,input!$G:$G,April!N77,input!$A:$A,April!$B$2)</f>
        <v>0</v>
      </c>
      <c r="U77" s="314">
        <f>COUNTIFS(input!$O:$O,April!$U$63,input!$G:$G,April!N77,input!$A:$A,April!$B$2)</f>
        <v>0</v>
      </c>
      <c r="V77" s="314">
        <f>COUNTIFS(input!$O:$O,April!$V$63,input!$G:$G,April!N77,input!$A:$A,April!$B$2)</f>
        <v>0</v>
      </c>
      <c r="W77" s="314">
        <f>COUNTIFS(input!$O:$O,April!$W$63,input!$G:$G,April!N77,input!$A:$A,April!$B$2)</f>
        <v>0</v>
      </c>
      <c r="X77" s="314">
        <f>COUNTIFS(input!$O:$O,April!$X$63,input!$G:$G,April!N77,input!$A:$A,April!$B$2)</f>
        <v>0</v>
      </c>
      <c r="Y77" s="312">
        <f t="shared" si="5"/>
        <v>0</v>
      </c>
      <c r="Z77" s="339" cm="1">
        <f t="array" ref="Z77">_xlfn.IFS(Y77=0,0,Y77&gt;=1,Y77/$Y$104)</f>
        <v>0</v>
      </c>
    </row>
    <row r="78" spans="2:26" ht="92" hidden="1" customHeight="1" x14ac:dyDescent="0.25">
      <c r="B78" s="1030"/>
      <c r="C78" s="1031"/>
      <c r="D78" s="1038"/>
      <c r="E78" s="1038"/>
      <c r="F78" s="1038"/>
      <c r="G78" s="1044"/>
      <c r="H78" s="1044"/>
      <c r="I78" s="1056"/>
      <c r="J78" s="1044"/>
      <c r="K78" s="1044"/>
      <c r="L78" s="1023"/>
      <c r="M78" s="1026"/>
      <c r="N78" s="1065" t="s">
        <v>415</v>
      </c>
      <c r="O78" s="1065"/>
      <c r="P78" s="1066"/>
      <c r="Q78" s="310">
        <f>COUNTIFS(input!$O:$O,April!$Q$63,input!$G:$G,April!N78,input!$A:$A,April!$B$2)</f>
        <v>0</v>
      </c>
      <c r="R78" s="310">
        <f>COUNTIFS(input!$O:$O,April!$R$63,input!$G:$G,April!N78,input!$A:$A,April!$B$2)</f>
        <v>0</v>
      </c>
      <c r="S78" s="310">
        <f>COUNTIFS(input!$O:$O,April!$S$63,input!$G:$G,April!N78,input!$A:$A,April!$B$2)</f>
        <v>0</v>
      </c>
      <c r="T78" s="314">
        <f>COUNTIFS(input!$O:$O,April!$T$63,input!$G:$G,April!N78,input!$A:$A,April!$B$2)</f>
        <v>0</v>
      </c>
      <c r="U78" s="314">
        <f>COUNTIFS(input!$O:$O,April!$U$63,input!$G:$G,April!N78,input!$A:$A,April!$B$2)</f>
        <v>0</v>
      </c>
      <c r="V78" s="314">
        <f>COUNTIFS(input!$O:$O,April!$V$63,input!$G:$G,April!N78,input!$A:$A,April!$B$2)</f>
        <v>0</v>
      </c>
      <c r="W78" s="314">
        <f>COUNTIFS(input!$O:$O,April!$W$63,input!$G:$G,April!N78,input!$A:$A,April!$B$2)</f>
        <v>0</v>
      </c>
      <c r="X78" s="314">
        <f>COUNTIFS(input!$O:$O,April!$X$63,input!$G:$G,April!N78,input!$A:$A,April!$B$2)</f>
        <v>0</v>
      </c>
      <c r="Y78" s="312">
        <f t="shared" si="5"/>
        <v>0</v>
      </c>
      <c r="Z78" s="339" cm="1">
        <f t="array" ref="Z78">_xlfn.IFS(Y78=0,0,Y78&gt;=1,Y78/$Y$104)</f>
        <v>0</v>
      </c>
    </row>
    <row r="79" spans="2:26" ht="92" hidden="1" customHeight="1" x14ac:dyDescent="0.25">
      <c r="B79" s="1030"/>
      <c r="C79" s="1031"/>
      <c r="D79" s="1038"/>
      <c r="E79" s="1038"/>
      <c r="F79" s="1038"/>
      <c r="G79" s="1044"/>
      <c r="H79" s="1044"/>
      <c r="I79" s="1056"/>
      <c r="J79" s="1044"/>
      <c r="K79" s="1044"/>
      <c r="L79" s="1023"/>
      <c r="M79" s="1026"/>
      <c r="N79" s="1065" t="s">
        <v>116</v>
      </c>
      <c r="O79" s="1065"/>
      <c r="P79" s="1066"/>
      <c r="Q79" s="310">
        <f>COUNTIFS(input!$O:$O,April!$Q$63,input!$G:$G,April!N79,input!$A:$A,April!$B$2)</f>
        <v>0</v>
      </c>
      <c r="R79" s="310">
        <f>COUNTIFS(input!$O:$O,April!$R$63,input!$G:$G,April!N79,input!$A:$A,April!$B$2)</f>
        <v>0</v>
      </c>
      <c r="S79" s="310">
        <f>COUNTIFS(input!$O:$O,April!$S$63,input!$G:$G,April!N79,input!$A:$A,April!$B$2)</f>
        <v>0</v>
      </c>
      <c r="T79" s="314">
        <f>COUNTIFS(input!$O:$O,April!$T$63,input!$G:$G,April!N79,input!$A:$A,April!$B$2)</f>
        <v>0</v>
      </c>
      <c r="U79" s="314">
        <f>COUNTIFS(input!$O:$O,April!$U$63,input!$G:$G,April!N79,input!$A:$A,April!$B$2)</f>
        <v>0</v>
      </c>
      <c r="V79" s="314">
        <f>COUNTIFS(input!$O:$O,April!$V$63,input!$G:$G,April!N79,input!$A:$A,April!$B$2)</f>
        <v>0</v>
      </c>
      <c r="W79" s="314">
        <f>COUNTIFS(input!$O:$O,April!$W$63,input!$G:$G,April!N79,input!$A:$A,April!$B$2)</f>
        <v>0</v>
      </c>
      <c r="X79" s="314">
        <f>COUNTIFS(input!$O:$O,April!$X$63,input!$G:$G,April!N79,input!$A:$A,April!$B$2)</f>
        <v>0</v>
      </c>
      <c r="Y79" s="312">
        <f t="shared" si="5"/>
        <v>0</v>
      </c>
      <c r="Z79" s="339" cm="1">
        <f t="array" ref="Z79">_xlfn.IFS(Y79=0,0,Y79&gt;=1,Y79/$Y$104)</f>
        <v>0</v>
      </c>
    </row>
    <row r="80" spans="2:26" ht="92" hidden="1" customHeight="1" x14ac:dyDescent="0.25">
      <c r="B80" s="1030"/>
      <c r="C80" s="1031"/>
      <c r="D80" s="1038"/>
      <c r="E80" s="1038"/>
      <c r="F80" s="1038"/>
      <c r="G80" s="1044"/>
      <c r="H80" s="1044"/>
      <c r="I80" s="1056"/>
      <c r="J80" s="1044"/>
      <c r="K80" s="1044"/>
      <c r="L80" s="1023"/>
      <c r="M80" s="1026"/>
      <c r="N80" s="1065" t="s">
        <v>1185</v>
      </c>
      <c r="O80" s="1065"/>
      <c r="P80" s="1066"/>
      <c r="Q80" s="310">
        <f>COUNTIFS(input!$O:$O,April!$Q$63,input!$G:$G,April!N80,input!$A:$A,April!$B$2)</f>
        <v>0</v>
      </c>
      <c r="R80" s="310">
        <f>COUNTIFS(input!$O:$O,April!$R$63,input!$G:$G,April!N80,input!$A:$A,April!$B$2)</f>
        <v>0</v>
      </c>
      <c r="S80" s="310">
        <f>COUNTIFS(input!$O:$O,April!$S$63,input!$G:$G,April!N80,input!$A:$A,April!$B$2)</f>
        <v>0</v>
      </c>
      <c r="T80" s="314">
        <f>COUNTIFS(input!$O:$O,April!$T$63,input!$G:$G,April!N80,input!$A:$A,April!$B$2)</f>
        <v>0</v>
      </c>
      <c r="U80" s="314">
        <f>COUNTIFS(input!$O:$O,April!$U$63,input!$G:$G,April!N80,input!$A:$A,April!$B$2)</f>
        <v>0</v>
      </c>
      <c r="V80" s="314">
        <f>COUNTIFS(input!$O:$O,April!$V$63,input!$G:$G,April!N80,input!$A:$A,April!$B$2)</f>
        <v>0</v>
      </c>
      <c r="W80" s="314">
        <f>COUNTIFS(input!$O:$O,April!$W$63,input!$G:$G,April!N80,input!$A:$A,April!$B$2)</f>
        <v>0</v>
      </c>
      <c r="X80" s="314">
        <f>COUNTIFS(input!$O:$O,April!$X$63,input!$G:$G,April!N80,input!$A:$A,April!$B$2)</f>
        <v>0</v>
      </c>
      <c r="Y80" s="312">
        <f t="shared" si="5"/>
        <v>0</v>
      </c>
      <c r="Z80" s="339" cm="1">
        <f t="array" ref="Z80">_xlfn.IFS(Y80=0,0,Y80&gt;=1,Y80/$Y$104)</f>
        <v>0</v>
      </c>
    </row>
    <row r="81" spans="2:26" ht="92" hidden="1" customHeight="1" x14ac:dyDescent="0.25">
      <c r="B81" s="1030"/>
      <c r="C81" s="1031"/>
      <c r="D81" s="1038"/>
      <c r="E81" s="1038"/>
      <c r="F81" s="1038"/>
      <c r="G81" s="1044"/>
      <c r="H81" s="1044"/>
      <c r="I81" s="1056"/>
      <c r="J81" s="1044"/>
      <c r="K81" s="1044"/>
      <c r="L81" s="1023"/>
      <c r="M81" s="1026"/>
      <c r="N81" s="1065" t="s">
        <v>740</v>
      </c>
      <c r="O81" s="1065"/>
      <c r="P81" s="1066"/>
      <c r="Q81" s="310">
        <f>COUNTIFS(input!$O:$O,April!$Q$63,input!$G:$G,April!N81,input!$A:$A,April!$B$2)</f>
        <v>0</v>
      </c>
      <c r="R81" s="310">
        <f>COUNTIFS(input!$O:$O,April!$R$63,input!$G:$G,April!N81,input!$A:$A,April!$B$2)</f>
        <v>0</v>
      </c>
      <c r="S81" s="310">
        <f>COUNTIFS(input!$O:$O,April!$S$63,input!$G:$G,April!N81,input!$A:$A,April!$B$2)</f>
        <v>0</v>
      </c>
      <c r="T81" s="314">
        <f>COUNTIFS(input!$O:$O,April!$T$63,input!$G:$G,April!N81,input!$A:$A,April!$B$2)</f>
        <v>0</v>
      </c>
      <c r="U81" s="314">
        <f>COUNTIFS(input!$O:$O,April!$U$63,input!$G:$G,April!N81,input!$A:$A,April!$B$2)</f>
        <v>0</v>
      </c>
      <c r="V81" s="314">
        <f>COUNTIFS(input!$O:$O,April!$V$63,input!$G:$G,April!N81,input!$A:$A,April!$B$2)</f>
        <v>0</v>
      </c>
      <c r="W81" s="314">
        <f>COUNTIFS(input!$O:$O,April!$W$63,input!$G:$G,April!N81,input!$A:$A,April!$B$2)</f>
        <v>0</v>
      </c>
      <c r="X81" s="314">
        <f>COUNTIFS(input!$O:$O,April!$X$63,input!$G:$G,April!N81,input!$A:$A,April!$B$2)</f>
        <v>0</v>
      </c>
      <c r="Y81" s="312">
        <f t="shared" si="5"/>
        <v>0</v>
      </c>
      <c r="Z81" s="339" cm="1">
        <f t="array" ref="Z81">_xlfn.IFS(Y81=0,0,Y81&gt;=1,Y81/$Y$104)</f>
        <v>0</v>
      </c>
    </row>
    <row r="82" spans="2:26" ht="92" customHeight="1" x14ac:dyDescent="0.25">
      <c r="B82" s="1030"/>
      <c r="C82" s="1031"/>
      <c r="D82" s="1038"/>
      <c r="E82" s="1038"/>
      <c r="F82" s="1038"/>
      <c r="G82" s="1044"/>
      <c r="H82" s="1044"/>
      <c r="I82" s="1056"/>
      <c r="J82" s="1044"/>
      <c r="K82" s="1044"/>
      <c r="L82" s="1023"/>
      <c r="M82" s="1026"/>
      <c r="N82" s="1016" t="s">
        <v>108</v>
      </c>
      <c r="O82" s="1016"/>
      <c r="P82" s="991"/>
      <c r="Q82" s="310">
        <f>COUNTIFS(input!$O:$O,April!$Q$63,input!$G:$G,April!N82,input!$A:$A,April!$B$2)</f>
        <v>0</v>
      </c>
      <c r="R82" s="310">
        <f>COUNTIFS(input!$O:$O,April!$R$63,input!$G:$G,April!N82,input!$A:$A,April!$B$2)</f>
        <v>0</v>
      </c>
      <c r="S82" s="310">
        <f>COUNTIFS(input!$O:$O,April!$S$63,input!$G:$G,April!N82,input!$A:$A,April!$B$2)</f>
        <v>0</v>
      </c>
      <c r="T82" s="314">
        <f>COUNTIFS(input!$O:$O,April!$T$63,input!$G:$G,April!N82,input!$A:$A,April!$B$2)</f>
        <v>0</v>
      </c>
      <c r="U82" s="314">
        <f>COUNTIFS(input!$O:$O,April!$U$63,input!$G:$G,April!N82,input!$A:$A,April!$B$2)</f>
        <v>0</v>
      </c>
      <c r="V82" s="314">
        <f>COUNTIFS(input!$O:$O,April!$V$63,input!$G:$G,April!N82,input!$A:$A,April!$B$2)</f>
        <v>0</v>
      </c>
      <c r="W82" s="314">
        <f>COUNTIFS(input!$O:$O,April!$W$63,input!$G:$G,April!N82,input!$A:$A,April!$B$2)</f>
        <v>1</v>
      </c>
      <c r="X82" s="314">
        <f>COUNTIFS(input!$O:$O,April!$X$63,input!$G:$G,April!N82,input!$A:$A,April!$B$2)</f>
        <v>0</v>
      </c>
      <c r="Y82" s="312">
        <f>SUM(Q82:X82)</f>
        <v>1</v>
      </c>
      <c r="Z82" s="339" cm="1">
        <f t="array" ref="Z82">_xlfn.IFS(Y82=0,0,Y82&gt;=1,Y82/$Y$104)</f>
        <v>4.5454545454545456E-2</v>
      </c>
    </row>
    <row r="83" spans="2:26" ht="92" hidden="1" customHeight="1" x14ac:dyDescent="0.25">
      <c r="B83" s="1030"/>
      <c r="C83" s="1031"/>
      <c r="D83" s="1038"/>
      <c r="E83" s="1038"/>
      <c r="F83" s="1038"/>
      <c r="G83" s="1044"/>
      <c r="H83" s="1044"/>
      <c r="I83" s="1056"/>
      <c r="J83" s="1044"/>
      <c r="K83" s="1044"/>
      <c r="L83" s="1023"/>
      <c r="M83" s="1026"/>
      <c r="N83" s="1065" t="s">
        <v>398</v>
      </c>
      <c r="O83" s="1065"/>
      <c r="P83" s="1066"/>
      <c r="Q83" s="310">
        <f>COUNTIFS(input!$O:$O,April!$Q$63,input!$G:$G,April!N83,input!$A:$A,April!$B$2)</f>
        <v>0</v>
      </c>
      <c r="R83" s="310">
        <f>COUNTIFS(input!$O:$O,April!$R$63,input!$G:$G,April!N83,input!$A:$A,April!$B$2)</f>
        <v>0</v>
      </c>
      <c r="S83" s="310">
        <f>COUNTIFS(input!$O:$O,April!$S$63,input!$G:$G,April!N83,input!$A:$A,April!$B$2)</f>
        <v>0</v>
      </c>
      <c r="T83" s="314">
        <f>COUNTIFS(input!$O:$O,April!$T$63,input!$G:$G,April!N83,input!$A:$A,April!$B$2)</f>
        <v>0</v>
      </c>
      <c r="U83" s="314">
        <f>COUNTIFS(input!$O:$O,April!$U$63,input!$G:$G,April!N83,input!$A:$A,April!$B$2)</f>
        <v>0</v>
      </c>
      <c r="V83" s="314">
        <f>COUNTIFS(input!$O:$O,April!$V$63,input!$G:$G,April!N83,input!$A:$A,April!$B$2)</f>
        <v>0</v>
      </c>
      <c r="W83" s="314">
        <f>COUNTIFS(input!$O:$O,April!$W$63,input!$G:$G,April!N83,input!$A:$A,April!$B$2)</f>
        <v>0</v>
      </c>
      <c r="X83" s="314">
        <f>COUNTIFS(input!$O:$O,April!$X$63,input!$G:$G,April!N83,input!$A:$A,April!$B$2)</f>
        <v>0</v>
      </c>
      <c r="Y83" s="312">
        <f t="shared" si="5"/>
        <v>0</v>
      </c>
      <c r="Z83" s="339" cm="1">
        <f t="array" ref="Z83">_xlfn.IFS(Y83=0,0,Y83&gt;=1,Y83/$Y$104)</f>
        <v>0</v>
      </c>
    </row>
    <row r="84" spans="2:26" ht="92" customHeight="1" x14ac:dyDescent="0.25">
      <c r="B84" s="1030"/>
      <c r="C84" s="1031"/>
      <c r="D84" s="1038"/>
      <c r="E84" s="1038"/>
      <c r="F84" s="1038"/>
      <c r="G84" s="1044"/>
      <c r="H84" s="1044"/>
      <c r="I84" s="1056"/>
      <c r="J84" s="1044"/>
      <c r="K84" s="1044"/>
      <c r="L84" s="1023"/>
      <c r="M84" s="1026"/>
      <c r="N84" s="1016" t="s">
        <v>83</v>
      </c>
      <c r="O84" s="1016"/>
      <c r="P84" s="991"/>
      <c r="Q84" s="310">
        <f>COUNTIFS(input!$O:$O,April!$Q$63,input!$G:$G,April!N84,input!$A:$A,April!$B$2)</f>
        <v>0</v>
      </c>
      <c r="R84" s="310">
        <f>COUNTIFS(input!$O:$O,April!$R$63,input!$G:$G,April!N84,input!$A:$A,April!$B$2)</f>
        <v>0</v>
      </c>
      <c r="S84" s="310">
        <f>COUNTIFS(input!$O:$O,April!$S$63,input!$G:$G,April!N84,input!$A:$A,April!$B$2)</f>
        <v>0</v>
      </c>
      <c r="T84" s="314">
        <f>COUNTIFS(input!$O:$O,April!$T$63,input!$G:$G,April!N84,input!$A:$A,April!$B$2)</f>
        <v>2</v>
      </c>
      <c r="U84" s="314">
        <f>COUNTIFS(input!$O:$O,April!$U$63,input!$G:$G,April!N84,input!$A:$A,April!$B$2)</f>
        <v>0</v>
      </c>
      <c r="V84" s="314">
        <f>COUNTIFS(input!$O:$O,April!$V$63,input!$G:$G,April!N84,input!$A:$A,April!$B$2)</f>
        <v>2</v>
      </c>
      <c r="W84" s="314">
        <f>COUNTIFS(input!$O:$O,April!$W$63,input!$G:$G,April!N84,input!$A:$A,April!$B$2)</f>
        <v>0</v>
      </c>
      <c r="X84" s="314">
        <f>COUNTIFS(input!$O:$O,April!$X$63,input!$G:$G,April!N84,input!$A:$A,April!$B$2)</f>
        <v>0</v>
      </c>
      <c r="Y84" s="312">
        <f t="shared" si="5"/>
        <v>4</v>
      </c>
      <c r="Z84" s="339" cm="1">
        <f t="array" ref="Z84">_xlfn.IFS(Y84=0,0,Y84&gt;=1,Y84/$Y$104)</f>
        <v>0.18181818181818182</v>
      </c>
    </row>
    <row r="85" spans="2:26" ht="92" customHeight="1" x14ac:dyDescent="0.25">
      <c r="B85" s="1030"/>
      <c r="C85" s="1031"/>
      <c r="D85" s="1038"/>
      <c r="E85" s="1038"/>
      <c r="F85" s="1038"/>
      <c r="G85" s="1044"/>
      <c r="H85" s="1044"/>
      <c r="I85" s="1056"/>
      <c r="J85" s="1044"/>
      <c r="K85" s="1044"/>
      <c r="L85" s="1023"/>
      <c r="M85" s="1026"/>
      <c r="N85" s="1016" t="s">
        <v>1438</v>
      </c>
      <c r="O85" s="1016"/>
      <c r="P85" s="991"/>
      <c r="Q85" s="310">
        <f>COUNTIFS(input!$O:$O,April!$Q$63,input!$G:$G,April!N85,input!$A:$A,April!$B$2)</f>
        <v>0</v>
      </c>
      <c r="R85" s="310">
        <f>COUNTIFS(input!$O:$O,April!$R$63,input!$G:$G,April!N85,input!$A:$A,April!$B$2)</f>
        <v>0</v>
      </c>
      <c r="S85" s="310">
        <f>COUNTIFS(input!$O:$O,April!$S$63,input!$G:$G,April!N85,input!$A:$A,April!$B$2)</f>
        <v>0</v>
      </c>
      <c r="T85" s="314">
        <f>COUNTIFS(input!$O:$O,April!$T$63,input!$G:$G,April!N85,input!$A:$A,April!$B$2)</f>
        <v>0</v>
      </c>
      <c r="U85" s="314">
        <f>COUNTIFS(input!$O:$O,April!$U$63,input!$G:$G,April!N85,input!$A:$A,April!$B$2)</f>
        <v>0</v>
      </c>
      <c r="V85" s="314">
        <f>COUNTIFS(input!$O:$O,April!$V$63,input!$G:$G,April!N85,input!$A:$A,April!$B$2)</f>
        <v>1</v>
      </c>
      <c r="W85" s="314">
        <f>COUNTIFS(input!$O:$O,April!$W$63,input!$G:$G,April!N85,input!$A:$A,April!$B$2)</f>
        <v>0</v>
      </c>
      <c r="X85" s="314">
        <f>COUNTIFS(input!$O:$O,April!$X$63,input!$G:$G,April!N85,input!$A:$A,April!$B$2)</f>
        <v>0</v>
      </c>
      <c r="Y85" s="312">
        <f>SUM(Q85:X85)</f>
        <v>1</v>
      </c>
      <c r="Z85" s="339" cm="1">
        <f t="array" ref="Z85">_xlfn.IFS(Y85=0,0,Y85&gt;=1,Y85/$Y$104)</f>
        <v>4.5454545454545456E-2</v>
      </c>
    </row>
    <row r="86" spans="2:26" ht="92" hidden="1" customHeight="1" x14ac:dyDescent="0.25">
      <c r="B86" s="1030"/>
      <c r="C86" s="1031"/>
      <c r="D86" s="1038"/>
      <c r="E86" s="1038"/>
      <c r="F86" s="1038"/>
      <c r="G86" s="1044"/>
      <c r="H86" s="1044"/>
      <c r="I86" s="1056"/>
      <c r="J86" s="1044"/>
      <c r="K86" s="1044"/>
      <c r="L86" s="1023"/>
      <c r="M86" s="1026"/>
      <c r="N86" s="1065" t="s">
        <v>876</v>
      </c>
      <c r="O86" s="1065"/>
      <c r="P86" s="1066"/>
      <c r="Q86" s="310">
        <f>COUNTIFS(input!$O:$O,April!$Q$63,input!$G:$G,April!N86,input!$A:$A,April!$B$2)</f>
        <v>0</v>
      </c>
      <c r="R86" s="310">
        <f>COUNTIFS(input!$O:$O,April!$R$63,input!$G:$G,April!N86,input!$A:$A,April!$B$2)</f>
        <v>0</v>
      </c>
      <c r="S86" s="310">
        <f>COUNTIFS(input!$O:$O,April!$S$63,input!$G:$G,April!N86,input!$A:$A,April!$B$2)</f>
        <v>0</v>
      </c>
      <c r="T86" s="314">
        <f>COUNTIFS(input!$O:$O,April!$T$63,input!$G:$G,April!N86,input!$A:$A,April!$B$2)</f>
        <v>0</v>
      </c>
      <c r="U86" s="314">
        <f>COUNTIFS(input!$O:$O,April!$U$63,input!$G:$G,April!N86,input!$A:$A,April!$B$2)</f>
        <v>0</v>
      </c>
      <c r="V86" s="314">
        <f>COUNTIFS(input!$O:$O,April!$V$63,input!$G:$G,April!N86,input!$A:$A,April!$B$2)</f>
        <v>0</v>
      </c>
      <c r="W86" s="314">
        <f>COUNTIFS(input!$O:$O,April!$W$63,input!$G:$G,April!N86,input!$A:$A,April!$B$2)</f>
        <v>0</v>
      </c>
      <c r="X86" s="314">
        <f>COUNTIFS(input!$O:$O,April!$X$63,input!$G:$G,April!N86,input!$A:$A,April!$B$2)</f>
        <v>0</v>
      </c>
      <c r="Y86" s="312">
        <f t="shared" si="5"/>
        <v>0</v>
      </c>
      <c r="Z86" s="339" cm="1">
        <f t="array" ref="Z86">_xlfn.IFS(Y86=0,0,Y86&gt;=1,Y86/$Y$104)</f>
        <v>0</v>
      </c>
    </row>
    <row r="87" spans="2:26" ht="92" customHeight="1" x14ac:dyDescent="0.25">
      <c r="B87" s="1030"/>
      <c r="C87" s="1031"/>
      <c r="D87" s="1038"/>
      <c r="E87" s="1038"/>
      <c r="F87" s="1038"/>
      <c r="G87" s="1044"/>
      <c r="H87" s="1044"/>
      <c r="I87" s="1056"/>
      <c r="J87" s="1044"/>
      <c r="K87" s="1044"/>
      <c r="L87" s="1023"/>
      <c r="M87" s="1026"/>
      <c r="N87" s="1016" t="s">
        <v>1492</v>
      </c>
      <c r="O87" s="1016"/>
      <c r="P87" s="991"/>
      <c r="Q87" s="310">
        <f>COUNTIFS(input!$O:$O,April!$Q$63,input!$G:$G,April!N87,input!$A:$A,April!$B$2)</f>
        <v>0</v>
      </c>
      <c r="R87" s="310">
        <f>COUNTIFS(input!$O:$O,April!$R$63,input!$G:$G,April!N87,input!$A:$A,April!$B$2)</f>
        <v>0</v>
      </c>
      <c r="S87" s="310">
        <f>COUNTIFS(input!$O:$O,April!$S$63,input!$G:$G,April!N87,input!$A:$A,April!$B$2)</f>
        <v>0</v>
      </c>
      <c r="T87" s="314">
        <f>COUNTIFS(input!$O:$O,April!$T$63,input!$G:$G,April!N87,input!$A:$A,April!$B$2)</f>
        <v>1</v>
      </c>
      <c r="U87" s="314">
        <f>COUNTIFS(input!$O:$O,April!$U$63,input!$G:$G,April!N87,input!$A:$A,April!$B$2)</f>
        <v>0</v>
      </c>
      <c r="V87" s="314">
        <f>COUNTIFS(input!$O:$O,April!$V$63,input!$G:$G,April!N87,input!$A:$A,April!$B$2)</f>
        <v>0</v>
      </c>
      <c r="W87" s="314">
        <f>COUNTIFS(input!$O:$O,April!$W$63,input!$G:$G,April!N87,input!$A:$A,April!$B$2)</f>
        <v>0</v>
      </c>
      <c r="X87" s="314">
        <f>COUNTIFS(input!$O:$O,April!$X$63,input!$G:$G,April!N87,input!$A:$A,April!$B$2)</f>
        <v>0</v>
      </c>
      <c r="Y87" s="312">
        <f>SUM(Q87:X87)</f>
        <v>1</v>
      </c>
      <c r="Z87" s="339" cm="1">
        <f t="array" ref="Z87">_xlfn.IFS(Y87=0,0,Y87&gt;=1,Y87/$Y$104)</f>
        <v>4.5454545454545456E-2</v>
      </c>
    </row>
    <row r="88" spans="2:26" ht="92" customHeight="1" x14ac:dyDescent="0.25">
      <c r="B88" s="1109"/>
      <c r="C88" s="1110"/>
      <c r="D88" s="1114"/>
      <c r="E88" s="1114"/>
      <c r="F88" s="1114"/>
      <c r="G88" s="1054"/>
      <c r="H88" s="1054"/>
      <c r="I88" s="1057"/>
      <c r="J88" s="1054"/>
      <c r="K88" s="1054"/>
      <c r="L88" s="1024"/>
      <c r="M88" s="1027"/>
      <c r="N88" s="1016" t="s">
        <v>895</v>
      </c>
      <c r="O88" s="1016"/>
      <c r="P88" s="991"/>
      <c r="Q88" s="310">
        <f>COUNTIFS(input!$O:$O,April!$Q$63,input!$G:$G,April!N88,input!$A:$A,April!$B$2)</f>
        <v>0</v>
      </c>
      <c r="R88" s="310">
        <f>COUNTIFS(input!$O:$O,April!$R$63,input!$G:$G,April!N88,input!$A:$A,April!$B$2)</f>
        <v>0</v>
      </c>
      <c r="S88" s="310">
        <f>COUNTIFS(input!$O:$O,April!$S$63,input!$G:$G,April!N88,input!$A:$A,April!$B$2)</f>
        <v>0</v>
      </c>
      <c r="T88" s="314">
        <f>COUNTIFS(input!$O:$O,April!$T$63,input!$G:$G,April!N88,input!$A:$A,April!$B$2)</f>
        <v>0</v>
      </c>
      <c r="U88" s="314">
        <f>COUNTIFS(input!$O:$O,April!$U$63,input!$G:$G,April!N88,input!$A:$A,April!$B$2)</f>
        <v>0</v>
      </c>
      <c r="V88" s="314">
        <f>COUNTIFS(input!$O:$O,April!$V$63,input!$G:$G,April!N88,input!$A:$A,April!$B$2)</f>
        <v>0</v>
      </c>
      <c r="W88" s="314">
        <f>COUNTIFS(input!$O:$O,April!$W$63,input!$G:$G,April!N88,input!$A:$A,April!$B$2)</f>
        <v>0</v>
      </c>
      <c r="X88" s="314">
        <f>COUNTIFS(input!$O:$O,April!$X$63,input!$G:$G,April!N88,input!$A:$A,April!$B$2)</f>
        <v>1</v>
      </c>
      <c r="Y88" s="312">
        <f t="shared" si="5"/>
        <v>1</v>
      </c>
      <c r="Z88" s="339" cm="1">
        <f t="array" ref="Z88">_xlfn.IFS(Y88=0,0,Y88&gt;=1,Y88/$Y$104)</f>
        <v>4.5454545454545456E-2</v>
      </c>
    </row>
    <row r="89" spans="2:26" ht="92" hidden="1" customHeight="1" x14ac:dyDescent="0.25">
      <c r="B89" s="1028" t="s">
        <v>15</v>
      </c>
      <c r="C89" s="1029"/>
      <c r="D89" s="1034">
        <f>COUNTIFS(input!$O:$O,April!$D$63,input!$K:$K,April!B89,input!$A:$A,April!$B$2)</f>
        <v>0</v>
      </c>
      <c r="E89" s="1037">
        <f>COUNTIFS(input!$O:$O,April!$E$63,input!$K:$K,April!B89,input!$A:$A,April!$B$2)</f>
        <v>0</v>
      </c>
      <c r="F89" s="1037">
        <f>COUNTIFS(input!$O:$O,April!$F$63,input!$K:$K,April!B89,input!$A:$A,April!$B$2)</f>
        <v>0</v>
      </c>
      <c r="G89" s="1040">
        <f>COUNTIFS(input!$O:$O,April!$G$63,input!$K:$K,April!B89,input!$A:$A,April!$B$2)</f>
        <v>1</v>
      </c>
      <c r="H89" s="1043">
        <f>COUNTIFS(input!$O:$O,April!$H$63,input!$K:$K,April!B89,input!$A:$A,April!$B$2)</f>
        <v>0</v>
      </c>
      <c r="I89" s="1046">
        <f>COUNTIFS(input!$O:$O,April!$I$63,input!$K:$K,April!B89,input!$A:$A,April!$B$2)</f>
        <v>1</v>
      </c>
      <c r="J89" s="1049">
        <f>COUNTIFS(input!$O:$O,April!$J$63,input!$K:$K,April!B89,input!$A:$A,April!$B$2)</f>
        <v>0</v>
      </c>
      <c r="K89" s="1049">
        <f>COUNTIFS(input!$O:$O,April!$K$63,input!$K:$K,April!B89,input!$A:$A,April!$B$2)</f>
        <v>4</v>
      </c>
      <c r="L89" s="1011">
        <f>SUM(D89:K103)</f>
        <v>6</v>
      </c>
      <c r="M89" s="1013">
        <f>_xlfn.IFS(L89=0,0,L89&gt;=1,L89/L104)</f>
        <v>0.27272727272727271</v>
      </c>
      <c r="N89" s="1065" t="s">
        <v>55</v>
      </c>
      <c r="O89" s="1065"/>
      <c r="P89" s="1066"/>
      <c r="Q89" s="310">
        <f>COUNTIFS(input!$O:$O,April!$Q$63,input!$G:$G,April!N89,input!$A:$A,April!$B$2)</f>
        <v>0</v>
      </c>
      <c r="R89" s="310">
        <f>COUNTIFS(input!$O:$O,April!$R$63,input!$G:$G,April!N89,input!$A:$A,April!$B$2)</f>
        <v>0</v>
      </c>
      <c r="S89" s="310">
        <f>COUNTIFS(input!$O:$O,April!$S$63,input!$G:$G,April!N89,input!$A:$A,April!$B$2)</f>
        <v>0</v>
      </c>
      <c r="T89" s="314">
        <f>COUNTIFS(input!$O:$O,April!$T$63,input!$G:$G,April!N89,input!$A:$A,April!$B$2)</f>
        <v>0</v>
      </c>
      <c r="U89" s="314">
        <f>COUNTIFS(input!$O:$O,April!$U$63,input!$G:$G,April!N89,input!$A:$A,April!$B$2)</f>
        <v>0</v>
      </c>
      <c r="V89" s="314">
        <f>COUNTIFS(input!$O:$O,April!$V$63,input!$G:$G,April!N89,input!$A:$A,April!$B$2)</f>
        <v>0</v>
      </c>
      <c r="W89" s="314">
        <f>COUNTIFS(input!$O:$O,April!$W$63,input!$G:$G,April!N89,input!$A:$A,April!$B$2)</f>
        <v>0</v>
      </c>
      <c r="X89" s="314">
        <f>COUNTIFS(input!$O:$O,April!$X$63,input!$G:$G,April!N89,input!$A:$A,April!$B$2)</f>
        <v>0</v>
      </c>
      <c r="Y89" s="312">
        <f t="shared" si="5"/>
        <v>0</v>
      </c>
      <c r="Z89" s="339" cm="1">
        <f t="array" ref="Z89">_xlfn.IFS(Y89=0,0,Y89&gt;=1,Y89/$Y$104)</f>
        <v>0</v>
      </c>
    </row>
    <row r="90" spans="2:26" ht="92" hidden="1" customHeight="1" x14ac:dyDescent="0.25">
      <c r="B90" s="1030"/>
      <c r="C90" s="1031"/>
      <c r="D90" s="1035"/>
      <c r="E90" s="1038"/>
      <c r="F90" s="1038"/>
      <c r="G90" s="1041"/>
      <c r="H90" s="1044"/>
      <c r="I90" s="1047"/>
      <c r="J90" s="1050"/>
      <c r="K90" s="1050"/>
      <c r="L90" s="1011"/>
      <c r="M90" s="1014"/>
      <c r="N90" s="1065" t="s">
        <v>285</v>
      </c>
      <c r="O90" s="1065"/>
      <c r="P90" s="1066"/>
      <c r="Q90" s="310">
        <f>COUNTIFS(input!$O:$O,April!$Q$63,input!$G:$G,April!N90,input!$A:$A,April!$B$2)</f>
        <v>0</v>
      </c>
      <c r="R90" s="310">
        <f>COUNTIFS(input!$O:$O,April!$R$63,input!$G:$G,April!N90,input!$A:$A,April!$B$2)</f>
        <v>0</v>
      </c>
      <c r="S90" s="310">
        <f>COUNTIFS(input!$O:$O,April!$S$63,input!$G:$G,April!N90,input!$A:$A,April!$B$2)</f>
        <v>0</v>
      </c>
      <c r="T90" s="314">
        <f>COUNTIFS(input!$O:$O,April!$T$63,input!$G:$G,April!N90,input!$A:$A,April!$B$2)</f>
        <v>0</v>
      </c>
      <c r="U90" s="314">
        <f>COUNTIFS(input!$O:$O,April!$U$63,input!$G:$G,April!N90,input!$A:$A,April!$B$2)</f>
        <v>0</v>
      </c>
      <c r="V90" s="314">
        <f>COUNTIFS(input!$O:$O,April!$V$63,input!$G:$G,April!N90,input!$A:$A,April!$B$2)</f>
        <v>0</v>
      </c>
      <c r="W90" s="314">
        <f>COUNTIFS(input!$O:$O,April!$W$63,input!$G:$G,April!N90,input!$A:$A,April!$B$2)</f>
        <v>0</v>
      </c>
      <c r="X90" s="314">
        <f>COUNTIFS(input!$O:$O,April!$X$63,input!$G:$G,April!N90,input!$A:$A,April!$B$2)</f>
        <v>0</v>
      </c>
      <c r="Y90" s="312">
        <f t="shared" si="5"/>
        <v>0</v>
      </c>
      <c r="Z90" s="339" cm="1">
        <f t="array" ref="Z90">_xlfn.IFS(Y90=0,0,Y90&gt;=1,Y90/$Y$104)</f>
        <v>0</v>
      </c>
    </row>
    <row r="91" spans="2:26" ht="92" customHeight="1" x14ac:dyDescent="0.25">
      <c r="B91" s="1030"/>
      <c r="C91" s="1031"/>
      <c r="D91" s="1035"/>
      <c r="E91" s="1038"/>
      <c r="F91" s="1038"/>
      <c r="G91" s="1041"/>
      <c r="H91" s="1044"/>
      <c r="I91" s="1047"/>
      <c r="J91" s="1050"/>
      <c r="K91" s="1050"/>
      <c r="L91" s="1011"/>
      <c r="M91" s="1014"/>
      <c r="N91" s="1016" t="s">
        <v>778</v>
      </c>
      <c r="O91" s="1016"/>
      <c r="P91" s="991"/>
      <c r="Q91" s="310">
        <f>COUNTIFS(input!$O:$O,April!$Q$63,input!$G:$G,April!N91,input!$A:$A,April!$B$2)</f>
        <v>0</v>
      </c>
      <c r="R91" s="310">
        <f>COUNTIFS(input!$O:$O,April!$R$63,input!$G:$G,April!N91,input!$A:$A,April!$B$2)</f>
        <v>0</v>
      </c>
      <c r="S91" s="310">
        <f>COUNTIFS(input!$O:$O,April!$S$63,input!$G:$G,April!N91,input!$A:$A,April!$B$2)</f>
        <v>0</v>
      </c>
      <c r="T91" s="314">
        <f>COUNTIFS(input!$O:$O,April!$T$63,input!$G:$G,April!N91,input!$A:$A,April!$B$2)</f>
        <v>1</v>
      </c>
      <c r="U91" s="314">
        <f>COUNTIFS(input!$O:$O,April!$U$63,input!$G:$G,April!N91,input!$A:$A,April!$B$2)</f>
        <v>0</v>
      </c>
      <c r="V91" s="314">
        <f>COUNTIFS(input!$O:$O,April!$V$63,input!$G:$G,April!N91,input!$A:$A,April!$B$2)</f>
        <v>0</v>
      </c>
      <c r="W91" s="314">
        <f>COUNTIFS(input!$O:$O,April!$W$63,input!$G:$G,April!N91,input!$A:$A,April!$B$2)</f>
        <v>0</v>
      </c>
      <c r="X91" s="314">
        <f>COUNTIFS(input!$O:$O,April!$X$63,input!$G:$G,April!N91,input!$A:$A,April!$B$2)</f>
        <v>0</v>
      </c>
      <c r="Y91" s="312">
        <f t="shared" si="5"/>
        <v>1</v>
      </c>
      <c r="Z91" s="339" cm="1">
        <f t="array" ref="Z91">_xlfn.IFS(Y91=0,0,Y91&gt;=1,Y91/$Y$104)</f>
        <v>4.5454545454545456E-2</v>
      </c>
    </row>
    <row r="92" spans="2:26" ht="92" customHeight="1" x14ac:dyDescent="0.25">
      <c r="B92" s="1030"/>
      <c r="C92" s="1031"/>
      <c r="D92" s="1035"/>
      <c r="E92" s="1038"/>
      <c r="F92" s="1038"/>
      <c r="G92" s="1041"/>
      <c r="H92" s="1044"/>
      <c r="I92" s="1047"/>
      <c r="J92" s="1050"/>
      <c r="K92" s="1050"/>
      <c r="L92" s="1011"/>
      <c r="M92" s="1014"/>
      <c r="N92" s="1016" t="s">
        <v>1411</v>
      </c>
      <c r="O92" s="1016"/>
      <c r="P92" s="991"/>
      <c r="Q92" s="310">
        <f>COUNTIFS(input!$O:$O,April!$Q$63,input!$G:$G,April!N92,input!$A:$A,April!$B$2)</f>
        <v>0</v>
      </c>
      <c r="R92" s="310">
        <f>COUNTIFS(input!$O:$O,April!$R$63,input!$G:$G,April!N92,input!$A:$A,April!$B$2)</f>
        <v>0</v>
      </c>
      <c r="S92" s="310">
        <f>COUNTIFS(input!$O:$O,April!$S$63,input!$G:$G,April!N92,input!$A:$A,April!$B$2)</f>
        <v>0</v>
      </c>
      <c r="T92" s="314">
        <f>COUNTIFS(input!$O:$O,April!$T$63,input!$G:$G,April!N92,input!$A:$A,April!$B$2)</f>
        <v>0</v>
      </c>
      <c r="U92" s="314">
        <f>COUNTIFS(input!$O:$O,April!$U$63,input!$G:$G,April!N92,input!$A:$A,April!$B$2)</f>
        <v>0</v>
      </c>
      <c r="V92" s="314">
        <f>COUNTIFS(input!$O:$O,April!$V$63,input!$G:$G,April!N92,input!$A:$A,April!$B$2)</f>
        <v>0</v>
      </c>
      <c r="W92" s="314">
        <f>COUNTIFS(input!$O:$O,April!$W$63,input!$G:$G,April!N92,input!$A:$A,April!$B$2)</f>
        <v>0</v>
      </c>
      <c r="X92" s="314">
        <f>COUNTIFS(input!$O:$O,April!$X$63,input!$G:$G,April!N92,input!$A:$A,April!$B$2)</f>
        <v>1</v>
      </c>
      <c r="Y92" s="312">
        <f>SUM(Q92:X92)</f>
        <v>1</v>
      </c>
      <c r="Z92" s="339" cm="1">
        <f t="array" ref="Z92">_xlfn.IFS(Y92=0,0,Y92&gt;=1,Y92/$Y$104)</f>
        <v>4.5454545454545456E-2</v>
      </c>
    </row>
    <row r="93" spans="2:26" ht="92" customHeight="1" x14ac:dyDescent="0.25">
      <c r="B93" s="1030"/>
      <c r="C93" s="1031"/>
      <c r="D93" s="1035"/>
      <c r="E93" s="1038"/>
      <c r="F93" s="1038"/>
      <c r="G93" s="1041"/>
      <c r="H93" s="1044"/>
      <c r="I93" s="1047"/>
      <c r="J93" s="1050"/>
      <c r="K93" s="1050"/>
      <c r="L93" s="1011"/>
      <c r="M93" s="1014"/>
      <c r="N93" s="990" t="s">
        <v>877</v>
      </c>
      <c r="O93" s="1016"/>
      <c r="P93" s="991"/>
      <c r="Q93" s="310">
        <f>COUNTIFS(input!$O:$O,April!$Q$63,input!$G:$G,April!N93,input!$A:$A,April!$B$2)</f>
        <v>0</v>
      </c>
      <c r="R93" s="310">
        <f>COUNTIFS(input!$O:$O,April!$R$63,input!$G:$G,April!N93,input!$A:$A,April!$B$2)</f>
        <v>0</v>
      </c>
      <c r="S93" s="310">
        <f>COUNTIFS(input!$O:$O,April!$S$63,input!$G:$G,April!N93,input!$A:$A,April!$B$2)</f>
        <v>0</v>
      </c>
      <c r="T93" s="314">
        <f>COUNTIFS(input!$O:$O,April!$T$63,input!$G:$G,April!N93,input!$A:$A,April!$B$2)</f>
        <v>0</v>
      </c>
      <c r="U93" s="314">
        <f>COUNTIFS(input!$O:$O,April!$U$63,input!$G:$G,April!N93,input!$A:$A,April!$B$2)</f>
        <v>0</v>
      </c>
      <c r="V93" s="314">
        <f>COUNTIFS(input!$O:$O,April!$V$63,input!$G:$G,April!N93,input!$A:$A,April!$B$2)</f>
        <v>0</v>
      </c>
      <c r="W93" s="314">
        <f>COUNTIFS(input!$O:$O,April!$W$63,input!$G:$G,April!N93,input!$A:$A,April!$B$2)</f>
        <v>0</v>
      </c>
      <c r="X93" s="314">
        <f>COUNTIFS(input!$O:$O,April!$X$63,input!$G:$G,April!N93,input!$A:$A,April!$B$2)</f>
        <v>1</v>
      </c>
      <c r="Y93" s="312">
        <f t="shared" si="5"/>
        <v>1</v>
      </c>
      <c r="Z93" s="339" cm="1">
        <f t="array" ref="Z93">_xlfn.IFS(Y93=0,0,Y93&gt;=1,Y93/$Y$104)</f>
        <v>4.5454545454545456E-2</v>
      </c>
    </row>
    <row r="94" spans="2:26" ht="92" hidden="1" customHeight="1" x14ac:dyDescent="0.25">
      <c r="B94" s="1030"/>
      <c r="C94" s="1031"/>
      <c r="D94" s="1035"/>
      <c r="E94" s="1038"/>
      <c r="F94" s="1038"/>
      <c r="G94" s="1041"/>
      <c r="H94" s="1044"/>
      <c r="I94" s="1047"/>
      <c r="J94" s="1050"/>
      <c r="K94" s="1050"/>
      <c r="L94" s="1011"/>
      <c r="M94" s="1014"/>
      <c r="N94" s="1065" t="s">
        <v>356</v>
      </c>
      <c r="O94" s="1065"/>
      <c r="P94" s="1066"/>
      <c r="Q94" s="310">
        <f>COUNTIFS(input!$O:$O,April!$Q$63,input!$G:$G,April!N94,input!$A:$A,April!$B$2)</f>
        <v>0</v>
      </c>
      <c r="R94" s="310">
        <f>COUNTIFS(input!$O:$O,April!$R$63,input!$G:$G,April!N94,input!$A:$A,April!$B$2)</f>
        <v>0</v>
      </c>
      <c r="S94" s="310">
        <f>COUNTIFS(input!$O:$O,April!$S$63,input!$G:$G,April!N94,input!$A:$A,April!$B$2)</f>
        <v>0</v>
      </c>
      <c r="T94" s="314">
        <f>COUNTIFS(input!$O:$O,April!$T$63,input!$G:$G,April!N94,input!$A:$A,April!$B$2)</f>
        <v>0</v>
      </c>
      <c r="U94" s="314">
        <f>COUNTIFS(input!$O:$O,April!$U$63,input!$G:$G,April!N94,input!$A:$A,April!$B$2)</f>
        <v>0</v>
      </c>
      <c r="V94" s="314">
        <f>COUNTIFS(input!$O:$O,April!$V$63,input!$G:$G,April!N94,input!$A:$A,April!$B$2)</f>
        <v>0</v>
      </c>
      <c r="W94" s="314">
        <f>COUNTIFS(input!$O:$O,April!$W$63,input!$G:$G,April!N94,input!$A:$A,April!$B$2)</f>
        <v>0</v>
      </c>
      <c r="X94" s="314">
        <f>COUNTIFS(input!$O:$O,April!$X$63,input!$G:$G,April!N94,input!$A:$A,April!$B$2)</f>
        <v>0</v>
      </c>
      <c r="Y94" s="312">
        <f t="shared" si="5"/>
        <v>0</v>
      </c>
      <c r="Z94" s="339" cm="1">
        <f t="array" ref="Z94">_xlfn.IFS(Y94=0,0,Y94&gt;=1,Y94/$Y$104)</f>
        <v>0</v>
      </c>
    </row>
    <row r="95" spans="2:26" ht="92" hidden="1" customHeight="1" x14ac:dyDescent="0.25">
      <c r="B95" s="1030"/>
      <c r="C95" s="1031"/>
      <c r="D95" s="1035"/>
      <c r="E95" s="1038"/>
      <c r="F95" s="1038"/>
      <c r="G95" s="1041"/>
      <c r="H95" s="1044"/>
      <c r="I95" s="1047"/>
      <c r="J95" s="1050"/>
      <c r="K95" s="1050"/>
      <c r="L95" s="1011"/>
      <c r="M95" s="1014"/>
      <c r="N95" s="1065" t="s">
        <v>760</v>
      </c>
      <c r="O95" s="1065"/>
      <c r="P95" s="1066"/>
      <c r="Q95" s="310">
        <f>COUNTIFS(input!$O:$O,April!$Q$63,input!$G:$G,April!N95,input!$A:$A,April!$B$2)</f>
        <v>0</v>
      </c>
      <c r="R95" s="310">
        <f>COUNTIFS(input!$O:$O,April!$R$63,input!$G:$G,April!N95,input!$A:$A,April!$B$2)</f>
        <v>0</v>
      </c>
      <c r="S95" s="310">
        <f>COUNTIFS(input!$O:$O,April!$S$63,input!$G:$G,April!N95,input!$A:$A,April!$B$2)</f>
        <v>0</v>
      </c>
      <c r="T95" s="314">
        <f>COUNTIFS(input!$O:$O,April!$T$63,input!$G:$G,April!N95,input!$A:$A,April!$B$2)</f>
        <v>0</v>
      </c>
      <c r="U95" s="314">
        <f>COUNTIFS(input!$O:$O,April!$U$63,input!$G:$G,April!N95,input!$A:$A,April!$B$2)</f>
        <v>0</v>
      </c>
      <c r="V95" s="314">
        <f>COUNTIFS(input!$O:$O,April!$V$63,input!$G:$G,April!N95,input!$A:$A,April!$B$2)</f>
        <v>0</v>
      </c>
      <c r="W95" s="314">
        <f>COUNTIFS(input!$O:$O,April!$W$63,input!$G:$G,April!N95,input!$A:$A,April!$B$2)</f>
        <v>0</v>
      </c>
      <c r="X95" s="314">
        <f>COUNTIFS(input!$O:$O,April!$X$63,input!$G:$G,April!N95,input!$A:$A,April!$B$2)</f>
        <v>0</v>
      </c>
      <c r="Y95" s="312">
        <f t="shared" si="5"/>
        <v>0</v>
      </c>
      <c r="Z95" s="339" cm="1">
        <f t="array" ref="Z95">_xlfn.IFS(Y95=0,0,Y95&gt;=1,Y95/$Y$104)</f>
        <v>0</v>
      </c>
    </row>
    <row r="96" spans="2:26" ht="92" hidden="1" customHeight="1" x14ac:dyDescent="0.25">
      <c r="B96" s="1030"/>
      <c r="C96" s="1031"/>
      <c r="D96" s="1035"/>
      <c r="E96" s="1038"/>
      <c r="F96" s="1038"/>
      <c r="G96" s="1041"/>
      <c r="H96" s="1044"/>
      <c r="I96" s="1047"/>
      <c r="J96" s="1050"/>
      <c r="K96" s="1050"/>
      <c r="L96" s="1011"/>
      <c r="M96" s="1014"/>
      <c r="N96" s="1065" t="s">
        <v>414</v>
      </c>
      <c r="O96" s="1065"/>
      <c r="P96" s="1066"/>
      <c r="Q96" s="310">
        <f>COUNTIFS(input!$O:$O,April!$Q$63,input!$G:$G,April!N96,input!$A:$A,April!$B$2)</f>
        <v>0</v>
      </c>
      <c r="R96" s="310">
        <f>COUNTIFS(input!$O:$O,April!$R$63,input!$G:$G,April!N96,input!$A:$A,April!$B$2)</f>
        <v>0</v>
      </c>
      <c r="S96" s="310">
        <f>COUNTIFS(input!$O:$O,April!$S$63,input!$G:$G,April!N96,input!$A:$A,April!$B$2)</f>
        <v>0</v>
      </c>
      <c r="T96" s="314">
        <f>COUNTIFS(input!$O:$O,April!$T$63,input!$G:$G,April!N96,input!$A:$A,April!$B$2)</f>
        <v>0</v>
      </c>
      <c r="U96" s="314">
        <f>COUNTIFS(input!$O:$O,April!$U$63,input!$G:$G,April!N96,input!$A:$A,April!$B$2)</f>
        <v>0</v>
      </c>
      <c r="V96" s="314">
        <f>COUNTIFS(input!$O:$O,April!$V$63,input!$G:$G,April!N96,input!$A:$A,April!$B$2)</f>
        <v>0</v>
      </c>
      <c r="W96" s="314">
        <f>COUNTIFS(input!$O:$O,April!$W$63,input!$G:$G,April!N96,input!$A:$A,April!$B$2)</f>
        <v>0</v>
      </c>
      <c r="X96" s="314">
        <f>COUNTIFS(input!$O:$O,April!$X$63,input!$G:$G,April!N96,input!$A:$A,April!$B$2)</f>
        <v>0</v>
      </c>
      <c r="Y96" s="312">
        <f t="shared" si="5"/>
        <v>0</v>
      </c>
      <c r="Z96" s="339" cm="1">
        <f t="array" ref="Z96">_xlfn.IFS(Y96=0,0,Y96&gt;=1,Y96/$Y$104)</f>
        <v>0</v>
      </c>
    </row>
    <row r="97" spans="2:26" ht="92" customHeight="1" x14ac:dyDescent="0.25">
      <c r="B97" s="1030"/>
      <c r="C97" s="1031"/>
      <c r="D97" s="1035"/>
      <c r="E97" s="1038"/>
      <c r="F97" s="1038"/>
      <c r="G97" s="1041"/>
      <c r="H97" s="1044"/>
      <c r="I97" s="1047"/>
      <c r="J97" s="1050"/>
      <c r="K97" s="1050"/>
      <c r="L97" s="1011"/>
      <c r="M97" s="1014"/>
      <c r="N97" s="1016" t="s">
        <v>23</v>
      </c>
      <c r="O97" s="1016"/>
      <c r="P97" s="991"/>
      <c r="Q97" s="310">
        <f>COUNTIFS(input!$O:$O,April!$Q$63,input!$G:$G,April!N97,input!$A:$A,April!$B$2)</f>
        <v>0</v>
      </c>
      <c r="R97" s="310">
        <f>COUNTIFS(input!$O:$O,April!$R$63,input!$G:$G,April!N97,input!$A:$A,April!$B$2)</f>
        <v>0</v>
      </c>
      <c r="S97" s="310">
        <f>COUNTIFS(input!$O:$O,April!$S$63,input!$G:$G,April!N97,input!$A:$A,April!$B$2)</f>
        <v>0</v>
      </c>
      <c r="T97" s="314">
        <f>COUNTIFS(input!$O:$O,April!$T$63,input!$G:$G,April!N97,input!$A:$A,April!$B$2)</f>
        <v>0</v>
      </c>
      <c r="U97" s="314">
        <f>COUNTIFS(input!$O:$O,April!$U$63,input!$G:$G,April!N97,input!$A:$A,April!$B$2)</f>
        <v>0</v>
      </c>
      <c r="V97" s="314">
        <f>COUNTIFS(input!$O:$O,April!$V$63,input!$G:$G,April!N97,input!$A:$A,April!$B$2)</f>
        <v>1</v>
      </c>
      <c r="W97" s="314">
        <f>COUNTIFS(input!$O:$O,April!$W$63,input!$G:$G,April!N97,input!$A:$A,April!$B$2)</f>
        <v>0</v>
      </c>
      <c r="X97" s="314">
        <f>COUNTIFS(input!$O:$O,April!$X$63,input!$G:$G,April!N97,input!$A:$A,April!$B$2)</f>
        <v>0</v>
      </c>
      <c r="Y97" s="312">
        <f t="shared" si="5"/>
        <v>1</v>
      </c>
      <c r="Z97" s="339" cm="1">
        <f t="array" ref="Z97">_xlfn.IFS(Y97=0,0,Y97&gt;=1,Y97/$Y$104)</f>
        <v>4.5454545454545456E-2</v>
      </c>
    </row>
    <row r="98" spans="2:26" ht="92" hidden="1" customHeight="1" x14ac:dyDescent="0.25">
      <c r="B98" s="1030"/>
      <c r="C98" s="1031"/>
      <c r="D98" s="1035"/>
      <c r="E98" s="1038"/>
      <c r="F98" s="1038"/>
      <c r="G98" s="1041"/>
      <c r="H98" s="1044"/>
      <c r="I98" s="1047"/>
      <c r="J98" s="1050"/>
      <c r="K98" s="1050"/>
      <c r="L98" s="1011"/>
      <c r="M98" s="1014"/>
      <c r="N98" s="1065" t="s">
        <v>704</v>
      </c>
      <c r="O98" s="1065"/>
      <c r="P98" s="1066"/>
      <c r="Q98" s="310">
        <f>COUNTIFS(input!$O:$O,April!$Q$63,input!$G:$G,April!N98,input!$A:$A,April!$B$2)</f>
        <v>0</v>
      </c>
      <c r="R98" s="310">
        <f>COUNTIFS(input!$O:$O,April!$R$63,input!$G:$G,April!N98,input!$A:$A,April!$B$2)</f>
        <v>0</v>
      </c>
      <c r="S98" s="310">
        <f>COUNTIFS(input!$O:$O,April!$S$63,input!$G:$G,April!N98,input!$A:$A,April!$B$2)</f>
        <v>0</v>
      </c>
      <c r="T98" s="314">
        <f>COUNTIFS(input!$O:$O,April!$T$63,input!$G:$G,April!N98,input!$A:$A,April!$B$2)</f>
        <v>0</v>
      </c>
      <c r="U98" s="314">
        <f>COUNTIFS(input!$O:$O,April!$U$63,input!$G:$G,April!N98,input!$A:$A,April!$B$2)</f>
        <v>0</v>
      </c>
      <c r="V98" s="314">
        <f>COUNTIFS(input!$O:$O,April!$V$63,input!$G:$G,April!N98,input!$A:$A,April!$B$2)</f>
        <v>0</v>
      </c>
      <c r="W98" s="314">
        <f>COUNTIFS(input!$O:$O,April!$W$63,input!$G:$G,April!N98,input!$A:$A,April!$B$2)</f>
        <v>0</v>
      </c>
      <c r="X98" s="314">
        <f>COUNTIFS(input!$O:$O,April!$X$63,input!$G:$G,April!N98,input!$A:$A,April!$B$2)</f>
        <v>0</v>
      </c>
      <c r="Y98" s="312">
        <f t="shared" si="5"/>
        <v>0</v>
      </c>
      <c r="Z98" s="339" cm="1">
        <f t="array" ref="Z98">_xlfn.IFS(Y98=0,0,Y98&gt;=1,Y98/$Y$104)</f>
        <v>0</v>
      </c>
    </row>
    <row r="99" spans="2:26" ht="92" hidden="1" customHeight="1" x14ac:dyDescent="0.25">
      <c r="B99" s="1030"/>
      <c r="C99" s="1031"/>
      <c r="D99" s="1035"/>
      <c r="E99" s="1038"/>
      <c r="F99" s="1038"/>
      <c r="G99" s="1041"/>
      <c r="H99" s="1044"/>
      <c r="I99" s="1047"/>
      <c r="J99" s="1050"/>
      <c r="K99" s="1050"/>
      <c r="L99" s="1011"/>
      <c r="M99" s="1014"/>
      <c r="N99" s="1065" t="s">
        <v>710</v>
      </c>
      <c r="O99" s="1065"/>
      <c r="P99" s="1066"/>
      <c r="Q99" s="310">
        <f>COUNTIFS(input!$O:$O,April!$Q$63,input!$G:$G,April!N99,input!$A:$A,April!$B$2)</f>
        <v>0</v>
      </c>
      <c r="R99" s="310">
        <f>COUNTIFS(input!$O:$O,April!$R$63,input!$G:$G,April!N99,input!$A:$A,April!$B$2)</f>
        <v>0</v>
      </c>
      <c r="S99" s="310">
        <f>COUNTIFS(input!$O:$O,April!$S$63,input!$G:$G,April!N99,input!$A:$A,April!$B$2)</f>
        <v>0</v>
      </c>
      <c r="T99" s="314">
        <f>COUNTIFS(input!$O:$O,April!$T$63,input!$G:$G,April!N99,input!$A:$A,April!$B$2)</f>
        <v>0</v>
      </c>
      <c r="U99" s="314">
        <f>COUNTIFS(input!$O:$O,April!$U$63,input!$G:$G,April!N99,input!$A:$A,April!$B$2)</f>
        <v>0</v>
      </c>
      <c r="V99" s="314">
        <f>COUNTIFS(input!$O:$O,April!$V$63,input!$G:$G,April!N99,input!$A:$A,April!$B$2)</f>
        <v>0</v>
      </c>
      <c r="W99" s="314">
        <f>COUNTIFS(input!$O:$O,April!$W$63,input!$G:$G,April!N99,input!$A:$A,April!$B$2)</f>
        <v>0</v>
      </c>
      <c r="X99" s="314">
        <f>COUNTIFS(input!$O:$O,April!$X$63,input!$G:$G,April!N99,input!$A:$A,April!$B$2)</f>
        <v>0</v>
      </c>
      <c r="Y99" s="312">
        <f t="shared" si="5"/>
        <v>0</v>
      </c>
      <c r="Z99" s="339" cm="1">
        <f t="array" ref="Z99">_xlfn.IFS(Y99=0,0,Y99&gt;=1,Y99/$Y$104)</f>
        <v>0</v>
      </c>
    </row>
    <row r="100" spans="2:26" ht="92" customHeight="1" x14ac:dyDescent="0.25">
      <c r="B100" s="1030"/>
      <c r="C100" s="1031"/>
      <c r="D100" s="1035"/>
      <c r="E100" s="1038"/>
      <c r="F100" s="1038"/>
      <c r="G100" s="1041"/>
      <c r="H100" s="1044"/>
      <c r="I100" s="1047"/>
      <c r="J100" s="1050"/>
      <c r="K100" s="1050"/>
      <c r="L100" s="1011"/>
      <c r="M100" s="1014"/>
      <c r="N100" s="1016" t="s">
        <v>1407</v>
      </c>
      <c r="O100" s="1016"/>
      <c r="P100" s="991"/>
      <c r="Q100" s="310">
        <f>COUNTIFS(input!$O:$O,April!$Q$63,input!$G:$G,April!N100,input!$A:$A,April!$B$2)</f>
        <v>0</v>
      </c>
      <c r="R100" s="310">
        <f>COUNTIFS(input!$O:$O,April!$R$63,input!$G:$G,April!N100,input!$A:$A,April!$B$2)</f>
        <v>0</v>
      </c>
      <c r="S100" s="310">
        <f>COUNTIFS(input!$O:$O,April!$S$63,input!$G:$G,April!N100,input!$A:$A,April!$B$2)</f>
        <v>0</v>
      </c>
      <c r="T100" s="314">
        <f>COUNTIFS(input!$O:$O,April!$T$63,input!$G:$G,April!N100,input!$A:$A,April!$B$2)</f>
        <v>0</v>
      </c>
      <c r="U100" s="314">
        <f>COUNTIFS(input!$O:$O,April!$U$63,input!$G:$G,April!N100,input!$A:$A,April!$B$2)</f>
        <v>0</v>
      </c>
      <c r="V100" s="314">
        <f>COUNTIFS(input!$O:$O,April!$V$63,input!$G:$G,April!N100,input!$A:$A,April!$B$2)</f>
        <v>0</v>
      </c>
      <c r="W100" s="314">
        <f>COUNTIFS(input!$O:$O,April!$W$63,input!$G:$G,April!N100,input!$A:$A,April!$B$2)</f>
        <v>0</v>
      </c>
      <c r="X100" s="314">
        <f>COUNTIFS(input!$O:$O,April!$X$63,input!$G:$G,April!N100,input!$A:$A,April!$B$2)</f>
        <v>1</v>
      </c>
      <c r="Y100" s="312">
        <f>SUM(Q100:X100)</f>
        <v>1</v>
      </c>
      <c r="Z100" s="339" cm="1">
        <f t="array" ref="Z100">_xlfn.IFS(Y100=0,0,Y100&gt;=1,Y100/$Y$104)</f>
        <v>4.5454545454545456E-2</v>
      </c>
    </row>
    <row r="101" spans="2:26" ht="92" hidden="1" customHeight="1" x14ac:dyDescent="0.25">
      <c r="B101" s="1030"/>
      <c r="C101" s="1031"/>
      <c r="D101" s="1035"/>
      <c r="E101" s="1038"/>
      <c r="F101" s="1038"/>
      <c r="G101" s="1041"/>
      <c r="H101" s="1044"/>
      <c r="I101" s="1047"/>
      <c r="J101" s="1050"/>
      <c r="K101" s="1050"/>
      <c r="L101" s="1011"/>
      <c r="M101" s="1014"/>
      <c r="N101" s="1065" t="s">
        <v>779</v>
      </c>
      <c r="O101" s="1065"/>
      <c r="P101" s="1066"/>
      <c r="Q101" s="310">
        <f>COUNTIFS(input!$O:$O,April!$Q$63,input!$G:$G,April!N101,input!$A:$A,April!$B$2)</f>
        <v>0</v>
      </c>
      <c r="R101" s="310">
        <f>COUNTIFS(input!$O:$O,April!$R$63,input!$G:$G,April!N101,input!$A:$A,April!$B$2)</f>
        <v>0</v>
      </c>
      <c r="S101" s="310">
        <f>COUNTIFS(input!$O:$O,April!$S$63,input!$G:$G,April!N101,input!$A:$A,April!$B$2)</f>
        <v>0</v>
      </c>
      <c r="T101" s="314">
        <f>COUNTIFS(input!$O:$O,April!$T$63,input!$G:$G,April!N101,input!$A:$A,April!$B$2)</f>
        <v>0</v>
      </c>
      <c r="U101" s="314">
        <f>COUNTIFS(input!$O:$O,April!$U$63,input!$G:$G,April!N101,input!$A:$A,April!$B$2)</f>
        <v>0</v>
      </c>
      <c r="V101" s="314">
        <f>COUNTIFS(input!$O:$O,April!$V$63,input!$G:$G,April!N101,input!$A:$A,April!$B$2)</f>
        <v>0</v>
      </c>
      <c r="W101" s="314">
        <f>COUNTIFS(input!$O:$O,April!$W$63,input!$G:$G,April!N101,input!$A:$A,April!$B$2)</f>
        <v>0</v>
      </c>
      <c r="X101" s="314">
        <f>COUNTIFS(input!$O:$O,April!$X$63,input!$G:$G,April!N101,input!$A:$A,April!$B$2)</f>
        <v>0</v>
      </c>
      <c r="Y101" s="312">
        <f t="shared" si="5"/>
        <v>0</v>
      </c>
      <c r="Z101" s="339" cm="1">
        <f t="array" ref="Z101">_xlfn.IFS(Y101=0,0,Y101&gt;=1,Y101/$Y$104)</f>
        <v>0</v>
      </c>
    </row>
    <row r="102" spans="2:26" ht="92" customHeight="1" x14ac:dyDescent="0.25">
      <c r="B102" s="1030"/>
      <c r="C102" s="1031"/>
      <c r="D102" s="1035"/>
      <c r="E102" s="1038"/>
      <c r="F102" s="1038"/>
      <c r="G102" s="1041"/>
      <c r="H102" s="1044"/>
      <c r="I102" s="1047"/>
      <c r="J102" s="1050"/>
      <c r="K102" s="1050"/>
      <c r="L102" s="1011"/>
      <c r="M102" s="1014"/>
      <c r="N102" s="1016" t="s">
        <v>1391</v>
      </c>
      <c r="O102" s="1016"/>
      <c r="P102" s="991"/>
      <c r="Q102" s="310">
        <f>COUNTIFS(input!$O:$O,April!$Q$63,input!$G:$G,April!N102,input!$A:$A,April!$B$2)</f>
        <v>0</v>
      </c>
      <c r="R102" s="310">
        <f>COUNTIFS(input!$O:$O,April!$R$63,input!$G:$G,April!N102,input!$A:$A,April!$B$2)</f>
        <v>0</v>
      </c>
      <c r="S102" s="310">
        <f>COUNTIFS(input!$O:$O,April!$S$63,input!$G:$G,April!N102,input!$A:$A,April!$B$2)</f>
        <v>0</v>
      </c>
      <c r="T102" s="314">
        <f>COUNTIFS(input!$O:$O,April!$T$63,input!$G:$G,April!N102,input!$A:$A,April!$B$2)</f>
        <v>0</v>
      </c>
      <c r="U102" s="314">
        <f>COUNTIFS(input!$O:$O,April!$U$63,input!$G:$G,April!N102,input!$A:$A,April!$B$2)</f>
        <v>0</v>
      </c>
      <c r="V102" s="314">
        <f>COUNTIFS(input!$O:$O,April!$V$63,input!$G:$G,April!N102,input!$A:$A,April!$B$2)</f>
        <v>0</v>
      </c>
      <c r="W102" s="314">
        <f>COUNTIFS(input!$O:$O,April!$W$63,input!$G:$G,April!N102,input!$A:$A,April!$B$2)</f>
        <v>0</v>
      </c>
      <c r="X102" s="314">
        <f>COUNTIFS(input!$O:$O,April!$X$63,input!$G:$G,April!N102,input!$A:$A,April!$B$2)</f>
        <v>1</v>
      </c>
      <c r="Y102" s="312">
        <f>SUM(Q102:X102)</f>
        <v>1</v>
      </c>
      <c r="Z102" s="339" cm="1">
        <f t="array" ref="Z102">_xlfn.IFS(Y102=0,0,Y102&gt;=1,Y102/$Y$104)</f>
        <v>4.5454545454545456E-2</v>
      </c>
    </row>
    <row r="103" spans="2:26" ht="92" hidden="1" x14ac:dyDescent="0.25">
      <c r="B103" s="1032"/>
      <c r="C103" s="1033"/>
      <c r="D103" s="1036"/>
      <c r="E103" s="1039"/>
      <c r="F103" s="1039"/>
      <c r="G103" s="1042"/>
      <c r="H103" s="1045"/>
      <c r="I103" s="1048"/>
      <c r="J103" s="1051"/>
      <c r="K103" s="1051"/>
      <c r="L103" s="1012"/>
      <c r="M103" s="1015"/>
      <c r="N103" s="1065" t="s">
        <v>181</v>
      </c>
      <c r="O103" s="1065"/>
      <c r="P103" s="1066"/>
      <c r="Q103" s="310">
        <f>COUNTIFS(input!$O:$O,April!$Q$63,input!$G:$G,April!N103,input!$A:$A,April!$B$2)</f>
        <v>0</v>
      </c>
      <c r="R103" s="310">
        <f>COUNTIFS(input!$O:$O,April!$R$63,input!$G:$G,April!N103,input!$A:$A,April!$B$2)</f>
        <v>0</v>
      </c>
      <c r="S103" s="310">
        <f>COUNTIFS(input!$O:$O,April!$S$63,input!$G:$G,April!N103,input!$A:$A,April!$B$2)</f>
        <v>0</v>
      </c>
      <c r="T103" s="314">
        <f>COUNTIFS(input!$O:$O,April!$T$63,input!$G:$G,April!N103,input!$A:$A,April!$B$2)</f>
        <v>0</v>
      </c>
      <c r="U103" s="314">
        <f>COUNTIFS(input!$O:$O,April!$U$63,input!$G:$G,April!N103,input!$A:$A,April!$B$2)</f>
        <v>0</v>
      </c>
      <c r="V103" s="314">
        <f>COUNTIFS(input!$O:$O,April!$V$63,input!$G:$G,April!N103,input!$A:$A,April!$B$2)</f>
        <v>0</v>
      </c>
      <c r="W103" s="314">
        <f>COUNTIFS(input!$O:$O,April!$W$63,input!$G:$G,April!N103,input!$A:$A,April!$B$2)</f>
        <v>0</v>
      </c>
      <c r="X103" s="314">
        <f>COUNTIFS(input!$O:$O,April!$X$63,input!$G:$G,April!N103,input!$A:$A,April!$B$2)</f>
        <v>0</v>
      </c>
      <c r="Y103" s="312">
        <f t="shared" si="5"/>
        <v>0</v>
      </c>
      <c r="Z103" s="339" cm="1">
        <f t="array" ref="Z103">_xlfn.IFS(Y103=0,0,Y103&gt;=1,Y103/$Y$104)</f>
        <v>0</v>
      </c>
    </row>
    <row r="104" spans="2:26" ht="90.5" thickBot="1" x14ac:dyDescent="0.3">
      <c r="B104" s="1005" t="s">
        <v>4</v>
      </c>
      <c r="C104" s="984"/>
      <c r="D104" s="340">
        <f t="shared" ref="D104:M104" si="6">SUM(D64:D95)</f>
        <v>0</v>
      </c>
      <c r="E104" s="340">
        <f t="shared" si="6"/>
        <v>1</v>
      </c>
      <c r="F104" s="340">
        <f t="shared" si="6"/>
        <v>0</v>
      </c>
      <c r="G104" s="340">
        <f t="shared" si="6"/>
        <v>5</v>
      </c>
      <c r="H104" s="340">
        <f t="shared" si="6"/>
        <v>1</v>
      </c>
      <c r="I104" s="340">
        <f t="shared" si="6"/>
        <v>4</v>
      </c>
      <c r="J104" s="340">
        <f t="shared" si="6"/>
        <v>1</v>
      </c>
      <c r="K104" s="340">
        <f t="shared" si="6"/>
        <v>10</v>
      </c>
      <c r="L104" s="340">
        <f t="shared" si="6"/>
        <v>22</v>
      </c>
      <c r="M104" s="341">
        <f t="shared" si="6"/>
        <v>1</v>
      </c>
      <c r="N104" s="983" t="s">
        <v>4</v>
      </c>
      <c r="O104" s="983"/>
      <c r="P104" s="984"/>
      <c r="Q104" s="340">
        <f t="shared" ref="Q104:W104" si="7">SUM(Q64:Q95)</f>
        <v>0</v>
      </c>
      <c r="R104" s="340">
        <f t="shared" si="7"/>
        <v>1</v>
      </c>
      <c r="S104" s="340">
        <f t="shared" si="7"/>
        <v>0</v>
      </c>
      <c r="T104" s="340">
        <f t="shared" si="7"/>
        <v>5</v>
      </c>
      <c r="U104" s="340">
        <f t="shared" si="7"/>
        <v>1</v>
      </c>
      <c r="V104" s="340">
        <f t="shared" si="7"/>
        <v>3</v>
      </c>
      <c r="W104" s="340">
        <f t="shared" si="7"/>
        <v>1</v>
      </c>
      <c r="X104" s="340">
        <f>SUM(X64:X103)</f>
        <v>10</v>
      </c>
      <c r="Y104" s="340">
        <f>SUM(Y64:Y103)</f>
        <v>22</v>
      </c>
      <c r="Z104" s="341">
        <f>SUM(Z64:Z103)</f>
        <v>0.99999999999999967</v>
      </c>
    </row>
    <row r="105" spans="2:26" ht="270" x14ac:dyDescent="0.25">
      <c r="B105" s="1006" t="s">
        <v>44</v>
      </c>
      <c r="C105" s="1007"/>
      <c r="D105" s="308" t="s">
        <v>6</v>
      </c>
      <c r="E105" s="308" t="s">
        <v>2</v>
      </c>
      <c r="F105" s="308" t="s">
        <v>3</v>
      </c>
      <c r="G105" s="308" t="s">
        <v>1</v>
      </c>
      <c r="H105" s="308" t="s">
        <v>0</v>
      </c>
      <c r="I105" s="308" t="s">
        <v>53</v>
      </c>
      <c r="J105" s="308" t="s">
        <v>12</v>
      </c>
      <c r="K105" s="308" t="s">
        <v>693</v>
      </c>
      <c r="L105" s="308" t="s">
        <v>5</v>
      </c>
      <c r="M105" s="336" t="s">
        <v>40</v>
      </c>
      <c r="N105" s="1008" t="s">
        <v>70</v>
      </c>
      <c r="O105" s="1008"/>
      <c r="P105" s="1007"/>
      <c r="Q105" s="308" t="s">
        <v>6</v>
      </c>
      <c r="R105" s="308" t="s">
        <v>2</v>
      </c>
      <c r="S105" s="308" t="s">
        <v>3</v>
      </c>
      <c r="T105" s="308" t="s">
        <v>1</v>
      </c>
      <c r="U105" s="308" t="s">
        <v>0</v>
      </c>
      <c r="V105" s="308" t="s">
        <v>53</v>
      </c>
      <c r="W105" s="308" t="s">
        <v>12</v>
      </c>
      <c r="X105" s="308" t="s">
        <v>693</v>
      </c>
      <c r="Y105" s="308" t="s">
        <v>5</v>
      </c>
      <c r="Z105" s="309" t="s">
        <v>40</v>
      </c>
    </row>
    <row r="106" spans="2:26" ht="92" hidden="1" x14ac:dyDescent="0.25">
      <c r="B106" s="1121" t="s">
        <v>357</v>
      </c>
      <c r="C106" s="1066"/>
      <c r="D106" s="310">
        <f>COUNTIFS(input!$O:$O,April!$D$105,input!$W:$W,April!B106,input!$A:$A,April!$B$2)</f>
        <v>0</v>
      </c>
      <c r="E106" s="310">
        <f>COUNTIFS(input!$O:$O,April!$E$105,input!$W:$W,April!B106,input!$A:$A,April!$B$2)</f>
        <v>0</v>
      </c>
      <c r="F106" s="310">
        <f>COUNTIFS(input!$O:$O,April!$F$105,input!$W:$W,April!B106,input!$A:$A,April!$B$2)</f>
        <v>0</v>
      </c>
      <c r="G106" s="314">
        <f>COUNTIFS(input!$O:$O,April!$G$105,input!$W:$W,April!B106,input!$A:$A,April!$B$2)</f>
        <v>0</v>
      </c>
      <c r="H106" s="314">
        <f>COUNTIFS(input!$O:$O,April!$H$105,input!$W:$W,April!B106,input!$A:$A,April!$B$2)</f>
        <v>0</v>
      </c>
      <c r="I106" s="314">
        <f>COUNTIFS(input!$O:$O,April!$I$105,input!$W:$W,April!B106,input!$A:$A,April!$B$2)</f>
        <v>0</v>
      </c>
      <c r="J106" s="314">
        <f>COUNTIFS(input!$O:$O,April!$J$105,input!$W:$W,April!B106,input!$A:$A,April!$B$2)</f>
        <v>0</v>
      </c>
      <c r="K106" s="314">
        <f>COUNTIFS(input!$O:$O,April!$K$105,input!$W:$W,April!B106,input!$A:$A,April!$B$2)</f>
        <v>0</v>
      </c>
      <c r="L106" s="312">
        <f>SUM(D106:K106)</f>
        <v>0</v>
      </c>
      <c r="M106" s="313" cm="1">
        <f t="array" ref="M106">_xlfn.IFS(L106=0,0,L106&gt;=1,L106/$L$149)</f>
        <v>0</v>
      </c>
      <c r="N106" s="1124" t="s">
        <v>370</v>
      </c>
      <c r="O106" s="1124"/>
      <c r="P106" s="1125"/>
      <c r="Q106" s="310">
        <f>COUNTIFS(input!$O:$O,April!$Q$105,input!$X:$X,April!N106,input!$A:$A,April!$B$2)</f>
        <v>0</v>
      </c>
      <c r="R106" s="310">
        <f>COUNTIFS(input!$O:$O,April!$R$105,input!$X:$X,April!N106,input!$A:$A,April!$B$2)</f>
        <v>0</v>
      </c>
      <c r="S106" s="310">
        <f>COUNTIFS(input!$O:$O,April!$S$105,input!$X:$X,April!N106,input!$A:$A,April!$B$2)</f>
        <v>0</v>
      </c>
      <c r="T106" s="314">
        <f>COUNTIFS(input!$O:$O,April!$T$105,input!$X:$X,April!N106,input!$A:$A,April!$B$2)</f>
        <v>0</v>
      </c>
      <c r="U106" s="314">
        <f>COUNTIFS(input!$O:$O,April!$U$105,input!$X:$X,April!N106,input!$A:$A,April!$B$2)</f>
        <v>0</v>
      </c>
      <c r="V106" s="342">
        <f>COUNTIFS(input!$O:$O,April!$V$105,input!$X:$X,April!N106,input!$A:$A,April!$B$2)</f>
        <v>0</v>
      </c>
      <c r="W106" s="342">
        <f>COUNTIFS(input!$O:$O,April!$W$105,input!$X:$X,April!N106,input!$A:$A,April!$B$2)</f>
        <v>0</v>
      </c>
      <c r="X106" s="314">
        <f>COUNTIFS(input!$O:$O,April!$X$105,input!$X:$X,April!N106,input!$A:$A,April!$B$2)</f>
        <v>0</v>
      </c>
      <c r="Y106" s="312">
        <f>SUM(Q106:X106)</f>
        <v>0</v>
      </c>
      <c r="Z106" s="315" cm="1">
        <f t="array" ref="Z106">_xlfn.IFS(Y106=0,0,Y106&gt;=1,Y106/$Y$149)</f>
        <v>0</v>
      </c>
    </row>
    <row r="107" spans="2:26" ht="92" x14ac:dyDescent="0.25">
      <c r="B107" s="1121" t="s">
        <v>605</v>
      </c>
      <c r="C107" s="1066"/>
      <c r="D107" s="316">
        <f>COUNTIFS(input!$O:$O,April!$D$105,input!$W:$W,April!B107,input!$A:$A,April!$B$2)</f>
        <v>0</v>
      </c>
      <c r="E107" s="316">
        <f>COUNTIFS(input!$O:$O,April!$E$105,input!$W:$W,April!B107,input!$A:$A,April!$B$2)</f>
        <v>0</v>
      </c>
      <c r="F107" s="316">
        <f>COUNTIFS(input!$O:$O,April!$F$105,input!$W:$W,April!B107,input!$A:$A,April!$B$2)</f>
        <v>0</v>
      </c>
      <c r="G107" s="322">
        <f>COUNTIFS(input!$O:$O,April!$G$105,input!$W:$W,April!B107,input!$A:$A,April!$B$2)</f>
        <v>0</v>
      </c>
      <c r="H107" s="321">
        <f>COUNTIFS(input!$O:$O,April!$H$105,input!$W:$W,April!B107,input!$A:$A,April!$B$2)</f>
        <v>0</v>
      </c>
      <c r="I107" s="321">
        <f>COUNTIFS(input!$O:$O,April!$I$105,input!$W:$W,April!B107,input!$A:$A,April!$B$2)</f>
        <v>0</v>
      </c>
      <c r="J107" s="321">
        <f>COUNTIFS(input!$O:$O,April!$J$105,input!$W:$W,April!B107,input!$A:$A,April!$B$2)</f>
        <v>0</v>
      </c>
      <c r="K107" s="343">
        <f>COUNTIFS(input!$O:$O,April!$K$105,input!$W:$W,April!B107,input!$A:$A,April!$B$2)</f>
        <v>0</v>
      </c>
      <c r="L107" s="312">
        <f>SUM(D107:K107)</f>
        <v>0</v>
      </c>
      <c r="M107" s="320" cm="1">
        <f t="array" ref="M107">_xlfn.IFS(L107=0,0,L107&gt;=1,L107/$L$149)</f>
        <v>0</v>
      </c>
      <c r="N107" s="992" t="s">
        <v>371</v>
      </c>
      <c r="O107" s="993"/>
      <c r="P107" s="994"/>
      <c r="Q107" s="316">
        <f>COUNTIFS(input!$O:$O,April!$Q$105,input!$X:$X,April!N107,input!$A:$A,April!$B$2)</f>
        <v>0</v>
      </c>
      <c r="R107" s="316">
        <f>COUNTIFS(input!$O:$O,April!$R$105,input!$X:$X,April!N107,input!$A:$A,April!$B$2)</f>
        <v>0</v>
      </c>
      <c r="S107" s="316">
        <f>COUNTIFS(input!$O:$O,April!$S$105,input!$X:$X,April!N107,input!$A:$A,April!$B$2)</f>
        <v>0</v>
      </c>
      <c r="T107" s="322">
        <f>COUNTIFS(input!$O:$O,April!$T$105,input!$X:$X,April!N107,input!$A:$A,April!$B$2)</f>
        <v>0</v>
      </c>
      <c r="U107" s="322">
        <f>COUNTIFS(input!$O:$O,April!$U$105,input!$X:$X,April!N107,input!$A:$A,April!$B$2)</f>
        <v>0</v>
      </c>
      <c r="V107" s="323">
        <f>COUNTIFS(input!$O:$O,April!$V$105,input!$X:$X,April!N107,input!$A:$A,April!$B$2)</f>
        <v>1</v>
      </c>
      <c r="W107" s="323">
        <f>COUNTIFS(input!$O:$O,April!$W$105,input!$X:$X,April!N107,input!$A:$A,April!$B$2)</f>
        <v>0</v>
      </c>
      <c r="X107" s="324">
        <f>COUNTIFS(input!$O:$O,April!$X$105,input!$X:$X,April!N107,input!$A:$A,April!$B$2)</f>
        <v>0</v>
      </c>
      <c r="Y107" s="312">
        <f>SUM(Q107:X107)</f>
        <v>1</v>
      </c>
      <c r="Z107" s="315" cm="1">
        <f t="array" ref="Z107">_xlfn.IFS(Y107=0,0,Y107&gt;=1,Y107/$Y$149)</f>
        <v>4.5454545454545456E-2</v>
      </c>
    </row>
    <row r="108" spans="2:26" ht="92" hidden="1" x14ac:dyDescent="0.25">
      <c r="B108" s="1121" t="s">
        <v>359</v>
      </c>
      <c r="C108" s="1066"/>
      <c r="D108" s="316">
        <f>COUNTIFS(input!$O:$O,April!$D$105,input!$W:$W,April!B108,input!$A:$A,April!$B$2)</f>
        <v>0</v>
      </c>
      <c r="E108" s="316">
        <f>COUNTIFS(input!$O:$O,April!$E$105,input!$W:$W,April!B108,input!$A:$A,April!$B$2)</f>
        <v>0</v>
      </c>
      <c r="F108" s="316">
        <f>COUNTIFS(input!$O:$O,April!$F$105,input!$W:$W,April!B108,input!$A:$A,April!$B$2)</f>
        <v>0</v>
      </c>
      <c r="G108" s="322">
        <f>COUNTIFS(input!$O:$O,April!$G$105,input!$W:$W,April!B108,input!$A:$A,April!$B$2)</f>
        <v>0</v>
      </c>
      <c r="H108" s="321">
        <f>COUNTIFS(input!$O:$O,April!$H$105,input!$W:$W,April!B108,input!$A:$A,April!$B$2)</f>
        <v>0</v>
      </c>
      <c r="I108" s="321">
        <f>COUNTIFS(input!$O:$O,April!$I$105,input!$W:$W,April!B108,input!$A:$A,April!$B$2)</f>
        <v>0</v>
      </c>
      <c r="J108" s="321">
        <f>COUNTIFS(input!$O:$O,April!$J$105,input!$W:$W,April!B108,input!$A:$A,April!$B$2)</f>
        <v>0</v>
      </c>
      <c r="K108" s="343">
        <f>COUNTIFS(input!$O:$O,April!$K$105,input!$W:$W,April!B108,input!$A:$A,April!$B$2)</f>
        <v>0</v>
      </c>
      <c r="L108" s="312">
        <f t="shared" ref="L108:L148" si="8">SUM(D108:K108)</f>
        <v>0</v>
      </c>
      <c r="M108" s="320" cm="1">
        <f t="array" ref="M108">_xlfn.IFS(L108=0,0,L108&gt;=1,L108/$L$149)</f>
        <v>0</v>
      </c>
      <c r="N108" s="995" t="s">
        <v>372</v>
      </c>
      <c r="O108" s="996"/>
      <c r="P108" s="997"/>
      <c r="Q108" s="316">
        <f>COUNTIFS(input!$O:$O,April!$Q$105,input!$X:$X,April!N108,input!$A:$A,April!$B$2)</f>
        <v>0</v>
      </c>
      <c r="R108" s="316">
        <f>COUNTIFS(input!$O:$O,April!$R$105,input!$X:$X,April!N108,input!$A:$A,April!$B$2)</f>
        <v>0</v>
      </c>
      <c r="S108" s="316">
        <f>COUNTIFS(input!$O:$O,April!$S$105,input!$X:$X,April!N108,input!$A:$A,April!$B$2)</f>
        <v>0</v>
      </c>
      <c r="T108" s="322">
        <f>COUNTIFS(input!$O:$O,April!$T$105,input!$X:$X,April!N108,input!$A:$A,April!$B$2)</f>
        <v>0</v>
      </c>
      <c r="U108" s="322">
        <f>COUNTIFS(input!$O:$O,April!$U$105,input!$X:$X,April!N108,input!$A:$A,April!$B$2)</f>
        <v>0</v>
      </c>
      <c r="V108" s="323">
        <f>COUNTIFS(input!$O:$O,April!$V$105,input!$X:$X,April!N108,input!$A:$A,April!$B$2)</f>
        <v>0</v>
      </c>
      <c r="W108" s="323">
        <f>COUNTIFS(input!$O:$O,April!$W$105,input!$X:$X,April!N108,input!$A:$A,April!$B$2)</f>
        <v>0</v>
      </c>
      <c r="X108" s="324">
        <f>COUNTIFS(input!$O:$O,April!$X$105,input!$X:$X,April!N108,input!$A:$A,April!$B$2)</f>
        <v>0</v>
      </c>
      <c r="Y108" s="312">
        <f>SUM(Q108:X108)</f>
        <v>0</v>
      </c>
      <c r="Z108" s="315" cm="1">
        <f t="array" ref="Z108">_xlfn.IFS(Y108=0,0,Y108&gt;=1,Y108/$Y$149)</f>
        <v>0</v>
      </c>
    </row>
    <row r="109" spans="2:26" ht="92" customHeight="1" x14ac:dyDescent="0.25">
      <c r="B109" s="990" t="s">
        <v>1542</v>
      </c>
      <c r="C109" s="991"/>
      <c r="D109" s="316">
        <f>COUNTIFS(input!$O:$O,April!$D$105,input!$W:$W,April!B109,input!$A:$A,April!$B$2)</f>
        <v>0</v>
      </c>
      <c r="E109" s="316">
        <f>COUNTIFS(input!$O:$O,April!$E$105,input!$W:$W,April!B109,input!$A:$A,April!$B$2)</f>
        <v>0</v>
      </c>
      <c r="F109" s="316">
        <f>COUNTIFS(input!$O:$O,April!$F$105,input!$W:$W,April!B109,input!$A:$A,April!$B$2)</f>
        <v>0</v>
      </c>
      <c r="G109" s="322">
        <f>COUNTIFS(input!$O:$O,April!$G$105,input!$W:$W,April!B109,input!$A:$A,April!$B$2)</f>
        <v>1</v>
      </c>
      <c r="H109" s="321">
        <f>COUNTIFS(input!$O:$O,April!$H$105,input!$W:$W,April!B109,input!$A:$A,April!$B$2)</f>
        <v>0</v>
      </c>
      <c r="I109" s="321">
        <f>COUNTIFS(input!$O:$O,April!$I$105,input!$W:$W,April!B109,input!$A:$A,April!$B$2)</f>
        <v>0</v>
      </c>
      <c r="J109" s="321">
        <f>COUNTIFS(input!$O:$O,April!$J$105,input!$W:$W,April!B109,input!$A:$A,April!$B$2)</f>
        <v>0</v>
      </c>
      <c r="K109" s="343">
        <f>COUNTIFS(input!$O:$O,April!$K$105,input!$W:$W,April!B109,input!$A:$A,April!$B$2)</f>
        <v>0</v>
      </c>
      <c r="L109" s="312">
        <f>SUM(D109:K109)</f>
        <v>1</v>
      </c>
      <c r="M109" s="320" cm="1">
        <f t="array" ref="M109">_xlfn.IFS(L109=0,0,L109&gt;=1,L109/$L$149)</f>
        <v>4.5454545454545456E-2</v>
      </c>
      <c r="N109" s="992" t="s">
        <v>373</v>
      </c>
      <c r="O109" s="993"/>
      <c r="P109" s="994"/>
      <c r="Q109" s="316">
        <f>COUNTIFS(input!$O:$O,April!$Q$105,input!$X:$X,April!N109,input!$A:$A,April!$B$2)</f>
        <v>0</v>
      </c>
      <c r="R109" s="316">
        <f>COUNTIFS(input!$O:$O,April!$R$105,input!$X:$X,April!N109,input!$A:$A,April!$B$2)</f>
        <v>0</v>
      </c>
      <c r="S109" s="316">
        <f>COUNTIFS(input!$O:$O,April!$S$105,input!$X:$X,April!N109,input!$A:$A,April!$B$2)</f>
        <v>0</v>
      </c>
      <c r="T109" s="322">
        <f>COUNTIFS(input!$O:$O,April!$T$105,input!$X:$X,April!N109,input!$A:$A,April!$B$2)</f>
        <v>1</v>
      </c>
      <c r="U109" s="322">
        <f>COUNTIFS(input!$O:$O,April!$U$105,input!$X:$X,April!N109,input!$A:$A,April!$B$2)</f>
        <v>0</v>
      </c>
      <c r="V109" s="323">
        <f>COUNTIFS(input!$O:$O,April!$V$105,input!$X:$X,April!N109,input!$A:$A,April!$B$2)</f>
        <v>0</v>
      </c>
      <c r="W109" s="323">
        <f>COUNTIFS(input!$O:$O,April!$W$105,input!$X:$X,April!N109,input!$A:$A,April!$B$2)</f>
        <v>0</v>
      </c>
      <c r="X109" s="324">
        <f>COUNTIFS(input!$O:$O,April!$X$105,input!$X:$X,April!N109,input!$A:$A,April!$B$2)</f>
        <v>0</v>
      </c>
      <c r="Y109" s="312">
        <f t="shared" ref="Y109:Y117" si="9">SUM(Q109:X109)</f>
        <v>1</v>
      </c>
      <c r="Z109" s="315" cm="1">
        <f t="array" ref="Z109">_xlfn.IFS(Y109=0,0,Y109&gt;=1,Y109/$Y$149)</f>
        <v>4.5454545454545456E-2</v>
      </c>
    </row>
    <row r="110" spans="2:26" ht="92" hidden="1" customHeight="1" x14ac:dyDescent="0.25">
      <c r="B110" s="1121" t="s">
        <v>648</v>
      </c>
      <c r="C110" s="1066"/>
      <c r="D110" s="316">
        <f>COUNTIFS(input!$O:$O,April!$D$105,input!$W:$W,April!B110,input!$A:$A,April!$B$2)</f>
        <v>0</v>
      </c>
      <c r="E110" s="316">
        <f>COUNTIFS(input!$O:$O,April!$E$105,input!$W:$W,April!B110,input!$A:$A,April!$B$2)</f>
        <v>0</v>
      </c>
      <c r="F110" s="316">
        <f>COUNTIFS(input!$O:$O,April!$F$105,input!$W:$W,April!B110,input!$A:$A,April!$B$2)</f>
        <v>0</v>
      </c>
      <c r="G110" s="322">
        <f>COUNTIFS(input!$O:$O,April!$G$105,input!$W:$W,April!B110,input!$A:$A,April!$B$2)</f>
        <v>0</v>
      </c>
      <c r="H110" s="321">
        <f>COUNTIFS(input!$O:$O,April!$H$105,input!$W:$W,April!B110,input!$A:$A,April!$B$2)</f>
        <v>0</v>
      </c>
      <c r="I110" s="321">
        <f>COUNTIFS(input!$O:$O,April!$I$105,input!$W:$W,April!B110,input!$A:$A,April!$B$2)</f>
        <v>0</v>
      </c>
      <c r="J110" s="321">
        <f>COUNTIFS(input!$O:$O,April!$J$105,input!$W:$W,April!B110,input!$A:$A,April!$B$2)</f>
        <v>0</v>
      </c>
      <c r="K110" s="343">
        <f>COUNTIFS(input!$O:$O,April!$K$105,input!$W:$W,April!B110,input!$A:$A,April!$B$2)</f>
        <v>0</v>
      </c>
      <c r="L110" s="312">
        <f t="shared" si="8"/>
        <v>0</v>
      </c>
      <c r="M110" s="320" cm="1">
        <f t="array" ref="M110">_xlfn.IFS(L110=0,0,L110&gt;=1,L110/$L$149)</f>
        <v>0</v>
      </c>
      <c r="N110" s="995" t="s">
        <v>374</v>
      </c>
      <c r="O110" s="996"/>
      <c r="P110" s="997"/>
      <c r="Q110" s="316">
        <f>COUNTIFS(input!$O:$O,April!$Q$105,input!$X:$X,April!N110,input!$A:$A,April!$B$2)</f>
        <v>0</v>
      </c>
      <c r="R110" s="316">
        <f>COUNTIFS(input!$O:$O,April!$R$105,input!$X:$X,April!N110,input!$A:$A,April!$B$2)</f>
        <v>0</v>
      </c>
      <c r="S110" s="316">
        <f>COUNTIFS(input!$O:$O,April!$S$105,input!$X:$X,April!N110,input!$A:$A,April!$B$2)</f>
        <v>0</v>
      </c>
      <c r="T110" s="322">
        <f>COUNTIFS(input!$O:$O,April!$T$105,input!$X:$X,April!N110,input!$A:$A,April!$B$2)</f>
        <v>0</v>
      </c>
      <c r="U110" s="322">
        <f>COUNTIFS(input!$O:$O,April!$U$105,input!$X:$X,April!N110,input!$A:$A,April!$B$2)</f>
        <v>0</v>
      </c>
      <c r="V110" s="323">
        <f>COUNTIFS(input!$O:$O,April!$V$105,input!$X:$X,April!N110,input!$A:$A,April!$B$2)</f>
        <v>0</v>
      </c>
      <c r="W110" s="323">
        <f>COUNTIFS(input!$O:$O,April!$W$105,input!$X:$X,April!N110,input!$A:$A,April!$B$2)</f>
        <v>0</v>
      </c>
      <c r="X110" s="324">
        <f>COUNTIFS(input!$O:$O,April!$X$105,input!$X:$X,April!N110,input!$A:$A,April!$B$2)</f>
        <v>0</v>
      </c>
      <c r="Y110" s="312">
        <f t="shared" si="9"/>
        <v>0</v>
      </c>
      <c r="Z110" s="315" cm="1">
        <f t="array" ref="Z110">_xlfn.IFS(Y110=0,0,Y110&gt;=1,Y110/$Y$149)</f>
        <v>0</v>
      </c>
    </row>
    <row r="111" spans="2:26" ht="92" hidden="1" customHeight="1" x14ac:dyDescent="0.25">
      <c r="B111" s="1121" t="s">
        <v>827</v>
      </c>
      <c r="C111" s="1066"/>
      <c r="D111" s="316">
        <f>COUNTIFS(input!$O:$O,April!$D$105,input!$W:$W,April!B111,input!$A:$A,April!$B$2)</f>
        <v>0</v>
      </c>
      <c r="E111" s="316">
        <f>COUNTIFS(input!$O:$O,April!$E$105,input!$W:$W,April!B111,input!$A:$A,April!$B$2)</f>
        <v>0</v>
      </c>
      <c r="F111" s="316">
        <f>COUNTIFS(input!$O:$O,April!$F$105,input!$W:$W,April!B111,input!$A:$A,April!$B$2)</f>
        <v>0</v>
      </c>
      <c r="G111" s="322">
        <f>COUNTIFS(input!$O:$O,April!$G$105,input!$W:$W,April!B111,input!$A:$A,April!$B$2)</f>
        <v>0</v>
      </c>
      <c r="H111" s="321">
        <f>COUNTIFS(input!$O:$O,April!$H$105,input!$W:$W,April!B111,input!$A:$A,April!$B$2)</f>
        <v>0</v>
      </c>
      <c r="I111" s="321">
        <f>COUNTIFS(input!$O:$O,April!$I$105,input!$W:$W,April!B111,input!$A:$A,April!$B$2)</f>
        <v>0</v>
      </c>
      <c r="J111" s="321">
        <f>COUNTIFS(input!$O:$O,April!$J$105,input!$W:$W,April!B111,input!$A:$A,April!$B$2)</f>
        <v>0</v>
      </c>
      <c r="K111" s="343">
        <f>COUNTIFS(input!$O:$O,April!$K$105,input!$W:$W,April!B111,input!$A:$A,April!$B$2)</f>
        <v>0</v>
      </c>
      <c r="L111" s="312">
        <f t="shared" si="8"/>
        <v>0</v>
      </c>
      <c r="M111" s="320" cm="1">
        <f t="array" ref="M111">_xlfn.IFS(L111=0,0,L111&gt;=1,L111/$L$149)</f>
        <v>0</v>
      </c>
      <c r="N111" s="995" t="s">
        <v>375</v>
      </c>
      <c r="O111" s="996"/>
      <c r="P111" s="997"/>
      <c r="Q111" s="316">
        <f>COUNTIFS(input!$O:$O,April!$Q$105,input!$X:$X,April!N111,input!$A:$A,April!$B$2)</f>
        <v>0</v>
      </c>
      <c r="R111" s="316">
        <f>COUNTIFS(input!$O:$O,April!$R$105,input!$X:$X,April!N111,input!$A:$A,April!$B$2)</f>
        <v>0</v>
      </c>
      <c r="S111" s="316">
        <f>COUNTIFS(input!$O:$O,April!$S$105,input!$X:$X,April!N111,input!$A:$A,April!$B$2)</f>
        <v>0</v>
      </c>
      <c r="T111" s="322">
        <f>COUNTIFS(input!$O:$O,April!$T$105,input!$X:$X,April!N111,input!$A:$A,April!$B$2)</f>
        <v>0</v>
      </c>
      <c r="U111" s="322">
        <f>COUNTIFS(input!$O:$O,April!$U$105,input!$X:$X,April!N111,input!$A:$A,April!$B$2)</f>
        <v>0</v>
      </c>
      <c r="V111" s="323">
        <f>COUNTIFS(input!$O:$O,April!$V$105,input!$X:$X,April!N111,input!$A:$A,April!$B$2)</f>
        <v>0</v>
      </c>
      <c r="W111" s="323">
        <f>COUNTIFS(input!$O:$O,April!$W$105,input!$X:$X,April!N111,input!$A:$A,April!$B$2)</f>
        <v>0</v>
      </c>
      <c r="X111" s="324">
        <f>COUNTIFS(input!$O:$O,April!$X$105,input!$X:$X,April!N111,input!$A:$A,April!$B$2)</f>
        <v>0</v>
      </c>
      <c r="Y111" s="312">
        <f t="shared" si="9"/>
        <v>0</v>
      </c>
      <c r="Z111" s="315" cm="1">
        <f t="array" ref="Z111">_xlfn.IFS(Y111=0,0,Y111&gt;=1,Y111/$Y$149)</f>
        <v>0</v>
      </c>
    </row>
    <row r="112" spans="2:26" ht="92" customHeight="1" x14ac:dyDescent="0.25">
      <c r="B112" s="1121" t="s">
        <v>358</v>
      </c>
      <c r="C112" s="1066"/>
      <c r="D112" s="316">
        <f>COUNTIFS(input!$O:$O,April!$D$105,input!$W:$W,April!B112,input!$A:$A,April!$B$2)</f>
        <v>0</v>
      </c>
      <c r="E112" s="316">
        <f>COUNTIFS(input!$O:$O,April!$E$105,input!$W:$W,April!B112,input!$A:$A,April!$B$2)</f>
        <v>0</v>
      </c>
      <c r="F112" s="316">
        <f>COUNTIFS(input!$O:$O,April!$F$105,input!$W:$W,April!B112,input!$A:$A,April!$B$2)</f>
        <v>0</v>
      </c>
      <c r="G112" s="322">
        <f>COUNTIFS(input!$O:$O,April!$G$105,input!$W:$W,April!B112,input!$A:$A,April!$B$2)</f>
        <v>0</v>
      </c>
      <c r="H112" s="321">
        <f>COUNTIFS(input!$O:$O,April!$H$105,input!$W:$W,April!B112,input!$A:$A,April!$B$2)</f>
        <v>0</v>
      </c>
      <c r="I112" s="321">
        <f>COUNTIFS(input!$O:$O,April!$I$105,input!$W:$W,April!B112,input!$A:$A,April!$B$2)</f>
        <v>0</v>
      </c>
      <c r="J112" s="321">
        <f>COUNTIFS(input!$O:$O,April!$J$105,input!$W:$W,April!B112,input!$A:$A,April!$B$2)</f>
        <v>0</v>
      </c>
      <c r="K112" s="343">
        <f>COUNTIFS(input!$O:$O,April!$K$105,input!$W:$W,April!B112,input!$A:$A,April!$B$2)</f>
        <v>0</v>
      </c>
      <c r="L112" s="312">
        <f t="shared" si="8"/>
        <v>0</v>
      </c>
      <c r="M112" s="320" cm="1">
        <f t="array" ref="M112">_xlfn.IFS(L112=0,0,L112&gt;=1,L112/$L$149)</f>
        <v>0</v>
      </c>
      <c r="N112" s="992" t="s">
        <v>376</v>
      </c>
      <c r="O112" s="993"/>
      <c r="P112" s="994"/>
      <c r="Q112" s="316">
        <f>COUNTIFS(input!$O:$O,April!$Q$105,input!$X:$X,April!N112,input!$A:$A,April!$B$2)</f>
        <v>0</v>
      </c>
      <c r="R112" s="316">
        <f>COUNTIFS(input!$O:$O,April!$R$105,input!$X:$X,April!N112,input!$A:$A,April!$B$2)</f>
        <v>0</v>
      </c>
      <c r="S112" s="316">
        <f>COUNTIFS(input!$O:$O,April!$S$105,input!$X:$X,April!N112,input!$A:$A,April!$B$2)</f>
        <v>0</v>
      </c>
      <c r="T112" s="322">
        <f>COUNTIFS(input!$O:$O,April!$T$105,input!$X:$X,April!N112,input!$A:$A,April!$B$2)</f>
        <v>1</v>
      </c>
      <c r="U112" s="322">
        <f>COUNTIFS(input!$O:$O,April!$U$105,input!$X:$X,April!N112,input!$A:$A,April!$B$2)</f>
        <v>0</v>
      </c>
      <c r="V112" s="323">
        <f>COUNTIFS(input!$O:$O,April!$V$105,input!$X:$X,April!N112,input!$A:$A,April!$B$2)</f>
        <v>0</v>
      </c>
      <c r="W112" s="323">
        <f>COUNTIFS(input!$O:$O,April!$W$105,input!$X:$X,April!N112,input!$A:$A,April!$B$2)</f>
        <v>0</v>
      </c>
      <c r="X112" s="324">
        <f>COUNTIFS(input!$O:$O,April!$X$105,input!$X:$X,April!N112,input!$A:$A,April!$B$2)</f>
        <v>0</v>
      </c>
      <c r="Y112" s="312">
        <f t="shared" si="9"/>
        <v>1</v>
      </c>
      <c r="Z112" s="315" cm="1">
        <f t="array" ref="Z112">_xlfn.IFS(Y112=0,0,Y112&gt;=1,Y112/$Y$149)</f>
        <v>4.5454545454545456E-2</v>
      </c>
    </row>
    <row r="113" spans="2:26" ht="92" hidden="1" customHeight="1" x14ac:dyDescent="0.25">
      <c r="B113" s="1122" t="s">
        <v>360</v>
      </c>
      <c r="C113" s="997"/>
      <c r="D113" s="316">
        <f>COUNTIFS(input!$O:$O,April!$D$105,input!$W:$W,April!B113,input!$A:$A,April!$B$2)</f>
        <v>0</v>
      </c>
      <c r="E113" s="316">
        <f>COUNTIFS(input!$O:$O,April!$E$105,input!$W:$W,April!B113,input!$A:$A,April!$B$2)</f>
        <v>0</v>
      </c>
      <c r="F113" s="316">
        <f>COUNTIFS(input!$O:$O,April!$F$105,input!$W:$W,April!B113,input!$A:$A,April!$B$2)</f>
        <v>0</v>
      </c>
      <c r="G113" s="322">
        <f>COUNTIFS(input!$O:$O,April!$G$105,input!$W:$W,April!B113,input!$A:$A,April!$B$2)</f>
        <v>0</v>
      </c>
      <c r="H113" s="321">
        <f>COUNTIFS(input!$O:$O,April!$H$105,input!$W:$W,April!B113,input!$A:$A,April!$B$2)</f>
        <v>0</v>
      </c>
      <c r="I113" s="321">
        <f>COUNTIFS(input!$O:$O,April!$I$105,input!$W:$W,April!B113,input!$A:$A,April!$B$2)</f>
        <v>0</v>
      </c>
      <c r="J113" s="321">
        <f>COUNTIFS(input!$O:$O,April!$J$105,input!$W:$W,April!B113,input!$A:$A,April!$B$2)</f>
        <v>0</v>
      </c>
      <c r="K113" s="343">
        <f>COUNTIFS(input!$O:$O,April!$K$105,input!$W:$W,April!B113,input!$A:$A,April!$B$2)</f>
        <v>0</v>
      </c>
      <c r="L113" s="312">
        <f t="shared" si="8"/>
        <v>0</v>
      </c>
      <c r="M113" s="320" cm="1">
        <f t="array" ref="M113">_xlfn.IFS(L113=0,0,L113&gt;=1,L113/$L$149)</f>
        <v>0</v>
      </c>
      <c r="N113" s="995" t="s">
        <v>378</v>
      </c>
      <c r="O113" s="996"/>
      <c r="P113" s="997"/>
      <c r="Q113" s="316">
        <f>COUNTIFS(input!$O:$O,April!$Q$105,input!$X:$X,April!N113,input!$A:$A,April!$B$2)</f>
        <v>0</v>
      </c>
      <c r="R113" s="316">
        <f>COUNTIFS(input!$O:$O,April!$R$105,input!$X:$X,April!N113,input!$A:$A,April!$B$2)</f>
        <v>0</v>
      </c>
      <c r="S113" s="316">
        <f>COUNTIFS(input!$O:$O,April!$S$105,input!$X:$X,April!N113,input!$A:$A,April!$B$2)</f>
        <v>0</v>
      </c>
      <c r="T113" s="322">
        <f>COUNTIFS(input!$O:$O,April!$T$105,input!$X:$X,April!N113,input!$A:$A,April!$B$2)</f>
        <v>0</v>
      </c>
      <c r="U113" s="322">
        <f>COUNTIFS(input!$O:$O,April!$U$105,input!$X:$X,April!N113,input!$A:$A,April!$B$2)</f>
        <v>0</v>
      </c>
      <c r="V113" s="323">
        <f>COUNTIFS(input!$O:$O,April!$V$105,input!$X:$X,April!N113,input!$A:$A,April!$B$2)</f>
        <v>0</v>
      </c>
      <c r="W113" s="323">
        <f>COUNTIFS(input!$O:$O,April!$W$105,input!$X:$X,April!N113,input!$A:$A,April!$B$2)</f>
        <v>0</v>
      </c>
      <c r="X113" s="324">
        <f>COUNTIFS(input!$O:$O,April!$X$105,input!$X:$X,April!N113,input!$A:$A,April!$B$2)</f>
        <v>0</v>
      </c>
      <c r="Y113" s="312">
        <f t="shared" si="9"/>
        <v>0</v>
      </c>
      <c r="Z113" s="315" cm="1">
        <f t="array" ref="Z113">_xlfn.IFS(Y113=0,0,Y113&gt;=1,Y113/$Y$149)</f>
        <v>0</v>
      </c>
    </row>
    <row r="114" spans="2:26" ht="92" hidden="1" customHeight="1" x14ac:dyDescent="0.25">
      <c r="B114" s="1122" t="s">
        <v>600</v>
      </c>
      <c r="C114" s="997"/>
      <c r="D114" s="316">
        <f>COUNTIFS(input!$O:$O,April!$D$105,input!$W:$W,April!B114,input!$A:$A,April!$B$2)</f>
        <v>0</v>
      </c>
      <c r="E114" s="316">
        <f>COUNTIFS(input!$O:$O,April!$E$105,input!$W:$W,April!B114,input!$A:$A,April!$B$2)</f>
        <v>0</v>
      </c>
      <c r="F114" s="316">
        <f>COUNTIFS(input!$O:$O,April!$F$105,input!$W:$W,April!B114,input!$A:$A,April!$B$2)</f>
        <v>0</v>
      </c>
      <c r="G114" s="322">
        <f>COUNTIFS(input!$O:$O,April!$G$105,input!$W:$W,April!B114,input!$A:$A,April!$B$2)</f>
        <v>0</v>
      </c>
      <c r="H114" s="321">
        <f>COUNTIFS(input!$O:$O,April!$H$105,input!$W:$W,April!B114,input!$A:$A,April!$B$2)</f>
        <v>0</v>
      </c>
      <c r="I114" s="321">
        <f>COUNTIFS(input!$O:$O,April!$I$105,input!$W:$W,April!B114,input!$A:$A,April!$B$2)</f>
        <v>0</v>
      </c>
      <c r="J114" s="321">
        <f>COUNTIFS(input!$O:$O,April!$J$105,input!$W:$W,April!B114,input!$A:$A,April!$B$2)</f>
        <v>0</v>
      </c>
      <c r="K114" s="343">
        <f>COUNTIFS(input!$O:$O,April!$K$105,input!$W:$W,April!B114,input!$A:$A,April!$B$2)</f>
        <v>0</v>
      </c>
      <c r="L114" s="312">
        <f t="shared" si="8"/>
        <v>0</v>
      </c>
      <c r="M114" s="320" cm="1">
        <f t="array" ref="M114">_xlfn.IFS(L114=0,0,L114&gt;=1,L114/$L$149)</f>
        <v>0</v>
      </c>
      <c r="N114" s="995" t="s">
        <v>379</v>
      </c>
      <c r="O114" s="996"/>
      <c r="P114" s="997"/>
      <c r="Q114" s="316">
        <f>COUNTIFS(input!$O:$O,April!$Q$105,input!$X:$X,April!N114,input!$A:$A,April!$B$2)</f>
        <v>0</v>
      </c>
      <c r="R114" s="316">
        <f>COUNTIFS(input!$O:$O,April!$R$105,input!$X:$X,April!N114,input!$A:$A,April!$B$2)</f>
        <v>0</v>
      </c>
      <c r="S114" s="316">
        <f>COUNTIFS(input!$O:$O,April!$S$105,input!$X:$X,April!N114,input!$A:$A,April!$B$2)</f>
        <v>0</v>
      </c>
      <c r="T114" s="322">
        <f>COUNTIFS(input!$O:$O,April!$T$105,input!$X:$X,April!N114,input!$A:$A,April!$B$2)</f>
        <v>0</v>
      </c>
      <c r="U114" s="322">
        <f>COUNTIFS(input!$O:$O,April!$U$105,input!$X:$X,April!N114,input!$A:$A,April!$B$2)</f>
        <v>0</v>
      </c>
      <c r="V114" s="323">
        <f>COUNTIFS(input!$O:$O,April!$V$105,input!$X:$X,April!N114,input!$A:$A,April!$B$2)</f>
        <v>0</v>
      </c>
      <c r="W114" s="323">
        <f>COUNTIFS(input!$O:$O,April!$W$105,input!$X:$X,April!N114,input!$A:$A,April!$B$2)</f>
        <v>0</v>
      </c>
      <c r="X114" s="324">
        <f>COUNTIFS(input!$O:$O,April!$X$105,input!$X:$X,April!N114,input!$A:$A,April!$B$2)</f>
        <v>0</v>
      </c>
      <c r="Y114" s="312">
        <f t="shared" si="9"/>
        <v>0</v>
      </c>
      <c r="Z114" s="315" cm="1">
        <f t="array" ref="Z114">_xlfn.IFS(Y114=0,0,Y114&gt;=1,Y114/$Y$149)</f>
        <v>0</v>
      </c>
    </row>
    <row r="115" spans="2:26" ht="92" hidden="1" customHeight="1" x14ac:dyDescent="0.25">
      <c r="B115" s="1122" t="s">
        <v>561</v>
      </c>
      <c r="C115" s="997"/>
      <c r="D115" s="316">
        <f>COUNTIFS(input!$O:$O,April!$D$105,input!$W:$W,April!B115,input!$A:$A,April!$B$2)</f>
        <v>0</v>
      </c>
      <c r="E115" s="316">
        <f>COUNTIFS(input!$O:$O,April!$E$105,input!$W:$W,April!B115,input!$A:$A,April!$B$2)</f>
        <v>0</v>
      </c>
      <c r="F115" s="316">
        <f>COUNTIFS(input!$O:$O,April!$F$105,input!$W:$W,April!B115,input!$A:$A,April!$B$2)</f>
        <v>0</v>
      </c>
      <c r="G115" s="322">
        <f>COUNTIFS(input!$O:$O,April!$G$105,input!$W:$W,April!B115,input!$A:$A,April!$B$2)</f>
        <v>0</v>
      </c>
      <c r="H115" s="321">
        <f>COUNTIFS(input!$O:$O,April!$H$105,input!$W:$W,April!B115,input!$A:$A,April!$B$2)</f>
        <v>0</v>
      </c>
      <c r="I115" s="321">
        <f>COUNTIFS(input!$O:$O,April!$I$105,input!$W:$W,April!B115,input!$A:$A,April!$B$2)</f>
        <v>0</v>
      </c>
      <c r="J115" s="321">
        <f>COUNTIFS(input!$O:$O,April!$J$105,input!$W:$W,April!B115,input!$A:$A,April!$B$2)</f>
        <v>0</v>
      </c>
      <c r="K115" s="343">
        <f>COUNTIFS(input!$O:$O,April!$K$105,input!$W:$W,April!B115,input!$A:$A,April!$B$2)</f>
        <v>0</v>
      </c>
      <c r="L115" s="312">
        <f t="shared" si="8"/>
        <v>0</v>
      </c>
      <c r="M115" s="320" cm="1">
        <f t="array" ref="M115">_xlfn.IFS(L115=0,0,L115&gt;=1,L115/$L$149)</f>
        <v>0</v>
      </c>
      <c r="N115" s="995" t="s">
        <v>606</v>
      </c>
      <c r="O115" s="996"/>
      <c r="P115" s="997"/>
      <c r="Q115" s="316">
        <f>COUNTIFS(input!$O:$O,April!$Q$105,input!$X:$X,April!N115,input!$A:$A,April!$B$2)</f>
        <v>0</v>
      </c>
      <c r="R115" s="316">
        <f>COUNTIFS(input!$O:$O,April!$R$105,input!$X:$X,April!N115,input!$A:$A,April!$B$2)</f>
        <v>0</v>
      </c>
      <c r="S115" s="316">
        <f>COUNTIFS(input!$O:$O,April!$S$105,input!$X:$X,April!N115,input!$A:$A,April!$B$2)</f>
        <v>0</v>
      </c>
      <c r="T115" s="322">
        <f>COUNTIFS(input!$O:$O,April!$T$105,input!$X:$X,April!N115,input!$A:$A,April!$B$2)</f>
        <v>0</v>
      </c>
      <c r="U115" s="322">
        <f>COUNTIFS(input!$O:$O,April!$U$105,input!$X:$X,April!N115,input!$A:$A,April!$B$2)</f>
        <v>0</v>
      </c>
      <c r="V115" s="323">
        <f>COUNTIFS(input!$O:$O,April!$V$105,input!$X:$X,April!N115,input!$A:$A,April!$B$2)</f>
        <v>0</v>
      </c>
      <c r="W115" s="323">
        <f>COUNTIFS(input!$O:$O,April!$W$105,input!$X:$X,April!N115,input!$A:$A,April!$B$2)</f>
        <v>0</v>
      </c>
      <c r="X115" s="324">
        <f>COUNTIFS(input!$O:$O,April!$X$105,input!$X:$X,April!N115,input!$A:$A,April!$B$2)</f>
        <v>0</v>
      </c>
      <c r="Y115" s="312">
        <f t="shared" si="9"/>
        <v>0</v>
      </c>
      <c r="Z115" s="315" cm="1">
        <f t="array" ref="Z115">_xlfn.IFS(Y115=0,0,Y115&gt;=1,Y115/$Y$149)</f>
        <v>0</v>
      </c>
    </row>
    <row r="116" spans="2:26" ht="92" hidden="1" customHeight="1" x14ac:dyDescent="0.25">
      <c r="B116" s="1122" t="s">
        <v>601</v>
      </c>
      <c r="C116" s="997"/>
      <c r="D116" s="316">
        <f>COUNTIFS(input!$O:$O,April!$D$105,input!$W:$W,April!B116,input!$A:$A,April!$B$2)</f>
        <v>0</v>
      </c>
      <c r="E116" s="316">
        <f>COUNTIFS(input!$O:$O,April!$E$105,input!$W:$W,April!B116,input!$A:$A,April!$B$2)</f>
        <v>0</v>
      </c>
      <c r="F116" s="316">
        <f>COUNTIFS(input!$O:$O,April!$F$105,input!$W:$W,April!B116,input!$A:$A,April!$B$2)</f>
        <v>0</v>
      </c>
      <c r="G116" s="322">
        <f>COUNTIFS(input!$O:$O,April!$G$105,input!$W:$W,April!B116,input!$A:$A,April!$B$2)</f>
        <v>0</v>
      </c>
      <c r="H116" s="321">
        <f>COUNTIFS(input!$O:$O,April!$H$105,input!$W:$W,April!B116,input!$A:$A,April!$B$2)</f>
        <v>0</v>
      </c>
      <c r="I116" s="321">
        <f>COUNTIFS(input!$O:$O,April!$I$105,input!$W:$W,April!B116,input!$A:$A,April!$B$2)</f>
        <v>0</v>
      </c>
      <c r="J116" s="321">
        <f>COUNTIFS(input!$O:$O,April!$J$105,input!$W:$W,April!B116,input!$A:$A,April!$B$2)</f>
        <v>0</v>
      </c>
      <c r="K116" s="343">
        <f>COUNTIFS(input!$O:$O,April!$K$105,input!$W:$W,April!B116,input!$A:$A,April!$B$2)</f>
        <v>0</v>
      </c>
      <c r="L116" s="312">
        <f t="shared" si="8"/>
        <v>0</v>
      </c>
      <c r="M116" s="320" cm="1">
        <f t="array" ref="M116">_xlfn.IFS(L116=0,0,L116&gt;=1,L116/$L$149)</f>
        <v>0</v>
      </c>
      <c r="N116" s="1064" t="s">
        <v>380</v>
      </c>
      <c r="O116" s="1065"/>
      <c r="P116" s="1066"/>
      <c r="Q116" s="316">
        <f>COUNTIFS(input!$O:$O,April!$Q$105,input!$X:$X,April!N116,input!$A:$A,April!$B$2)</f>
        <v>0</v>
      </c>
      <c r="R116" s="316">
        <f>COUNTIFS(input!$O:$O,April!$R$105,input!$X:$X,April!N116,input!$A:$A,April!$B$2)</f>
        <v>0</v>
      </c>
      <c r="S116" s="316">
        <f>COUNTIFS(input!$O:$O,April!$S$105,input!$X:$X,April!N116,input!$A:$A,April!$B$2)</f>
        <v>0</v>
      </c>
      <c r="T116" s="322">
        <f>COUNTIFS(input!$O:$O,April!$T$105,input!$X:$X,April!N116,input!$A:$A,April!$B$2)</f>
        <v>0</v>
      </c>
      <c r="U116" s="322">
        <f>COUNTIFS(input!$O:$O,April!$U$105,input!$X:$X,April!N116,input!$A:$A,April!$B$2)</f>
        <v>0</v>
      </c>
      <c r="V116" s="323">
        <f>COUNTIFS(input!$O:$O,April!$V$105,input!$X:$X,April!N116,input!$A:$A,April!$B$2)</f>
        <v>0</v>
      </c>
      <c r="W116" s="323">
        <f>COUNTIFS(input!$O:$O,April!$W$105,input!$X:$X,April!N116,input!$A:$A,April!$B$2)</f>
        <v>0</v>
      </c>
      <c r="X116" s="324">
        <f>COUNTIFS(input!$O:$O,April!$X$105,input!$X:$X,April!N116,input!$A:$A,April!$B$2)</f>
        <v>0</v>
      </c>
      <c r="Y116" s="312">
        <f t="shared" si="9"/>
        <v>0</v>
      </c>
      <c r="Z116" s="315" cm="1">
        <f t="array" ref="Z116">_xlfn.IFS(Y116=0,0,Y116&gt;=1,Y116/$Y$149)</f>
        <v>0</v>
      </c>
    </row>
    <row r="117" spans="2:26" ht="92" x14ac:dyDescent="0.25">
      <c r="B117" s="1122" t="s">
        <v>645</v>
      </c>
      <c r="C117" s="997"/>
      <c r="D117" s="316">
        <f>COUNTIFS(input!$O:$O,April!$D$105,input!$W:$W,April!B117,input!$A:$A,April!$B$2)</f>
        <v>0</v>
      </c>
      <c r="E117" s="316">
        <f>COUNTIFS(input!$O:$O,April!$E$105,input!$W:$W,April!B117,input!$A:$A,April!$B$2)</f>
        <v>0</v>
      </c>
      <c r="F117" s="316">
        <f>COUNTIFS(input!$O:$O,April!$F$105,input!$W:$W,April!B117,input!$A:$A,April!$B$2)</f>
        <v>0</v>
      </c>
      <c r="G117" s="322">
        <f>COUNTIFS(input!$O:$O,April!$G$105,input!$W:$W,April!B117,input!$A:$A,April!$B$2)</f>
        <v>0</v>
      </c>
      <c r="H117" s="321">
        <f>COUNTIFS(input!$O:$O,April!$H$105,input!$W:$W,April!B117,input!$A:$A,April!$B$2)</f>
        <v>0</v>
      </c>
      <c r="I117" s="321">
        <f>COUNTIFS(input!$O:$O,April!$I$105,input!$W:$W,April!B117,input!$A:$A,April!$B$2)</f>
        <v>0</v>
      </c>
      <c r="J117" s="321">
        <f>COUNTIFS(input!$O:$O,April!$J$105,input!$W:$W,April!B117,input!$A:$A,April!$B$2)</f>
        <v>0</v>
      </c>
      <c r="K117" s="343">
        <f>COUNTIFS(input!$O:$O,April!$K$105,input!$W:$W,April!B117,input!$A:$A,April!$B$2)</f>
        <v>0</v>
      </c>
      <c r="L117" s="312">
        <f t="shared" si="8"/>
        <v>0</v>
      </c>
      <c r="M117" s="320" cm="1">
        <f t="array" ref="M117">_xlfn.IFS(L117=0,0,L117&gt;=1,L117/$L$149)</f>
        <v>0</v>
      </c>
      <c r="N117" s="1058" t="s">
        <v>381</v>
      </c>
      <c r="O117" s="1016"/>
      <c r="P117" s="991"/>
      <c r="Q117" s="316">
        <f>COUNTIFS(input!$O:$O,April!$Q$105,input!$X:$X,April!N117,input!$A:$A,April!$B$2)</f>
        <v>0</v>
      </c>
      <c r="R117" s="316">
        <f>COUNTIFS(input!$O:$O,April!$R$105,input!$X:$X,April!N117,input!$A:$A,April!$B$2)</f>
        <v>0</v>
      </c>
      <c r="S117" s="316">
        <f>COUNTIFS(input!$O:$O,April!$S$105,input!$X:$X,April!N117,input!$A:$A,April!$B$2)</f>
        <v>0</v>
      </c>
      <c r="T117" s="322">
        <f>COUNTIFS(input!$O:$O,April!$T$105,input!$X:$X,April!N117,input!$A:$A,April!$B$2)</f>
        <v>2</v>
      </c>
      <c r="U117" s="322">
        <f>COUNTIFS(input!$O:$O,April!$U$105,input!$X:$X,April!N117,input!$A:$A,April!$B$2)</f>
        <v>0</v>
      </c>
      <c r="V117" s="323">
        <f>COUNTIFS(input!$O:$O,April!$V$105,input!$X:$X,April!N117,input!$A:$A,April!$B$2)</f>
        <v>1</v>
      </c>
      <c r="W117" s="323">
        <f>COUNTIFS(input!$O:$O,April!$W$105,input!$X:$X,April!N117,input!$A:$A,April!$B$2)</f>
        <v>0</v>
      </c>
      <c r="X117" s="324">
        <f>COUNTIFS(input!$O:$O,April!$X$105,input!$X:$X,April!N117,input!$A:$A,April!$B$2)</f>
        <v>0</v>
      </c>
      <c r="Y117" s="312">
        <f t="shared" si="9"/>
        <v>3</v>
      </c>
      <c r="Z117" s="315" cm="1">
        <f t="array" ref="Z117">_xlfn.IFS(Y117=0,0,Y117&gt;=1,Y117/$Y$149)</f>
        <v>0.13636363636363635</v>
      </c>
    </row>
    <row r="118" spans="2:26" ht="92" x14ac:dyDescent="0.25">
      <c r="B118" s="1122" t="s">
        <v>829</v>
      </c>
      <c r="C118" s="997"/>
      <c r="D118" s="316">
        <f>COUNTIFS(input!$O:$O,April!$D$105,input!$W:$W,April!B118,input!$A:$A,April!$B$2)</f>
        <v>0</v>
      </c>
      <c r="E118" s="316">
        <f>COUNTIFS(input!$O:$O,April!$E$105,input!$W:$W,April!B118,input!$A:$A,April!$B$2)</f>
        <v>0</v>
      </c>
      <c r="F118" s="316">
        <f>COUNTIFS(input!$O:$O,April!$F$105,input!$W:$W,April!B118,input!$A:$A,April!$B$2)</f>
        <v>0</v>
      </c>
      <c r="G118" s="322">
        <f>COUNTIFS(input!$O:$O,April!$G$105,input!$W:$W,April!B118,input!$A:$A,April!$B$2)</f>
        <v>0</v>
      </c>
      <c r="H118" s="321">
        <f>COUNTIFS(input!$O:$O,April!$H$105,input!$W:$W,April!B118,input!$A:$A,April!$B$2)</f>
        <v>0</v>
      </c>
      <c r="I118" s="321">
        <f>COUNTIFS(input!$O:$O,April!$I$105,input!$W:$W,April!B118,input!$A:$A,April!$B$2)</f>
        <v>0</v>
      </c>
      <c r="J118" s="321">
        <f>COUNTIFS(input!$O:$O,April!$J$105,input!$W:$W,April!B118,input!$A:$A,April!$B$2)</f>
        <v>0</v>
      </c>
      <c r="K118" s="343">
        <f>COUNTIFS(input!$O:$O,April!$K$105,input!$W:$W,April!B118,input!$A:$A,April!$B$2)</f>
        <v>0</v>
      </c>
      <c r="L118" s="312">
        <f t="shared" si="8"/>
        <v>0</v>
      </c>
      <c r="M118" s="320" cm="1">
        <f t="array" ref="M118">_xlfn.IFS(L118=0,0,L118&gt;=1,L118/$L$149)</f>
        <v>0</v>
      </c>
      <c r="N118" s="1058" t="s">
        <v>72</v>
      </c>
      <c r="O118" s="1016"/>
      <c r="P118" s="991"/>
      <c r="Q118" s="316">
        <f>COUNTIFS(input!$O:$O,April!$Q$105,input!$X:$X,April!N118,input!$A:$A,April!$B$2)</f>
        <v>0</v>
      </c>
      <c r="R118" s="316">
        <f>COUNTIFS(input!$O:$O,April!$R$105,input!$X:$X,April!N118,input!$A:$A,April!$B$2)</f>
        <v>0</v>
      </c>
      <c r="S118" s="316">
        <f>COUNTIFS(input!$O:$O,April!$S$105,input!$X:$X,April!N118,input!$A:$A,April!$B$2)</f>
        <v>0</v>
      </c>
      <c r="T118" s="322">
        <f>COUNTIFS(input!$O:$O,April!$T$105,input!$X:$X,April!N118,input!$A:$A,April!$B$2)</f>
        <v>0</v>
      </c>
      <c r="U118" s="322">
        <f>COUNTIFS(input!$O:$O,April!$U$105,input!$X:$X,April!N118,input!$A:$A,April!$B$2)</f>
        <v>0</v>
      </c>
      <c r="V118" s="323">
        <f>COUNTIFS(input!$O:$O,April!$V$105,input!$X:$X,April!N118,input!$A:$A,April!$B$2)</f>
        <v>2</v>
      </c>
      <c r="W118" s="323">
        <f>COUNTIFS(input!$O:$O,April!$W$105,input!$X:$X,April!N118,input!$A:$A,April!$B$2)</f>
        <v>0</v>
      </c>
      <c r="X118" s="324">
        <f>COUNTIFS(input!$O:$O,April!$X$105,input!$X:$X,April!N118,input!$A:$A,April!$B$2)</f>
        <v>0</v>
      </c>
      <c r="Y118" s="312">
        <f>SUM(Q118:X118)</f>
        <v>2</v>
      </c>
      <c r="Z118" s="315" cm="1">
        <f t="array" ref="Z118">_xlfn.IFS(Y118=0,0,Y118&gt;=1,Y118/$Y$149)</f>
        <v>9.0909090909090912E-2</v>
      </c>
    </row>
    <row r="119" spans="2:26" ht="92" x14ac:dyDescent="0.25">
      <c r="B119" s="1122" t="s">
        <v>604</v>
      </c>
      <c r="C119" s="997"/>
      <c r="D119" s="316">
        <f>COUNTIFS(input!$O:$O,April!$D$105,input!$W:$W,April!B119,input!$A:$A,April!$B$2)</f>
        <v>0</v>
      </c>
      <c r="E119" s="316">
        <f>COUNTIFS(input!$O:$O,April!$E$105,input!$W:$W,April!B119,input!$A:$A,April!$B$2)</f>
        <v>0</v>
      </c>
      <c r="F119" s="316">
        <f>COUNTIFS(input!$O:$O,April!$F$105,input!$W:$W,April!B119,input!$A:$A,April!$B$2)</f>
        <v>0</v>
      </c>
      <c r="G119" s="322">
        <f>COUNTIFS(input!$O:$O,April!$G$105,input!$W:$W,April!B119,input!$A:$A,April!$B$2)</f>
        <v>0</v>
      </c>
      <c r="H119" s="321">
        <f>COUNTIFS(input!$O:$O,April!$H$105,input!$W:$W,April!B119,input!$A:$A,April!$B$2)</f>
        <v>0</v>
      </c>
      <c r="I119" s="321">
        <f>COUNTIFS(input!$O:$O,April!$I$105,input!$W:$W,April!B119,input!$A:$A,April!$B$2)</f>
        <v>0</v>
      </c>
      <c r="J119" s="321">
        <f>COUNTIFS(input!$O:$O,April!$J$105,input!$W:$W,April!B119,input!$A:$A,April!$B$2)</f>
        <v>0</v>
      </c>
      <c r="K119" s="343">
        <f>COUNTIFS(input!$O:$O,April!$K$105,input!$W:$W,April!B119,input!$A:$A,April!$B$2)</f>
        <v>0</v>
      </c>
      <c r="L119" s="312">
        <f t="shared" si="8"/>
        <v>0</v>
      </c>
      <c r="M119" s="320" cm="1">
        <f t="array" ref="M119">_xlfn.IFS(L119=0,0,L119&gt;=1,L119/$L$149)</f>
        <v>0</v>
      </c>
      <c r="N119" s="992" t="s">
        <v>744</v>
      </c>
      <c r="O119" s="993"/>
      <c r="P119" s="994"/>
      <c r="Q119" s="316">
        <f>COUNTIFS(input!$O:$O,April!$Q$105,input!$X:$X,April!N119,input!$A:$A,April!$B$2)</f>
        <v>0</v>
      </c>
      <c r="R119" s="316">
        <f>COUNTIFS(input!$O:$O,April!$R$105,input!$X:$X,April!N119,input!$A:$A,April!$B$2)</f>
        <v>1</v>
      </c>
      <c r="S119" s="316">
        <f>COUNTIFS(input!$O:$O,April!$S$105,input!$X:$X,April!N119,input!$A:$A,April!$B$2)</f>
        <v>0</v>
      </c>
      <c r="T119" s="322">
        <f>COUNTIFS(input!$O:$O,April!$T$105,input!$X:$X,April!N119,input!$A:$A,April!$B$2)</f>
        <v>0</v>
      </c>
      <c r="U119" s="322">
        <f>COUNTIFS(input!$O:$O,April!$U$105,input!$X:$X,April!N119,input!$A:$A,April!$B$2)</f>
        <v>1</v>
      </c>
      <c r="V119" s="323">
        <f>COUNTIFS(input!$O:$O,April!$V$105,input!$X:$X,April!N119,input!$A:$A,April!$B$2)</f>
        <v>0</v>
      </c>
      <c r="W119" s="323">
        <f>COUNTIFS(input!$O:$O,April!$W$105,input!$X:$X,April!N119,input!$A:$A,April!$B$2)</f>
        <v>0</v>
      </c>
      <c r="X119" s="324">
        <f>COUNTIFS(input!$O:$O,April!$X$105,input!$X:$X,April!N119,input!$A:$A,April!$B$2)</f>
        <v>0</v>
      </c>
      <c r="Y119" s="312">
        <f>SUM(Q119:X119)</f>
        <v>2</v>
      </c>
      <c r="Z119" s="315" cm="1">
        <f t="array" ref="Z119">_xlfn.IFS(Y119=0,0,Y119&gt;=1,Y119/$Y$149)</f>
        <v>9.0909090909090912E-2</v>
      </c>
    </row>
    <row r="120" spans="2:26" ht="92" x14ac:dyDescent="0.25">
      <c r="B120" s="998" t="s">
        <v>1541</v>
      </c>
      <c r="C120" s="994"/>
      <c r="D120" s="316">
        <f>COUNTIFS(input!$O:$O,April!$D$105,input!$W:$W,April!B120,input!$A:$A,April!$B$2)</f>
        <v>0</v>
      </c>
      <c r="E120" s="316">
        <f>COUNTIFS(input!$O:$O,April!$E$105,input!$W:$W,April!B120,input!$A:$A,April!$B$2)</f>
        <v>0</v>
      </c>
      <c r="F120" s="316">
        <f>COUNTIFS(input!$O:$O,April!$F$105,input!$W:$W,April!B120,input!$A:$A,April!$B$2)</f>
        <v>0</v>
      </c>
      <c r="G120" s="322">
        <f>COUNTIFS(input!$O:$O,April!$G$105,input!$W:$W,April!B120,input!$A:$A,April!$B$2)</f>
        <v>0</v>
      </c>
      <c r="H120" s="321">
        <f>COUNTIFS(input!$O:$O,April!$H$105,input!$W:$W,April!B120,input!$A:$A,April!$B$2)</f>
        <v>0</v>
      </c>
      <c r="I120" s="321">
        <f>COUNTIFS(input!$O:$O,April!$I$105,input!$W:$W,April!B120,input!$A:$A,April!$B$2)</f>
        <v>1</v>
      </c>
      <c r="J120" s="321">
        <f>COUNTIFS(input!$O:$O,April!$J$105,input!$W:$W,April!B120,input!$A:$A,April!$B$2)</f>
        <v>0</v>
      </c>
      <c r="K120" s="343">
        <f>COUNTIFS(input!$O:$O,April!$K$105,input!$W:$W,April!B120,input!$A:$A,April!$B$2)</f>
        <v>0</v>
      </c>
      <c r="L120" s="312">
        <f>SUM(D120:K120)</f>
        <v>1</v>
      </c>
      <c r="M120" s="320" cm="1">
        <f t="array" ref="M120">_xlfn.IFS(L120=0,0,L120&gt;=1,L120/$L$149)</f>
        <v>4.5454545454545456E-2</v>
      </c>
      <c r="N120" s="992" t="s">
        <v>444</v>
      </c>
      <c r="O120" s="993"/>
      <c r="P120" s="994"/>
      <c r="Q120" s="316">
        <f>COUNTIFS(input!$O:$O,April!$Q$105,input!$X:$X,April!N120,input!$A:$A,April!$B$2)</f>
        <v>0</v>
      </c>
      <c r="R120" s="316">
        <f>COUNTIFS(input!$O:$O,April!$R$105,input!$X:$X,April!N120,input!$A:$A,April!$B$2)</f>
        <v>0</v>
      </c>
      <c r="S120" s="316">
        <f>COUNTIFS(input!$O:$O,April!$S$105,input!$X:$X,April!N120,input!$A:$A,April!$B$2)</f>
        <v>0</v>
      </c>
      <c r="T120" s="322">
        <f>COUNTIFS(input!$O:$O,April!$T$105,input!$X:$X,April!N120,input!$A:$A,April!$B$2)</f>
        <v>0</v>
      </c>
      <c r="U120" s="322">
        <f>COUNTIFS(input!$O:$O,April!$U$105,input!$X:$X,April!N120,input!$A:$A,April!$B$2)</f>
        <v>0</v>
      </c>
      <c r="V120" s="323">
        <f>COUNTIFS(input!$O:$O,April!$V$105,input!$X:$X,April!N120,input!$A:$A,April!$B$2)</f>
        <v>0</v>
      </c>
      <c r="W120" s="323">
        <f>COUNTIFS(input!$O:$O,April!$W$105,input!$X:$X,April!N120,input!$A:$A,April!$B$2)</f>
        <v>0</v>
      </c>
      <c r="X120" s="324">
        <f>COUNTIFS(input!$O:$O,April!$X$105,input!$X:$X,April!N120,input!$A:$A,April!$B$2)</f>
        <v>1</v>
      </c>
      <c r="Y120" s="312">
        <f>SUM(Q120:X120)</f>
        <v>1</v>
      </c>
      <c r="Z120" s="315" cm="1">
        <f t="array" ref="Z120">_xlfn.IFS(Y120=0,0,Y120&gt;=1,Y120/$Y$149)</f>
        <v>4.5454545454545456E-2</v>
      </c>
    </row>
    <row r="121" spans="2:26" ht="92" x14ac:dyDescent="0.25">
      <c r="B121" s="1122" t="s">
        <v>646</v>
      </c>
      <c r="C121" s="997"/>
      <c r="D121" s="316">
        <f>COUNTIFS(input!$O:$O,April!$D$105,input!$W:$W,April!B121,input!$A:$A,April!$B$2)</f>
        <v>0</v>
      </c>
      <c r="E121" s="316">
        <f>COUNTIFS(input!$O:$O,April!$E$105,input!$W:$W,April!B121,input!$A:$A,April!$B$2)</f>
        <v>0</v>
      </c>
      <c r="F121" s="316">
        <f>COUNTIFS(input!$O:$O,April!$F$105,input!$W:$W,April!B121,input!$A:$A,April!$B$2)</f>
        <v>0</v>
      </c>
      <c r="G121" s="322">
        <f>COUNTIFS(input!$O:$O,April!$G$105,input!$W:$W,April!B121,input!$A:$A,April!$B$2)</f>
        <v>0</v>
      </c>
      <c r="H121" s="321">
        <f>COUNTIFS(input!$O:$O,April!$H$105,input!$W:$W,April!B121,input!$A:$A,April!$B$2)</f>
        <v>0</v>
      </c>
      <c r="I121" s="321">
        <f>COUNTIFS(input!$O:$O,April!$I$105,input!$W:$W,April!B121,input!$A:$A,April!$B$2)</f>
        <v>0</v>
      </c>
      <c r="J121" s="321">
        <f>COUNTIFS(input!$O:$O,April!$J$105,input!$W:$W,April!B121,input!$A:$A,April!$B$2)</f>
        <v>0</v>
      </c>
      <c r="K121" s="343">
        <f>COUNTIFS(input!$O:$O,April!$K$105,input!$W:$W,April!B121,input!$A:$A,April!$B$2)</f>
        <v>0</v>
      </c>
      <c r="L121" s="312">
        <f t="shared" si="8"/>
        <v>0</v>
      </c>
      <c r="M121" s="320" cm="1">
        <f t="array" ref="M121">_xlfn.IFS(L121=0,0,L121&gt;=1,L121/$L$149)</f>
        <v>0</v>
      </c>
      <c r="N121" s="992" t="s">
        <v>507</v>
      </c>
      <c r="O121" s="993"/>
      <c r="P121" s="994"/>
      <c r="Q121" s="316">
        <f>COUNTIFS(input!$O:$O,April!$Q$105,input!$X:$X,April!N121,input!$A:$A,April!$B$2)</f>
        <v>0</v>
      </c>
      <c r="R121" s="316">
        <f>COUNTIFS(input!$O:$O,April!$R$105,input!$X:$X,April!N121,input!$A:$A,April!$B$2)</f>
        <v>0</v>
      </c>
      <c r="S121" s="316">
        <f>COUNTIFS(input!$O:$O,April!$S$105,input!$X:$X,April!N121,input!$A:$A,April!$B$2)</f>
        <v>0</v>
      </c>
      <c r="T121" s="322">
        <f>COUNTIFS(input!$O:$O,April!$T$105,input!$X:$X,April!N121,input!$A:$A,April!$B$2)</f>
        <v>0</v>
      </c>
      <c r="U121" s="322">
        <f>COUNTIFS(input!$O:$O,April!$U$105,input!$X:$X,April!N121,input!$A:$A,April!$B$2)</f>
        <v>0</v>
      </c>
      <c r="V121" s="323">
        <f>COUNTIFS(input!$O:$O,April!$V$105,input!$X:$X,April!N121,input!$A:$A,April!$B$2)</f>
        <v>0</v>
      </c>
      <c r="W121" s="323">
        <f>COUNTIFS(input!$O:$O,April!$W$105,input!$X:$X,April!N121,input!$A:$A,April!$B$2)</f>
        <v>1</v>
      </c>
      <c r="X121" s="324">
        <f>COUNTIFS(input!$O:$O,April!$X$105,input!$X:$X,April!N121,input!$A:$A,April!$B$2)</f>
        <v>0</v>
      </c>
      <c r="Y121" s="312">
        <f>SUM(Q121:X121)</f>
        <v>1</v>
      </c>
      <c r="Z121" s="315" cm="1">
        <f t="array" ref="Z121">_xlfn.IFS(Y121=0,0,Y121&gt;=1,Y121/$Y$149)</f>
        <v>4.5454545454545456E-2</v>
      </c>
    </row>
    <row r="122" spans="2:26" ht="92" hidden="1" customHeight="1" x14ac:dyDescent="0.25">
      <c r="B122" s="1122" t="s">
        <v>366</v>
      </c>
      <c r="C122" s="997"/>
      <c r="D122" s="316">
        <f>COUNTIFS(input!$O:$O,April!$D$105,input!$W:$W,April!B122,input!$A:$A,April!$B$2)</f>
        <v>0</v>
      </c>
      <c r="E122" s="316">
        <f>COUNTIFS(input!$O:$O,April!$E$105,input!$W:$W,April!B122,input!$A:$A,April!$B$2)</f>
        <v>0</v>
      </c>
      <c r="F122" s="316">
        <f>COUNTIFS(input!$O:$O,April!$F$105,input!$W:$W,April!B122,input!$A:$A,April!$B$2)</f>
        <v>0</v>
      </c>
      <c r="G122" s="322">
        <f>COUNTIFS(input!$O:$O,April!$G$105,input!$W:$W,April!B122,input!$A:$A,April!$B$2)</f>
        <v>0</v>
      </c>
      <c r="H122" s="321">
        <f>COUNTIFS(input!$O:$O,April!$H$105,input!$W:$W,April!B122,input!$A:$A,April!$B$2)</f>
        <v>0</v>
      </c>
      <c r="I122" s="321">
        <f>COUNTIFS(input!$O:$O,April!$I$105,input!$W:$W,April!B122,input!$A:$A,April!$B$2)</f>
        <v>0</v>
      </c>
      <c r="J122" s="321">
        <f>COUNTIFS(input!$O:$O,April!$J$105,input!$W:$W,April!B122,input!$A:$A,April!$B$2)</f>
        <v>0</v>
      </c>
      <c r="K122" s="343">
        <f>COUNTIFS(input!$O:$O,April!$K$105,input!$W:$W,April!B122,input!$A:$A,April!$B$2)</f>
        <v>0</v>
      </c>
      <c r="L122" s="312">
        <f t="shared" si="8"/>
        <v>0</v>
      </c>
      <c r="M122" s="320" cm="1">
        <f t="array" ref="M122">_xlfn.IFS(L122=0,0,L122&gt;=1,L122/$L$149)</f>
        <v>0</v>
      </c>
      <c r="N122" s="995" t="s">
        <v>75</v>
      </c>
      <c r="O122" s="996"/>
      <c r="P122" s="997"/>
      <c r="Q122" s="316">
        <f>COUNTIFS(input!$O:$O,April!$Q$105,input!$X:$X,April!N122,input!$A:$A,April!$B$2)</f>
        <v>0</v>
      </c>
      <c r="R122" s="316">
        <f>COUNTIFS(input!$O:$O,April!$R$105,input!$X:$X,April!N122,input!$A:$A,April!$B$2)</f>
        <v>0</v>
      </c>
      <c r="S122" s="316">
        <f>COUNTIFS(input!$O:$O,April!$S$105,input!$X:$X,April!N122,input!$A:$A,April!$B$2)</f>
        <v>0</v>
      </c>
      <c r="T122" s="322">
        <f>COUNTIFS(input!$O:$O,April!$T$105,input!$X:$X,April!N122,input!$A:$A,April!$B$2)</f>
        <v>0</v>
      </c>
      <c r="U122" s="322">
        <f>COUNTIFS(input!$O:$O,April!$U$105,input!$X:$X,April!N122,input!$A:$A,April!$B$2)</f>
        <v>0</v>
      </c>
      <c r="V122" s="323">
        <f>COUNTIFS(input!$O:$O,April!$V$105,input!$X:$X,April!N122,input!$A:$A,April!$B$2)</f>
        <v>0</v>
      </c>
      <c r="W122" s="323">
        <f>COUNTIFS(input!$O:$O,April!$W$105,input!$X:$X,April!N122,input!$A:$A,April!$B$2)</f>
        <v>0</v>
      </c>
      <c r="X122" s="324">
        <f>COUNTIFS(input!$O:$O,April!$X$105,input!$X:$X,April!N122,input!$A:$A,April!$B$2)</f>
        <v>0</v>
      </c>
      <c r="Y122" s="312">
        <f>SUM(Q122:X122)</f>
        <v>0</v>
      </c>
      <c r="Z122" s="315" cm="1">
        <f t="array" ref="Z122">_xlfn.IFS(Y122=0,0,Y122&gt;=1,Y122/$Y$149)</f>
        <v>0</v>
      </c>
    </row>
    <row r="123" spans="2:26" ht="92" x14ac:dyDescent="0.25">
      <c r="B123" s="998" t="s">
        <v>1539</v>
      </c>
      <c r="C123" s="994"/>
      <c r="D123" s="316">
        <f>COUNTIFS(input!$O:$O,April!$D$105,input!$W:$W,April!B123,input!$A:$A,April!$B$2)</f>
        <v>0</v>
      </c>
      <c r="E123" s="316">
        <f>COUNTIFS(input!$O:$O,April!$E$105,input!$W:$W,April!B123,input!$A:$A,April!$B$2)</f>
        <v>0</v>
      </c>
      <c r="F123" s="316">
        <f>COUNTIFS(input!$O:$O,April!$F$105,input!$W:$W,April!B123,input!$A:$A,April!$B$2)</f>
        <v>0</v>
      </c>
      <c r="G123" s="322">
        <f>COUNTIFS(input!$O:$O,April!$G$105,input!$W:$W,April!B123,input!$A:$A,April!$B$2)</f>
        <v>1</v>
      </c>
      <c r="H123" s="321">
        <f>COUNTIFS(input!$O:$O,April!$H$105,input!$W:$W,April!B123,input!$A:$A,April!$B$2)</f>
        <v>0</v>
      </c>
      <c r="I123" s="321">
        <f>COUNTIFS(input!$O:$O,April!$I$105,input!$W:$W,April!B123,input!$A:$A,April!$B$2)</f>
        <v>0</v>
      </c>
      <c r="J123" s="321">
        <f>COUNTIFS(input!$O:$O,April!$J$105,input!$W:$W,April!B123,input!$A:$A,April!$B$2)</f>
        <v>0</v>
      </c>
      <c r="K123" s="343">
        <f>COUNTIFS(input!$O:$O,April!$K$105,input!$W:$W,April!B123,input!$A:$A,April!$B$2)</f>
        <v>0</v>
      </c>
      <c r="L123" s="312">
        <f>SUM(D123:K123)</f>
        <v>1</v>
      </c>
      <c r="M123" s="320" cm="1">
        <f t="array" ref="M123">_xlfn.IFS(L123=0,0,L123&gt;=1,L123/$L$149)</f>
        <v>4.5454545454545456E-2</v>
      </c>
      <c r="N123" s="995" t="s">
        <v>76</v>
      </c>
      <c r="O123" s="996"/>
      <c r="P123" s="997"/>
      <c r="Q123" s="316">
        <f>COUNTIFS(input!$O:$O,April!$Q$105,input!$X:$X,April!N123,input!$A:$A,April!$B$2)</f>
        <v>0</v>
      </c>
      <c r="R123" s="316">
        <f>COUNTIFS(input!$O:$O,April!$R$105,input!$X:$X,April!N123,input!$A:$A,April!$B$2)</f>
        <v>0</v>
      </c>
      <c r="S123" s="316">
        <f>COUNTIFS(input!$O:$O,April!$S$105,input!$X:$X,April!N123,input!$A:$A,April!$B$2)</f>
        <v>0</v>
      </c>
      <c r="T123" s="322">
        <f>COUNTIFS(input!$O:$O,April!$T$105,input!$X:$X,April!N123,input!$A:$A,April!$B$2)</f>
        <v>0</v>
      </c>
      <c r="U123" s="322">
        <f>COUNTIFS(input!$O:$O,April!$U$105,input!$X:$X,April!N123,input!$A:$A,April!$B$2)</f>
        <v>0</v>
      </c>
      <c r="V123" s="323">
        <f>COUNTIFS(input!$O:$O,April!$V$105,input!$X:$X,April!N123,input!$A:$A,April!$B$2)</f>
        <v>0</v>
      </c>
      <c r="W123" s="323">
        <f>COUNTIFS(input!$O:$O,April!$W$105,input!$X:$X,April!N123,input!$A:$A,April!$B$2)</f>
        <v>0</v>
      </c>
      <c r="X123" s="324">
        <f>COUNTIFS(input!$O:$O,April!$X$105,input!$X:$X,April!N123,input!$A:$A,April!$B$2)</f>
        <v>0</v>
      </c>
      <c r="Y123" s="312">
        <f t="shared" ref="Y123:Y148" si="10">SUM(Q123:X123)</f>
        <v>0</v>
      </c>
      <c r="Z123" s="315" cm="1">
        <f t="array" ref="Z123">_xlfn.IFS(Y123=0,0,Y123&gt;=1,Y123/$Y$149)</f>
        <v>0</v>
      </c>
    </row>
    <row r="124" spans="2:26" ht="92" hidden="1" x14ac:dyDescent="0.25">
      <c r="B124" s="1122" t="s">
        <v>498</v>
      </c>
      <c r="C124" s="997"/>
      <c r="D124" s="316">
        <f>COUNTIFS(input!$O:$O,April!$D$105,input!$W:$W,April!B124,input!$A:$A,April!$B$2)</f>
        <v>0</v>
      </c>
      <c r="E124" s="316">
        <f>COUNTIFS(input!$O:$O,April!$E$105,input!$W:$W,April!B124,input!$A:$A,April!$B$2)</f>
        <v>0</v>
      </c>
      <c r="F124" s="316">
        <f>COUNTIFS(input!$O:$O,April!$F$105,input!$W:$W,April!B124,input!$A:$A,April!$B$2)</f>
        <v>0</v>
      </c>
      <c r="G124" s="322">
        <f>COUNTIFS(input!$O:$O,April!$G$105,input!$W:$W,April!B124,input!$A:$A,April!$B$2)</f>
        <v>0</v>
      </c>
      <c r="H124" s="321">
        <f>COUNTIFS(input!$O:$O,April!$H$105,input!$W:$W,April!B124,input!$A:$A,April!$B$2)</f>
        <v>0</v>
      </c>
      <c r="I124" s="321">
        <f>COUNTIFS(input!$O:$O,April!$I$105,input!$W:$W,April!B124,input!$A:$A,April!$B$2)</f>
        <v>0</v>
      </c>
      <c r="J124" s="321">
        <f>COUNTIFS(input!$O:$O,April!$J$105,input!$W:$W,April!B124,input!$A:$A,April!$B$2)</f>
        <v>0</v>
      </c>
      <c r="K124" s="343">
        <f>COUNTIFS(input!$O:$O,April!$K$105,input!$W:$W,April!B124,input!$A:$A,April!$B$2)</f>
        <v>0</v>
      </c>
      <c r="L124" s="312">
        <f t="shared" si="8"/>
        <v>0</v>
      </c>
      <c r="M124" s="320" cm="1">
        <f t="array" ref="M124">_xlfn.IFS(L124=0,0,L124&gt;=1,L124/$L$149)</f>
        <v>0</v>
      </c>
      <c r="N124" s="995" t="s">
        <v>77</v>
      </c>
      <c r="O124" s="996"/>
      <c r="P124" s="997"/>
      <c r="Q124" s="316">
        <f>COUNTIFS(input!$O:$O,April!$Q$105,input!$X:$X,April!N124,input!$A:$A,April!$B$2)</f>
        <v>0</v>
      </c>
      <c r="R124" s="316">
        <f>COUNTIFS(input!$O:$O,April!$R$105,input!$X:$X,April!N124,input!$A:$A,April!$B$2)</f>
        <v>0</v>
      </c>
      <c r="S124" s="316">
        <f>COUNTIFS(input!$O:$O,April!$S$105,input!$X:$X,April!N124,input!$A:$A,April!$B$2)</f>
        <v>0</v>
      </c>
      <c r="T124" s="322">
        <f>COUNTIFS(input!$O:$O,April!$T$105,input!$X:$X,April!N124,input!$A:$A,April!$B$2)</f>
        <v>0</v>
      </c>
      <c r="U124" s="322">
        <f>COUNTIFS(input!$O:$O,April!$U$105,input!$X:$X,April!N124,input!$A:$A,April!$B$2)</f>
        <v>0</v>
      </c>
      <c r="V124" s="323">
        <f>COUNTIFS(input!$O:$O,April!$V$105,input!$X:$X,April!N124,input!$A:$A,April!$B$2)</f>
        <v>0</v>
      </c>
      <c r="W124" s="323">
        <f>COUNTIFS(input!$O:$O,April!$W$105,input!$X:$X,April!N124,input!$A:$A,April!$B$2)</f>
        <v>0</v>
      </c>
      <c r="X124" s="324">
        <f>COUNTIFS(input!$O:$O,April!$X$105,input!$X:$X,April!N124,input!$A:$A,April!$B$2)</f>
        <v>0</v>
      </c>
      <c r="Y124" s="312">
        <f t="shared" si="10"/>
        <v>0</v>
      </c>
      <c r="Z124" s="315" cm="1">
        <f t="array" ref="Z124">_xlfn.IFS(Y124=0,0,Y124&gt;=1,Y124/$Y$149)</f>
        <v>0</v>
      </c>
    </row>
    <row r="125" spans="2:26" ht="92" hidden="1" x14ac:dyDescent="0.25">
      <c r="B125" s="1122" t="s">
        <v>864</v>
      </c>
      <c r="C125" s="997"/>
      <c r="D125" s="316">
        <f>COUNTIFS(input!$O:$O,April!$D$105,input!$W:$W,April!B125,input!$A:$A,April!$B$2)</f>
        <v>0</v>
      </c>
      <c r="E125" s="316">
        <f>COUNTIFS(input!$O:$O,April!$E$105,input!$W:$W,April!B125,input!$A:$A,April!$B$2)</f>
        <v>0</v>
      </c>
      <c r="F125" s="316">
        <f>COUNTIFS(input!$O:$O,April!$F$105,input!$W:$W,April!B125,input!$A:$A,April!$B$2)</f>
        <v>0</v>
      </c>
      <c r="G125" s="322">
        <f>COUNTIFS(input!$O:$O,April!$G$105,input!$W:$W,April!B125,input!$A:$A,April!$B$2)</f>
        <v>0</v>
      </c>
      <c r="H125" s="321">
        <f>COUNTIFS(input!$O:$O,April!$H$105,input!$W:$W,April!B125,input!$A:$A,April!$B$2)</f>
        <v>0</v>
      </c>
      <c r="I125" s="321">
        <f>COUNTIFS(input!$O:$O,April!$I$105,input!$W:$W,April!B125,input!$A:$A,April!$B$2)</f>
        <v>0</v>
      </c>
      <c r="J125" s="321">
        <f>COUNTIFS(input!$O:$O,April!$J$105,input!$W:$W,April!B125,input!$A:$A,April!$B$2)</f>
        <v>0</v>
      </c>
      <c r="K125" s="343">
        <f>COUNTIFS(input!$O:$O,April!$K$105,input!$W:$W,April!B125,input!$A:$A,April!$B$2)</f>
        <v>0</v>
      </c>
      <c r="L125" s="312">
        <f t="shared" si="8"/>
        <v>0</v>
      </c>
      <c r="M125" s="320" cm="1">
        <f t="array" ref="M125">_xlfn.IFS(L125=0,0,L125&gt;=1,L125/$L$149)</f>
        <v>0</v>
      </c>
      <c r="N125" s="995" t="s">
        <v>78</v>
      </c>
      <c r="O125" s="996"/>
      <c r="P125" s="997"/>
      <c r="Q125" s="316">
        <f>COUNTIFS(input!$O:$O,April!$Q$105,input!$X:$X,April!N125,input!$A:$A,April!$B$2)</f>
        <v>0</v>
      </c>
      <c r="R125" s="316">
        <f>COUNTIFS(input!$O:$O,April!$R$105,input!$X:$X,April!N125,input!$A:$A,April!$B$2)</f>
        <v>0</v>
      </c>
      <c r="S125" s="316">
        <f>COUNTIFS(input!$O:$O,April!$S$105,input!$X:$X,April!N125,input!$A:$A,April!$B$2)</f>
        <v>0</v>
      </c>
      <c r="T125" s="322">
        <f>COUNTIFS(input!$O:$O,April!$T$105,input!$X:$X,April!N125,input!$A:$A,April!$B$2)</f>
        <v>0</v>
      </c>
      <c r="U125" s="322">
        <f>COUNTIFS(input!$O:$O,April!$U$105,input!$X:$X,April!N125,input!$A:$A,April!$B$2)</f>
        <v>0</v>
      </c>
      <c r="V125" s="323">
        <f>COUNTIFS(input!$O:$O,April!$V$105,input!$X:$X,April!N125,input!$A:$A,April!$B$2)</f>
        <v>0</v>
      </c>
      <c r="W125" s="323">
        <f>COUNTIFS(input!$O:$O,April!$W$105,input!$X:$X,April!N125,input!$A:$A,April!$B$2)</f>
        <v>0</v>
      </c>
      <c r="X125" s="324">
        <f>COUNTIFS(input!$O:$O,April!$X$105,input!$X:$X,April!N125,input!$A:$A,April!$B$2)</f>
        <v>0</v>
      </c>
      <c r="Y125" s="312">
        <f t="shared" si="10"/>
        <v>0</v>
      </c>
      <c r="Z125" s="315" cm="1">
        <f t="array" ref="Z125">_xlfn.IFS(Y125=0,0,Y125&gt;=1,Y125/$Y$149)</f>
        <v>0</v>
      </c>
    </row>
    <row r="126" spans="2:26" ht="92" hidden="1" x14ac:dyDescent="0.25">
      <c r="B126" s="1122" t="s">
        <v>489</v>
      </c>
      <c r="C126" s="997"/>
      <c r="D126" s="316">
        <f>COUNTIFS(input!$O:$O,April!$D$105,input!$W:$W,April!B126,input!$A:$A,April!$B$2)</f>
        <v>0</v>
      </c>
      <c r="E126" s="316">
        <f>COUNTIFS(input!$O:$O,April!$E$105,input!$W:$W,April!B126,input!$A:$A,April!$B$2)</f>
        <v>0</v>
      </c>
      <c r="F126" s="316">
        <f>COUNTIFS(input!$O:$O,April!$F$105,input!$W:$W,April!B126,input!$A:$A,April!$B$2)</f>
        <v>0</v>
      </c>
      <c r="G126" s="322">
        <f>COUNTIFS(input!$O:$O,April!$G$105,input!$W:$W,April!B126,input!$A:$A,April!$B$2)</f>
        <v>0</v>
      </c>
      <c r="H126" s="321">
        <f>COUNTIFS(input!$O:$O,April!$H$105,input!$W:$W,April!B126,input!$A:$A,April!$B$2)</f>
        <v>0</v>
      </c>
      <c r="I126" s="321">
        <f>COUNTIFS(input!$O:$O,April!$I$105,input!$W:$W,April!B126,input!$A:$A,April!$B$2)</f>
        <v>0</v>
      </c>
      <c r="J126" s="321">
        <f>COUNTIFS(input!$O:$O,April!$J$105,input!$W:$W,April!B126,input!$A:$A,April!$B$2)</f>
        <v>0</v>
      </c>
      <c r="K126" s="343">
        <f>COUNTIFS(input!$O:$O,April!$K$105,input!$W:$W,April!B126,input!$A:$A,April!$B$2)</f>
        <v>0</v>
      </c>
      <c r="L126" s="312">
        <f t="shared" si="8"/>
        <v>0</v>
      </c>
      <c r="M126" s="320" cm="1">
        <f t="array" ref="M126">_xlfn.IFS(L126=0,0,L126&gt;=1,L126/$L$149)</f>
        <v>0</v>
      </c>
      <c r="N126" s="995" t="s">
        <v>764</v>
      </c>
      <c r="O126" s="996"/>
      <c r="P126" s="997"/>
      <c r="Q126" s="316">
        <f>COUNTIFS(input!$O:$O,April!$Q$105,input!$X:$X,April!N126,input!$A:$A,April!$B$2)</f>
        <v>0</v>
      </c>
      <c r="R126" s="316">
        <f>COUNTIFS(input!$O:$O,April!$R$105,input!$X:$X,April!N126,input!$A:$A,April!$B$2)</f>
        <v>0</v>
      </c>
      <c r="S126" s="316">
        <f>COUNTIFS(input!$O:$O,April!$S$105,input!$X:$X,April!N126,input!$A:$A,April!$B$2)</f>
        <v>0</v>
      </c>
      <c r="T126" s="322">
        <f>COUNTIFS(input!$O:$O,April!$T$105,input!$X:$X,April!N126,input!$A:$A,April!$B$2)</f>
        <v>0</v>
      </c>
      <c r="U126" s="322">
        <f>COUNTIFS(input!$O:$O,April!$U$105,input!$X:$X,April!N126,input!$A:$A,April!$B$2)</f>
        <v>0</v>
      </c>
      <c r="V126" s="323">
        <f>COUNTIFS(input!$O:$O,April!$V$105,input!$X:$X,April!N126,input!$A:$A,April!$B$2)</f>
        <v>0</v>
      </c>
      <c r="W126" s="323">
        <f>COUNTIFS(input!$O:$O,April!$W$105,input!$X:$X,April!N126,input!$A:$A,April!$B$2)</f>
        <v>0</v>
      </c>
      <c r="X126" s="324">
        <f>COUNTIFS(input!$O:$O,April!$X$105,input!$X:$X,April!N126,input!$A:$A,April!$B$2)</f>
        <v>0</v>
      </c>
      <c r="Y126" s="312">
        <f t="shared" si="10"/>
        <v>0</v>
      </c>
      <c r="Z126" s="315" cm="1">
        <f t="array" ref="Z126">_xlfn.IFS(Y126=0,0,Y126&gt;=1,Y126/$Y$149)</f>
        <v>0</v>
      </c>
    </row>
    <row r="127" spans="2:26" ht="92" hidden="1" x14ac:dyDescent="0.25">
      <c r="B127" s="1121" t="s">
        <v>466</v>
      </c>
      <c r="C127" s="1066"/>
      <c r="D127" s="316">
        <f>COUNTIFS(input!$O:$O,April!$D$105,input!$W:$W,April!B127,input!$A:$A,April!$B$2)</f>
        <v>0</v>
      </c>
      <c r="E127" s="316">
        <f>COUNTIFS(input!$O:$O,April!$E$105,input!$W:$W,April!B127,input!$A:$A,April!$B$2)</f>
        <v>0</v>
      </c>
      <c r="F127" s="316">
        <f>COUNTIFS(input!$O:$O,April!$F$105,input!$W:$W,April!B127,input!$A:$A,April!$B$2)</f>
        <v>0</v>
      </c>
      <c r="G127" s="322">
        <f>COUNTIFS(input!$O:$O,April!$G$105,input!$W:$W,April!B127,input!$A:$A,April!$B$2)</f>
        <v>0</v>
      </c>
      <c r="H127" s="321">
        <f>COUNTIFS(input!$O:$O,April!$H$105,input!$W:$W,April!B127,input!$A:$A,April!$B$2)</f>
        <v>0</v>
      </c>
      <c r="I127" s="321">
        <f>COUNTIFS(input!$O:$O,April!$I$105,input!$W:$W,April!B127,input!$A:$A,April!$B$2)</f>
        <v>0</v>
      </c>
      <c r="J127" s="321">
        <f>COUNTIFS(input!$O:$O,April!$J$105,input!$W:$W,April!B127,input!$A:$A,April!$B$2)</f>
        <v>0</v>
      </c>
      <c r="K127" s="343">
        <f>COUNTIFS(input!$O:$O,April!$K$105,input!$W:$W,April!B127,input!$A:$A,April!$B$2)</f>
        <v>0</v>
      </c>
      <c r="L127" s="312">
        <f t="shared" si="8"/>
        <v>0</v>
      </c>
      <c r="M127" s="320" cm="1">
        <f t="array" ref="M127">_xlfn.IFS(L127=0,0,L127&gt;=1,L127/$L$149)</f>
        <v>0</v>
      </c>
      <c r="N127" s="995" t="s">
        <v>390</v>
      </c>
      <c r="O127" s="996"/>
      <c r="P127" s="997"/>
      <c r="Q127" s="316">
        <f>COUNTIFS(input!$O:$O,April!$Q$105,input!$X:$X,April!N127,input!$A:$A,April!$B$2)</f>
        <v>0</v>
      </c>
      <c r="R127" s="316">
        <f>COUNTIFS(input!$O:$O,April!$R$105,input!$X:$X,April!N127,input!$A:$A,April!$B$2)</f>
        <v>0</v>
      </c>
      <c r="S127" s="316">
        <f>COUNTIFS(input!$O:$O,April!$S$105,input!$X:$X,April!N127,input!$A:$A,April!$B$2)</f>
        <v>0</v>
      </c>
      <c r="T127" s="322">
        <f>COUNTIFS(input!$O:$O,April!$T$105,input!$X:$X,April!N127,input!$A:$A,April!$B$2)</f>
        <v>0</v>
      </c>
      <c r="U127" s="322">
        <f>COUNTIFS(input!$O:$O,April!$U$105,input!$X:$X,April!N127,input!$A:$A,April!$B$2)</f>
        <v>0</v>
      </c>
      <c r="V127" s="323">
        <f>COUNTIFS(input!$O:$O,April!$V$105,input!$X:$X,April!N127,input!$A:$A,April!$B$2)</f>
        <v>0</v>
      </c>
      <c r="W127" s="323">
        <f>COUNTIFS(input!$O:$O,April!$W$105,input!$X:$X,April!N127,input!$A:$A,April!$B$2)</f>
        <v>0</v>
      </c>
      <c r="X127" s="324">
        <f>COUNTIFS(input!$O:$O,April!$X$105,input!$X:$X,April!N127,input!$A:$A,April!$B$2)</f>
        <v>0</v>
      </c>
      <c r="Y127" s="312">
        <f t="shared" si="10"/>
        <v>0</v>
      </c>
      <c r="Z127" s="315" cm="1">
        <f t="array" ref="Z127">_xlfn.IFS(Y127=0,0,Y127&gt;=1,Y127/$Y$149)</f>
        <v>0</v>
      </c>
    </row>
    <row r="128" spans="2:26" ht="92" hidden="1" x14ac:dyDescent="0.25">
      <c r="B128" s="1121" t="s">
        <v>458</v>
      </c>
      <c r="C128" s="1066"/>
      <c r="D128" s="316">
        <f>COUNTIFS(input!$O:$O,April!$D$105,input!$W:$W,April!B128,input!$A:$A,April!$B$2)</f>
        <v>0</v>
      </c>
      <c r="E128" s="316">
        <f>COUNTIFS(input!$O:$O,April!$E$105,input!$W:$W,April!B128,input!$A:$A,April!$B$2)</f>
        <v>0</v>
      </c>
      <c r="F128" s="316">
        <f>COUNTIFS(input!$O:$O,April!$F$105,input!$W:$W,April!B128,input!$A:$A,April!$B$2)</f>
        <v>0</v>
      </c>
      <c r="G128" s="322">
        <f>COUNTIFS(input!$O:$O,April!$G$105,input!$W:$W,April!B128,input!$A:$A,April!$B$2)</f>
        <v>0</v>
      </c>
      <c r="H128" s="321">
        <f>COUNTIFS(input!$O:$O,April!$H$105,input!$W:$W,April!B128,input!$A:$A,April!$B$2)</f>
        <v>0</v>
      </c>
      <c r="I128" s="321">
        <f>COUNTIFS(input!$O:$O,April!$I$105,input!$W:$W,April!B128,input!$A:$A,April!$B$2)</f>
        <v>0</v>
      </c>
      <c r="J128" s="321">
        <f>COUNTIFS(input!$O:$O,April!$J$105,input!$W:$W,April!B128,input!$A:$A,April!$B$2)</f>
        <v>0</v>
      </c>
      <c r="K128" s="343">
        <f>COUNTIFS(input!$O:$O,April!$K$105,input!$W:$W,April!B128,input!$A:$A,April!$B$2)</f>
        <v>0</v>
      </c>
      <c r="L128" s="312">
        <f t="shared" si="8"/>
        <v>0</v>
      </c>
      <c r="M128" s="320" cm="1">
        <f t="array" ref="M128">_xlfn.IFS(L128=0,0,L128&gt;=1,L128/$L$149)</f>
        <v>0</v>
      </c>
      <c r="N128" s="995" t="s">
        <v>177</v>
      </c>
      <c r="O128" s="996"/>
      <c r="P128" s="997"/>
      <c r="Q128" s="316">
        <f>COUNTIFS(input!$O:$O,April!$Q$105,input!$X:$X,April!N128,input!$A:$A,April!$B$2)</f>
        <v>0</v>
      </c>
      <c r="R128" s="316">
        <f>COUNTIFS(input!$O:$O,April!$R$105,input!$X:$X,April!N128,input!$A:$A,April!$B$2)</f>
        <v>0</v>
      </c>
      <c r="S128" s="316">
        <f>COUNTIFS(input!$O:$O,April!$S$105,input!$X:$X,April!N128,input!$A:$A,April!$B$2)</f>
        <v>0</v>
      </c>
      <c r="T128" s="322">
        <f>COUNTIFS(input!$O:$O,April!$T$105,input!$X:$X,April!N128,input!$A:$A,April!$B$2)</f>
        <v>0</v>
      </c>
      <c r="U128" s="322">
        <f>COUNTIFS(input!$O:$O,April!$U$105,input!$X:$X,April!N128,input!$A:$A,April!$B$2)</f>
        <v>0</v>
      </c>
      <c r="V128" s="323">
        <f>COUNTIFS(input!$O:$O,April!$V$105,input!$X:$X,April!N128,input!$A:$A,April!$B$2)</f>
        <v>0</v>
      </c>
      <c r="W128" s="323">
        <f>COUNTIFS(input!$O:$O,April!$W$105,input!$X:$X,April!N128,input!$A:$A,April!$B$2)</f>
        <v>0</v>
      </c>
      <c r="X128" s="324">
        <f>COUNTIFS(input!$O:$O,April!$X$105,input!$X:$X,April!N128,input!$A:$A,April!$B$2)</f>
        <v>0</v>
      </c>
      <c r="Y128" s="312">
        <f t="shared" si="10"/>
        <v>0</v>
      </c>
      <c r="Z128" s="315" cm="1">
        <f t="array" ref="Z128">_xlfn.IFS(Y128=0,0,Y128&gt;=1,Y128/$Y$149)</f>
        <v>0</v>
      </c>
    </row>
    <row r="129" spans="2:26" ht="92" hidden="1" x14ac:dyDescent="0.25">
      <c r="B129" s="1121" t="s">
        <v>647</v>
      </c>
      <c r="C129" s="1066"/>
      <c r="D129" s="316">
        <f>COUNTIFS(input!$O:$O,April!$D$105,input!$W:$W,April!B129,input!$A:$A,April!$B$2)</f>
        <v>0</v>
      </c>
      <c r="E129" s="316">
        <f>COUNTIFS(input!$O:$O,April!$E$105,input!$W:$W,April!B129,input!$A:$A,April!$B$2)</f>
        <v>0</v>
      </c>
      <c r="F129" s="316">
        <f>COUNTIFS(input!$O:$O,April!$F$105,input!$W:$W,April!B129,input!$A:$A,April!$B$2)</f>
        <v>0</v>
      </c>
      <c r="G129" s="322">
        <f>COUNTIFS(input!$O:$O,April!$G$105,input!$W:$W,April!B129,input!$A:$A,April!$B$2)</f>
        <v>0</v>
      </c>
      <c r="H129" s="321">
        <f>COUNTIFS(input!$O:$O,April!$H$105,input!$W:$W,April!B129,input!$A:$A,April!$B$2)</f>
        <v>0</v>
      </c>
      <c r="I129" s="321">
        <f>COUNTIFS(input!$O:$O,April!$I$105,input!$W:$W,April!B129,input!$A:$A,April!$B$2)</f>
        <v>0</v>
      </c>
      <c r="J129" s="321">
        <f>COUNTIFS(input!$O:$O,April!$J$105,input!$W:$W,April!B129,input!$A:$A,April!$B$2)</f>
        <v>0</v>
      </c>
      <c r="K129" s="343">
        <f>COUNTIFS(input!$O:$O,April!$K$105,input!$W:$W,April!B129,input!$A:$A,April!$B$2)</f>
        <v>0</v>
      </c>
      <c r="L129" s="312">
        <f t="shared" si="8"/>
        <v>0</v>
      </c>
      <c r="M129" s="320" cm="1">
        <f t="array" ref="M129">_xlfn.IFS(L129=0,0,L129&gt;=1,L129/$L$149)</f>
        <v>0</v>
      </c>
      <c r="N129" s="995" t="s">
        <v>479</v>
      </c>
      <c r="O129" s="996"/>
      <c r="P129" s="1123"/>
      <c r="Q129" s="316">
        <f>COUNTIFS(input!$O:$O,April!$Q$105,input!$X:$X,April!N129,input!$A:$A,April!$B$2)</f>
        <v>0</v>
      </c>
      <c r="R129" s="316">
        <f>COUNTIFS(input!$O:$O,April!$R$105,input!$X:$X,April!N129,input!$A:$A,April!$B$2)</f>
        <v>0</v>
      </c>
      <c r="S129" s="316">
        <f>COUNTIFS(input!$O:$O,April!$S$105,input!$X:$X,April!N129,input!$A:$A,April!$B$2)</f>
        <v>0</v>
      </c>
      <c r="T129" s="322">
        <f>COUNTIFS(input!$O:$O,April!$T$105,input!$X:$X,April!N129,input!$A:$A,April!$B$2)</f>
        <v>0</v>
      </c>
      <c r="U129" s="322">
        <f>COUNTIFS(input!$O:$O,April!$U$105,input!$X:$X,April!N129,input!$A:$A,April!$B$2)</f>
        <v>0</v>
      </c>
      <c r="V129" s="323">
        <f>COUNTIFS(input!$O:$O,April!$V$105,input!$X:$X,April!N129,input!$A:$A,April!$B$2)</f>
        <v>0</v>
      </c>
      <c r="W129" s="323">
        <f>COUNTIFS(input!$O:$O,April!$W$105,input!$X:$X,April!N129,input!$A:$A,April!$B$2)</f>
        <v>0</v>
      </c>
      <c r="X129" s="324">
        <f>COUNTIFS(input!$O:$O,April!$X$105,input!$X:$X,April!N129,input!$A:$A,April!$B$2)</f>
        <v>0</v>
      </c>
      <c r="Y129" s="312">
        <f t="shared" si="10"/>
        <v>0</v>
      </c>
      <c r="Z129" s="315" cm="1">
        <f t="array" ref="Z129">_xlfn.IFS(Y129=0,0,Y129&gt;=1,Y129/$Y$149)</f>
        <v>0</v>
      </c>
    </row>
    <row r="130" spans="2:26" ht="92" x14ac:dyDescent="0.25">
      <c r="B130" s="998" t="s">
        <v>826</v>
      </c>
      <c r="C130" s="994"/>
      <c r="D130" s="316">
        <f>COUNTIFS(input!$O:$O,April!$D$105,input!$W:$W,April!B130,input!$A:$A,April!$B$2)</f>
        <v>0</v>
      </c>
      <c r="E130" s="316">
        <f>COUNTIFS(input!$O:$O,April!$E$105,input!$W:$W,April!B130,input!$A:$A,April!$B$2)</f>
        <v>0</v>
      </c>
      <c r="F130" s="316">
        <f>COUNTIFS(input!$O:$O,April!$F$105,input!$W:$W,April!B130,input!$A:$A,April!$B$2)</f>
        <v>0</v>
      </c>
      <c r="G130" s="322">
        <f>COUNTIFS(input!$O:$O,April!$G$105,input!$W:$W,April!B130,input!$A:$A,April!$B$2)</f>
        <v>0</v>
      </c>
      <c r="H130" s="321">
        <f>COUNTIFS(input!$O:$O,April!$H$105,input!$W:$W,April!B130,input!$A:$A,April!$B$2)</f>
        <v>0</v>
      </c>
      <c r="I130" s="321">
        <f>COUNTIFS(input!$O:$O,April!$I$105,input!$W:$W,April!B130,input!$A:$A,April!$B$2)</f>
        <v>1</v>
      </c>
      <c r="J130" s="321">
        <f>COUNTIFS(input!$O:$O,April!$J$105,input!$W:$W,April!B130,input!$A:$A,April!$B$2)</f>
        <v>0</v>
      </c>
      <c r="K130" s="343">
        <f>COUNTIFS(input!$O:$O,April!$K$105,input!$W:$W,April!B130,input!$A:$A,April!$B$2)</f>
        <v>0</v>
      </c>
      <c r="L130" s="312">
        <f t="shared" si="8"/>
        <v>1</v>
      </c>
      <c r="M130" s="320" cm="1">
        <f t="array" ref="M130">_xlfn.IFS(L130=0,0,L130&gt;=1,L130/$L$149)</f>
        <v>4.5454545454545456E-2</v>
      </c>
      <c r="N130" s="995" t="s">
        <v>425</v>
      </c>
      <c r="O130" s="996"/>
      <c r="P130" s="1123"/>
      <c r="Q130" s="316">
        <f>COUNTIFS(input!$O:$O,April!$Q$105,input!$X:$X,April!N130,input!$A:$A,April!$B$2)</f>
        <v>0</v>
      </c>
      <c r="R130" s="316">
        <f>COUNTIFS(input!$O:$O,April!$R$105,input!$X:$X,April!N130,input!$A:$A,April!$B$2)</f>
        <v>0</v>
      </c>
      <c r="S130" s="316">
        <f>COUNTIFS(input!$O:$O,April!$S$105,input!$X:$X,April!N130,input!$A:$A,April!$B$2)</f>
        <v>0</v>
      </c>
      <c r="T130" s="322">
        <f>COUNTIFS(input!$O:$O,April!$T$105,input!$X:$X,April!N130,input!$A:$A,April!$B$2)</f>
        <v>0</v>
      </c>
      <c r="U130" s="322">
        <f>COUNTIFS(input!$O:$O,April!$U$105,input!$X:$X,April!N130,input!$A:$A,April!$B$2)</f>
        <v>0</v>
      </c>
      <c r="V130" s="323">
        <f>COUNTIFS(input!$O:$O,April!$V$105,input!$X:$X,April!N130,input!$A:$A,April!$B$2)</f>
        <v>0</v>
      </c>
      <c r="W130" s="323">
        <f>COUNTIFS(input!$O:$O,April!$W$105,input!$X:$X,April!N130,input!$A:$A,April!$B$2)</f>
        <v>0</v>
      </c>
      <c r="X130" s="324">
        <f>COUNTIFS(input!$O:$O,April!$X$105,input!$X:$X,April!N130,input!$A:$A,April!$B$2)</f>
        <v>0</v>
      </c>
      <c r="Y130" s="312">
        <f t="shared" si="10"/>
        <v>0</v>
      </c>
      <c r="Z130" s="315" cm="1">
        <f t="array" ref="Z130">_xlfn.IFS(Y130=0,0,Y130&gt;=1,Y130/$Y$149)</f>
        <v>0</v>
      </c>
    </row>
    <row r="131" spans="2:26" ht="92" x14ac:dyDescent="0.25">
      <c r="B131" s="998" t="s">
        <v>1537</v>
      </c>
      <c r="C131" s="994"/>
      <c r="D131" s="316">
        <f>COUNTIFS(input!$O:$O,April!$D$105,input!$W:$W,April!B131,input!$A:$A,April!$B$2)</f>
        <v>0</v>
      </c>
      <c r="E131" s="316">
        <f>COUNTIFS(input!$O:$O,April!$E$105,input!$W:$W,April!B131,input!$A:$A,April!$B$2)</f>
        <v>0</v>
      </c>
      <c r="F131" s="316">
        <f>COUNTIFS(input!$O:$O,April!$F$105,input!$W:$W,April!B131,input!$A:$A,April!$B$2)</f>
        <v>0</v>
      </c>
      <c r="G131" s="322">
        <f>COUNTIFS(input!$O:$O,April!$G$105,input!$W:$W,April!B131,input!$A:$A,April!$B$2)</f>
        <v>0</v>
      </c>
      <c r="H131" s="321">
        <f>COUNTIFS(input!$O:$O,April!$H$105,input!$W:$W,April!B131,input!$A:$A,April!$B$2)</f>
        <v>0</v>
      </c>
      <c r="I131" s="321">
        <f>COUNTIFS(input!$O:$O,April!$I$105,input!$W:$W,April!B131,input!$A:$A,April!$B$2)</f>
        <v>1</v>
      </c>
      <c r="J131" s="321">
        <f>COUNTIFS(input!$O:$O,April!$J$105,input!$W:$W,April!B131,input!$A:$A,April!$B$2)</f>
        <v>0</v>
      </c>
      <c r="K131" s="343">
        <f>COUNTIFS(input!$O:$O,April!$K$105,input!$W:$W,April!B131,input!$A:$A,April!$B$2)</f>
        <v>0</v>
      </c>
      <c r="L131" s="312">
        <f>SUM(D131:K131)</f>
        <v>1</v>
      </c>
      <c r="M131" s="320" cm="1">
        <f t="array" ref="M131">_xlfn.IFS(L131=0,0,L131&gt;=1,L131/$L$149)</f>
        <v>4.5454545454545456E-2</v>
      </c>
      <c r="N131" s="992" t="s">
        <v>188</v>
      </c>
      <c r="O131" s="993"/>
      <c r="P131" s="994"/>
      <c r="Q131" s="316">
        <f>COUNTIFS(input!$O:$O,April!$Q$105,input!$X:$X,April!N131,input!$A:$A,April!$B$2)</f>
        <v>0</v>
      </c>
      <c r="R131" s="316">
        <f>COUNTIFS(input!$O:$O,April!$R$105,input!$X:$X,April!N131,input!$A:$A,April!$B$2)</f>
        <v>0</v>
      </c>
      <c r="S131" s="316">
        <f>COUNTIFS(input!$O:$O,April!$S$105,input!$X:$X,April!N131,input!$A:$A,April!$B$2)</f>
        <v>0</v>
      </c>
      <c r="T131" s="322">
        <f>COUNTIFS(input!$O:$O,April!$T$105,input!$X:$X,April!N131,input!$A:$A,April!$B$2)</f>
        <v>1</v>
      </c>
      <c r="U131" s="322">
        <f>COUNTIFS(input!$O:$O,April!$U$105,input!$X:$X,April!N131,input!$A:$A,April!$B$2)</f>
        <v>0</v>
      </c>
      <c r="V131" s="323">
        <f>COUNTIFS(input!$O:$O,April!$V$105,input!$X:$X,April!N131,input!$A:$A,April!$B$2)</f>
        <v>0</v>
      </c>
      <c r="W131" s="323">
        <f>COUNTIFS(input!$O:$O,April!$W$105,input!$X:$X,April!N131,input!$A:$A,April!$B$2)</f>
        <v>0</v>
      </c>
      <c r="X131" s="324">
        <f>COUNTIFS(input!$O:$O,April!$X$105,input!$X:$X,April!N131,input!$A:$A,April!$B$2)</f>
        <v>0</v>
      </c>
      <c r="Y131" s="312">
        <f t="shared" si="10"/>
        <v>1</v>
      </c>
      <c r="Z131" s="315" cm="1">
        <f t="array" ref="Z131">_xlfn.IFS(Y131=0,0,Y131&gt;=1,Y131/$Y$149)</f>
        <v>4.5454545454545456E-2</v>
      </c>
    </row>
    <row r="132" spans="2:26" ht="92" hidden="1" x14ac:dyDescent="0.25">
      <c r="B132" s="1121" t="s">
        <v>603</v>
      </c>
      <c r="C132" s="1066"/>
      <c r="D132" s="316">
        <f>COUNTIFS(input!$O:$O,April!$D$105,input!$W:$W,April!B132,input!$A:$A,April!$B$2)</f>
        <v>0</v>
      </c>
      <c r="E132" s="316">
        <f>COUNTIFS(input!$O:$O,April!$E$105,input!$W:$W,April!B132,input!$A:$A,April!$B$2)</f>
        <v>0</v>
      </c>
      <c r="F132" s="316">
        <f>COUNTIFS(input!$O:$O,April!$F$105,input!$W:$W,April!B132,input!$A:$A,April!$B$2)</f>
        <v>0</v>
      </c>
      <c r="G132" s="322">
        <f>COUNTIFS(input!$O:$O,April!$G$105,input!$W:$W,April!B132,input!$A:$A,April!$B$2)</f>
        <v>0</v>
      </c>
      <c r="H132" s="321">
        <f>COUNTIFS(input!$O:$O,April!$H$105,input!$W:$W,April!B132,input!$A:$A,April!$B$2)</f>
        <v>0</v>
      </c>
      <c r="I132" s="321">
        <f>COUNTIFS(input!$O:$O,April!$I$105,input!$W:$W,April!B132,input!$A:$A,April!$B$2)</f>
        <v>0</v>
      </c>
      <c r="J132" s="321">
        <f>COUNTIFS(input!$O:$O,April!$J$105,input!$W:$W,April!B132,input!$A:$A,April!$B$2)</f>
        <v>0</v>
      </c>
      <c r="K132" s="343">
        <f>COUNTIFS(input!$O:$O,April!$K$105,input!$W:$W,April!B132,input!$A:$A,April!$B$2)</f>
        <v>0</v>
      </c>
      <c r="L132" s="312">
        <f t="shared" si="8"/>
        <v>0</v>
      </c>
      <c r="M132" s="320" cm="1">
        <f t="array" ref="M132">_xlfn.IFS(L132=0,0,L132&gt;=1,L132/$L$149)</f>
        <v>0</v>
      </c>
      <c r="N132" s="995" t="s">
        <v>481</v>
      </c>
      <c r="O132" s="996"/>
      <c r="P132" s="997"/>
      <c r="Q132" s="316">
        <f>COUNTIFS(input!$O:$O,April!$Q$105,input!$X:$X,April!N132,input!$A:$A,April!$B$2)</f>
        <v>0</v>
      </c>
      <c r="R132" s="316">
        <f>COUNTIFS(input!$O:$O,April!$R$105,input!$X:$X,April!N132,input!$A:$A,April!$B$2)</f>
        <v>0</v>
      </c>
      <c r="S132" s="316">
        <f>COUNTIFS(input!$O:$O,April!$S$105,input!$X:$X,April!N132,input!$A:$A,April!$B$2)</f>
        <v>0</v>
      </c>
      <c r="T132" s="322">
        <f>COUNTIFS(input!$O:$O,April!$T$105,input!$X:$X,April!N132,input!$A:$A,April!$B$2)</f>
        <v>0</v>
      </c>
      <c r="U132" s="322">
        <f>COUNTIFS(input!$O:$O,April!$U$105,input!$X:$X,April!N132,input!$A:$A,April!$B$2)</f>
        <v>0</v>
      </c>
      <c r="V132" s="323">
        <f>COUNTIFS(input!$O:$O,April!$V$105,input!$X:$X,April!N132,input!$A:$A,April!$B$2)</f>
        <v>0</v>
      </c>
      <c r="W132" s="323">
        <f>COUNTIFS(input!$O:$O,April!$W$105,input!$X:$X,April!N132,input!$A:$A,April!$B$2)</f>
        <v>0</v>
      </c>
      <c r="X132" s="324">
        <f>COUNTIFS(input!$O:$O,April!$X$105,input!$X:$X,April!N132,input!$A:$A,April!$B$2)</f>
        <v>0</v>
      </c>
      <c r="Y132" s="312">
        <f t="shared" si="10"/>
        <v>0</v>
      </c>
      <c r="Z132" s="315" cm="1">
        <f t="array" ref="Z132">_xlfn.IFS(Y132=0,0,Y132&gt;=1,Y132/$Y$149)</f>
        <v>0</v>
      </c>
    </row>
    <row r="133" spans="2:26" ht="92" hidden="1" x14ac:dyDescent="0.25">
      <c r="B133" s="1122" t="s">
        <v>828</v>
      </c>
      <c r="C133" s="997"/>
      <c r="D133" s="316">
        <f>COUNTIFS(input!$O:$O,April!$D$105,input!$W:$W,April!B133,input!$A:$A,April!$B$2)</f>
        <v>0</v>
      </c>
      <c r="E133" s="316">
        <f>COUNTIFS(input!$O:$O,April!$E$105,input!$W:$W,April!B133,input!$A:$A,April!$B$2)</f>
        <v>0</v>
      </c>
      <c r="F133" s="316">
        <f>COUNTIFS(input!$O:$O,April!$F$105,input!$W:$W,April!B133,input!$A:$A,April!$B$2)</f>
        <v>0</v>
      </c>
      <c r="G133" s="322">
        <f>COUNTIFS(input!$O:$O,April!$G$105,input!$W:$W,April!B133,input!$A:$A,April!$B$2)</f>
        <v>0</v>
      </c>
      <c r="H133" s="321">
        <f>COUNTIFS(input!$O:$O,April!$H$105,input!$W:$W,April!B133,input!$A:$A,April!$B$2)</f>
        <v>0</v>
      </c>
      <c r="I133" s="321">
        <f>COUNTIFS(input!$O:$O,April!$I$105,input!$W:$W,April!B133,input!$A:$A,April!$B$2)</f>
        <v>0</v>
      </c>
      <c r="J133" s="321">
        <f>COUNTIFS(input!$O:$O,April!$J$105,input!$W:$W,April!B133,input!$A:$A,April!$B$2)</f>
        <v>0</v>
      </c>
      <c r="K133" s="343">
        <f>COUNTIFS(input!$O:$O,April!$K$105,input!$W:$W,April!B133,input!$A:$A,April!$B$2)</f>
        <v>0</v>
      </c>
      <c r="L133" s="312">
        <f t="shared" si="8"/>
        <v>0</v>
      </c>
      <c r="M133" s="320" cm="1">
        <f t="array" ref="M133">_xlfn.IFS(L133=0,0,L133&gt;=1,L133/$L$149)</f>
        <v>0</v>
      </c>
      <c r="N133" s="995" t="s">
        <v>467</v>
      </c>
      <c r="O133" s="996"/>
      <c r="P133" s="997"/>
      <c r="Q133" s="316">
        <f>COUNTIFS(input!$O:$O,April!$Q$105,input!$X:$X,April!N133,input!$A:$A,April!$B$2)</f>
        <v>0</v>
      </c>
      <c r="R133" s="316">
        <f>COUNTIFS(input!$O:$O,April!$R$105,input!$X:$X,April!N133,input!$A:$A,April!$B$2)</f>
        <v>0</v>
      </c>
      <c r="S133" s="316">
        <f>COUNTIFS(input!$O:$O,April!$S$105,input!$X:$X,April!N133,input!$A:$A,April!$B$2)</f>
        <v>0</v>
      </c>
      <c r="T133" s="322">
        <f>COUNTIFS(input!$O:$O,April!$T$105,input!$X:$X,April!N133,input!$A:$A,April!$B$2)</f>
        <v>0</v>
      </c>
      <c r="U133" s="322">
        <f>COUNTIFS(input!$O:$O,April!$U$105,input!$X:$X,April!N133,input!$A:$A,April!$B$2)</f>
        <v>0</v>
      </c>
      <c r="V133" s="323">
        <f>COUNTIFS(input!$O:$O,April!$V$105,input!$X:$X,April!N133,input!$A:$A,April!$B$2)</f>
        <v>0</v>
      </c>
      <c r="W133" s="323">
        <f>COUNTIFS(input!$O:$O,April!$W$105,input!$X:$X,April!N133,input!$A:$A,April!$B$2)</f>
        <v>0</v>
      </c>
      <c r="X133" s="324">
        <f>COUNTIFS(input!$O:$O,April!$X$105,input!$X:$X,April!N133,input!$A:$A,April!$B$2)</f>
        <v>0</v>
      </c>
      <c r="Y133" s="312">
        <f t="shared" si="10"/>
        <v>0</v>
      </c>
      <c r="Z133" s="315" cm="1">
        <f t="array" ref="Z133">_xlfn.IFS(Y133=0,0,Y133&gt;=1,Y133/$Y$149)</f>
        <v>0</v>
      </c>
    </row>
    <row r="134" spans="2:26" ht="92" x14ac:dyDescent="0.25">
      <c r="B134" s="998" t="s">
        <v>1543</v>
      </c>
      <c r="C134" s="994"/>
      <c r="D134" s="316">
        <f>COUNTIFS(input!$O:$O,April!$D$105,input!$W:$W,April!B134,input!$A:$A,April!$B$2)</f>
        <v>0</v>
      </c>
      <c r="E134" s="316">
        <f>COUNTIFS(input!$O:$O,April!$E$105,input!$W:$W,April!B134,input!$A:$A,April!$B$2)</f>
        <v>0</v>
      </c>
      <c r="F134" s="316">
        <f>COUNTIFS(input!$O:$O,April!$F$105,input!$W:$W,April!B134,input!$A:$A,April!$B$2)</f>
        <v>0</v>
      </c>
      <c r="G134" s="322">
        <f>COUNTIFS(input!$O:$O,April!$G$105,input!$W:$W,April!B134,input!$A:$A,April!$B$2)</f>
        <v>1</v>
      </c>
      <c r="H134" s="321">
        <f>COUNTIFS(input!$O:$O,April!$H$105,input!$W:$W,April!B134,input!$A:$A,April!$B$2)</f>
        <v>0</v>
      </c>
      <c r="I134" s="321">
        <f>COUNTIFS(input!$O:$O,April!$I$105,input!$W:$W,April!B134,input!$A:$A,April!$B$2)</f>
        <v>0</v>
      </c>
      <c r="J134" s="321">
        <f>COUNTIFS(input!$O:$O,April!$J$105,input!$W:$W,April!B134,input!$A:$A,April!$B$2)</f>
        <v>0</v>
      </c>
      <c r="K134" s="343">
        <f>COUNTIFS(input!$O:$O,April!$K$105,input!$W:$W,April!B134,input!$A:$A,April!$B$2)</f>
        <v>0</v>
      </c>
      <c r="L134" s="312">
        <f>SUM(D134:K134)</f>
        <v>1</v>
      </c>
      <c r="M134" s="320" cm="1">
        <f t="array" ref="M134">_xlfn.IFS(L134=0,0,L134&gt;=1,L134/$L$149)</f>
        <v>4.5454545454545456E-2</v>
      </c>
      <c r="N134" s="382"/>
      <c r="O134" s="383"/>
      <c r="P134" s="384"/>
      <c r="Q134" s="316">
        <f>COUNTIFS(input!$O:$O,April!$Q$105,input!$X:$X,April!N134,input!$A:$A,April!$B$2)</f>
        <v>0</v>
      </c>
      <c r="R134" s="316">
        <f>COUNTIFS(input!$O:$O,April!$R$105,input!$X:$X,April!N134,input!$A:$A,April!$B$2)</f>
        <v>0</v>
      </c>
      <c r="S134" s="316">
        <f>COUNTIFS(input!$O:$O,April!$S$105,input!$X:$X,April!N134,input!$A:$A,April!$B$2)</f>
        <v>0</v>
      </c>
      <c r="T134" s="322">
        <f>COUNTIFS(input!$O:$O,April!$T$105,input!$X:$X,April!N134,input!$A:$A,April!$B$2)</f>
        <v>0</v>
      </c>
      <c r="U134" s="322">
        <f>COUNTIFS(input!$O:$O,April!$U$105,input!$X:$X,April!N134,input!$A:$A,April!$B$2)</f>
        <v>0</v>
      </c>
      <c r="V134" s="323">
        <f>COUNTIFS(input!$O:$O,April!$V$105,input!$X:$X,April!N134,input!$A:$A,April!$B$2)</f>
        <v>0</v>
      </c>
      <c r="W134" s="323">
        <f>COUNTIFS(input!$O:$O,April!$W$105,input!$X:$X,April!N134,input!$A:$A,April!$B$2)</f>
        <v>0</v>
      </c>
      <c r="X134" s="324">
        <f>COUNTIFS(input!$O:$O,April!$X$105,input!$X:$X,April!N134,input!$A:$A,April!$B$2)</f>
        <v>0</v>
      </c>
      <c r="Y134" s="312">
        <f t="shared" si="10"/>
        <v>0</v>
      </c>
      <c r="Z134" s="315" cm="1">
        <f t="array" ref="Z134">_xlfn.IFS(Y134=0,0,Y134&gt;=1,Y134/$Y$149)</f>
        <v>0</v>
      </c>
    </row>
    <row r="135" spans="2:26" ht="92" x14ac:dyDescent="0.25">
      <c r="B135" s="998" t="s">
        <v>1540</v>
      </c>
      <c r="C135" s="994"/>
      <c r="D135" s="316">
        <f>COUNTIFS(input!$O:$O,April!$D$105,input!$W:$W,April!B135,input!$A:$A,April!$B$2)</f>
        <v>0</v>
      </c>
      <c r="E135" s="316">
        <f>COUNTIFS(input!$O:$O,April!$E$105,input!$W:$W,April!B135,input!$A:$A,April!$B$2)</f>
        <v>0</v>
      </c>
      <c r="F135" s="316">
        <f>COUNTIFS(input!$O:$O,April!$F$105,input!$W:$W,April!B135,input!$A:$A,April!$B$2)</f>
        <v>0</v>
      </c>
      <c r="G135" s="322">
        <f>COUNTIFS(input!$O:$O,April!$G$105,input!$W:$W,April!B135,input!$A:$A,April!$B$2)</f>
        <v>1</v>
      </c>
      <c r="H135" s="321">
        <f>COUNTIFS(input!$O:$O,April!$H$105,input!$W:$W,April!B135,input!$A:$A,April!$B$2)</f>
        <v>0</v>
      </c>
      <c r="I135" s="321">
        <f>COUNTIFS(input!$O:$O,April!$I$105,input!$W:$W,April!B135,input!$A:$A,April!$B$2)</f>
        <v>0</v>
      </c>
      <c r="J135" s="321">
        <f>COUNTIFS(input!$O:$O,April!$J$105,input!$W:$W,April!B135,input!$A:$A,April!$B$2)</f>
        <v>0</v>
      </c>
      <c r="K135" s="343">
        <f>COUNTIFS(input!$O:$O,April!$K$105,input!$W:$W,April!B135,input!$A:$A,April!$B$2)</f>
        <v>0</v>
      </c>
      <c r="L135" s="312">
        <f>SUM(D135:K135)</f>
        <v>1</v>
      </c>
      <c r="M135" s="320" cm="1">
        <f t="array" ref="M135">_xlfn.IFS(L135=0,0,L135&gt;=1,L135/$L$149)</f>
        <v>4.5454545454545456E-2</v>
      </c>
      <c r="N135" s="382"/>
      <c r="O135" s="383"/>
      <c r="P135" s="384"/>
      <c r="Q135" s="316">
        <f>COUNTIFS(input!$O:$O,April!$Q$105,input!$X:$X,April!N135,input!$A:$A,April!$B$2)</f>
        <v>0</v>
      </c>
      <c r="R135" s="316">
        <f>COUNTIFS(input!$O:$O,April!$R$105,input!$X:$X,April!N135,input!$A:$A,April!$B$2)</f>
        <v>0</v>
      </c>
      <c r="S135" s="316">
        <f>COUNTIFS(input!$O:$O,April!$S$105,input!$X:$X,April!N135,input!$A:$A,April!$B$2)</f>
        <v>0</v>
      </c>
      <c r="T135" s="322">
        <f>COUNTIFS(input!$O:$O,April!$T$105,input!$X:$X,April!N135,input!$A:$A,April!$B$2)</f>
        <v>0</v>
      </c>
      <c r="U135" s="322">
        <f>COUNTIFS(input!$O:$O,April!$U$105,input!$X:$X,April!N135,input!$A:$A,April!$B$2)</f>
        <v>0</v>
      </c>
      <c r="V135" s="323">
        <f>COUNTIFS(input!$O:$O,April!$V$105,input!$X:$X,April!N135,input!$A:$A,April!$B$2)</f>
        <v>0</v>
      </c>
      <c r="W135" s="323">
        <f>COUNTIFS(input!$O:$O,April!$W$105,input!$X:$X,April!N135,input!$A:$A,April!$B$2)</f>
        <v>0</v>
      </c>
      <c r="X135" s="324">
        <f>COUNTIFS(input!$O:$O,April!$X$105,input!$X:$X,April!N135,input!$A:$A,April!$B$2)</f>
        <v>0</v>
      </c>
      <c r="Y135" s="312">
        <f t="shared" si="10"/>
        <v>0</v>
      </c>
      <c r="Z135" s="315" cm="1">
        <f t="array" ref="Z135">_xlfn.IFS(Y135=0,0,Y135&gt;=1,Y135/$Y$149)</f>
        <v>0</v>
      </c>
    </row>
    <row r="136" spans="2:26" ht="92" x14ac:dyDescent="0.25">
      <c r="B136" s="998" t="s">
        <v>1538</v>
      </c>
      <c r="C136" s="994"/>
      <c r="D136" s="316">
        <f>COUNTIFS(input!$O:$O,April!$D$105,input!$W:$W,April!B136,input!$A:$A,April!$B$2)</f>
        <v>0</v>
      </c>
      <c r="E136" s="316">
        <f>COUNTIFS(input!$O:$O,April!$E$105,input!$W:$W,April!B136,input!$A:$A,April!$B$2)</f>
        <v>0</v>
      </c>
      <c r="F136" s="316">
        <f>COUNTIFS(input!$O:$O,April!$F$105,input!$W:$W,April!B136,input!$A:$A,April!$B$2)</f>
        <v>0</v>
      </c>
      <c r="G136" s="322">
        <f>COUNTIFS(input!$O:$O,April!$G$105,input!$W:$W,April!B136,input!$A:$A,April!$B$2)</f>
        <v>0</v>
      </c>
      <c r="H136" s="321">
        <f>COUNTIFS(input!$O:$O,April!$H$105,input!$W:$W,April!B136,input!$A:$A,April!$B$2)</f>
        <v>0</v>
      </c>
      <c r="I136" s="321">
        <f>COUNTIFS(input!$O:$O,April!$I$105,input!$W:$W,April!B136,input!$A:$A,April!$B$2)</f>
        <v>1</v>
      </c>
      <c r="J136" s="321">
        <f>COUNTIFS(input!$O:$O,April!$J$105,input!$W:$W,April!B136,input!$A:$A,April!$B$2)</f>
        <v>0</v>
      </c>
      <c r="K136" s="343">
        <f>COUNTIFS(input!$O:$O,April!$K$105,input!$W:$W,April!B136,input!$A:$A,April!$B$2)</f>
        <v>0</v>
      </c>
      <c r="L136" s="312">
        <f>SUM(D136:K136)</f>
        <v>1</v>
      </c>
      <c r="M136" s="320" cm="1">
        <f t="array" ref="M136">_xlfn.IFS(L136=0,0,L136&gt;=1,L136/$L$149)</f>
        <v>4.5454545454545456E-2</v>
      </c>
      <c r="N136" s="382"/>
      <c r="O136" s="383"/>
      <c r="P136" s="384"/>
      <c r="Q136" s="316">
        <f>COUNTIFS(input!$O:$O,April!$Q$105,input!$X:$X,April!N136,input!$A:$A,April!$B$2)</f>
        <v>0</v>
      </c>
      <c r="R136" s="316">
        <f>COUNTIFS(input!$O:$O,April!$R$105,input!$X:$X,April!N136,input!$A:$A,April!$B$2)</f>
        <v>0</v>
      </c>
      <c r="S136" s="316">
        <f>COUNTIFS(input!$O:$O,April!$S$105,input!$X:$X,April!N136,input!$A:$A,April!$B$2)</f>
        <v>0</v>
      </c>
      <c r="T136" s="322">
        <f>COUNTIFS(input!$O:$O,April!$T$105,input!$X:$X,April!N136,input!$A:$A,April!$B$2)</f>
        <v>0</v>
      </c>
      <c r="U136" s="322">
        <f>COUNTIFS(input!$O:$O,April!$U$105,input!$X:$X,April!N136,input!$A:$A,April!$B$2)</f>
        <v>0</v>
      </c>
      <c r="V136" s="323">
        <f>COUNTIFS(input!$O:$O,April!$V$105,input!$X:$X,April!N136,input!$A:$A,April!$B$2)</f>
        <v>0</v>
      </c>
      <c r="W136" s="323">
        <f>COUNTIFS(input!$O:$O,April!$W$105,input!$X:$X,April!N136,input!$A:$A,April!$B$2)</f>
        <v>0</v>
      </c>
      <c r="X136" s="324">
        <f>COUNTIFS(input!$O:$O,April!$X$105,input!$X:$X,April!N136,input!$A:$A,April!$B$2)</f>
        <v>0</v>
      </c>
      <c r="Y136" s="312">
        <f t="shared" si="10"/>
        <v>0</v>
      </c>
      <c r="Z136" s="315" cm="1">
        <f t="array" ref="Z136">_xlfn.IFS(Y136=0,0,Y136&gt;=1,Y136/$Y$149)</f>
        <v>0</v>
      </c>
    </row>
    <row r="137" spans="2:26" ht="92" hidden="1" x14ac:dyDescent="0.25">
      <c r="B137" s="1121" t="s">
        <v>666</v>
      </c>
      <c r="C137" s="1066"/>
      <c r="D137" s="316">
        <f>COUNTIFS(input!$O:$O,April!$D$105,input!$W:$W,April!B137,input!$A:$A,April!$B$2)</f>
        <v>0</v>
      </c>
      <c r="E137" s="316">
        <f>COUNTIFS(input!$O:$O,April!$E$105,input!$W:$W,April!B137,input!$A:$A,April!$B$2)</f>
        <v>0</v>
      </c>
      <c r="F137" s="316">
        <f>COUNTIFS(input!$O:$O,April!$F$105,input!$W:$W,April!B137,input!$A:$A,April!$B$2)</f>
        <v>0</v>
      </c>
      <c r="G137" s="322">
        <f>COUNTIFS(input!$O:$O,April!$G$105,input!$W:$W,April!B137,input!$A:$A,April!$B$2)</f>
        <v>0</v>
      </c>
      <c r="H137" s="321">
        <f>COUNTIFS(input!$O:$O,April!$H$105,input!$W:$W,April!B137,input!$A:$A,April!$B$2)</f>
        <v>0</v>
      </c>
      <c r="I137" s="321">
        <f>COUNTIFS(input!$O:$O,April!$I$105,input!$W:$W,April!B137,input!$A:$A,April!$B$2)</f>
        <v>0</v>
      </c>
      <c r="J137" s="321">
        <f>COUNTIFS(input!$O:$O,April!$J$105,input!$W:$W,April!B137,input!$A:$A,April!$B$2)</f>
        <v>0</v>
      </c>
      <c r="K137" s="343">
        <f>COUNTIFS(input!$O:$O,April!$K$105,input!$W:$W,April!B137,input!$A:$A,April!$B$2)</f>
        <v>0</v>
      </c>
      <c r="L137" s="312">
        <f t="shared" si="8"/>
        <v>0</v>
      </c>
      <c r="M137" s="320" cm="1">
        <f t="array" ref="M137">_xlfn.IFS(L137=0,0,L137&gt;=1,L137/$L$149)</f>
        <v>0</v>
      </c>
      <c r="N137" s="992"/>
      <c r="O137" s="993"/>
      <c r="P137" s="994"/>
      <c r="Q137" s="316">
        <f>COUNTIFS(input!$O:$O,April!$Q$105,input!$X:$X,April!N137,input!$A:$A,April!$B$2)</f>
        <v>0</v>
      </c>
      <c r="R137" s="316">
        <f>COUNTIFS(input!$O:$O,April!$R$105,input!$X:$X,April!N137,input!$A:$A,April!$B$2)</f>
        <v>0</v>
      </c>
      <c r="S137" s="316">
        <f>COUNTIFS(input!$O:$O,April!$S$105,input!$X:$X,April!N137,input!$A:$A,April!$B$2)</f>
        <v>0</v>
      </c>
      <c r="T137" s="322">
        <f>COUNTIFS(input!$O:$O,April!$T$105,input!$X:$X,April!N137,input!$A:$A,April!$B$2)</f>
        <v>0</v>
      </c>
      <c r="U137" s="322">
        <f>COUNTIFS(input!$O:$O,April!$U$105,input!$X:$X,April!N137,input!$A:$A,April!$B$2)</f>
        <v>0</v>
      </c>
      <c r="V137" s="323">
        <f>COUNTIFS(input!$O:$O,April!$V$105,input!$X:$X,April!N137,input!$A:$A,April!$B$2)</f>
        <v>0</v>
      </c>
      <c r="W137" s="323">
        <f>COUNTIFS(input!$O:$O,April!$W$105,input!$X:$X,April!N137,input!$A:$A,April!$B$2)</f>
        <v>0</v>
      </c>
      <c r="X137" s="324">
        <f>COUNTIFS(input!$O:$O,April!$X$105,input!$X:$X,April!N137,input!$A:$A,April!$B$2)</f>
        <v>0</v>
      </c>
      <c r="Y137" s="312">
        <f t="shared" si="10"/>
        <v>0</v>
      </c>
      <c r="Z137" s="315" cm="1">
        <f t="array" ref="Z137">_xlfn.IFS(Y137=0,0,Y137&gt;=1,Y137/$Y$149)</f>
        <v>0</v>
      </c>
    </row>
    <row r="138" spans="2:26" ht="92" hidden="1" x14ac:dyDescent="0.25">
      <c r="B138" s="1121" t="s">
        <v>765</v>
      </c>
      <c r="C138" s="1066"/>
      <c r="D138" s="316">
        <f>COUNTIFS(input!$O:$O,April!$D$105,input!$W:$W,April!B138,input!$A:$A,April!$B$2)</f>
        <v>0</v>
      </c>
      <c r="E138" s="316">
        <f>COUNTIFS(input!$O:$O,April!$E$105,input!$W:$W,April!B138,input!$A:$A,April!$B$2)</f>
        <v>0</v>
      </c>
      <c r="F138" s="316">
        <f>COUNTIFS(input!$O:$O,April!$F$105,input!$W:$W,April!B138,input!$A:$A,April!$B$2)</f>
        <v>0</v>
      </c>
      <c r="G138" s="322">
        <f>COUNTIFS(input!$O:$O,April!$G$105,input!$W:$W,April!B138,input!$A:$A,April!$B$2)</f>
        <v>0</v>
      </c>
      <c r="H138" s="321">
        <f>COUNTIFS(input!$O:$O,April!$H$105,input!$W:$W,April!B138,input!$A:$A,April!$B$2)</f>
        <v>0</v>
      </c>
      <c r="I138" s="321">
        <f>COUNTIFS(input!$O:$O,April!$I$105,input!$W:$W,April!B138,input!$A:$A,April!$B$2)</f>
        <v>0</v>
      </c>
      <c r="J138" s="321">
        <f>COUNTIFS(input!$O:$O,April!$J$105,input!$W:$W,April!B138,input!$A:$A,April!$B$2)</f>
        <v>0</v>
      </c>
      <c r="K138" s="343">
        <f>COUNTIFS(input!$O:$O,April!$K$105,input!$W:$W,April!B138,input!$A:$A,April!$B$2)</f>
        <v>0</v>
      </c>
      <c r="L138" s="312">
        <f t="shared" si="8"/>
        <v>0</v>
      </c>
      <c r="M138" s="320" cm="1">
        <f t="array" ref="M138">_xlfn.IFS(L138=0,0,L138&gt;=1,L138/$L$149)</f>
        <v>0</v>
      </c>
      <c r="N138" s="992" t="s">
        <v>1544</v>
      </c>
      <c r="O138" s="993"/>
      <c r="P138" s="994"/>
      <c r="Q138" s="316">
        <f>COUNTIFS(input!$O:$O,April!$Q$105,input!$X:$X,April!N138,input!$A:$A,April!$B$2)</f>
        <v>0</v>
      </c>
      <c r="R138" s="316">
        <f>COUNTIFS(input!$O:$O,April!$R$105,input!$X:$X,April!N138,input!$A:$A,April!$B$2)</f>
        <v>0</v>
      </c>
      <c r="S138" s="316">
        <f>COUNTIFS(input!$O:$O,April!$S$105,input!$X:$X,April!N138,input!$A:$A,April!$B$2)</f>
        <v>0</v>
      </c>
      <c r="T138" s="322">
        <f>COUNTIFS(input!$O:$O,April!$T$105,input!$X:$X,April!N138,input!$A:$A,April!$B$2)</f>
        <v>0</v>
      </c>
      <c r="U138" s="322">
        <f>COUNTIFS(input!$O:$O,April!$U$105,input!$X:$X,April!N138,input!$A:$A,April!$B$2)</f>
        <v>0</v>
      </c>
      <c r="V138" s="323">
        <f>COUNTIFS(input!$O:$O,April!$V$105,input!$X:$X,April!N138,input!$A:$A,April!$B$2)</f>
        <v>0</v>
      </c>
      <c r="W138" s="323">
        <f>COUNTIFS(input!$O:$O,April!$W$105,input!$X:$X,April!N138,input!$A:$A,April!$B$2)</f>
        <v>0</v>
      </c>
      <c r="X138" s="324">
        <f>COUNTIFS(input!$O:$O,April!$X$105,input!$X:$X,April!N138,input!$A:$A,April!$B$2)</f>
        <v>0</v>
      </c>
      <c r="Y138" s="312">
        <f t="shared" si="10"/>
        <v>0</v>
      </c>
      <c r="Z138" s="315" cm="1">
        <f t="array" ref="Z138">_xlfn.IFS(Y138=0,0,Y138&gt;=1,Y138/$Y$149)</f>
        <v>0</v>
      </c>
    </row>
    <row r="139" spans="2:26" ht="92" x14ac:dyDescent="0.25">
      <c r="B139" s="990" t="s">
        <v>1560</v>
      </c>
      <c r="C139" s="991"/>
      <c r="D139" s="316">
        <f>COUNTIFS(input!$O:$O,April!$D$105,input!$W:$W,April!B139,input!$A:$A,April!$B$2)</f>
        <v>0</v>
      </c>
      <c r="E139" s="316">
        <f>COUNTIFS(input!$O:$O,April!$E$105,input!$W:$W,April!B139,input!$A:$A,April!$B$2)</f>
        <v>0</v>
      </c>
      <c r="F139" s="316">
        <f>COUNTIFS(input!$O:$O,April!$F$105,input!$W:$W,April!B139,input!$A:$A,April!$B$2)</f>
        <v>0</v>
      </c>
      <c r="G139" s="322">
        <f>COUNTIFS(input!$O:$O,April!$G$105,input!$W:$W,April!B139,input!$A:$A,April!$B$2)</f>
        <v>0</v>
      </c>
      <c r="H139" s="321">
        <f>COUNTIFS(input!$O:$O,April!$H$105,input!$W:$W,April!B139,input!$A:$A,April!$B$2)</f>
        <v>0</v>
      </c>
      <c r="I139" s="321">
        <f>COUNTIFS(input!$O:$O,April!$I$105,input!$W:$W,April!B139,input!$A:$A,April!$B$2)</f>
        <v>0</v>
      </c>
      <c r="J139" s="321">
        <f>COUNTIFS(input!$O:$O,April!$J$105,input!$W:$W,April!B139,input!$A:$A,April!$B$2)</f>
        <v>1</v>
      </c>
      <c r="K139" s="343">
        <f>COUNTIFS(input!$O:$O,April!$K$105,input!$W:$W,April!B139,input!$A:$A,April!$B$2)</f>
        <v>0</v>
      </c>
      <c r="L139" s="312">
        <f>SUM(D139:K139)</f>
        <v>1</v>
      </c>
      <c r="M139" s="320" cm="1">
        <f t="array" ref="M139">_xlfn.IFS(L139=0,0,L139&gt;=1,L139/$L$149)</f>
        <v>4.5454545454545456E-2</v>
      </c>
      <c r="N139" s="385"/>
      <c r="O139" s="386"/>
      <c r="P139" s="387"/>
      <c r="Q139" s="316">
        <f>COUNTIFS(input!$O:$O,April!$Q$105,input!$X:$X,April!N139,input!$A:$A,April!$B$2)</f>
        <v>0</v>
      </c>
      <c r="R139" s="316">
        <f>COUNTIFS(input!$O:$O,April!$R$105,input!$X:$X,April!N139,input!$A:$A,April!$B$2)</f>
        <v>0</v>
      </c>
      <c r="S139" s="316">
        <f>COUNTIFS(input!$O:$O,April!$S$105,input!$X:$X,April!N139,input!$A:$A,April!$B$2)</f>
        <v>0</v>
      </c>
      <c r="T139" s="322">
        <f>COUNTIFS(input!$O:$O,April!$T$105,input!$X:$X,April!N139,input!$A:$A,April!$B$2)</f>
        <v>0</v>
      </c>
      <c r="U139" s="322">
        <f>COUNTIFS(input!$O:$O,April!$U$105,input!$X:$X,April!N139,input!$A:$A,April!$B$2)</f>
        <v>0</v>
      </c>
      <c r="V139" s="323">
        <f>COUNTIFS(input!$O:$O,April!$V$105,input!$X:$X,April!N139,input!$A:$A,April!$B$2)</f>
        <v>0</v>
      </c>
      <c r="W139" s="323">
        <f>COUNTIFS(input!$O:$O,April!$W$105,input!$X:$X,April!N139,input!$A:$A,April!$B$2)</f>
        <v>0</v>
      </c>
      <c r="X139" s="324">
        <f>COUNTIFS(input!$O:$O,April!$X$105,input!$X:$X,April!N139,input!$A:$A,April!$B$2)</f>
        <v>0</v>
      </c>
      <c r="Y139" s="312">
        <f t="shared" si="10"/>
        <v>0</v>
      </c>
      <c r="Z139" s="315" cm="1">
        <f t="array" ref="Z139">_xlfn.IFS(Y139=0,0,Y139&gt;=1,Y139/$Y$149)</f>
        <v>0</v>
      </c>
    </row>
    <row r="140" spans="2:26" ht="92" x14ac:dyDescent="0.25">
      <c r="B140" s="990" t="s">
        <v>1561</v>
      </c>
      <c r="C140" s="991"/>
      <c r="D140" s="316">
        <f>COUNTIFS(input!$O:$O,April!$D$105,input!$W:$W,April!B140,input!$A:$A,April!$B$2)</f>
        <v>0</v>
      </c>
      <c r="E140" s="316">
        <f>COUNTIFS(input!$O:$O,April!$E$105,input!$W:$W,April!B140,input!$A:$A,April!$B$2)</f>
        <v>0</v>
      </c>
      <c r="F140" s="316">
        <f>COUNTIFS(input!$O:$O,April!$F$105,input!$W:$W,April!B140,input!$A:$A,April!$B$2)</f>
        <v>0</v>
      </c>
      <c r="G140" s="322">
        <f>COUNTIFS(input!$O:$O,April!$G$105,input!$W:$W,April!B140,input!$A:$A,April!$B$2)</f>
        <v>0</v>
      </c>
      <c r="H140" s="321">
        <f>COUNTIFS(input!$O:$O,April!$H$105,input!$W:$W,April!B140,input!$A:$A,April!$B$2)</f>
        <v>0</v>
      </c>
      <c r="I140" s="321">
        <f>COUNTIFS(input!$O:$O,April!$I$105,input!$W:$W,April!B140,input!$A:$A,April!$B$2)</f>
        <v>0</v>
      </c>
      <c r="J140" s="321">
        <f>COUNTIFS(input!$O:$O,April!$J$105,input!$W:$W,April!B140,input!$A:$A,April!$B$2)</f>
        <v>0</v>
      </c>
      <c r="K140" s="343">
        <f>COUNTIFS(input!$O:$O,April!$K$105,input!$W:$W,April!B140,input!$A:$A,April!$B$2)</f>
        <v>1</v>
      </c>
      <c r="L140" s="312">
        <f>SUM(D140:K140)</f>
        <v>1</v>
      </c>
      <c r="M140" s="320" cm="1">
        <f t="array" ref="M140">_xlfn.IFS(L140=0,0,L140&gt;=1,L140/$L$149)</f>
        <v>4.5454545454545456E-2</v>
      </c>
      <c r="N140" s="385"/>
      <c r="O140" s="386"/>
      <c r="P140" s="387"/>
      <c r="Q140" s="316">
        <f>COUNTIFS(input!$O:$O,April!$Q$105,input!$X:$X,April!N140,input!$A:$A,April!$B$2)</f>
        <v>0</v>
      </c>
      <c r="R140" s="316">
        <f>COUNTIFS(input!$O:$O,April!$R$105,input!$X:$X,April!N140,input!$A:$A,April!$B$2)</f>
        <v>0</v>
      </c>
      <c r="S140" s="316">
        <f>COUNTIFS(input!$O:$O,April!$S$105,input!$X:$X,April!N140,input!$A:$A,April!$B$2)</f>
        <v>0</v>
      </c>
      <c r="T140" s="322">
        <f>COUNTIFS(input!$O:$O,April!$T$105,input!$X:$X,April!N140,input!$A:$A,April!$B$2)</f>
        <v>0</v>
      </c>
      <c r="U140" s="322">
        <f>COUNTIFS(input!$O:$O,April!$U$105,input!$X:$X,April!N140,input!$A:$A,April!$B$2)</f>
        <v>0</v>
      </c>
      <c r="V140" s="323">
        <f>COUNTIFS(input!$O:$O,April!$V$105,input!$X:$X,April!N140,input!$A:$A,April!$B$2)</f>
        <v>0</v>
      </c>
      <c r="W140" s="323">
        <f>COUNTIFS(input!$O:$O,April!$W$105,input!$X:$X,April!N140,input!$A:$A,April!$B$2)</f>
        <v>0</v>
      </c>
      <c r="X140" s="324">
        <f>COUNTIFS(input!$O:$O,April!$X$105,input!$X:$X,April!N140,input!$A:$A,April!$B$2)</f>
        <v>0</v>
      </c>
      <c r="Y140" s="312">
        <f t="shared" si="10"/>
        <v>0</v>
      </c>
      <c r="Z140" s="315" cm="1">
        <f t="array" ref="Z140">_xlfn.IFS(Y140=0,0,Y140&gt;=1,Y140/$Y$149)</f>
        <v>0</v>
      </c>
    </row>
    <row r="141" spans="2:26" ht="92" hidden="1" x14ac:dyDescent="0.25">
      <c r="B141" s="1122" t="s">
        <v>862</v>
      </c>
      <c r="C141" s="997"/>
      <c r="D141" s="316">
        <f>COUNTIFS(input!$O:$O,April!$D$105,input!$W:$W,April!B141,input!$A:$A,April!$B$2)</f>
        <v>0</v>
      </c>
      <c r="E141" s="316">
        <f>COUNTIFS(input!$O:$O,April!$E$105,input!$W:$W,April!B141,input!$A:$A,April!$B$2)</f>
        <v>0</v>
      </c>
      <c r="F141" s="316">
        <f>COUNTIFS(input!$O:$O,April!$F$105,input!$W:$W,April!B141,input!$A:$A,April!$B$2)</f>
        <v>0</v>
      </c>
      <c r="G141" s="322">
        <f>COUNTIFS(input!$O:$O,April!$G$105,input!$W:$W,April!B141,input!$A:$A,April!$B$2)</f>
        <v>0</v>
      </c>
      <c r="H141" s="321">
        <f>COUNTIFS(input!$O:$O,April!$H$105,input!$W:$W,April!B141,input!$A:$A,April!$B$2)</f>
        <v>0</v>
      </c>
      <c r="I141" s="321">
        <f>COUNTIFS(input!$O:$O,April!$I$105,input!$W:$W,April!B141,input!$A:$A,April!$B$2)</f>
        <v>0</v>
      </c>
      <c r="J141" s="321">
        <f>COUNTIFS(input!$O:$O,April!$J$105,input!$W:$W,April!B141,input!$A:$A,April!$B$2)</f>
        <v>0</v>
      </c>
      <c r="K141" s="343">
        <f>COUNTIFS(input!$O:$O,April!$K$105,input!$W:$W,April!B141,input!$A:$A,April!$B$2)</f>
        <v>0</v>
      </c>
      <c r="L141" s="312">
        <f t="shared" si="8"/>
        <v>0</v>
      </c>
      <c r="M141" s="320" cm="1">
        <f t="array" ref="M141">_xlfn.IFS(L141=0,0,L141&gt;=1,L141/$L$149)</f>
        <v>0</v>
      </c>
      <c r="N141" s="992"/>
      <c r="O141" s="993"/>
      <c r="P141" s="994"/>
      <c r="Q141" s="316">
        <f>COUNTIFS(input!$O:$O,April!$Q$105,input!$X:$X,April!N141,input!$A:$A,April!$B$2)</f>
        <v>0</v>
      </c>
      <c r="R141" s="316">
        <f>COUNTIFS(input!$O:$O,April!$R$105,input!$X:$X,April!N141,input!$A:$A,April!$B$2)</f>
        <v>0</v>
      </c>
      <c r="S141" s="316">
        <f>COUNTIFS(input!$O:$O,April!$S$105,input!$X:$X,April!N141,input!$A:$A,April!$B$2)</f>
        <v>0</v>
      </c>
      <c r="T141" s="322">
        <f>COUNTIFS(input!$O:$O,April!$T$105,input!$X:$X,April!N141,input!$A:$A,April!$B$2)</f>
        <v>0</v>
      </c>
      <c r="U141" s="322">
        <f>COUNTIFS(input!$O:$O,April!$U$105,input!$X:$X,April!N141,input!$A:$A,April!$B$2)</f>
        <v>0</v>
      </c>
      <c r="V141" s="323">
        <f>COUNTIFS(input!$O:$O,April!$V$105,input!$X:$X,April!N141,input!$A:$A,April!$B$2)</f>
        <v>0</v>
      </c>
      <c r="W141" s="323">
        <f>COUNTIFS(input!$O:$O,April!$W$105,input!$X:$X,April!N141,input!$A:$A,April!$B$2)</f>
        <v>0</v>
      </c>
      <c r="X141" s="324">
        <f>COUNTIFS(input!$O:$O,April!$X$105,input!$X:$X,April!N141,input!$A:$A,April!$B$2)</f>
        <v>0</v>
      </c>
      <c r="Y141" s="312">
        <f t="shared" si="10"/>
        <v>0</v>
      </c>
      <c r="Z141" s="315" cm="1">
        <f t="array" ref="Z141">_xlfn.IFS(Y141=0,0,Y141&gt;=1,Y141/$Y$149)</f>
        <v>0</v>
      </c>
    </row>
    <row r="142" spans="2:26" ht="92" hidden="1" x14ac:dyDescent="0.25">
      <c r="B142" s="1122" t="s">
        <v>859</v>
      </c>
      <c r="C142" s="997"/>
      <c r="D142" s="316">
        <f>COUNTIFS(input!$O:$O,April!$D$105,input!$W:$W,April!B142,input!$A:$A,April!$B$2)</f>
        <v>0</v>
      </c>
      <c r="E142" s="316">
        <f>COUNTIFS(input!$O:$O,April!$E$105,input!$W:$W,April!B142,input!$A:$A,April!$B$2)</f>
        <v>0</v>
      </c>
      <c r="F142" s="316">
        <f>COUNTIFS(input!$O:$O,April!$F$105,input!$W:$W,April!B142,input!$A:$A,April!$B$2)</f>
        <v>0</v>
      </c>
      <c r="G142" s="322">
        <f>COUNTIFS(input!$O:$O,April!$G$105,input!$W:$W,April!B142,input!$A:$A,April!$B$2)</f>
        <v>0</v>
      </c>
      <c r="H142" s="321">
        <f>COUNTIFS(input!$O:$O,April!$H$105,input!$W:$W,April!B142,input!$A:$A,April!$B$2)</f>
        <v>0</v>
      </c>
      <c r="I142" s="321">
        <f>COUNTIFS(input!$O:$O,April!$I$105,input!$W:$W,April!B142,input!$A:$A,April!$B$2)</f>
        <v>0</v>
      </c>
      <c r="J142" s="321">
        <f>COUNTIFS(input!$O:$O,April!$J$105,input!$W:$W,April!B142,input!$A:$A,April!$B$2)</f>
        <v>0</v>
      </c>
      <c r="K142" s="343">
        <f>COUNTIFS(input!$O:$O,April!$K$105,input!$W:$W,April!B142,input!$A:$A,April!$B$2)</f>
        <v>0</v>
      </c>
      <c r="L142" s="312">
        <f t="shared" si="8"/>
        <v>0</v>
      </c>
      <c r="M142" s="320" cm="1">
        <f t="array" ref="M142">_xlfn.IFS(L142=0,0,L142&gt;=1,L142/$L$149)</f>
        <v>0</v>
      </c>
      <c r="N142" s="992"/>
      <c r="O142" s="993"/>
      <c r="P142" s="994"/>
      <c r="Q142" s="316">
        <f>COUNTIFS(input!$O:$O,April!$Q$105,input!$X:$X,April!N142,input!$A:$A,April!$B$2)</f>
        <v>0</v>
      </c>
      <c r="R142" s="316">
        <f>COUNTIFS(input!$O:$O,April!$R$105,input!$X:$X,April!N142,input!$A:$A,April!$B$2)</f>
        <v>0</v>
      </c>
      <c r="S142" s="316">
        <f>COUNTIFS(input!$O:$O,April!$S$105,input!$X:$X,April!N142,input!$A:$A,April!$B$2)</f>
        <v>0</v>
      </c>
      <c r="T142" s="322">
        <f>COUNTIFS(input!$O:$O,April!$T$105,input!$X:$X,April!N142,input!$A:$A,April!$B$2)</f>
        <v>0</v>
      </c>
      <c r="U142" s="322">
        <f>COUNTIFS(input!$O:$O,April!$U$105,input!$X:$X,April!N142,input!$A:$A,April!$B$2)</f>
        <v>0</v>
      </c>
      <c r="V142" s="323">
        <f>COUNTIFS(input!$O:$O,April!$V$105,input!$X:$X,April!N142,input!$A:$A,April!$B$2)</f>
        <v>0</v>
      </c>
      <c r="W142" s="323">
        <f>COUNTIFS(input!$O:$O,April!$W$105,input!$X:$X,April!N142,input!$A:$A,April!$B$2)</f>
        <v>0</v>
      </c>
      <c r="X142" s="324">
        <f>COUNTIFS(input!$O:$O,April!$X$105,input!$X:$X,April!N142,input!$A:$A,April!$B$2)</f>
        <v>0</v>
      </c>
      <c r="Y142" s="312">
        <f t="shared" si="10"/>
        <v>0</v>
      </c>
      <c r="Z142" s="315" cm="1">
        <f t="array" ref="Z142">_xlfn.IFS(Y142=0,0,Y142&gt;=1,Y142/$Y$149)</f>
        <v>0</v>
      </c>
    </row>
    <row r="143" spans="2:26" ht="92" x14ac:dyDescent="0.25">
      <c r="B143" s="990" t="s">
        <v>825</v>
      </c>
      <c r="C143" s="991"/>
      <c r="D143" s="316">
        <f>COUNTIFS(input!$O:$O,April!$D$105,input!$W:$W,April!B143,input!$A:$A,April!$B$2)</f>
        <v>0</v>
      </c>
      <c r="E143" s="316">
        <f>COUNTIFS(input!$O:$O,April!$E$105,input!$W:$W,April!B143,input!$A:$A,April!$B$2)</f>
        <v>1</v>
      </c>
      <c r="F143" s="316">
        <f>COUNTIFS(input!$O:$O,April!$F$105,input!$W:$W,April!B143,input!$A:$A,April!$B$2)</f>
        <v>0</v>
      </c>
      <c r="G143" s="322">
        <f>COUNTIFS(input!$O:$O,April!$G$105,input!$W:$W,April!B143,input!$A:$A,April!$B$2)</f>
        <v>0</v>
      </c>
      <c r="H143" s="321">
        <f>COUNTIFS(input!$O:$O,April!$H$105,input!$W:$W,April!B143,input!$A:$A,April!$B$2)</f>
        <v>1</v>
      </c>
      <c r="I143" s="321">
        <f>COUNTIFS(input!$O:$O,April!$I$105,input!$W:$W,April!B143,input!$A:$A,April!$B$2)</f>
        <v>0</v>
      </c>
      <c r="J143" s="321">
        <f>COUNTIFS(input!$O:$O,April!$J$105,input!$W:$W,April!B143,input!$A:$A,April!$B$2)</f>
        <v>0</v>
      </c>
      <c r="K143" s="343">
        <f>COUNTIFS(input!$O:$O,April!$K$105,input!$W:$W,April!B143,input!$A:$A,April!$B$2)</f>
        <v>0</v>
      </c>
      <c r="L143" s="312">
        <f t="shared" si="8"/>
        <v>2</v>
      </c>
      <c r="M143" s="320" cm="1">
        <f t="array" ref="M143">_xlfn.IFS(L143=0,0,L143&gt;=1,L143/$L$149)</f>
        <v>9.0909090909090912E-2</v>
      </c>
      <c r="N143" s="995"/>
      <c r="O143" s="996"/>
      <c r="P143" s="997"/>
      <c r="Q143" s="316">
        <f>COUNTIFS(input!$O:$O,April!$Q$105,input!$X:$X,April!N143,input!$A:$A,April!$B$2)</f>
        <v>0</v>
      </c>
      <c r="R143" s="316">
        <f>COUNTIFS(input!$O:$O,April!$R$105,input!$X:$X,April!N143,input!$A:$A,April!$B$2)</f>
        <v>0</v>
      </c>
      <c r="S143" s="316">
        <f>COUNTIFS(input!$O:$O,April!$S$105,input!$X:$X,April!N143,input!$A:$A,April!$B$2)</f>
        <v>0</v>
      </c>
      <c r="T143" s="322">
        <f>COUNTIFS(input!$O:$O,April!$T$105,input!$X:$X,April!N143,input!$A:$A,April!$B$2)</f>
        <v>0</v>
      </c>
      <c r="U143" s="322">
        <f>COUNTIFS(input!$O:$O,April!$U$105,input!$X:$X,April!N143,input!$A:$A,April!$B$2)</f>
        <v>0</v>
      </c>
      <c r="V143" s="323">
        <f>COUNTIFS(input!$O:$O,April!$V$105,input!$X:$X,April!N143,input!$A:$A,April!$B$2)</f>
        <v>0</v>
      </c>
      <c r="W143" s="323">
        <f>COUNTIFS(input!$O:$O,April!$W$105,input!$X:$X,April!N143,input!$A:$A,April!$B$2)</f>
        <v>0</v>
      </c>
      <c r="X143" s="324">
        <f>COUNTIFS(input!$O:$O,April!$X$105,input!$X:$X,April!N143,input!$A:$A,April!$B$2)</f>
        <v>0</v>
      </c>
      <c r="Y143" s="312">
        <f t="shared" si="10"/>
        <v>0</v>
      </c>
      <c r="Z143" s="315" cm="1">
        <f t="array" ref="Z143">_xlfn.IFS(Y143=0,0,Y143&gt;=1,Y143/$Y$149)</f>
        <v>0</v>
      </c>
    </row>
    <row r="144" spans="2:26" ht="92" hidden="1" x14ac:dyDescent="0.25">
      <c r="B144" s="1121" t="s">
        <v>889</v>
      </c>
      <c r="C144" s="1066"/>
      <c r="D144" s="316">
        <f>COUNTIFS(input!$O:$O,April!$D$105,input!$W:$W,April!B144,input!$A:$A,April!$B$2)</f>
        <v>0</v>
      </c>
      <c r="E144" s="316">
        <f>COUNTIFS(input!$O:$O,April!$E$105,input!$W:$W,April!B144,input!$A:$A,April!$B$2)</f>
        <v>0</v>
      </c>
      <c r="F144" s="316">
        <f>COUNTIFS(input!$O:$O,April!$F$105,input!$W:$W,April!B144,input!$A:$A,April!$B$2)</f>
        <v>0</v>
      </c>
      <c r="G144" s="322">
        <f>COUNTIFS(input!$O:$O,April!$G$105,input!$W:$W,April!B144,input!$A:$A,April!$B$2)</f>
        <v>0</v>
      </c>
      <c r="H144" s="321">
        <f>COUNTIFS(input!$O:$O,April!$H$105,input!$W:$W,April!B144,input!$A:$A,April!$B$2)</f>
        <v>0</v>
      </c>
      <c r="I144" s="321">
        <f>COUNTIFS(input!$O:$O,April!$I$105,input!$W:$W,April!B144,input!$A:$A,April!$B$2)</f>
        <v>0</v>
      </c>
      <c r="J144" s="321">
        <f>COUNTIFS(input!$O:$O,April!$J$105,input!$W:$W,April!B144,input!$A:$A,April!$B$2)</f>
        <v>0</v>
      </c>
      <c r="K144" s="343">
        <f>COUNTIFS(input!$O:$O,April!$K$105,input!$W:$W,April!B144,input!$A:$A,April!$B$2)</f>
        <v>0</v>
      </c>
      <c r="L144" s="312">
        <f t="shared" si="8"/>
        <v>0</v>
      </c>
      <c r="M144" s="320" cm="1">
        <f t="array" ref="M144">_xlfn.IFS(L144=0,0,L144&gt;=1,L144/$L$149)</f>
        <v>0</v>
      </c>
      <c r="N144" s="995"/>
      <c r="O144" s="996"/>
      <c r="P144" s="997"/>
      <c r="Q144" s="316">
        <f>COUNTIFS(input!$O:$O,April!$Q$105,input!$X:$X,April!N144,input!$A:$A,April!$B$2)</f>
        <v>0</v>
      </c>
      <c r="R144" s="316">
        <f>COUNTIFS(input!$O:$O,April!$R$105,input!$X:$X,April!N144,input!$A:$A,April!$B$2)</f>
        <v>0</v>
      </c>
      <c r="S144" s="316">
        <f>COUNTIFS(input!$O:$O,April!$S$105,input!$X:$X,April!N144,input!$A:$A,April!$B$2)</f>
        <v>0</v>
      </c>
      <c r="T144" s="322">
        <f>COUNTIFS(input!$O:$O,April!$T$105,input!$X:$X,April!N144,input!$A:$A,April!$B$2)</f>
        <v>0</v>
      </c>
      <c r="U144" s="322">
        <f>COUNTIFS(input!$O:$O,April!$U$105,input!$X:$X,April!N144,input!$A:$A,April!$B$2)</f>
        <v>0</v>
      </c>
      <c r="V144" s="323">
        <f>COUNTIFS(input!$O:$O,April!$V$105,input!$X:$X,April!N144,input!$A:$A,April!$B$2)</f>
        <v>0</v>
      </c>
      <c r="W144" s="323">
        <f>COUNTIFS(input!$O:$O,April!$W$105,input!$X:$X,April!N144,input!$A:$A,April!$B$2)</f>
        <v>0</v>
      </c>
      <c r="X144" s="324">
        <f>COUNTIFS(input!$O:$O,April!$X$105,input!$X:$X,April!N144,input!$A:$A,April!$B$2)</f>
        <v>0</v>
      </c>
      <c r="Y144" s="312">
        <f t="shared" si="10"/>
        <v>0</v>
      </c>
      <c r="Z144" s="315" cm="1">
        <f t="array" ref="Z144">_xlfn.IFS(Y144=0,0,Y144&gt;=1,Y144/$Y$149)</f>
        <v>0</v>
      </c>
    </row>
    <row r="145" spans="2:52" ht="92" hidden="1" x14ac:dyDescent="0.25">
      <c r="B145" s="1122" t="s">
        <v>863</v>
      </c>
      <c r="C145" s="997"/>
      <c r="D145" s="316">
        <f>COUNTIFS(input!$O:$O,April!$D$105,input!$W:$W,April!B145,input!$A:$A,April!$B$2)</f>
        <v>0</v>
      </c>
      <c r="E145" s="316">
        <f>COUNTIFS(input!$O:$O,April!$E$105,input!$W:$W,April!B145,input!$A:$A,April!$B$2)</f>
        <v>0</v>
      </c>
      <c r="F145" s="316">
        <f>COUNTIFS(input!$O:$O,April!$F$105,input!$W:$W,April!B145,input!$A:$A,April!$B$2)</f>
        <v>0</v>
      </c>
      <c r="G145" s="322">
        <f>COUNTIFS(input!$O:$O,April!$G$105,input!$W:$W,April!B145,input!$A:$A,April!$B$2)</f>
        <v>0</v>
      </c>
      <c r="H145" s="321">
        <f>COUNTIFS(input!$O:$O,April!$H$105,input!$W:$W,April!B145,input!$A:$A,April!$B$2)</f>
        <v>0</v>
      </c>
      <c r="I145" s="321">
        <f>COUNTIFS(input!$O:$O,April!$I$105,input!$W:$W,April!B145,input!$A:$A,April!$B$2)</f>
        <v>0</v>
      </c>
      <c r="J145" s="321">
        <f>COUNTIFS(input!$O:$O,April!$J$105,input!$W:$W,April!B145,input!$A:$A,April!$B$2)</f>
        <v>0</v>
      </c>
      <c r="K145" s="343">
        <f>COUNTIFS(input!$O:$O,April!$K$105,input!$W:$W,April!B145,input!$A:$A,April!$B$2)</f>
        <v>0</v>
      </c>
      <c r="L145" s="312">
        <f t="shared" si="8"/>
        <v>0</v>
      </c>
      <c r="M145" s="320" cm="1">
        <f t="array" ref="M145">_xlfn.IFS(L145=0,0,L145&gt;=1,L145/$L$149)</f>
        <v>0</v>
      </c>
      <c r="N145" s="995"/>
      <c r="O145" s="996"/>
      <c r="P145" s="997"/>
      <c r="Q145" s="316">
        <f>COUNTIFS(input!$O:$O,April!$Q$105,input!$X:$X,April!N145,input!$A:$A,April!$B$2)</f>
        <v>0</v>
      </c>
      <c r="R145" s="316">
        <f>COUNTIFS(input!$O:$O,April!$R$105,input!$X:$X,April!N145,input!$A:$A,April!$B$2)</f>
        <v>0</v>
      </c>
      <c r="S145" s="316">
        <f>COUNTIFS(input!$O:$O,April!$S$105,input!$X:$X,April!N145,input!$A:$A,April!$B$2)</f>
        <v>0</v>
      </c>
      <c r="T145" s="322">
        <f>COUNTIFS(input!$O:$O,April!$T$105,input!$X:$X,April!N145,input!$A:$A,April!$B$2)</f>
        <v>0</v>
      </c>
      <c r="U145" s="322">
        <f>COUNTIFS(input!$O:$O,April!$U$105,input!$X:$X,April!N145,input!$A:$A,April!$B$2)</f>
        <v>0</v>
      </c>
      <c r="V145" s="323">
        <f>COUNTIFS(input!$O:$O,April!$V$105,input!$X:$X,April!N145,input!$A:$A,April!$B$2)</f>
        <v>0</v>
      </c>
      <c r="W145" s="323">
        <f>COUNTIFS(input!$O:$O,April!$W$105,input!$X:$X,April!N145,input!$A:$A,April!$B$2)</f>
        <v>0</v>
      </c>
      <c r="X145" s="324">
        <f>COUNTIFS(input!$O:$O,April!$X$105,input!$X:$X,April!N145,input!$A:$A,April!$B$2)</f>
        <v>0</v>
      </c>
      <c r="Y145" s="312">
        <f t="shared" si="10"/>
        <v>0</v>
      </c>
      <c r="Z145" s="315" cm="1">
        <f t="array" ref="Z145">_xlfn.IFS(Y145=0,0,Y145&gt;=1,Y145/$Y$149)</f>
        <v>0</v>
      </c>
    </row>
    <row r="146" spans="2:52" ht="92" hidden="1" x14ac:dyDescent="0.25">
      <c r="B146" s="1121" t="s">
        <v>361</v>
      </c>
      <c r="C146" s="1066"/>
      <c r="D146" s="316">
        <f>COUNTIFS(input!$O:$O,April!$D$105,input!$W:$W,April!B146,input!$A:$A,April!$B$2)</f>
        <v>0</v>
      </c>
      <c r="E146" s="316">
        <f>COUNTIFS(input!$O:$O,April!$E$105,input!$W:$W,April!B146,input!$A:$A,April!$B$2)</f>
        <v>0</v>
      </c>
      <c r="F146" s="316">
        <f>COUNTIFS(input!$O:$O,April!$F$105,input!$W:$W,April!B146,input!$A:$A,April!$B$2)</f>
        <v>0</v>
      </c>
      <c r="G146" s="322">
        <f>COUNTIFS(input!$O:$O,April!$G$105,input!$W:$W,April!B146,input!$A:$A,April!$B$2)</f>
        <v>0</v>
      </c>
      <c r="H146" s="321">
        <f>COUNTIFS(input!$O:$O,April!$H$105,input!$W:$W,April!B146,input!$A:$A,April!$B$2)</f>
        <v>0</v>
      </c>
      <c r="I146" s="321">
        <f>COUNTIFS(input!$O:$O,April!$I$105,input!$W:$W,April!B146,input!$A:$A,April!$B$2)</f>
        <v>0</v>
      </c>
      <c r="J146" s="321">
        <f>COUNTIFS(input!$O:$O,April!$J$105,input!$W:$W,April!B146,input!$A:$A,April!$B$2)</f>
        <v>0</v>
      </c>
      <c r="K146" s="343">
        <f>COUNTIFS(input!$O:$O,April!$K$105,input!$W:$W,April!B146,input!$A:$A,April!$B$2)</f>
        <v>0</v>
      </c>
      <c r="L146" s="312">
        <f>SUM(D146:K146)</f>
        <v>0</v>
      </c>
      <c r="M146" s="320" cm="1">
        <f t="array" ref="M146">_xlfn.IFS(L146=0,0,L146&gt;=1,L146/$L$149)</f>
        <v>0</v>
      </c>
      <c r="N146" s="382"/>
      <c r="O146" s="383"/>
      <c r="P146" s="384"/>
      <c r="Q146" s="316">
        <f>COUNTIFS(input!$O:$O,April!$Q$105,input!$X:$X,April!N146,input!$A:$A,April!$B$2)</f>
        <v>0</v>
      </c>
      <c r="R146" s="316">
        <f>COUNTIFS(input!$O:$O,April!$R$105,input!$X:$X,April!N146,input!$A:$A,April!$B$2)</f>
        <v>0</v>
      </c>
      <c r="S146" s="316">
        <f>COUNTIFS(input!$O:$O,April!$S$105,input!$X:$X,April!N146,input!$A:$A,April!$B$2)</f>
        <v>0</v>
      </c>
      <c r="T146" s="322">
        <f>COUNTIFS(input!$O:$O,April!$T$105,input!$X:$X,April!N146,input!$A:$A,April!$B$2)</f>
        <v>0</v>
      </c>
      <c r="U146" s="322">
        <f>COUNTIFS(input!$O:$O,April!$U$105,input!$X:$X,April!N146,input!$A:$A,April!$B$2)</f>
        <v>0</v>
      </c>
      <c r="V146" s="323">
        <f>COUNTIFS(input!$O:$O,April!$V$105,input!$X:$X,April!N146,input!$A:$A,April!$B$2)</f>
        <v>0</v>
      </c>
      <c r="W146" s="323">
        <f>COUNTIFS(input!$O:$O,April!$W$105,input!$X:$X,April!N146,input!$A:$A,April!$B$2)</f>
        <v>0</v>
      </c>
      <c r="X146" s="324">
        <f>COUNTIFS(input!$O:$O,April!$X$105,input!$X:$X,April!N146,input!$A:$A,April!$B$2)</f>
        <v>0</v>
      </c>
      <c r="Y146" s="312">
        <f t="shared" si="10"/>
        <v>0</v>
      </c>
      <c r="Z146" s="315" cm="1">
        <f t="array" ref="Z146">_xlfn.IFS(Y146=0,0,Y146&gt;=1,Y146/$Y$149)</f>
        <v>0</v>
      </c>
    </row>
    <row r="147" spans="2:52" ht="92" x14ac:dyDescent="0.25">
      <c r="B147" s="990" t="s">
        <v>188</v>
      </c>
      <c r="C147" s="991"/>
      <c r="D147" s="316">
        <f>COUNTIFS(input!$O:$O,April!$D$105,input!$W:$W,April!B147,input!$A:$A,April!$B$2)</f>
        <v>0</v>
      </c>
      <c r="E147" s="316">
        <f>COUNTIFS(input!$O:$O,April!$E$105,input!$W:$W,April!B147,input!$A:$A,April!$B$2)</f>
        <v>0</v>
      </c>
      <c r="F147" s="316">
        <f>COUNTIFS(input!$O:$O,April!$F$105,input!$W:$W,April!B147,input!$A:$A,April!$B$2)</f>
        <v>0</v>
      </c>
      <c r="G147" s="322">
        <f>COUNTIFS(input!$O:$O,April!$G$105,input!$W:$W,April!B147,input!$A:$A,April!$B$2)</f>
        <v>1</v>
      </c>
      <c r="H147" s="321">
        <f>COUNTIFS(input!$O:$O,April!$H$105,input!$W:$W,April!B147,input!$A:$A,April!$B$2)</f>
        <v>0</v>
      </c>
      <c r="I147" s="321">
        <f>COUNTIFS(input!$O:$O,April!$I$105,input!$W:$W,April!B147,input!$A:$A,April!$B$2)</f>
        <v>0</v>
      </c>
      <c r="J147" s="321">
        <f>COUNTIFS(input!$O:$O,April!$J$105,input!$W:$W,April!B147,input!$A:$A,April!$B$2)</f>
        <v>0</v>
      </c>
      <c r="K147" s="343">
        <f>COUNTIFS(input!$O:$O,April!$K$105,input!$W:$W,April!B147,input!$A:$A,April!$B$2)</f>
        <v>0</v>
      </c>
      <c r="L147" s="312">
        <f t="shared" si="8"/>
        <v>1</v>
      </c>
      <c r="M147" s="320" cm="1">
        <f t="array" ref="M147">_xlfn.IFS(L147=0,0,L147&gt;=1,L147/$L$149)</f>
        <v>4.5454545454545456E-2</v>
      </c>
      <c r="N147" s="995"/>
      <c r="O147" s="996"/>
      <c r="P147" s="997"/>
      <c r="Q147" s="316">
        <f>COUNTIFS(input!$O:$O,April!$Q$105,input!$X:$X,April!N147,input!$A:$A,April!$B$2)</f>
        <v>0</v>
      </c>
      <c r="R147" s="316">
        <f>COUNTIFS(input!$O:$O,April!$R$105,input!$X:$X,April!N147,input!$A:$A,April!$B$2)</f>
        <v>0</v>
      </c>
      <c r="S147" s="316">
        <f>COUNTIFS(input!$O:$O,April!$S$105,input!$X:$X,April!N147,input!$A:$A,April!$B$2)</f>
        <v>0</v>
      </c>
      <c r="T147" s="322">
        <f>COUNTIFS(input!$O:$O,April!$T$105,input!$X:$X,April!N147,input!$A:$A,April!$B$2)</f>
        <v>0</v>
      </c>
      <c r="U147" s="322">
        <f>COUNTIFS(input!$O:$O,April!$U$105,input!$X:$X,April!N147,input!$A:$A,April!$B$2)</f>
        <v>0</v>
      </c>
      <c r="V147" s="323">
        <f>COUNTIFS(input!$O:$O,April!$V$105,input!$X:$X,April!N147,input!$A:$A,April!$B$2)</f>
        <v>0</v>
      </c>
      <c r="W147" s="323">
        <f>COUNTIFS(input!$O:$O,April!$W$105,input!$X:$X,April!N147,input!$A:$A,April!$B$2)</f>
        <v>0</v>
      </c>
      <c r="X147" s="324">
        <f>COUNTIFS(input!$O:$O,April!$X$105,input!$X:$X,April!N147,input!$A:$A,April!$B$2)</f>
        <v>0</v>
      </c>
      <c r="Y147" s="312">
        <f t="shared" si="10"/>
        <v>0</v>
      </c>
      <c r="Z147" s="315" cm="1">
        <f t="array" ref="Z147">_xlfn.IFS(Y147=0,0,Y147&gt;=1,Y147/$Y$149)</f>
        <v>0</v>
      </c>
    </row>
    <row r="148" spans="2:52" ht="92" x14ac:dyDescent="0.25">
      <c r="B148" s="999" t="s">
        <v>57</v>
      </c>
      <c r="C148" s="1000"/>
      <c r="D148" s="316">
        <f>COUNTIFS(input!$O:$O,April!$D$105,input!$W:$W,April!B148,input!$A:$A,April!$B$2)</f>
        <v>0</v>
      </c>
      <c r="E148" s="316">
        <f>COUNTIFS(input!$O:$O,April!$E$105,input!$W:$W,April!B148,input!$A:$A,April!$B$2)</f>
        <v>0</v>
      </c>
      <c r="F148" s="316">
        <f>COUNTIFS(input!$O:$O,April!$F$105,input!$W:$W,April!B148,input!$A:$A,April!$B$2)</f>
        <v>0</v>
      </c>
      <c r="G148" s="322">
        <f>COUNTIFS(input!$O:$O,April!$G$105,input!$W:$W,April!B148,input!$A:$A,April!$B$2)</f>
        <v>0</v>
      </c>
      <c r="H148" s="321">
        <f>COUNTIFS(input!$O:$O,April!$H$105,input!$W:$W,April!B148,input!$A:$A,April!$B$2)</f>
        <v>0</v>
      </c>
      <c r="I148" s="321">
        <f>COUNTIFS(input!$O:$O,April!$I$105,input!$W:$W,April!B148,input!$A:$A,April!$B$2)</f>
        <v>0</v>
      </c>
      <c r="J148" s="321">
        <f>COUNTIFS(input!$O:$O,April!$J$105,input!$W:$W,April!B148,input!$A:$A,April!$B$2)</f>
        <v>0</v>
      </c>
      <c r="K148" s="343">
        <f>COUNTIFS(input!$O:$O,April!$K$105,input!$W:$W,April!B148,input!$A:$A,April!$B$2)</f>
        <v>9</v>
      </c>
      <c r="L148" s="312">
        <f t="shared" si="8"/>
        <v>9</v>
      </c>
      <c r="M148" s="344" cm="1">
        <f t="array" ref="M148">_xlfn.IFS(L148=0,0,L148&gt;=1,L148/$L$149)</f>
        <v>0.40909090909090912</v>
      </c>
      <c r="N148" s="1001" t="s">
        <v>706</v>
      </c>
      <c r="O148" s="1002"/>
      <c r="P148" s="1003"/>
      <c r="Q148" s="316">
        <f>COUNTIFS(input!$O:$O,April!$Q$105,input!$X:$X,April!N148,input!$A:$A,April!$B$2)</f>
        <v>0</v>
      </c>
      <c r="R148" s="316">
        <f>COUNTIFS(input!$O:$O,April!$R$105,input!$X:$X,April!N148,input!$A:$A,April!$B$2)</f>
        <v>0</v>
      </c>
      <c r="S148" s="316">
        <f>COUNTIFS(input!$O:$O,April!$S$105,input!$X:$X,April!N148,input!$A:$A,April!$B$2)</f>
        <v>0</v>
      </c>
      <c r="T148" s="322">
        <f>COUNTIFS(input!$O:$O,April!$T$105,input!$X:$X,April!N148,input!$A:$A,April!$B$2)</f>
        <v>0</v>
      </c>
      <c r="U148" s="322">
        <f>COUNTIFS(input!$O:$O,April!$U$105,input!$X:$X,April!N148,input!$A:$A,April!$B$2)</f>
        <v>0</v>
      </c>
      <c r="V148" s="323">
        <f>COUNTIFS(input!$O:$O,April!$V$105,input!$X:$X,April!N148,input!$A:$A,April!$B$2)</f>
        <v>0</v>
      </c>
      <c r="W148" s="323">
        <f>COUNTIFS(input!$O:$O,April!$W$105,input!$X:$X,April!N148,input!$A:$A,April!$B$2)</f>
        <v>0</v>
      </c>
      <c r="X148" s="324">
        <f>COUNTIFS(input!$O:$O,April!$X$105,input!$X:$X,April!N148,input!$A:$A,April!$B$2)</f>
        <v>9</v>
      </c>
      <c r="Y148" s="312">
        <f t="shared" si="10"/>
        <v>9</v>
      </c>
      <c r="Z148" s="315" cm="1">
        <f t="array" ref="Z148">_xlfn.IFS(Y148=0,0,Y148&gt;=1,Y148/$Y$149)</f>
        <v>0.40909090909090912</v>
      </c>
    </row>
    <row r="149" spans="2:52" ht="90.5" thickBot="1" x14ac:dyDescent="0.3">
      <c r="B149" s="981" t="s">
        <v>4</v>
      </c>
      <c r="C149" s="982"/>
      <c r="D149" s="340">
        <f>SUM(D106:D148)</f>
        <v>0</v>
      </c>
      <c r="E149" s="340">
        <f t="shared" ref="E149:K149" si="11">SUM(E106:E148)</f>
        <v>1</v>
      </c>
      <c r="F149" s="340">
        <f t="shared" si="11"/>
        <v>0</v>
      </c>
      <c r="G149" s="340">
        <f t="shared" si="11"/>
        <v>5</v>
      </c>
      <c r="H149" s="340">
        <f t="shared" si="11"/>
        <v>1</v>
      </c>
      <c r="I149" s="340">
        <f t="shared" si="11"/>
        <v>4</v>
      </c>
      <c r="J149" s="340">
        <f t="shared" si="11"/>
        <v>1</v>
      </c>
      <c r="K149" s="340">
        <f t="shared" si="11"/>
        <v>10</v>
      </c>
      <c r="L149" s="340">
        <f>SUM(L106:L148)</f>
        <v>22</v>
      </c>
      <c r="M149" s="347">
        <f>SUM(M106:M148)</f>
        <v>1</v>
      </c>
      <c r="N149" s="983" t="s">
        <v>4</v>
      </c>
      <c r="O149" s="983"/>
      <c r="P149" s="984"/>
      <c r="Q149" s="348">
        <f>SUM(Q106:Q148)</f>
        <v>0</v>
      </c>
      <c r="R149" s="348">
        <f t="shared" ref="R149:X149" si="12">SUM(R106:R148)</f>
        <v>1</v>
      </c>
      <c r="S149" s="348">
        <f t="shared" si="12"/>
        <v>0</v>
      </c>
      <c r="T149" s="348">
        <f t="shared" si="12"/>
        <v>5</v>
      </c>
      <c r="U149" s="348">
        <f t="shared" si="12"/>
        <v>1</v>
      </c>
      <c r="V149" s="348">
        <f t="shared" si="12"/>
        <v>4</v>
      </c>
      <c r="W149" s="348">
        <f t="shared" si="12"/>
        <v>1</v>
      </c>
      <c r="X149" s="348">
        <f t="shared" si="12"/>
        <v>10</v>
      </c>
      <c r="Y149" s="340">
        <f>SUM(Y106:Y148)</f>
        <v>22</v>
      </c>
      <c r="Z149" s="349">
        <f>SUM(Z106:Z148)</f>
        <v>1</v>
      </c>
    </row>
    <row r="150" spans="2:52" s="133" customFormat="1" ht="90.5" customHeight="1" thickBot="1" x14ac:dyDescent="0.3">
      <c r="B150" s="985"/>
      <c r="C150" s="986"/>
      <c r="D150" s="987" t="s">
        <v>16</v>
      </c>
      <c r="E150" s="988"/>
      <c r="F150" s="988"/>
      <c r="G150" s="988"/>
      <c r="H150" s="988"/>
      <c r="I150" s="988"/>
      <c r="J150" s="988"/>
      <c r="K150" s="988"/>
      <c r="L150" s="988"/>
      <c r="M150" s="989"/>
      <c r="N150" s="987" t="s">
        <v>182</v>
      </c>
      <c r="O150" s="988"/>
      <c r="P150" s="988"/>
      <c r="Q150" s="988"/>
      <c r="R150" s="988"/>
      <c r="S150" s="988"/>
      <c r="T150" s="988"/>
      <c r="U150" s="988"/>
      <c r="V150" s="988"/>
      <c r="W150" s="988"/>
      <c r="X150" s="988"/>
      <c r="Y150" s="988"/>
      <c r="Z150" s="989"/>
    </row>
    <row r="151" spans="2:52" s="130" customFormat="1" ht="262.5" customHeight="1" x14ac:dyDescent="0.25">
      <c r="B151" s="975" t="str">
        <f>input!C55</f>
        <v>FOREST FIRE</v>
      </c>
      <c r="C151" s="976"/>
      <c r="D151" s="965" t="s">
        <v>1396</v>
      </c>
      <c r="E151" s="966"/>
      <c r="F151" s="966"/>
      <c r="G151" s="966"/>
      <c r="H151" s="966"/>
      <c r="I151" s="966"/>
      <c r="J151" s="966"/>
      <c r="K151" s="966"/>
      <c r="L151" s="966"/>
      <c r="M151" s="967"/>
      <c r="N151" s="965" t="s">
        <v>1404</v>
      </c>
      <c r="O151" s="966"/>
      <c r="P151" s="966"/>
      <c r="Q151" s="966"/>
      <c r="R151" s="966"/>
      <c r="S151" s="966"/>
      <c r="T151" s="966"/>
      <c r="U151" s="966"/>
      <c r="V151" s="966"/>
      <c r="W151" s="966"/>
      <c r="X151" s="966"/>
      <c r="Y151" s="966"/>
      <c r="Z151" s="967"/>
    </row>
    <row r="152" spans="2:52" s="130" customFormat="1" ht="262.5" customHeight="1" x14ac:dyDescent="0.25">
      <c r="B152" s="977" t="str">
        <f>input!O55</f>
        <v>EI</v>
      </c>
      <c r="C152" s="978"/>
      <c r="D152" s="968"/>
      <c r="E152" s="969"/>
      <c r="F152" s="969"/>
      <c r="G152" s="969"/>
      <c r="H152" s="969"/>
      <c r="I152" s="969"/>
      <c r="J152" s="969"/>
      <c r="K152" s="969"/>
      <c r="L152" s="969"/>
      <c r="M152" s="970"/>
      <c r="N152" s="968"/>
      <c r="O152" s="969"/>
      <c r="P152" s="969"/>
      <c r="Q152" s="969"/>
      <c r="R152" s="969"/>
      <c r="S152" s="969"/>
      <c r="T152" s="969"/>
      <c r="U152" s="969"/>
      <c r="V152" s="969"/>
      <c r="W152" s="969"/>
      <c r="X152" s="969"/>
      <c r="Y152" s="969"/>
      <c r="Z152" s="970"/>
      <c r="AC152" s="131"/>
    </row>
    <row r="153" spans="2:52" s="130" customFormat="1" ht="262.5" customHeight="1" thickBot="1" x14ac:dyDescent="0.3">
      <c r="B153" s="979" t="str">
        <f>input!V55</f>
        <v>Beside Golf Club Hanging Bridge</v>
      </c>
      <c r="C153" s="980"/>
      <c r="D153" s="971"/>
      <c r="E153" s="972"/>
      <c r="F153" s="972"/>
      <c r="G153" s="972"/>
      <c r="H153" s="972"/>
      <c r="I153" s="972"/>
      <c r="J153" s="972"/>
      <c r="K153" s="972"/>
      <c r="L153" s="972"/>
      <c r="M153" s="973"/>
      <c r="N153" s="971"/>
      <c r="O153" s="972"/>
      <c r="P153" s="972"/>
      <c r="Q153" s="972"/>
      <c r="R153" s="972"/>
      <c r="S153" s="972"/>
      <c r="T153" s="972"/>
      <c r="U153" s="972"/>
      <c r="V153" s="972"/>
      <c r="W153" s="972"/>
      <c r="X153" s="972"/>
      <c r="Y153" s="972"/>
      <c r="Z153" s="973"/>
    </row>
    <row r="154" spans="2:52" s="130" customFormat="1" ht="257.5" customHeight="1" x14ac:dyDescent="0.25">
      <c r="B154" s="952" t="str">
        <f>input!C56</f>
        <v>FOREST FIRE</v>
      </c>
      <c r="C154" s="953"/>
      <c r="D154" s="956" t="s">
        <v>1400</v>
      </c>
      <c r="E154" s="957"/>
      <c r="F154" s="957"/>
      <c r="G154" s="957"/>
      <c r="H154" s="957"/>
      <c r="I154" s="957"/>
      <c r="J154" s="957"/>
      <c r="K154" s="957"/>
      <c r="L154" s="957"/>
      <c r="M154" s="958"/>
      <c r="N154" s="956" t="s">
        <v>1405</v>
      </c>
      <c r="O154" s="957"/>
      <c r="P154" s="957"/>
      <c r="Q154" s="957"/>
      <c r="R154" s="957"/>
      <c r="S154" s="957"/>
      <c r="T154" s="957"/>
      <c r="U154" s="957"/>
      <c r="V154" s="957"/>
      <c r="W154" s="957"/>
      <c r="X154" s="957"/>
      <c r="Y154" s="957"/>
      <c r="Z154" s="958"/>
    </row>
    <row r="155" spans="2:52" s="130" customFormat="1" ht="257.5" customHeight="1" x14ac:dyDescent="0.25">
      <c r="B155" s="948" t="str">
        <f>input!O56</f>
        <v>EI</v>
      </c>
      <c r="C155" s="954"/>
      <c r="D155" s="959"/>
      <c r="E155" s="960"/>
      <c r="F155" s="960"/>
      <c r="G155" s="960"/>
      <c r="H155" s="960"/>
      <c r="I155" s="960"/>
      <c r="J155" s="960"/>
      <c r="K155" s="960"/>
      <c r="L155" s="960"/>
      <c r="M155" s="961"/>
      <c r="N155" s="959"/>
      <c r="O155" s="960"/>
      <c r="P155" s="960"/>
      <c r="Q155" s="960"/>
      <c r="R155" s="960"/>
      <c r="S155" s="960"/>
      <c r="T155" s="960"/>
      <c r="U155" s="960"/>
      <c r="V155" s="960"/>
      <c r="W155" s="960"/>
      <c r="X155" s="960"/>
      <c r="Y155" s="960"/>
      <c r="Z155" s="961"/>
      <c r="AC155" s="131"/>
      <c r="AZ155" s="131"/>
    </row>
    <row r="156" spans="2:52" s="130" customFormat="1" ht="257.5" customHeight="1" thickBot="1" x14ac:dyDescent="0.3">
      <c r="B156" s="950" t="str">
        <f>input!V56</f>
        <v>Beside Golf Club</v>
      </c>
      <c r="C156" s="955"/>
      <c r="D156" s="962"/>
      <c r="E156" s="963"/>
      <c r="F156" s="963"/>
      <c r="G156" s="963"/>
      <c r="H156" s="963"/>
      <c r="I156" s="963"/>
      <c r="J156" s="963"/>
      <c r="K156" s="963"/>
      <c r="L156" s="963"/>
      <c r="M156" s="964"/>
      <c r="N156" s="962"/>
      <c r="O156" s="963"/>
      <c r="P156" s="963"/>
      <c r="Q156" s="963"/>
      <c r="R156" s="963"/>
      <c r="S156" s="963"/>
      <c r="T156" s="963"/>
      <c r="U156" s="963"/>
      <c r="V156" s="963"/>
      <c r="W156" s="963"/>
      <c r="X156" s="963"/>
      <c r="Y156" s="963"/>
      <c r="Z156" s="964"/>
    </row>
    <row r="157" spans="2:52" s="130" customFormat="1" ht="267.5" customHeight="1" x14ac:dyDescent="0.25">
      <c r="B157" s="922" t="str">
        <f>input!C57</f>
        <v>FOREST FIRE</v>
      </c>
      <c r="C157" s="923"/>
      <c r="D157" s="965" t="s">
        <v>1403</v>
      </c>
      <c r="E157" s="966"/>
      <c r="F157" s="966"/>
      <c r="G157" s="966"/>
      <c r="H157" s="966"/>
      <c r="I157" s="966"/>
      <c r="J157" s="966"/>
      <c r="K157" s="966"/>
      <c r="L157" s="966"/>
      <c r="M157" s="967"/>
      <c r="N157" s="965" t="s">
        <v>1406</v>
      </c>
      <c r="O157" s="966"/>
      <c r="P157" s="966"/>
      <c r="Q157" s="966"/>
      <c r="R157" s="966"/>
      <c r="S157" s="966"/>
      <c r="T157" s="966"/>
      <c r="U157" s="966"/>
      <c r="V157" s="966"/>
      <c r="W157" s="966"/>
      <c r="X157" s="966"/>
      <c r="Y157" s="966"/>
      <c r="Z157" s="967"/>
    </row>
    <row r="158" spans="2:52" s="130" customFormat="1" ht="267.5" customHeight="1" x14ac:dyDescent="0.25">
      <c r="B158" s="933" t="str">
        <f>input!O57</f>
        <v>EI</v>
      </c>
      <c r="C158" s="934"/>
      <c r="D158" s="968"/>
      <c r="E158" s="969"/>
      <c r="F158" s="969"/>
      <c r="G158" s="969"/>
      <c r="H158" s="969"/>
      <c r="I158" s="969"/>
      <c r="J158" s="969"/>
      <c r="K158" s="969"/>
      <c r="L158" s="969"/>
      <c r="M158" s="970"/>
      <c r="N158" s="968"/>
      <c r="O158" s="969"/>
      <c r="P158" s="969"/>
      <c r="Q158" s="969"/>
      <c r="R158" s="969"/>
      <c r="S158" s="969"/>
      <c r="T158" s="969"/>
      <c r="U158" s="969"/>
      <c r="V158" s="969"/>
      <c r="W158" s="969"/>
      <c r="X158" s="969"/>
      <c r="Y158" s="969"/>
      <c r="Z158" s="970"/>
      <c r="AC158" s="131"/>
    </row>
    <row r="159" spans="2:52" s="130" customFormat="1" ht="267.5" customHeight="1" thickBot="1" x14ac:dyDescent="0.3">
      <c r="B159" s="935" t="str">
        <f>input!V57</f>
        <v>Pathway Shortcut Going to Marivic, Near Waiting Shed</v>
      </c>
      <c r="C159" s="936"/>
      <c r="D159" s="971"/>
      <c r="E159" s="972"/>
      <c r="F159" s="972"/>
      <c r="G159" s="972"/>
      <c r="H159" s="972"/>
      <c r="I159" s="972"/>
      <c r="J159" s="972"/>
      <c r="K159" s="972"/>
      <c r="L159" s="972"/>
      <c r="M159" s="973"/>
      <c r="N159" s="971"/>
      <c r="O159" s="972"/>
      <c r="P159" s="972"/>
      <c r="Q159" s="972"/>
      <c r="R159" s="972"/>
      <c r="S159" s="972"/>
      <c r="T159" s="972"/>
      <c r="U159" s="972"/>
      <c r="V159" s="972"/>
      <c r="W159" s="972"/>
      <c r="X159" s="972"/>
      <c r="Y159" s="972"/>
      <c r="Z159" s="973"/>
    </row>
    <row r="160" spans="2:52" s="130" customFormat="1" ht="292.5" customHeight="1" x14ac:dyDescent="0.25">
      <c r="B160" s="952" t="str">
        <f>input!C58</f>
        <v>FOREST FIRE</v>
      </c>
      <c r="C160" s="953"/>
      <c r="D160" s="956" t="s">
        <v>1410</v>
      </c>
      <c r="E160" s="957"/>
      <c r="F160" s="957"/>
      <c r="G160" s="957"/>
      <c r="H160" s="957"/>
      <c r="I160" s="957"/>
      <c r="J160" s="957"/>
      <c r="K160" s="957"/>
      <c r="L160" s="957"/>
      <c r="M160" s="958"/>
      <c r="N160" s="956" t="s">
        <v>1414</v>
      </c>
      <c r="O160" s="957"/>
      <c r="P160" s="957"/>
      <c r="Q160" s="957"/>
      <c r="R160" s="957"/>
      <c r="S160" s="957"/>
      <c r="T160" s="957"/>
      <c r="U160" s="957"/>
      <c r="V160" s="957"/>
      <c r="W160" s="957"/>
      <c r="X160" s="957"/>
      <c r="Y160" s="957"/>
      <c r="Z160" s="958"/>
    </row>
    <row r="161" spans="2:52" s="130" customFormat="1" ht="292.5" customHeight="1" x14ac:dyDescent="0.25">
      <c r="B161" s="948" t="str">
        <f>input!O58</f>
        <v>EI</v>
      </c>
      <c r="C161" s="954"/>
      <c r="D161" s="959"/>
      <c r="E161" s="960"/>
      <c r="F161" s="960"/>
      <c r="G161" s="960"/>
      <c r="H161" s="960"/>
      <c r="I161" s="960"/>
      <c r="J161" s="960"/>
      <c r="K161" s="960"/>
      <c r="L161" s="960"/>
      <c r="M161" s="961"/>
      <c r="N161" s="959"/>
      <c r="O161" s="960"/>
      <c r="P161" s="960"/>
      <c r="Q161" s="960"/>
      <c r="R161" s="960"/>
      <c r="S161" s="960"/>
      <c r="T161" s="960"/>
      <c r="U161" s="960"/>
      <c r="V161" s="960"/>
      <c r="W161" s="960"/>
      <c r="X161" s="960"/>
      <c r="Y161" s="960"/>
      <c r="Z161" s="961"/>
      <c r="AC161" s="131"/>
      <c r="AZ161" s="131"/>
    </row>
    <row r="162" spans="2:52" s="130" customFormat="1" ht="292.5" customHeight="1" thickBot="1" x14ac:dyDescent="0.3">
      <c r="B162" s="950" t="str">
        <f>input!V58</f>
        <v>Temporary Storage Area</v>
      </c>
      <c r="C162" s="955"/>
      <c r="D162" s="962"/>
      <c r="E162" s="963"/>
      <c r="F162" s="963"/>
      <c r="G162" s="963"/>
      <c r="H162" s="963"/>
      <c r="I162" s="963"/>
      <c r="J162" s="963"/>
      <c r="K162" s="963"/>
      <c r="L162" s="963"/>
      <c r="M162" s="964"/>
      <c r="N162" s="962"/>
      <c r="O162" s="963"/>
      <c r="P162" s="963"/>
      <c r="Q162" s="963"/>
      <c r="R162" s="963"/>
      <c r="S162" s="963"/>
      <c r="T162" s="963"/>
      <c r="U162" s="963"/>
      <c r="V162" s="963"/>
      <c r="W162" s="963"/>
      <c r="X162" s="963"/>
      <c r="Y162" s="963"/>
      <c r="Z162" s="964"/>
    </row>
    <row r="163" spans="2:52" s="130" customFormat="1" ht="312.5" customHeight="1" x14ac:dyDescent="0.25">
      <c r="B163" s="922" t="str">
        <f>input!C59</f>
        <v>FOREST FIRE</v>
      </c>
      <c r="C163" s="923"/>
      <c r="D163" s="965" t="s">
        <v>1415</v>
      </c>
      <c r="E163" s="966"/>
      <c r="F163" s="966"/>
      <c r="G163" s="966"/>
      <c r="H163" s="966"/>
      <c r="I163" s="966"/>
      <c r="J163" s="966"/>
      <c r="K163" s="966"/>
      <c r="L163" s="966"/>
      <c r="M163" s="967"/>
      <c r="N163" s="965" t="s">
        <v>1416</v>
      </c>
      <c r="O163" s="966"/>
      <c r="P163" s="966"/>
      <c r="Q163" s="966"/>
      <c r="R163" s="966"/>
      <c r="S163" s="966"/>
      <c r="T163" s="966"/>
      <c r="U163" s="966"/>
      <c r="V163" s="966"/>
      <c r="W163" s="966"/>
      <c r="X163" s="966"/>
      <c r="Y163" s="966"/>
      <c r="Z163" s="967"/>
    </row>
    <row r="164" spans="2:52" s="130" customFormat="1" ht="312.5" customHeight="1" x14ac:dyDescent="0.25">
      <c r="B164" s="933" t="str">
        <f>input!O59</f>
        <v>EI</v>
      </c>
      <c r="C164" s="934"/>
      <c r="D164" s="968"/>
      <c r="E164" s="969"/>
      <c r="F164" s="969"/>
      <c r="G164" s="969"/>
      <c r="H164" s="969"/>
      <c r="I164" s="969"/>
      <c r="J164" s="969"/>
      <c r="K164" s="969"/>
      <c r="L164" s="969"/>
      <c r="M164" s="970"/>
      <c r="N164" s="968"/>
      <c r="O164" s="969"/>
      <c r="P164" s="969"/>
      <c r="Q164" s="969"/>
      <c r="R164" s="969"/>
      <c r="S164" s="969"/>
      <c r="T164" s="969"/>
      <c r="U164" s="969"/>
      <c r="V164" s="969"/>
      <c r="W164" s="969"/>
      <c r="X164" s="969"/>
      <c r="Y164" s="969"/>
      <c r="Z164" s="970"/>
      <c r="AC164" s="131"/>
    </row>
    <row r="165" spans="2:52" s="130" customFormat="1" ht="312.5" customHeight="1" thickBot="1" x14ac:dyDescent="0.3">
      <c r="B165" s="935" t="str">
        <f>input!V59</f>
        <v>Near Tank 10</v>
      </c>
      <c r="C165" s="936"/>
      <c r="D165" s="971"/>
      <c r="E165" s="972"/>
      <c r="F165" s="972"/>
      <c r="G165" s="972"/>
      <c r="H165" s="972"/>
      <c r="I165" s="972"/>
      <c r="J165" s="972"/>
      <c r="K165" s="972"/>
      <c r="L165" s="972"/>
      <c r="M165" s="973"/>
      <c r="N165" s="971"/>
      <c r="O165" s="972"/>
      <c r="P165" s="972"/>
      <c r="Q165" s="972"/>
      <c r="R165" s="972"/>
      <c r="S165" s="972"/>
      <c r="T165" s="972"/>
      <c r="U165" s="972"/>
      <c r="V165" s="972"/>
      <c r="W165" s="972"/>
      <c r="X165" s="972"/>
      <c r="Y165" s="972"/>
      <c r="Z165" s="973"/>
    </row>
    <row r="166" spans="2:52" s="130" customFormat="1" ht="352.5" customHeight="1" x14ac:dyDescent="0.25">
      <c r="B166" s="952" t="str">
        <f>input!C60</f>
        <v>FOREST FIRE</v>
      </c>
      <c r="C166" s="953"/>
      <c r="D166" s="956" t="s">
        <v>1393</v>
      </c>
      <c r="E166" s="957"/>
      <c r="F166" s="957"/>
      <c r="G166" s="957"/>
      <c r="H166" s="957"/>
      <c r="I166" s="957"/>
      <c r="J166" s="957"/>
      <c r="K166" s="957"/>
      <c r="L166" s="957"/>
      <c r="M166" s="958"/>
      <c r="N166" s="956" t="s">
        <v>1419</v>
      </c>
      <c r="O166" s="957"/>
      <c r="P166" s="957"/>
      <c r="Q166" s="957"/>
      <c r="R166" s="957"/>
      <c r="S166" s="957"/>
      <c r="T166" s="957"/>
      <c r="U166" s="957"/>
      <c r="V166" s="957"/>
      <c r="W166" s="957"/>
      <c r="X166" s="957"/>
      <c r="Y166" s="957"/>
      <c r="Z166" s="958"/>
    </row>
    <row r="167" spans="2:52" s="130" customFormat="1" ht="352.5" customHeight="1" x14ac:dyDescent="0.25">
      <c r="B167" s="948" t="str">
        <f>input!O60</f>
        <v>EI</v>
      </c>
      <c r="C167" s="954"/>
      <c r="D167" s="959"/>
      <c r="E167" s="960"/>
      <c r="F167" s="960"/>
      <c r="G167" s="960"/>
      <c r="H167" s="960"/>
      <c r="I167" s="960"/>
      <c r="J167" s="960"/>
      <c r="K167" s="960"/>
      <c r="L167" s="960"/>
      <c r="M167" s="961"/>
      <c r="N167" s="959"/>
      <c r="O167" s="960"/>
      <c r="P167" s="960"/>
      <c r="Q167" s="960"/>
      <c r="R167" s="960"/>
      <c r="S167" s="960"/>
      <c r="T167" s="960"/>
      <c r="U167" s="960"/>
      <c r="V167" s="960"/>
      <c r="W167" s="960"/>
      <c r="X167" s="960"/>
      <c r="Y167" s="960"/>
      <c r="Z167" s="961"/>
      <c r="AC167" s="131"/>
      <c r="AZ167" s="131"/>
    </row>
    <row r="168" spans="2:52" s="130" customFormat="1" ht="352.5" customHeight="1" thickBot="1" x14ac:dyDescent="0.3">
      <c r="B168" s="950" t="str">
        <f>input!G60</f>
        <v>TP3 Dam Area</v>
      </c>
      <c r="C168" s="955"/>
      <c r="D168" s="962"/>
      <c r="E168" s="963"/>
      <c r="F168" s="963"/>
      <c r="G168" s="963"/>
      <c r="H168" s="963"/>
      <c r="I168" s="963"/>
      <c r="J168" s="963"/>
      <c r="K168" s="963"/>
      <c r="L168" s="963"/>
      <c r="M168" s="964"/>
      <c r="N168" s="962"/>
      <c r="O168" s="963"/>
      <c r="P168" s="963"/>
      <c r="Q168" s="963"/>
      <c r="R168" s="963"/>
      <c r="S168" s="963"/>
      <c r="T168" s="963"/>
      <c r="U168" s="963"/>
      <c r="V168" s="963"/>
      <c r="W168" s="963"/>
      <c r="X168" s="963"/>
      <c r="Y168" s="963"/>
      <c r="Z168" s="964"/>
    </row>
    <row r="169" spans="2:52" s="130" customFormat="1" ht="282.5" customHeight="1" x14ac:dyDescent="0.25">
      <c r="B169" s="975" t="str">
        <f>input!C61</f>
        <v>FOREST FIRE</v>
      </c>
      <c r="C169" s="976"/>
      <c r="D169" s="965" t="s">
        <v>1418</v>
      </c>
      <c r="E169" s="966"/>
      <c r="F169" s="966"/>
      <c r="G169" s="966"/>
      <c r="H169" s="966"/>
      <c r="I169" s="966"/>
      <c r="J169" s="966"/>
      <c r="K169" s="966"/>
      <c r="L169" s="966"/>
      <c r="M169" s="967"/>
      <c r="N169" s="965" t="s">
        <v>1420</v>
      </c>
      <c r="O169" s="966"/>
      <c r="P169" s="966"/>
      <c r="Q169" s="966"/>
      <c r="R169" s="966"/>
      <c r="S169" s="966"/>
      <c r="T169" s="966"/>
      <c r="U169" s="966"/>
      <c r="V169" s="966"/>
      <c r="W169" s="966"/>
      <c r="X169" s="966"/>
      <c r="Y169" s="966"/>
      <c r="Z169" s="967"/>
    </row>
    <row r="170" spans="2:52" s="130" customFormat="1" ht="282.5" customHeight="1" x14ac:dyDescent="0.25">
      <c r="B170" s="977" t="str">
        <f>input!O61</f>
        <v>EI</v>
      </c>
      <c r="C170" s="978"/>
      <c r="D170" s="968"/>
      <c r="E170" s="969"/>
      <c r="F170" s="969"/>
      <c r="G170" s="969"/>
      <c r="H170" s="969"/>
      <c r="I170" s="969"/>
      <c r="J170" s="969"/>
      <c r="K170" s="969"/>
      <c r="L170" s="969"/>
      <c r="M170" s="970"/>
      <c r="N170" s="968"/>
      <c r="O170" s="969"/>
      <c r="P170" s="969"/>
      <c r="Q170" s="969"/>
      <c r="R170" s="969"/>
      <c r="S170" s="969"/>
      <c r="T170" s="969"/>
      <c r="U170" s="969"/>
      <c r="V170" s="969"/>
      <c r="W170" s="969"/>
      <c r="X170" s="969"/>
      <c r="Y170" s="969"/>
      <c r="Z170" s="970"/>
      <c r="AC170" s="131"/>
    </row>
    <row r="171" spans="2:52" s="130" customFormat="1" ht="282.5" customHeight="1" thickBot="1" x14ac:dyDescent="0.3">
      <c r="B171" s="979" t="str">
        <f>input!V61</f>
        <v>Old Crusher, Golf Course</v>
      </c>
      <c r="C171" s="980"/>
      <c r="D171" s="971"/>
      <c r="E171" s="972"/>
      <c r="F171" s="972"/>
      <c r="G171" s="972"/>
      <c r="H171" s="972"/>
      <c r="I171" s="972"/>
      <c r="J171" s="972"/>
      <c r="K171" s="972"/>
      <c r="L171" s="972"/>
      <c r="M171" s="973"/>
      <c r="N171" s="971"/>
      <c r="O171" s="972"/>
      <c r="P171" s="972"/>
      <c r="Q171" s="972"/>
      <c r="R171" s="972"/>
      <c r="S171" s="972"/>
      <c r="T171" s="972"/>
      <c r="U171" s="972"/>
      <c r="V171" s="972"/>
      <c r="W171" s="972"/>
      <c r="X171" s="972"/>
      <c r="Y171" s="972"/>
      <c r="Z171" s="973"/>
    </row>
    <row r="172" spans="2:52" s="130" customFormat="1" ht="367.5" customHeight="1" x14ac:dyDescent="0.25">
      <c r="B172" s="937" t="str">
        <f>input!C62</f>
        <v>FOREST FIRE</v>
      </c>
      <c r="C172" s="938"/>
      <c r="D172" s="956" t="s">
        <v>1424</v>
      </c>
      <c r="E172" s="957"/>
      <c r="F172" s="957"/>
      <c r="G172" s="957"/>
      <c r="H172" s="957"/>
      <c r="I172" s="957"/>
      <c r="J172" s="957"/>
      <c r="K172" s="957"/>
      <c r="L172" s="957"/>
      <c r="M172" s="958"/>
      <c r="N172" s="956" t="s">
        <v>1425</v>
      </c>
      <c r="O172" s="957"/>
      <c r="P172" s="957"/>
      <c r="Q172" s="957"/>
      <c r="R172" s="957"/>
      <c r="S172" s="957"/>
      <c r="T172" s="957"/>
      <c r="U172" s="957"/>
      <c r="V172" s="957"/>
      <c r="W172" s="957"/>
      <c r="X172" s="957"/>
      <c r="Y172" s="957"/>
      <c r="Z172" s="958"/>
    </row>
    <row r="173" spans="2:52" s="130" customFormat="1" ht="367.5" customHeight="1" x14ac:dyDescent="0.25">
      <c r="B173" s="948" t="str">
        <f>input!O62</f>
        <v>EI</v>
      </c>
      <c r="C173" s="949"/>
      <c r="D173" s="959"/>
      <c r="E173" s="960"/>
      <c r="F173" s="960"/>
      <c r="G173" s="960"/>
      <c r="H173" s="960"/>
      <c r="I173" s="960"/>
      <c r="J173" s="960"/>
      <c r="K173" s="960"/>
      <c r="L173" s="960"/>
      <c r="M173" s="961"/>
      <c r="N173" s="959"/>
      <c r="O173" s="960"/>
      <c r="P173" s="960"/>
      <c r="Q173" s="960"/>
      <c r="R173" s="960"/>
      <c r="S173" s="960"/>
      <c r="T173" s="960"/>
      <c r="U173" s="960"/>
      <c r="V173" s="960"/>
      <c r="W173" s="960"/>
      <c r="X173" s="960"/>
      <c r="Y173" s="960"/>
      <c r="Z173" s="961"/>
      <c r="AC173" s="131"/>
      <c r="AZ173" s="131"/>
    </row>
    <row r="174" spans="2:52" s="130" customFormat="1" ht="367.5" customHeight="1" thickBot="1" x14ac:dyDescent="0.3">
      <c r="B174" s="950" t="str">
        <f>input!V62</f>
        <v>Gate 1 Shortcut to Casubigan, Marivic</v>
      </c>
      <c r="C174" s="951"/>
      <c r="D174" s="962"/>
      <c r="E174" s="963"/>
      <c r="F174" s="963"/>
      <c r="G174" s="963"/>
      <c r="H174" s="963"/>
      <c r="I174" s="963"/>
      <c r="J174" s="963"/>
      <c r="K174" s="963"/>
      <c r="L174" s="963"/>
      <c r="M174" s="964"/>
      <c r="N174" s="962"/>
      <c r="O174" s="963"/>
      <c r="P174" s="963"/>
      <c r="Q174" s="963"/>
      <c r="R174" s="963"/>
      <c r="S174" s="963"/>
      <c r="T174" s="963"/>
      <c r="U174" s="963"/>
      <c r="V174" s="963"/>
      <c r="W174" s="963"/>
      <c r="X174" s="963"/>
      <c r="Y174" s="963"/>
      <c r="Z174" s="964"/>
    </row>
    <row r="175" spans="2:52" s="130" customFormat="1" ht="407.5" customHeight="1" x14ac:dyDescent="0.25">
      <c r="B175" s="974" t="str">
        <f>'Description of Incidents'!A176</f>
        <v>LUCKY F. GERONILLA</v>
      </c>
      <c r="C175" s="923"/>
      <c r="D175" s="965" t="s">
        <v>1482</v>
      </c>
      <c r="E175" s="966"/>
      <c r="F175" s="966"/>
      <c r="G175" s="966"/>
      <c r="H175" s="966"/>
      <c r="I175" s="966"/>
      <c r="J175" s="966"/>
      <c r="K175" s="966"/>
      <c r="L175" s="966"/>
      <c r="M175" s="967"/>
      <c r="N175" s="965" t="s">
        <v>1490</v>
      </c>
      <c r="O175" s="966"/>
      <c r="P175" s="966"/>
      <c r="Q175" s="966"/>
      <c r="R175" s="966"/>
      <c r="S175" s="966"/>
      <c r="T175" s="966"/>
      <c r="U175" s="966"/>
      <c r="V175" s="966"/>
      <c r="W175" s="966"/>
      <c r="X175" s="966"/>
      <c r="Y175" s="966"/>
      <c r="Z175" s="967"/>
    </row>
    <row r="176" spans="2:52" s="130" customFormat="1" ht="407.5" customHeight="1" x14ac:dyDescent="0.25">
      <c r="B176" s="933" t="str">
        <f>'Description of Incidents'!A177</f>
        <v>OI</v>
      </c>
      <c r="C176" s="934"/>
      <c r="D176" s="968"/>
      <c r="E176" s="969"/>
      <c r="F176" s="969"/>
      <c r="G176" s="969"/>
      <c r="H176" s="969"/>
      <c r="I176" s="969"/>
      <c r="J176" s="969"/>
      <c r="K176" s="969"/>
      <c r="L176" s="969"/>
      <c r="M176" s="970"/>
      <c r="N176" s="968"/>
      <c r="O176" s="969"/>
      <c r="P176" s="969"/>
      <c r="Q176" s="969"/>
      <c r="R176" s="969"/>
      <c r="S176" s="969"/>
      <c r="T176" s="969"/>
      <c r="U176" s="969"/>
      <c r="V176" s="969"/>
      <c r="W176" s="969"/>
      <c r="X176" s="969"/>
      <c r="Y176" s="969"/>
      <c r="Z176" s="970"/>
      <c r="AC176" s="131"/>
    </row>
    <row r="177" spans="2:52" s="130" customFormat="1" ht="407.5" customHeight="1" thickBot="1" x14ac:dyDescent="0.3">
      <c r="B177" s="935" t="str">
        <f>'Description of Incidents'!A178</f>
        <v>In front of Mine Office</v>
      </c>
      <c r="C177" s="936"/>
      <c r="D177" s="971"/>
      <c r="E177" s="972"/>
      <c r="F177" s="972"/>
      <c r="G177" s="972"/>
      <c r="H177" s="972"/>
      <c r="I177" s="972"/>
      <c r="J177" s="972"/>
      <c r="K177" s="972"/>
      <c r="L177" s="972"/>
      <c r="M177" s="973"/>
      <c r="N177" s="971"/>
      <c r="O177" s="972"/>
      <c r="P177" s="972"/>
      <c r="Q177" s="972"/>
      <c r="R177" s="972"/>
      <c r="S177" s="972"/>
      <c r="T177" s="972"/>
      <c r="U177" s="972"/>
      <c r="V177" s="972"/>
      <c r="W177" s="972"/>
      <c r="X177" s="972"/>
      <c r="Y177" s="972"/>
      <c r="Z177" s="973"/>
    </row>
    <row r="178" spans="2:52" s="130" customFormat="1" ht="352.5" customHeight="1" x14ac:dyDescent="0.25">
      <c r="B178" s="937" t="str">
        <f>'Description of Incidents'!A179</f>
        <v>RUBEN C. MIANA</v>
      </c>
      <c r="C178" s="938"/>
      <c r="D178" s="956" t="s">
        <v>1516</v>
      </c>
      <c r="E178" s="957"/>
      <c r="F178" s="957"/>
      <c r="G178" s="957"/>
      <c r="H178" s="957"/>
      <c r="I178" s="957"/>
      <c r="J178" s="957"/>
      <c r="K178" s="957"/>
      <c r="L178" s="957"/>
      <c r="M178" s="958"/>
      <c r="N178" s="956" t="s">
        <v>1517</v>
      </c>
      <c r="O178" s="957"/>
      <c r="P178" s="957"/>
      <c r="Q178" s="957"/>
      <c r="R178" s="957"/>
      <c r="S178" s="957"/>
      <c r="T178" s="957"/>
      <c r="U178" s="957"/>
      <c r="V178" s="957"/>
      <c r="W178" s="957"/>
      <c r="X178" s="957"/>
      <c r="Y178" s="957"/>
      <c r="Z178" s="958"/>
    </row>
    <row r="179" spans="2:52" s="130" customFormat="1" ht="352.5" customHeight="1" x14ac:dyDescent="0.25">
      <c r="B179" s="948" t="str">
        <f>'Description of Incidents'!A180</f>
        <v>OI</v>
      </c>
      <c r="C179" s="949"/>
      <c r="D179" s="959"/>
      <c r="E179" s="960"/>
      <c r="F179" s="960"/>
      <c r="G179" s="960"/>
      <c r="H179" s="960"/>
      <c r="I179" s="960"/>
      <c r="J179" s="960"/>
      <c r="K179" s="960"/>
      <c r="L179" s="960"/>
      <c r="M179" s="961"/>
      <c r="N179" s="959"/>
      <c r="O179" s="960"/>
      <c r="P179" s="960"/>
      <c r="Q179" s="960"/>
      <c r="R179" s="960"/>
      <c r="S179" s="960"/>
      <c r="T179" s="960"/>
      <c r="U179" s="960"/>
      <c r="V179" s="960"/>
      <c r="W179" s="960"/>
      <c r="X179" s="960"/>
      <c r="Y179" s="960"/>
      <c r="Z179" s="961"/>
      <c r="AC179" s="131"/>
      <c r="AZ179" s="131"/>
    </row>
    <row r="180" spans="2:52" s="130" customFormat="1" ht="352.5" customHeight="1" thickBot="1" x14ac:dyDescent="0.3">
      <c r="B180" s="950" t="str">
        <f>'Description of Incidents'!A181</f>
        <v>6KB 900L Mainline</v>
      </c>
      <c r="C180" s="951"/>
      <c r="D180" s="962"/>
      <c r="E180" s="963"/>
      <c r="F180" s="963"/>
      <c r="G180" s="963"/>
      <c r="H180" s="963"/>
      <c r="I180" s="963"/>
      <c r="J180" s="963"/>
      <c r="K180" s="963"/>
      <c r="L180" s="963"/>
      <c r="M180" s="964"/>
      <c r="N180" s="962"/>
      <c r="O180" s="963"/>
      <c r="P180" s="963"/>
      <c r="Q180" s="963"/>
      <c r="R180" s="963"/>
      <c r="S180" s="963"/>
      <c r="T180" s="963"/>
      <c r="U180" s="963"/>
      <c r="V180" s="963"/>
      <c r="W180" s="963"/>
      <c r="X180" s="963"/>
      <c r="Y180" s="963"/>
      <c r="Z180" s="964"/>
    </row>
    <row r="181" spans="2:52" s="130" customFormat="1" ht="197.5" customHeight="1" x14ac:dyDescent="0.25">
      <c r="B181" s="922" t="str">
        <f>'Description of Incidents'!A182</f>
        <v>BAGNI G. DOMONGIT</v>
      </c>
      <c r="C181" s="923"/>
      <c r="D181" s="965" t="s">
        <v>1518</v>
      </c>
      <c r="E181" s="966"/>
      <c r="F181" s="966"/>
      <c r="G181" s="966"/>
      <c r="H181" s="966"/>
      <c r="I181" s="966"/>
      <c r="J181" s="966"/>
      <c r="K181" s="966"/>
      <c r="L181" s="966"/>
      <c r="M181" s="967"/>
      <c r="N181" s="924" t="s">
        <v>1519</v>
      </c>
      <c r="O181" s="925"/>
      <c r="P181" s="925"/>
      <c r="Q181" s="925"/>
      <c r="R181" s="925"/>
      <c r="S181" s="925"/>
      <c r="T181" s="925"/>
      <c r="U181" s="925"/>
      <c r="V181" s="925"/>
      <c r="W181" s="925"/>
      <c r="X181" s="925"/>
      <c r="Y181" s="925"/>
      <c r="Z181" s="926"/>
    </row>
    <row r="182" spans="2:52" s="130" customFormat="1" ht="197.5" customHeight="1" x14ac:dyDescent="0.25">
      <c r="B182" s="933" t="str">
        <f>'Description of Incidents'!A183</f>
        <v>OI</v>
      </c>
      <c r="C182" s="934"/>
      <c r="D182" s="968"/>
      <c r="E182" s="969"/>
      <c r="F182" s="969"/>
      <c r="G182" s="969"/>
      <c r="H182" s="969"/>
      <c r="I182" s="969"/>
      <c r="J182" s="969"/>
      <c r="K182" s="969"/>
      <c r="L182" s="969"/>
      <c r="M182" s="970"/>
      <c r="N182" s="927"/>
      <c r="O182" s="928"/>
      <c r="P182" s="928"/>
      <c r="Q182" s="928"/>
      <c r="R182" s="928"/>
      <c r="S182" s="928"/>
      <c r="T182" s="928"/>
      <c r="U182" s="928"/>
      <c r="V182" s="928"/>
      <c r="W182" s="928"/>
      <c r="X182" s="928"/>
      <c r="Y182" s="928"/>
      <c r="Z182" s="929"/>
      <c r="AC182" s="131"/>
    </row>
    <row r="183" spans="2:52" s="130" customFormat="1" ht="197.5" customHeight="1" thickBot="1" x14ac:dyDescent="0.3">
      <c r="B183" s="935" t="str">
        <f>'Description of Incidents'!A184</f>
        <v>249 Area</v>
      </c>
      <c r="C183" s="936"/>
      <c r="D183" s="971"/>
      <c r="E183" s="972"/>
      <c r="F183" s="972"/>
      <c r="G183" s="972"/>
      <c r="H183" s="972"/>
      <c r="I183" s="972"/>
      <c r="J183" s="972"/>
      <c r="K183" s="972"/>
      <c r="L183" s="972"/>
      <c r="M183" s="973"/>
      <c r="N183" s="930"/>
      <c r="O183" s="931"/>
      <c r="P183" s="931"/>
      <c r="Q183" s="931"/>
      <c r="R183" s="931"/>
      <c r="S183" s="931"/>
      <c r="T183" s="931"/>
      <c r="U183" s="931"/>
      <c r="V183" s="931"/>
      <c r="W183" s="931"/>
      <c r="X183" s="931"/>
      <c r="Y183" s="931"/>
      <c r="Z183" s="932"/>
    </row>
    <row r="184" spans="2:52" s="130" customFormat="1" ht="242.5" customHeight="1" x14ac:dyDescent="0.25">
      <c r="B184" s="952" t="str">
        <f>'Description of Incidents'!A185</f>
        <v>GASPAR T. BANGGUIYAO JR.</v>
      </c>
      <c r="C184" s="953"/>
      <c r="D184" s="956" t="s">
        <v>1485</v>
      </c>
      <c r="E184" s="957"/>
      <c r="F184" s="957"/>
      <c r="G184" s="957"/>
      <c r="H184" s="957"/>
      <c r="I184" s="957"/>
      <c r="J184" s="957"/>
      <c r="K184" s="957"/>
      <c r="L184" s="957"/>
      <c r="M184" s="958"/>
      <c r="N184" s="956" t="s">
        <v>1520</v>
      </c>
      <c r="O184" s="957"/>
      <c r="P184" s="957"/>
      <c r="Q184" s="957"/>
      <c r="R184" s="957"/>
      <c r="S184" s="957"/>
      <c r="T184" s="957"/>
      <c r="U184" s="957"/>
      <c r="V184" s="957"/>
      <c r="W184" s="957"/>
      <c r="X184" s="957"/>
      <c r="Y184" s="957"/>
      <c r="Z184" s="958"/>
    </row>
    <row r="185" spans="2:52" s="130" customFormat="1" ht="242.5" customHeight="1" x14ac:dyDescent="0.25">
      <c r="B185" s="948" t="str">
        <f>'Description of Incidents'!A186</f>
        <v>FAC</v>
      </c>
      <c r="C185" s="954"/>
      <c r="D185" s="959"/>
      <c r="E185" s="960"/>
      <c r="F185" s="960"/>
      <c r="G185" s="960"/>
      <c r="H185" s="960"/>
      <c r="I185" s="960"/>
      <c r="J185" s="960"/>
      <c r="K185" s="960"/>
      <c r="L185" s="960"/>
      <c r="M185" s="961"/>
      <c r="N185" s="959"/>
      <c r="O185" s="960"/>
      <c r="P185" s="960"/>
      <c r="Q185" s="960"/>
      <c r="R185" s="960"/>
      <c r="S185" s="960"/>
      <c r="T185" s="960"/>
      <c r="U185" s="960"/>
      <c r="V185" s="960"/>
      <c r="W185" s="960"/>
      <c r="X185" s="960"/>
      <c r="Y185" s="960"/>
      <c r="Z185" s="961"/>
      <c r="AC185" s="131"/>
      <c r="AZ185" s="131"/>
    </row>
    <row r="186" spans="2:52" s="130" customFormat="1" ht="242.5" customHeight="1" thickBot="1" x14ac:dyDescent="0.3">
      <c r="B186" s="950" t="str">
        <f>'Description of Incidents'!A187</f>
        <v>1150 Rock Drill Shop</v>
      </c>
      <c r="C186" s="955"/>
      <c r="D186" s="962"/>
      <c r="E186" s="963"/>
      <c r="F186" s="963"/>
      <c r="G186" s="963"/>
      <c r="H186" s="963"/>
      <c r="I186" s="963"/>
      <c r="J186" s="963"/>
      <c r="K186" s="963"/>
      <c r="L186" s="963"/>
      <c r="M186" s="964"/>
      <c r="N186" s="962"/>
      <c r="O186" s="963"/>
      <c r="P186" s="963"/>
      <c r="Q186" s="963"/>
      <c r="R186" s="963"/>
      <c r="S186" s="963"/>
      <c r="T186" s="963"/>
      <c r="U186" s="963"/>
      <c r="V186" s="963"/>
      <c r="W186" s="963"/>
      <c r="X186" s="963"/>
      <c r="Y186" s="963"/>
      <c r="Z186" s="964"/>
    </row>
    <row r="187" spans="2:52" s="130" customFormat="1" ht="312.5" customHeight="1" x14ac:dyDescent="0.25">
      <c r="B187" s="922" t="str">
        <f>'Description of Incidents'!A188</f>
        <v>FELIPE A. DIWAG</v>
      </c>
      <c r="C187" s="923"/>
      <c r="D187" s="965" t="s">
        <v>1486</v>
      </c>
      <c r="E187" s="966"/>
      <c r="F187" s="966"/>
      <c r="G187" s="966"/>
      <c r="H187" s="966"/>
      <c r="I187" s="966"/>
      <c r="J187" s="966"/>
      <c r="K187" s="966"/>
      <c r="L187" s="966"/>
      <c r="M187" s="967"/>
      <c r="N187" s="924" t="s">
        <v>1549</v>
      </c>
      <c r="O187" s="925"/>
      <c r="P187" s="925"/>
      <c r="Q187" s="925"/>
      <c r="R187" s="925"/>
      <c r="S187" s="925"/>
      <c r="T187" s="925"/>
      <c r="U187" s="925"/>
      <c r="V187" s="925"/>
      <c r="W187" s="925"/>
      <c r="X187" s="925"/>
      <c r="Y187" s="925"/>
      <c r="Z187" s="926"/>
    </row>
    <row r="188" spans="2:52" s="130" customFormat="1" ht="312.5" customHeight="1" x14ac:dyDescent="0.25">
      <c r="B188" s="933" t="str">
        <f>'Description of Incidents'!A189</f>
        <v>FAC</v>
      </c>
      <c r="C188" s="934"/>
      <c r="D188" s="968"/>
      <c r="E188" s="969"/>
      <c r="F188" s="969"/>
      <c r="G188" s="969"/>
      <c r="H188" s="969"/>
      <c r="I188" s="969"/>
      <c r="J188" s="969"/>
      <c r="K188" s="969"/>
      <c r="L188" s="969"/>
      <c r="M188" s="970"/>
      <c r="N188" s="927"/>
      <c r="O188" s="928"/>
      <c r="P188" s="928"/>
      <c r="Q188" s="928"/>
      <c r="R188" s="928"/>
      <c r="S188" s="928"/>
      <c r="T188" s="928"/>
      <c r="U188" s="928"/>
      <c r="V188" s="928"/>
      <c r="W188" s="928"/>
      <c r="X188" s="928"/>
      <c r="Y188" s="928"/>
      <c r="Z188" s="929"/>
      <c r="AC188" s="131"/>
    </row>
    <row r="189" spans="2:52" s="130" customFormat="1" ht="312.5" customHeight="1" thickBot="1" x14ac:dyDescent="0.3">
      <c r="B189" s="935" t="str">
        <f>'Description of Incidents'!A190</f>
        <v xml:space="preserve">745 Tubo switch point </v>
      </c>
      <c r="C189" s="936"/>
      <c r="D189" s="971"/>
      <c r="E189" s="972"/>
      <c r="F189" s="972"/>
      <c r="G189" s="972"/>
      <c r="H189" s="972"/>
      <c r="I189" s="972"/>
      <c r="J189" s="972"/>
      <c r="K189" s="972"/>
      <c r="L189" s="972"/>
      <c r="M189" s="973"/>
      <c r="N189" s="930"/>
      <c r="O189" s="931"/>
      <c r="P189" s="931"/>
      <c r="Q189" s="931"/>
      <c r="R189" s="931"/>
      <c r="S189" s="931"/>
      <c r="T189" s="931"/>
      <c r="U189" s="931"/>
      <c r="V189" s="931"/>
      <c r="W189" s="931"/>
      <c r="X189" s="931"/>
      <c r="Y189" s="931"/>
      <c r="Z189" s="932"/>
    </row>
    <row r="190" spans="2:52" s="130" customFormat="1" ht="202.5" customHeight="1" x14ac:dyDescent="0.25">
      <c r="B190" s="937" t="str">
        <f>'Description of Incidents'!A191</f>
        <v>LEONITO PEROLINO</v>
      </c>
      <c r="C190" s="938"/>
      <c r="D190" s="939" t="s">
        <v>1487</v>
      </c>
      <c r="E190" s="940"/>
      <c r="F190" s="940"/>
      <c r="G190" s="940"/>
      <c r="H190" s="940"/>
      <c r="I190" s="940"/>
      <c r="J190" s="940"/>
      <c r="K190" s="940"/>
      <c r="L190" s="940"/>
      <c r="M190" s="941"/>
      <c r="N190" s="956" t="s">
        <v>1522</v>
      </c>
      <c r="O190" s="957"/>
      <c r="P190" s="957"/>
      <c r="Q190" s="957"/>
      <c r="R190" s="957"/>
      <c r="S190" s="957"/>
      <c r="T190" s="957"/>
      <c r="U190" s="957"/>
      <c r="V190" s="957"/>
      <c r="W190" s="957"/>
      <c r="X190" s="957"/>
      <c r="Y190" s="957"/>
      <c r="Z190" s="958"/>
    </row>
    <row r="191" spans="2:52" s="130" customFormat="1" ht="202.5" customHeight="1" x14ac:dyDescent="0.25">
      <c r="B191" s="948" t="str">
        <f>'Description of Incidents'!A192</f>
        <v>FAC</v>
      </c>
      <c r="C191" s="949"/>
      <c r="D191" s="942"/>
      <c r="E191" s="943"/>
      <c r="F191" s="943"/>
      <c r="G191" s="943"/>
      <c r="H191" s="943"/>
      <c r="I191" s="943"/>
      <c r="J191" s="943"/>
      <c r="K191" s="943"/>
      <c r="L191" s="943"/>
      <c r="M191" s="944"/>
      <c r="N191" s="959"/>
      <c r="O191" s="960"/>
      <c r="P191" s="960"/>
      <c r="Q191" s="960"/>
      <c r="R191" s="960"/>
      <c r="S191" s="960"/>
      <c r="T191" s="960"/>
      <c r="U191" s="960"/>
      <c r="V191" s="960"/>
      <c r="W191" s="960"/>
      <c r="X191" s="960"/>
      <c r="Y191" s="960"/>
      <c r="Z191" s="961"/>
      <c r="AC191" s="131"/>
      <c r="AZ191" s="131"/>
    </row>
    <row r="192" spans="2:52" s="130" customFormat="1" ht="202.5" customHeight="1" thickBot="1" x14ac:dyDescent="0.3">
      <c r="B192" s="950" t="str">
        <f>'Description of Incidents'!A193</f>
        <v>800 ME-2 CUDDY</v>
      </c>
      <c r="C192" s="951"/>
      <c r="D192" s="945"/>
      <c r="E192" s="946"/>
      <c r="F192" s="946"/>
      <c r="G192" s="946"/>
      <c r="H192" s="946"/>
      <c r="I192" s="946"/>
      <c r="J192" s="946"/>
      <c r="K192" s="946"/>
      <c r="L192" s="946"/>
      <c r="M192" s="947"/>
      <c r="N192" s="962"/>
      <c r="O192" s="963"/>
      <c r="P192" s="963"/>
      <c r="Q192" s="963"/>
      <c r="R192" s="963"/>
      <c r="S192" s="963"/>
      <c r="T192" s="963"/>
      <c r="U192" s="963"/>
      <c r="V192" s="963"/>
      <c r="W192" s="963"/>
      <c r="X192" s="963"/>
      <c r="Y192" s="963"/>
      <c r="Z192" s="964"/>
    </row>
    <row r="193" spans="2:52" s="130" customFormat="1" ht="252.5" customHeight="1" x14ac:dyDescent="0.25">
      <c r="B193" s="922" t="str">
        <f>'Description of Incidents'!A194</f>
        <v>JERON P. MEDRANO</v>
      </c>
      <c r="C193" s="923"/>
      <c r="D193" s="924" t="s">
        <v>1488</v>
      </c>
      <c r="E193" s="925"/>
      <c r="F193" s="925"/>
      <c r="G193" s="925"/>
      <c r="H193" s="925"/>
      <c r="I193" s="925"/>
      <c r="J193" s="925"/>
      <c r="K193" s="925"/>
      <c r="L193" s="925"/>
      <c r="M193" s="926"/>
      <c r="N193" s="924" t="s">
        <v>1523</v>
      </c>
      <c r="O193" s="925"/>
      <c r="P193" s="925"/>
      <c r="Q193" s="925"/>
      <c r="R193" s="925"/>
      <c r="S193" s="925"/>
      <c r="T193" s="925"/>
      <c r="U193" s="925"/>
      <c r="V193" s="925"/>
      <c r="W193" s="925"/>
      <c r="X193" s="925"/>
      <c r="Y193" s="925"/>
      <c r="Z193" s="926"/>
    </row>
    <row r="194" spans="2:52" s="130" customFormat="1" ht="252.5" customHeight="1" x14ac:dyDescent="0.25">
      <c r="B194" s="933" t="str">
        <f>'Description of Incidents'!A195</f>
        <v>OI</v>
      </c>
      <c r="C194" s="934"/>
      <c r="D194" s="927"/>
      <c r="E194" s="928"/>
      <c r="F194" s="928"/>
      <c r="G194" s="928"/>
      <c r="H194" s="928"/>
      <c r="I194" s="928"/>
      <c r="J194" s="928"/>
      <c r="K194" s="928"/>
      <c r="L194" s="928"/>
      <c r="M194" s="929"/>
      <c r="N194" s="927"/>
      <c r="O194" s="928"/>
      <c r="P194" s="928"/>
      <c r="Q194" s="928"/>
      <c r="R194" s="928"/>
      <c r="S194" s="928"/>
      <c r="T194" s="928"/>
      <c r="U194" s="928"/>
      <c r="V194" s="928"/>
      <c r="W194" s="928"/>
      <c r="X194" s="928"/>
      <c r="Y194" s="928"/>
      <c r="Z194" s="929"/>
      <c r="AC194" s="131"/>
    </row>
    <row r="195" spans="2:52" s="130" customFormat="1" ht="252.5" customHeight="1" thickBot="1" x14ac:dyDescent="0.3">
      <c r="B195" s="935" t="str">
        <f>'Description of Incidents'!A196</f>
        <v>24048 Access</v>
      </c>
      <c r="C195" s="936"/>
      <c r="D195" s="930"/>
      <c r="E195" s="931"/>
      <c r="F195" s="931"/>
      <c r="G195" s="931"/>
      <c r="H195" s="931"/>
      <c r="I195" s="931"/>
      <c r="J195" s="931"/>
      <c r="K195" s="931"/>
      <c r="L195" s="931"/>
      <c r="M195" s="932"/>
      <c r="N195" s="930"/>
      <c r="O195" s="931"/>
      <c r="P195" s="931"/>
      <c r="Q195" s="931"/>
      <c r="R195" s="931"/>
      <c r="S195" s="931"/>
      <c r="T195" s="931"/>
      <c r="U195" s="931"/>
      <c r="V195" s="931"/>
      <c r="W195" s="931"/>
      <c r="X195" s="931"/>
      <c r="Y195" s="931"/>
      <c r="Z195" s="932"/>
    </row>
    <row r="196" spans="2:52" s="130" customFormat="1" ht="397.5" customHeight="1" x14ac:dyDescent="0.25">
      <c r="B196" s="937" t="str">
        <f>'Description of Incidents'!A197</f>
        <v>JOSEPH A. BANTIYAG</v>
      </c>
      <c r="C196" s="938"/>
      <c r="D196" s="939" t="s">
        <v>1524</v>
      </c>
      <c r="E196" s="940"/>
      <c r="F196" s="940"/>
      <c r="G196" s="940"/>
      <c r="H196" s="940"/>
      <c r="I196" s="940"/>
      <c r="J196" s="940"/>
      <c r="K196" s="940"/>
      <c r="L196" s="940"/>
      <c r="M196" s="941"/>
      <c r="N196" s="956" t="s">
        <v>1525</v>
      </c>
      <c r="O196" s="957"/>
      <c r="P196" s="957"/>
      <c r="Q196" s="957"/>
      <c r="R196" s="957"/>
      <c r="S196" s="957"/>
      <c r="T196" s="957"/>
      <c r="U196" s="957"/>
      <c r="V196" s="957"/>
      <c r="W196" s="957"/>
      <c r="X196" s="957"/>
      <c r="Y196" s="957"/>
      <c r="Z196" s="958"/>
    </row>
    <row r="197" spans="2:52" s="130" customFormat="1" ht="397.5" customHeight="1" x14ac:dyDescent="0.25">
      <c r="B197" s="948" t="str">
        <f>'Description of Incidents'!A198</f>
        <v>FAC</v>
      </c>
      <c r="C197" s="949"/>
      <c r="D197" s="942"/>
      <c r="E197" s="943"/>
      <c r="F197" s="943"/>
      <c r="G197" s="943"/>
      <c r="H197" s="943"/>
      <c r="I197" s="943"/>
      <c r="J197" s="943"/>
      <c r="K197" s="943"/>
      <c r="L197" s="943"/>
      <c r="M197" s="944"/>
      <c r="N197" s="959"/>
      <c r="O197" s="960"/>
      <c r="P197" s="960"/>
      <c r="Q197" s="960"/>
      <c r="R197" s="960"/>
      <c r="S197" s="960"/>
      <c r="T197" s="960"/>
      <c r="U197" s="960"/>
      <c r="V197" s="960"/>
      <c r="W197" s="960"/>
      <c r="X197" s="960"/>
      <c r="Y197" s="960"/>
      <c r="Z197" s="961"/>
      <c r="AC197" s="131"/>
      <c r="AZ197" s="131"/>
    </row>
    <row r="198" spans="2:52" s="130" customFormat="1" ht="397.5" customHeight="1" thickBot="1" x14ac:dyDescent="0.3">
      <c r="B198" s="950" t="str">
        <f>'Description of Incidents'!A199</f>
        <v>320 B Ramp 1150L</v>
      </c>
      <c r="C198" s="951"/>
      <c r="D198" s="945"/>
      <c r="E198" s="946"/>
      <c r="F198" s="946"/>
      <c r="G198" s="946"/>
      <c r="H198" s="946"/>
      <c r="I198" s="946"/>
      <c r="J198" s="946"/>
      <c r="K198" s="946"/>
      <c r="L198" s="946"/>
      <c r="M198" s="947"/>
      <c r="N198" s="962"/>
      <c r="O198" s="963"/>
      <c r="P198" s="963"/>
      <c r="Q198" s="963"/>
      <c r="R198" s="963"/>
      <c r="S198" s="963"/>
      <c r="T198" s="963"/>
      <c r="U198" s="963"/>
      <c r="V198" s="963"/>
      <c r="W198" s="963"/>
      <c r="X198" s="963"/>
      <c r="Y198" s="963"/>
      <c r="Z198" s="964"/>
    </row>
    <row r="199" spans="2:52" s="130" customFormat="1" ht="357.5" customHeight="1" x14ac:dyDescent="0.25">
      <c r="B199" s="922" t="str">
        <f>'Description of Incidents'!A200</f>
        <v>EDWARD P. DAPIDAP</v>
      </c>
      <c r="C199" s="923"/>
      <c r="D199" s="924" t="s">
        <v>1563</v>
      </c>
      <c r="E199" s="925"/>
      <c r="F199" s="925"/>
      <c r="G199" s="925"/>
      <c r="H199" s="925"/>
      <c r="I199" s="925"/>
      <c r="J199" s="925"/>
      <c r="K199" s="925"/>
      <c r="L199" s="925"/>
      <c r="M199" s="926"/>
      <c r="N199" s="924" t="s">
        <v>1498</v>
      </c>
      <c r="O199" s="925"/>
      <c r="P199" s="925"/>
      <c r="Q199" s="925"/>
      <c r="R199" s="925"/>
      <c r="S199" s="925"/>
      <c r="T199" s="925"/>
      <c r="U199" s="925"/>
      <c r="V199" s="925"/>
      <c r="W199" s="925"/>
      <c r="X199" s="925"/>
      <c r="Y199" s="925"/>
      <c r="Z199" s="926"/>
    </row>
    <row r="200" spans="2:52" s="130" customFormat="1" ht="357.5" customHeight="1" x14ac:dyDescent="0.25">
      <c r="B200" s="933" t="str">
        <f>'Description of Incidents'!A201</f>
        <v>FAC</v>
      </c>
      <c r="C200" s="934"/>
      <c r="D200" s="927"/>
      <c r="E200" s="928"/>
      <c r="F200" s="928"/>
      <c r="G200" s="928"/>
      <c r="H200" s="928"/>
      <c r="I200" s="928"/>
      <c r="J200" s="928"/>
      <c r="K200" s="928"/>
      <c r="L200" s="928"/>
      <c r="M200" s="929"/>
      <c r="N200" s="927"/>
      <c r="O200" s="928"/>
      <c r="P200" s="928"/>
      <c r="Q200" s="928"/>
      <c r="R200" s="928"/>
      <c r="S200" s="928"/>
      <c r="T200" s="928"/>
      <c r="U200" s="928"/>
      <c r="V200" s="928"/>
      <c r="W200" s="928"/>
      <c r="X200" s="928"/>
      <c r="Y200" s="928"/>
      <c r="Z200" s="929"/>
      <c r="AC200" s="131"/>
    </row>
    <row r="201" spans="2:52" s="130" customFormat="1" ht="357.5" customHeight="1" thickBot="1" x14ac:dyDescent="0.3">
      <c r="B201" s="935" t="str">
        <f>'Description of Incidents'!A202</f>
        <v>Tubo, Old Traffic Area</v>
      </c>
      <c r="C201" s="936"/>
      <c r="D201" s="930"/>
      <c r="E201" s="931"/>
      <c r="F201" s="931"/>
      <c r="G201" s="931"/>
      <c r="H201" s="931"/>
      <c r="I201" s="931"/>
      <c r="J201" s="931"/>
      <c r="K201" s="931"/>
      <c r="L201" s="931"/>
      <c r="M201" s="932"/>
      <c r="N201" s="930"/>
      <c r="O201" s="931"/>
      <c r="P201" s="931"/>
      <c r="Q201" s="931"/>
      <c r="R201" s="931"/>
      <c r="S201" s="931"/>
      <c r="T201" s="931"/>
      <c r="U201" s="931"/>
      <c r="V201" s="931"/>
      <c r="W201" s="931"/>
      <c r="X201" s="931"/>
      <c r="Y201" s="931"/>
      <c r="Z201" s="932"/>
    </row>
    <row r="202" spans="2:52" s="130" customFormat="1" ht="232.5" customHeight="1" x14ac:dyDescent="0.25">
      <c r="B202" s="1115" t="str">
        <f>'Description of Incidents'!A203</f>
        <v>JOHN WAYNE L. TUDLONG; JAY-AR B. BANASAN</v>
      </c>
      <c r="C202" s="1116"/>
      <c r="D202" s="939" t="s">
        <v>1506</v>
      </c>
      <c r="E202" s="940"/>
      <c r="F202" s="940"/>
      <c r="G202" s="940"/>
      <c r="H202" s="940"/>
      <c r="I202" s="940"/>
      <c r="J202" s="940"/>
      <c r="K202" s="940"/>
      <c r="L202" s="940"/>
      <c r="M202" s="941"/>
      <c r="N202" s="939" t="s">
        <v>1507</v>
      </c>
      <c r="O202" s="940"/>
      <c r="P202" s="940"/>
      <c r="Q202" s="940"/>
      <c r="R202" s="940"/>
      <c r="S202" s="940"/>
      <c r="T202" s="940"/>
      <c r="U202" s="940"/>
      <c r="V202" s="940"/>
      <c r="W202" s="940"/>
      <c r="X202" s="940"/>
      <c r="Y202" s="940"/>
      <c r="Z202" s="941"/>
    </row>
    <row r="203" spans="2:52" s="130" customFormat="1" ht="232.5" customHeight="1" x14ac:dyDescent="0.25">
      <c r="B203" s="1117" t="str">
        <f>'Description of Incidents'!A204</f>
        <v>NM</v>
      </c>
      <c r="C203" s="1118"/>
      <c r="D203" s="942"/>
      <c r="E203" s="943"/>
      <c r="F203" s="943"/>
      <c r="G203" s="943"/>
      <c r="H203" s="943"/>
      <c r="I203" s="943"/>
      <c r="J203" s="943"/>
      <c r="K203" s="943"/>
      <c r="L203" s="943"/>
      <c r="M203" s="944"/>
      <c r="N203" s="942"/>
      <c r="O203" s="943"/>
      <c r="P203" s="943"/>
      <c r="Q203" s="943"/>
      <c r="R203" s="943"/>
      <c r="S203" s="943"/>
      <c r="T203" s="943"/>
      <c r="U203" s="943"/>
      <c r="V203" s="943"/>
      <c r="W203" s="943"/>
      <c r="X203" s="943"/>
      <c r="Y203" s="943"/>
      <c r="Z203" s="944"/>
      <c r="AC203" s="131"/>
    </row>
    <row r="204" spans="2:52" s="130" customFormat="1" ht="232.5" customHeight="1" thickBot="1" x14ac:dyDescent="0.3">
      <c r="B204" s="1119" t="str">
        <f>'Description of Incidents'!A205</f>
        <v>Crushing Area</v>
      </c>
      <c r="C204" s="1120"/>
      <c r="D204" s="945"/>
      <c r="E204" s="946"/>
      <c r="F204" s="946"/>
      <c r="G204" s="946"/>
      <c r="H204" s="946"/>
      <c r="I204" s="946"/>
      <c r="J204" s="946"/>
      <c r="K204" s="946"/>
      <c r="L204" s="946"/>
      <c r="M204" s="947"/>
      <c r="N204" s="945"/>
      <c r="O204" s="946"/>
      <c r="P204" s="946"/>
      <c r="Q204" s="946"/>
      <c r="R204" s="946"/>
      <c r="S204" s="946"/>
      <c r="T204" s="946"/>
      <c r="U204" s="946"/>
      <c r="V204" s="946"/>
      <c r="W204" s="946"/>
      <c r="X204" s="946"/>
      <c r="Y204" s="946"/>
      <c r="Z204" s="947"/>
    </row>
    <row r="205" spans="2:52" s="130" customFormat="1" ht="274" customHeight="1" x14ac:dyDescent="0.25">
      <c r="B205" s="975" t="str">
        <f>'Description of Incidents'!A206</f>
        <v>HOLDING MOTOR OF THE P&amp;H CRANE #1</v>
      </c>
      <c r="C205" s="976"/>
      <c r="D205" s="924" t="s">
        <v>1513</v>
      </c>
      <c r="E205" s="925"/>
      <c r="F205" s="925"/>
      <c r="G205" s="925"/>
      <c r="H205" s="925"/>
      <c r="I205" s="925"/>
      <c r="J205" s="925"/>
      <c r="K205" s="925"/>
      <c r="L205" s="925"/>
      <c r="M205" s="926"/>
      <c r="N205" s="924" t="s">
        <v>1548</v>
      </c>
      <c r="O205" s="925"/>
      <c r="P205" s="925"/>
      <c r="Q205" s="925"/>
      <c r="R205" s="925"/>
      <c r="S205" s="925"/>
      <c r="T205" s="925"/>
      <c r="U205" s="925"/>
      <c r="V205" s="925"/>
      <c r="W205" s="925"/>
      <c r="X205" s="925"/>
      <c r="Y205" s="925"/>
      <c r="Z205" s="926"/>
    </row>
    <row r="206" spans="2:52" s="130" customFormat="1" ht="274" customHeight="1" x14ac:dyDescent="0.25">
      <c r="B206" s="977" t="str">
        <f>'Description of Incidents'!A207</f>
        <v>PD</v>
      </c>
      <c r="C206" s="978"/>
      <c r="D206" s="927"/>
      <c r="E206" s="928"/>
      <c r="F206" s="928"/>
      <c r="G206" s="928"/>
      <c r="H206" s="928"/>
      <c r="I206" s="928"/>
      <c r="J206" s="928"/>
      <c r="K206" s="928"/>
      <c r="L206" s="928"/>
      <c r="M206" s="929"/>
      <c r="N206" s="927"/>
      <c r="O206" s="928"/>
      <c r="P206" s="928"/>
      <c r="Q206" s="928"/>
      <c r="R206" s="928"/>
      <c r="S206" s="928"/>
      <c r="T206" s="928"/>
      <c r="U206" s="928"/>
      <c r="V206" s="928"/>
      <c r="W206" s="928"/>
      <c r="X206" s="928"/>
      <c r="Y206" s="928"/>
      <c r="Z206" s="929"/>
      <c r="AC206" s="131"/>
    </row>
    <row r="207" spans="2:52" s="130" customFormat="1" ht="274" customHeight="1" thickBot="1" x14ac:dyDescent="0.3">
      <c r="B207" s="979" t="str">
        <f>'Description of Incidents'!A208</f>
        <v>Lower Tram</v>
      </c>
      <c r="C207" s="980"/>
      <c r="D207" s="930"/>
      <c r="E207" s="931"/>
      <c r="F207" s="931"/>
      <c r="G207" s="931"/>
      <c r="H207" s="931"/>
      <c r="I207" s="931"/>
      <c r="J207" s="931"/>
      <c r="K207" s="931"/>
      <c r="L207" s="931"/>
      <c r="M207" s="932"/>
      <c r="N207" s="930"/>
      <c r="O207" s="931"/>
      <c r="P207" s="931"/>
      <c r="Q207" s="931"/>
      <c r="R207" s="931"/>
      <c r="S207" s="931"/>
      <c r="T207" s="931"/>
      <c r="U207" s="931"/>
      <c r="V207" s="931"/>
      <c r="W207" s="931"/>
      <c r="X207" s="931"/>
      <c r="Y207" s="931"/>
      <c r="Z207" s="932"/>
    </row>
    <row r="208" spans="2:52" s="130" customFormat="1" ht="337.5" customHeight="1" x14ac:dyDescent="0.25">
      <c r="B208" s="1115" t="str">
        <f>'Description of Incidents'!A209</f>
        <v>FOREST FIRE</v>
      </c>
      <c r="C208" s="1116"/>
      <c r="D208" s="939" t="s">
        <v>1515</v>
      </c>
      <c r="E208" s="940"/>
      <c r="F208" s="940"/>
      <c r="G208" s="940"/>
      <c r="H208" s="940"/>
      <c r="I208" s="940"/>
      <c r="J208" s="940"/>
      <c r="K208" s="940"/>
      <c r="L208" s="940"/>
      <c r="M208" s="941"/>
      <c r="N208" s="939" t="s">
        <v>1526</v>
      </c>
      <c r="O208" s="940"/>
      <c r="P208" s="940"/>
      <c r="Q208" s="940"/>
      <c r="R208" s="940"/>
      <c r="S208" s="940"/>
      <c r="T208" s="940"/>
      <c r="U208" s="940"/>
      <c r="V208" s="940"/>
      <c r="W208" s="940"/>
      <c r="X208" s="940"/>
      <c r="Y208" s="940"/>
      <c r="Z208" s="941"/>
    </row>
    <row r="209" spans="2:29" s="130" customFormat="1" ht="337.5" customHeight="1" x14ac:dyDescent="0.25">
      <c r="B209" s="1117" t="str">
        <f>'Description of Incidents'!A210</f>
        <v>EI</v>
      </c>
      <c r="C209" s="1118"/>
      <c r="D209" s="942"/>
      <c r="E209" s="943"/>
      <c r="F209" s="943"/>
      <c r="G209" s="943"/>
      <c r="H209" s="943"/>
      <c r="I209" s="943"/>
      <c r="J209" s="943"/>
      <c r="K209" s="943"/>
      <c r="L209" s="943"/>
      <c r="M209" s="944"/>
      <c r="N209" s="942"/>
      <c r="O209" s="943"/>
      <c r="P209" s="943"/>
      <c r="Q209" s="943"/>
      <c r="R209" s="943"/>
      <c r="S209" s="943"/>
      <c r="T209" s="943"/>
      <c r="U209" s="943"/>
      <c r="V209" s="943"/>
      <c r="W209" s="943"/>
      <c r="X209" s="943"/>
      <c r="Y209" s="943"/>
      <c r="Z209" s="944"/>
      <c r="AC209" s="131"/>
    </row>
    <row r="210" spans="2:29" s="130" customFormat="1" ht="337.5" customHeight="1" thickBot="1" x14ac:dyDescent="0.3">
      <c r="B210" s="1119" t="str">
        <f>'Description of Incidents'!A211</f>
        <v>Panad, Near Rotunda</v>
      </c>
      <c r="C210" s="1120"/>
      <c r="D210" s="945"/>
      <c r="E210" s="946"/>
      <c r="F210" s="946"/>
      <c r="G210" s="946"/>
      <c r="H210" s="946"/>
      <c r="I210" s="946"/>
      <c r="J210" s="946"/>
      <c r="K210" s="946"/>
      <c r="L210" s="946"/>
      <c r="M210" s="947"/>
      <c r="N210" s="945"/>
      <c r="O210" s="946"/>
      <c r="P210" s="946"/>
      <c r="Q210" s="946"/>
      <c r="R210" s="946"/>
      <c r="S210" s="946"/>
      <c r="T210" s="946"/>
      <c r="U210" s="946"/>
      <c r="V210" s="946"/>
      <c r="W210" s="946"/>
      <c r="X210" s="946"/>
      <c r="Y210" s="946"/>
      <c r="Z210" s="947"/>
    </row>
    <row r="211" spans="2:29" s="130" customFormat="1" ht="337.5" customHeight="1" x14ac:dyDescent="0.25">
      <c r="B211" s="975" t="str">
        <f>'Description of Incidents'!A212</f>
        <v>SLURRY SPILL</v>
      </c>
      <c r="C211" s="976"/>
      <c r="D211" s="924" t="s">
        <v>1547</v>
      </c>
      <c r="E211" s="925"/>
      <c r="F211" s="925"/>
      <c r="G211" s="925"/>
      <c r="H211" s="925"/>
      <c r="I211" s="925"/>
      <c r="J211" s="925"/>
      <c r="K211" s="925"/>
      <c r="L211" s="925"/>
      <c r="M211" s="926"/>
      <c r="N211" s="924" t="s">
        <v>1551</v>
      </c>
      <c r="O211" s="925"/>
      <c r="P211" s="925"/>
      <c r="Q211" s="925"/>
      <c r="R211" s="925"/>
      <c r="S211" s="925"/>
      <c r="T211" s="925"/>
      <c r="U211" s="925"/>
      <c r="V211" s="925"/>
      <c r="W211" s="925"/>
      <c r="X211" s="925"/>
      <c r="Y211" s="925"/>
      <c r="Z211" s="926"/>
    </row>
    <row r="212" spans="2:29" s="130" customFormat="1" ht="337.5" customHeight="1" x14ac:dyDescent="0.25">
      <c r="B212" s="977" t="str">
        <f>'Description of Incidents'!A213</f>
        <v>EI</v>
      </c>
      <c r="C212" s="978"/>
      <c r="D212" s="927"/>
      <c r="E212" s="928"/>
      <c r="F212" s="928"/>
      <c r="G212" s="928"/>
      <c r="H212" s="928"/>
      <c r="I212" s="928"/>
      <c r="J212" s="928"/>
      <c r="K212" s="928"/>
      <c r="L212" s="928"/>
      <c r="M212" s="929"/>
      <c r="N212" s="927"/>
      <c r="O212" s="928"/>
      <c r="P212" s="928"/>
      <c r="Q212" s="928"/>
      <c r="R212" s="928"/>
      <c r="S212" s="928"/>
      <c r="T212" s="928"/>
      <c r="U212" s="928"/>
      <c r="V212" s="928"/>
      <c r="W212" s="928"/>
      <c r="X212" s="928"/>
      <c r="Y212" s="928"/>
      <c r="Z212" s="929"/>
      <c r="AC212" s="131"/>
    </row>
    <row r="213" spans="2:29" s="130" customFormat="1" ht="337.5" customHeight="1" thickBot="1" x14ac:dyDescent="0.3">
      <c r="B213" s="979" t="str">
        <f>'Description of Incidents'!A214</f>
        <v>Leach Tank Area</v>
      </c>
      <c r="C213" s="980"/>
      <c r="D213" s="930"/>
      <c r="E213" s="931"/>
      <c r="F213" s="931"/>
      <c r="G213" s="931"/>
      <c r="H213" s="931"/>
      <c r="I213" s="931"/>
      <c r="J213" s="931"/>
      <c r="K213" s="931"/>
      <c r="L213" s="931"/>
      <c r="M213" s="932"/>
      <c r="N213" s="930"/>
      <c r="O213" s="931"/>
      <c r="P213" s="931"/>
      <c r="Q213" s="931"/>
      <c r="R213" s="931"/>
      <c r="S213" s="931"/>
      <c r="T213" s="931"/>
      <c r="U213" s="931"/>
      <c r="V213" s="931"/>
      <c r="W213" s="931"/>
      <c r="X213" s="931"/>
      <c r="Y213" s="931"/>
      <c r="Z213" s="932"/>
    </row>
    <row r="214" spans="2:29" s="130" customFormat="1" ht="407.5" customHeight="1" x14ac:dyDescent="0.25">
      <c r="B214" s="1115" t="str">
        <f>'Description of Incidents'!A215</f>
        <v>SANDY A. SAD-AYAN</v>
      </c>
      <c r="C214" s="1116"/>
      <c r="D214" s="939" t="s">
        <v>1562</v>
      </c>
      <c r="E214" s="940"/>
      <c r="F214" s="940"/>
      <c r="G214" s="940"/>
      <c r="H214" s="940"/>
      <c r="I214" s="940"/>
      <c r="J214" s="940"/>
      <c r="K214" s="940"/>
      <c r="L214" s="940"/>
      <c r="M214" s="941"/>
      <c r="N214" s="939" t="s">
        <v>1564</v>
      </c>
      <c r="O214" s="940"/>
      <c r="P214" s="940"/>
      <c r="Q214" s="940"/>
      <c r="R214" s="940"/>
      <c r="S214" s="940"/>
      <c r="T214" s="940"/>
      <c r="U214" s="940"/>
      <c r="V214" s="940"/>
      <c r="W214" s="940"/>
      <c r="X214" s="940"/>
      <c r="Y214" s="940"/>
      <c r="Z214" s="941"/>
    </row>
    <row r="215" spans="2:29" s="130" customFormat="1" ht="407.5" customHeight="1" x14ac:dyDescent="0.25">
      <c r="B215" s="1117" t="str">
        <f>'Description of Incidents'!A216</f>
        <v>LTA-NF</v>
      </c>
      <c r="C215" s="1118"/>
      <c r="D215" s="942"/>
      <c r="E215" s="943"/>
      <c r="F215" s="943"/>
      <c r="G215" s="943"/>
      <c r="H215" s="943"/>
      <c r="I215" s="943"/>
      <c r="J215" s="943"/>
      <c r="K215" s="943"/>
      <c r="L215" s="943"/>
      <c r="M215" s="944"/>
      <c r="N215" s="942"/>
      <c r="O215" s="943"/>
      <c r="P215" s="943"/>
      <c r="Q215" s="943"/>
      <c r="R215" s="943"/>
      <c r="S215" s="943"/>
      <c r="T215" s="943"/>
      <c r="U215" s="943"/>
      <c r="V215" s="943"/>
      <c r="W215" s="943"/>
      <c r="X215" s="943"/>
      <c r="Y215" s="943"/>
      <c r="Z215" s="944"/>
      <c r="AC215" s="131"/>
    </row>
    <row r="216" spans="2:29" s="130" customFormat="1" ht="407.5" customHeight="1" thickBot="1" x14ac:dyDescent="0.3">
      <c r="B216" s="1119" t="str">
        <f>'Description of Incidents'!A217</f>
        <v>Boiler Room Extension</v>
      </c>
      <c r="C216" s="1120"/>
      <c r="D216" s="945"/>
      <c r="E216" s="946"/>
      <c r="F216" s="946"/>
      <c r="G216" s="946"/>
      <c r="H216" s="946"/>
      <c r="I216" s="946"/>
      <c r="J216" s="946"/>
      <c r="K216" s="946"/>
      <c r="L216" s="946"/>
      <c r="M216" s="947"/>
      <c r="N216" s="945"/>
      <c r="O216" s="946"/>
      <c r="P216" s="946"/>
      <c r="Q216" s="946"/>
      <c r="R216" s="946"/>
      <c r="S216" s="946"/>
      <c r="T216" s="946"/>
      <c r="U216" s="946"/>
      <c r="V216" s="946"/>
      <c r="W216" s="946"/>
      <c r="X216" s="946"/>
      <c r="Y216" s="946"/>
      <c r="Z216" s="947"/>
    </row>
  </sheetData>
  <autoFilter ref="A5:AZ5" xr:uid="{EDC8D351-135A-4E71-8318-BD7E28A4161F}">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sortState xmlns:xlrd2="http://schemas.microsoft.com/office/spreadsheetml/2017/richdata2" ref="N64:P98">
    <sortCondition ref="N64:N98"/>
  </sortState>
  <mergeCells count="489">
    <mergeCell ref="B214:C214"/>
    <mergeCell ref="D214:M216"/>
    <mergeCell ref="N214:Z216"/>
    <mergeCell ref="B215:C215"/>
    <mergeCell ref="B216:C216"/>
    <mergeCell ref="B109:C109"/>
    <mergeCell ref="B134:C134"/>
    <mergeCell ref="B135:C135"/>
    <mergeCell ref="B136:C136"/>
    <mergeCell ref="B131:C131"/>
    <mergeCell ref="B120:C120"/>
    <mergeCell ref="N109:P109"/>
    <mergeCell ref="N111:P111"/>
    <mergeCell ref="N112:P112"/>
    <mergeCell ref="N113:P113"/>
    <mergeCell ref="N114:P114"/>
    <mergeCell ref="N115:P115"/>
    <mergeCell ref="N117:P117"/>
    <mergeCell ref="N120:P120"/>
    <mergeCell ref="N123:P123"/>
    <mergeCell ref="N131:P131"/>
    <mergeCell ref="B211:C211"/>
    <mergeCell ref="D211:M213"/>
    <mergeCell ref="N211:Z213"/>
    <mergeCell ref="B213:C213"/>
    <mergeCell ref="B146:C146"/>
    <mergeCell ref="B139:C139"/>
    <mergeCell ref="B140:C140"/>
    <mergeCell ref="B123:C123"/>
    <mergeCell ref="B61:C61"/>
    <mergeCell ref="B56:C56"/>
    <mergeCell ref="B34:C34"/>
    <mergeCell ref="B45:C45"/>
    <mergeCell ref="B43:C43"/>
    <mergeCell ref="B44:C44"/>
    <mergeCell ref="B46:C46"/>
    <mergeCell ref="B40:C40"/>
    <mergeCell ref="B41:C41"/>
    <mergeCell ref="B42:C42"/>
    <mergeCell ref="B52:C52"/>
    <mergeCell ref="B53:C53"/>
    <mergeCell ref="B54:C54"/>
    <mergeCell ref="B49:C49"/>
    <mergeCell ref="B50:C50"/>
    <mergeCell ref="B51:C51"/>
    <mergeCell ref="B59:C59"/>
    <mergeCell ref="B62:C62"/>
    <mergeCell ref="B107:C107"/>
    <mergeCell ref="N44:P44"/>
    <mergeCell ref="N46:P46"/>
    <mergeCell ref="N55:P55"/>
    <mergeCell ref="N45:P45"/>
    <mergeCell ref="N56:P56"/>
    <mergeCell ref="B212:C212"/>
    <mergeCell ref="N61:P61"/>
    <mergeCell ref="B48:C48"/>
    <mergeCell ref="N60:P60"/>
    <mergeCell ref="B60:C60"/>
    <mergeCell ref="B47:C47"/>
    <mergeCell ref="N47:P47"/>
    <mergeCell ref="B55:C55"/>
    <mergeCell ref="N54:P54"/>
    <mergeCell ref="B57:C57"/>
    <mergeCell ref="N57:P57"/>
    <mergeCell ref="B58:C58"/>
    <mergeCell ref="N59:P59"/>
    <mergeCell ref="N58:P58"/>
    <mergeCell ref="N62:P62"/>
    <mergeCell ref="B63:C63"/>
    <mergeCell ref="N63:P63"/>
    <mergeCell ref="B64:C74"/>
    <mergeCell ref="D64:D74"/>
    <mergeCell ref="F13:G13"/>
    <mergeCell ref="J12:K12"/>
    <mergeCell ref="L12:M12"/>
    <mergeCell ref="F21:G21"/>
    <mergeCell ref="J21:K21"/>
    <mergeCell ref="L21:M21"/>
    <mergeCell ref="N41:P41"/>
    <mergeCell ref="N42:P42"/>
    <mergeCell ref="N43:P43"/>
    <mergeCell ref="N40:P40"/>
    <mergeCell ref="J29:K29"/>
    <mergeCell ref="L29:M29"/>
    <mergeCell ref="B14:C14"/>
    <mergeCell ref="F14:G14"/>
    <mergeCell ref="J14:K14"/>
    <mergeCell ref="L14:M14"/>
    <mergeCell ref="B21:C21"/>
    <mergeCell ref="B33:C33"/>
    <mergeCell ref="N33:P33"/>
    <mergeCell ref="B37:C37"/>
    <mergeCell ref="N37:P37"/>
    <mergeCell ref="B23:C23"/>
    <mergeCell ref="F23:G23"/>
    <mergeCell ref="J23:K23"/>
    <mergeCell ref="B17:C17"/>
    <mergeCell ref="F17:G17"/>
    <mergeCell ref="J17:K17"/>
    <mergeCell ref="L17:M17"/>
    <mergeCell ref="F22:G22"/>
    <mergeCell ref="J22:K22"/>
    <mergeCell ref="L22:M22"/>
    <mergeCell ref="B38:C38"/>
    <mergeCell ref="N38:P38"/>
    <mergeCell ref="B39:C39"/>
    <mergeCell ref="N39:P39"/>
    <mergeCell ref="N34:P34"/>
    <mergeCell ref="B35:C35"/>
    <mergeCell ref="N35:P35"/>
    <mergeCell ref="B36:C36"/>
    <mergeCell ref="N36:P36"/>
    <mergeCell ref="T17:U17"/>
    <mergeCell ref="X17:Y17"/>
    <mergeCell ref="B20:Z20"/>
    <mergeCell ref="N31:P31"/>
    <mergeCell ref="B32:C32"/>
    <mergeCell ref="N32:P32"/>
    <mergeCell ref="L23:M23"/>
    <mergeCell ref="B27:C27"/>
    <mergeCell ref="F27:G27"/>
    <mergeCell ref="J27:K27"/>
    <mergeCell ref="L27:M27"/>
    <mergeCell ref="B31:C31"/>
    <mergeCell ref="T21:U21"/>
    <mergeCell ref="X21:Y21"/>
    <mergeCell ref="B18:Z18"/>
    <mergeCell ref="B19:C19"/>
    <mergeCell ref="F19:G19"/>
    <mergeCell ref="J19:K19"/>
    <mergeCell ref="L19:M19"/>
    <mergeCell ref="T19:U19"/>
    <mergeCell ref="X19:Y19"/>
    <mergeCell ref="T23:U23"/>
    <mergeCell ref="X23:Y23"/>
    <mergeCell ref="B22:C22"/>
    <mergeCell ref="Z3:Z4"/>
    <mergeCell ref="B5:Z5"/>
    <mergeCell ref="N3:N4"/>
    <mergeCell ref="O3:O4"/>
    <mergeCell ref="P3:P4"/>
    <mergeCell ref="Q3:Q4"/>
    <mergeCell ref="R3:R4"/>
    <mergeCell ref="S3:S4"/>
    <mergeCell ref="B1:Z1"/>
    <mergeCell ref="B2:Z2"/>
    <mergeCell ref="B3:C4"/>
    <mergeCell ref="D3:D4"/>
    <mergeCell ref="E3:E4"/>
    <mergeCell ref="F3:G4"/>
    <mergeCell ref="H3:H4"/>
    <mergeCell ref="I3:I4"/>
    <mergeCell ref="J3:K4"/>
    <mergeCell ref="L3:M4"/>
    <mergeCell ref="B6:C6"/>
    <mergeCell ref="F6:G6"/>
    <mergeCell ref="J6:K6"/>
    <mergeCell ref="L6:M6"/>
    <mergeCell ref="T6:U6"/>
    <mergeCell ref="X6:Y6"/>
    <mergeCell ref="T3:U4"/>
    <mergeCell ref="V3:V4"/>
    <mergeCell ref="W3:W4"/>
    <mergeCell ref="X3:Y4"/>
    <mergeCell ref="B8:C8"/>
    <mergeCell ref="F8:G8"/>
    <mergeCell ref="J8:K8"/>
    <mergeCell ref="L8:M8"/>
    <mergeCell ref="T8:U8"/>
    <mergeCell ref="X8:Y8"/>
    <mergeCell ref="B7:C7"/>
    <mergeCell ref="F7:G7"/>
    <mergeCell ref="J7:K7"/>
    <mergeCell ref="L7:M7"/>
    <mergeCell ref="T7:U7"/>
    <mergeCell ref="X7:Y7"/>
    <mergeCell ref="B10:C10"/>
    <mergeCell ref="F10:G10"/>
    <mergeCell ref="J10:K10"/>
    <mergeCell ref="L10:M10"/>
    <mergeCell ref="T10:U10"/>
    <mergeCell ref="X10:Y10"/>
    <mergeCell ref="B9:C9"/>
    <mergeCell ref="F9:G9"/>
    <mergeCell ref="J9:K9"/>
    <mergeCell ref="L9:M9"/>
    <mergeCell ref="T9:U9"/>
    <mergeCell ref="X9:Y9"/>
    <mergeCell ref="B11:C11"/>
    <mergeCell ref="F11:G11"/>
    <mergeCell ref="J11:K11"/>
    <mergeCell ref="L11:M11"/>
    <mergeCell ref="T11:U11"/>
    <mergeCell ref="X11:Y11"/>
    <mergeCell ref="B15:Z15"/>
    <mergeCell ref="B16:C16"/>
    <mergeCell ref="F16:G16"/>
    <mergeCell ref="J16:K16"/>
    <mergeCell ref="L16:M16"/>
    <mergeCell ref="T16:U16"/>
    <mergeCell ref="X16:Y16"/>
    <mergeCell ref="T12:U12"/>
    <mergeCell ref="X12:Y12"/>
    <mergeCell ref="J13:K13"/>
    <mergeCell ref="L13:M13"/>
    <mergeCell ref="T13:U13"/>
    <mergeCell ref="X13:Y13"/>
    <mergeCell ref="T14:U14"/>
    <mergeCell ref="X14:Y14"/>
    <mergeCell ref="B12:C12"/>
    <mergeCell ref="B13:C13"/>
    <mergeCell ref="F12:G12"/>
    <mergeCell ref="T22:U22"/>
    <mergeCell ref="X22:Y22"/>
    <mergeCell ref="B25:C25"/>
    <mergeCell ref="F25:G25"/>
    <mergeCell ref="J25:K25"/>
    <mergeCell ref="L25:M25"/>
    <mergeCell ref="T25:U25"/>
    <mergeCell ref="X25:Y25"/>
    <mergeCell ref="B24:C24"/>
    <mergeCell ref="F24:G24"/>
    <mergeCell ref="J24:K24"/>
    <mergeCell ref="L24:M24"/>
    <mergeCell ref="T24:U24"/>
    <mergeCell ref="X24:Y24"/>
    <mergeCell ref="T27:U27"/>
    <mergeCell ref="X27:Y27"/>
    <mergeCell ref="B26:C26"/>
    <mergeCell ref="F26:G26"/>
    <mergeCell ref="J26:K26"/>
    <mergeCell ref="L26:M26"/>
    <mergeCell ref="T26:U26"/>
    <mergeCell ref="X26:Y26"/>
    <mergeCell ref="B30:C30"/>
    <mergeCell ref="F30:G30"/>
    <mergeCell ref="J30:K30"/>
    <mergeCell ref="L30:M30"/>
    <mergeCell ref="T30:U30"/>
    <mergeCell ref="X30:Y30"/>
    <mergeCell ref="B28:C28"/>
    <mergeCell ref="F28:G28"/>
    <mergeCell ref="J28:K28"/>
    <mergeCell ref="L28:M28"/>
    <mergeCell ref="T28:U28"/>
    <mergeCell ref="X28:Y28"/>
    <mergeCell ref="T29:U29"/>
    <mergeCell ref="X29:Y29"/>
    <mergeCell ref="B29:C29"/>
    <mergeCell ref="F29:G29"/>
    <mergeCell ref="E64:E74"/>
    <mergeCell ref="F64:F74"/>
    <mergeCell ref="G64:G74"/>
    <mergeCell ref="H64:H74"/>
    <mergeCell ref="B75:C88"/>
    <mergeCell ref="D75:D88"/>
    <mergeCell ref="E75:E88"/>
    <mergeCell ref="F75:F88"/>
    <mergeCell ref="G75:G88"/>
    <mergeCell ref="H75:H88"/>
    <mergeCell ref="N69:P69"/>
    <mergeCell ref="N70:P70"/>
    <mergeCell ref="N71:P71"/>
    <mergeCell ref="N72:P72"/>
    <mergeCell ref="N73:P73"/>
    <mergeCell ref="N74:P74"/>
    <mergeCell ref="I64:I74"/>
    <mergeCell ref="J64:J74"/>
    <mergeCell ref="K64:K74"/>
    <mergeCell ref="L64:L74"/>
    <mergeCell ref="M64:M74"/>
    <mergeCell ref="N64:P64"/>
    <mergeCell ref="N65:P65"/>
    <mergeCell ref="N66:P66"/>
    <mergeCell ref="N67:P67"/>
    <mergeCell ref="N68:P68"/>
    <mergeCell ref="N80:P80"/>
    <mergeCell ref="N81:P81"/>
    <mergeCell ref="N83:P83"/>
    <mergeCell ref="N84:P84"/>
    <mergeCell ref="N86:P86"/>
    <mergeCell ref="N88:P88"/>
    <mergeCell ref="I75:I88"/>
    <mergeCell ref="J75:J88"/>
    <mergeCell ref="K75:K88"/>
    <mergeCell ref="L75:L88"/>
    <mergeCell ref="M75:M88"/>
    <mergeCell ref="N75:P75"/>
    <mergeCell ref="N76:P76"/>
    <mergeCell ref="N77:P77"/>
    <mergeCell ref="N78:P78"/>
    <mergeCell ref="N79:P79"/>
    <mergeCell ref="N82:P82"/>
    <mergeCell ref="N85:P85"/>
    <mergeCell ref="N87:P87"/>
    <mergeCell ref="I89:I103"/>
    <mergeCell ref="J89:J103"/>
    <mergeCell ref="K89:K103"/>
    <mergeCell ref="L89:L103"/>
    <mergeCell ref="M89:M103"/>
    <mergeCell ref="N89:P89"/>
    <mergeCell ref="N90:P90"/>
    <mergeCell ref="N91:P91"/>
    <mergeCell ref="N93:P93"/>
    <mergeCell ref="N94:P94"/>
    <mergeCell ref="N92:P92"/>
    <mergeCell ref="N100:P100"/>
    <mergeCell ref="N102:P102"/>
    <mergeCell ref="N107:P107"/>
    <mergeCell ref="B108:C108"/>
    <mergeCell ref="N108:P108"/>
    <mergeCell ref="B110:C110"/>
    <mergeCell ref="N110:P110"/>
    <mergeCell ref="N103:P103"/>
    <mergeCell ref="B104:C104"/>
    <mergeCell ref="N104:P104"/>
    <mergeCell ref="B105:C105"/>
    <mergeCell ref="N105:P105"/>
    <mergeCell ref="B106:C106"/>
    <mergeCell ref="N106:P106"/>
    <mergeCell ref="B89:C103"/>
    <mergeCell ref="D89:D103"/>
    <mergeCell ref="E89:E103"/>
    <mergeCell ref="F89:F103"/>
    <mergeCell ref="G89:G103"/>
    <mergeCell ref="H89:H103"/>
    <mergeCell ref="N95:P95"/>
    <mergeCell ref="N96:P96"/>
    <mergeCell ref="N97:P97"/>
    <mergeCell ref="N98:P98"/>
    <mergeCell ref="N99:P99"/>
    <mergeCell ref="N101:P101"/>
    <mergeCell ref="B114:C114"/>
    <mergeCell ref="B115:C115"/>
    <mergeCell ref="B116:C116"/>
    <mergeCell ref="B111:C111"/>
    <mergeCell ref="B112:C112"/>
    <mergeCell ref="B113:C113"/>
    <mergeCell ref="B121:C121"/>
    <mergeCell ref="N121:P121"/>
    <mergeCell ref="B122:C122"/>
    <mergeCell ref="N122:P122"/>
    <mergeCell ref="B124:C124"/>
    <mergeCell ref="N124:P124"/>
    <mergeCell ref="B117:C117"/>
    <mergeCell ref="N116:P116"/>
    <mergeCell ref="B118:C118"/>
    <mergeCell ref="N118:P118"/>
    <mergeCell ref="B119:C119"/>
    <mergeCell ref="N119:P119"/>
    <mergeCell ref="B128:C128"/>
    <mergeCell ref="N128:P128"/>
    <mergeCell ref="B129:C129"/>
    <mergeCell ref="N129:P129"/>
    <mergeCell ref="B130:C130"/>
    <mergeCell ref="N130:P130"/>
    <mergeCell ref="B125:C125"/>
    <mergeCell ref="N125:P125"/>
    <mergeCell ref="B126:C126"/>
    <mergeCell ref="N126:P126"/>
    <mergeCell ref="B127:C127"/>
    <mergeCell ref="N127:P127"/>
    <mergeCell ref="B138:C138"/>
    <mergeCell ref="N138:P138"/>
    <mergeCell ref="B141:C141"/>
    <mergeCell ref="N141:P141"/>
    <mergeCell ref="B142:C142"/>
    <mergeCell ref="N142:P142"/>
    <mergeCell ref="B132:C132"/>
    <mergeCell ref="N132:P132"/>
    <mergeCell ref="B133:C133"/>
    <mergeCell ref="N133:P133"/>
    <mergeCell ref="B137:C137"/>
    <mergeCell ref="N137:P137"/>
    <mergeCell ref="B147:C147"/>
    <mergeCell ref="N147:P147"/>
    <mergeCell ref="B148:C148"/>
    <mergeCell ref="N148:P148"/>
    <mergeCell ref="B149:C149"/>
    <mergeCell ref="N149:P149"/>
    <mergeCell ref="B143:C143"/>
    <mergeCell ref="N143:P143"/>
    <mergeCell ref="B144:C144"/>
    <mergeCell ref="N144:P144"/>
    <mergeCell ref="B145:C145"/>
    <mergeCell ref="N145:P145"/>
    <mergeCell ref="B154:C154"/>
    <mergeCell ref="B155:C155"/>
    <mergeCell ref="B156:C156"/>
    <mergeCell ref="B157:C157"/>
    <mergeCell ref="B158:C158"/>
    <mergeCell ref="B159:C159"/>
    <mergeCell ref="N157:Z159"/>
    <mergeCell ref="B150:C150"/>
    <mergeCell ref="D150:M150"/>
    <mergeCell ref="N150:Z150"/>
    <mergeCell ref="B151:C151"/>
    <mergeCell ref="B152:C152"/>
    <mergeCell ref="B153:C153"/>
    <mergeCell ref="B160:C160"/>
    <mergeCell ref="B161:C161"/>
    <mergeCell ref="B162:C162"/>
    <mergeCell ref="B163:C163"/>
    <mergeCell ref="D163:M165"/>
    <mergeCell ref="N163:Z165"/>
    <mergeCell ref="B164:C164"/>
    <mergeCell ref="B165:C165"/>
    <mergeCell ref="D160:M162"/>
    <mergeCell ref="N160:Z162"/>
    <mergeCell ref="B166:C166"/>
    <mergeCell ref="D166:M168"/>
    <mergeCell ref="N166:Z168"/>
    <mergeCell ref="B167:C167"/>
    <mergeCell ref="B168:C168"/>
    <mergeCell ref="B169:C169"/>
    <mergeCell ref="D169:M171"/>
    <mergeCell ref="N169:Z171"/>
    <mergeCell ref="B170:C170"/>
    <mergeCell ref="B171:C171"/>
    <mergeCell ref="B172:C172"/>
    <mergeCell ref="D172:M174"/>
    <mergeCell ref="N172:Z174"/>
    <mergeCell ref="B173:C173"/>
    <mergeCell ref="B174:C174"/>
    <mergeCell ref="B175:C175"/>
    <mergeCell ref="D175:M177"/>
    <mergeCell ref="N175:Z177"/>
    <mergeCell ref="B176:C176"/>
    <mergeCell ref="B177:C177"/>
    <mergeCell ref="B184:C184"/>
    <mergeCell ref="B185:C185"/>
    <mergeCell ref="B186:C186"/>
    <mergeCell ref="B187:C187"/>
    <mergeCell ref="B188:C188"/>
    <mergeCell ref="B189:C189"/>
    <mergeCell ref="B178:C178"/>
    <mergeCell ref="D178:M180"/>
    <mergeCell ref="N178:Z180"/>
    <mergeCell ref="B179:C179"/>
    <mergeCell ref="B180:C180"/>
    <mergeCell ref="B181:C181"/>
    <mergeCell ref="D181:M183"/>
    <mergeCell ref="N181:Z183"/>
    <mergeCell ref="B182:C182"/>
    <mergeCell ref="B183:C183"/>
    <mergeCell ref="D184:M186"/>
    <mergeCell ref="N184:Z186"/>
    <mergeCell ref="D187:M189"/>
    <mergeCell ref="N187:Z189"/>
    <mergeCell ref="B198:C198"/>
    <mergeCell ref="B199:C199"/>
    <mergeCell ref="D199:M201"/>
    <mergeCell ref="N199:Z201"/>
    <mergeCell ref="B200:C200"/>
    <mergeCell ref="B201:C201"/>
    <mergeCell ref="B190:C190"/>
    <mergeCell ref="D190:M192"/>
    <mergeCell ref="N190:Z192"/>
    <mergeCell ref="B191:C191"/>
    <mergeCell ref="B192:C192"/>
    <mergeCell ref="B193:C193"/>
    <mergeCell ref="D193:M195"/>
    <mergeCell ref="N193:Z195"/>
    <mergeCell ref="B194:C194"/>
    <mergeCell ref="B195:C195"/>
    <mergeCell ref="B208:C208"/>
    <mergeCell ref="D208:M210"/>
    <mergeCell ref="N208:Z210"/>
    <mergeCell ref="B209:C209"/>
    <mergeCell ref="B210:C210"/>
    <mergeCell ref="D151:M153"/>
    <mergeCell ref="N151:Z153"/>
    <mergeCell ref="D154:M156"/>
    <mergeCell ref="N154:Z156"/>
    <mergeCell ref="D157:M159"/>
    <mergeCell ref="B202:C202"/>
    <mergeCell ref="D202:M204"/>
    <mergeCell ref="N202:Z204"/>
    <mergeCell ref="B203:C203"/>
    <mergeCell ref="B204:C204"/>
    <mergeCell ref="B205:C205"/>
    <mergeCell ref="D205:M207"/>
    <mergeCell ref="N205:Z207"/>
    <mergeCell ref="B206:C206"/>
    <mergeCell ref="B207:C207"/>
    <mergeCell ref="B196:C196"/>
    <mergeCell ref="D196:M198"/>
    <mergeCell ref="N196:Z198"/>
    <mergeCell ref="B197:C197"/>
  </mergeCells>
  <conditionalFormatting sqref="B32">
    <cfRule type="duplicateValues" dxfId="327" priority="57"/>
  </conditionalFormatting>
  <conditionalFormatting sqref="N33">
    <cfRule type="duplicateValues" dxfId="326" priority="53"/>
  </conditionalFormatting>
  <conditionalFormatting sqref="N106">
    <cfRule type="duplicateValues" dxfId="325" priority="58"/>
    <cfRule type="duplicateValues" dxfId="324" priority="59"/>
  </conditionalFormatting>
  <conditionalFormatting sqref="B110:B113">
    <cfRule type="duplicateValues" dxfId="323" priority="48"/>
  </conditionalFormatting>
  <conditionalFormatting sqref="B117:B121">
    <cfRule type="duplicateValues" dxfId="322" priority="36"/>
    <cfRule type="duplicateValues" dxfId="321" priority="37"/>
    <cfRule type="duplicateValues" dxfId="320" priority="38"/>
  </conditionalFormatting>
  <conditionalFormatting sqref="B119:B121">
    <cfRule type="duplicateValues" dxfId="319" priority="43"/>
    <cfRule type="duplicateValues" dxfId="318" priority="44"/>
    <cfRule type="duplicateValues" dxfId="317" priority="45"/>
  </conditionalFormatting>
  <conditionalFormatting sqref="N119:N148">
    <cfRule type="duplicateValues" dxfId="316" priority="51"/>
    <cfRule type="duplicateValues" dxfId="315" priority="52"/>
  </conditionalFormatting>
  <conditionalFormatting sqref="N106:N124">
    <cfRule type="duplicateValues" dxfId="314" priority="46"/>
    <cfRule type="duplicateValues" dxfId="313" priority="47"/>
  </conditionalFormatting>
  <conditionalFormatting sqref="N116:N124">
    <cfRule type="duplicateValues" dxfId="312" priority="49"/>
    <cfRule type="duplicateValues" dxfId="311" priority="50"/>
  </conditionalFormatting>
  <conditionalFormatting sqref="N64 N67:N103">
    <cfRule type="duplicateValues" dxfId="310" priority="63"/>
    <cfRule type="duplicateValues" dxfId="309" priority="64"/>
    <cfRule type="duplicateValues" dxfId="308" priority="65"/>
  </conditionalFormatting>
  <conditionalFormatting sqref="B137:B148 B129:B131 B119:B121">
    <cfRule type="duplicateValues" dxfId="307" priority="33"/>
    <cfRule type="duplicateValues" dxfId="306" priority="34"/>
    <cfRule type="duplicateValues" dxfId="305" priority="35"/>
  </conditionalFormatting>
  <conditionalFormatting sqref="B18">
    <cfRule type="duplicateValues" dxfId="304" priority="66"/>
  </conditionalFormatting>
  <conditionalFormatting sqref="N129:N130 N132:N136">
    <cfRule type="duplicateValues" dxfId="303" priority="24"/>
    <cfRule type="duplicateValues" dxfId="302" priority="25"/>
  </conditionalFormatting>
  <conditionalFormatting sqref="N129:N130">
    <cfRule type="duplicateValues" dxfId="301" priority="26"/>
    <cfRule type="duplicateValues" dxfId="300" priority="27"/>
  </conditionalFormatting>
  <conditionalFormatting sqref="N129:N130">
    <cfRule type="duplicateValues" dxfId="299" priority="22"/>
    <cfRule type="duplicateValues" dxfId="298" priority="23"/>
  </conditionalFormatting>
  <conditionalFormatting sqref="N129:N130">
    <cfRule type="duplicateValues" dxfId="297" priority="20"/>
    <cfRule type="duplicateValues" dxfId="296" priority="21"/>
  </conditionalFormatting>
  <conditionalFormatting sqref="B121:B128">
    <cfRule type="duplicateValues" dxfId="295" priority="17"/>
  </conditionalFormatting>
  <conditionalFormatting sqref="B127:B128">
    <cfRule type="duplicateValues" dxfId="294" priority="16"/>
  </conditionalFormatting>
  <conditionalFormatting sqref="B128">
    <cfRule type="duplicateValues" dxfId="293" priority="15"/>
  </conditionalFormatting>
  <conditionalFormatting sqref="B127:B128">
    <cfRule type="duplicateValues" dxfId="292" priority="18"/>
    <cfRule type="duplicateValues" dxfId="291" priority="19"/>
  </conditionalFormatting>
  <conditionalFormatting sqref="B127:B128">
    <cfRule type="duplicateValues" dxfId="290" priority="67"/>
  </conditionalFormatting>
  <conditionalFormatting sqref="B112:B115">
    <cfRule type="duplicateValues" dxfId="289" priority="11"/>
  </conditionalFormatting>
  <conditionalFormatting sqref="B112:B115">
    <cfRule type="duplicateValues" dxfId="288" priority="10"/>
  </conditionalFormatting>
  <conditionalFormatting sqref="B112:B115">
    <cfRule type="duplicateValues" dxfId="287" priority="13"/>
    <cfRule type="duplicateValues" dxfId="286" priority="14"/>
  </conditionalFormatting>
  <conditionalFormatting sqref="B112:B115">
    <cfRule type="duplicateValues" dxfId="285" priority="12"/>
  </conditionalFormatting>
  <conditionalFormatting sqref="B106:B112">
    <cfRule type="duplicateValues" dxfId="284" priority="68"/>
  </conditionalFormatting>
  <conditionalFormatting sqref="B106:B113 B117:B121">
    <cfRule type="duplicateValues" dxfId="283" priority="69"/>
    <cfRule type="duplicateValues" dxfId="282" priority="70"/>
  </conditionalFormatting>
  <conditionalFormatting sqref="B106:B113 B117:B121">
    <cfRule type="duplicateValues" dxfId="281" priority="71"/>
  </conditionalFormatting>
  <conditionalFormatting sqref="B114:B121">
    <cfRule type="duplicateValues" dxfId="280" priority="72"/>
    <cfRule type="duplicateValues" dxfId="279" priority="73"/>
    <cfRule type="duplicateValues" dxfId="278" priority="74"/>
  </conditionalFormatting>
  <conditionalFormatting sqref="B132:B136">
    <cfRule type="duplicateValues" dxfId="277" priority="1"/>
    <cfRule type="duplicateValues" dxfId="276" priority="2"/>
    <cfRule type="duplicateValues" dxfId="275" priority="3"/>
  </conditionalFormatting>
  <conditionalFormatting sqref="B132:B136">
    <cfRule type="duplicateValues" dxfId="274" priority="4"/>
    <cfRule type="duplicateValues" dxfId="273" priority="5"/>
  </conditionalFormatting>
  <conditionalFormatting sqref="B132:B136">
    <cfRule type="duplicateValues" dxfId="272" priority="6"/>
  </conditionalFormatting>
  <conditionalFormatting sqref="B132:B136">
    <cfRule type="duplicateValues" dxfId="271" priority="7"/>
    <cfRule type="duplicateValues" dxfId="270" priority="8"/>
    <cfRule type="duplicateValues" dxfId="269" priority="9"/>
  </conditionalFormatting>
  <conditionalFormatting sqref="B6:B14">
    <cfRule type="duplicateValues" dxfId="268" priority="76"/>
  </conditionalFormatting>
  <conditionalFormatting sqref="B19">
    <cfRule type="duplicateValues" dxfId="267" priority="79"/>
  </conditionalFormatting>
  <conditionalFormatting sqref="B21:B30">
    <cfRule type="duplicateValues" dxfId="266" priority="469"/>
  </conditionalFormatting>
  <conditionalFormatting sqref="B20:B30">
    <cfRule type="duplicateValues" dxfId="265" priority="470"/>
  </conditionalFormatting>
  <conditionalFormatting sqref="B16:B17">
    <cfRule type="duplicateValues" dxfId="264" priority="483"/>
  </conditionalFormatting>
  <conditionalFormatting sqref="B32:B61">
    <cfRule type="duplicateValues" dxfId="263" priority="487"/>
  </conditionalFormatting>
  <conditionalFormatting sqref="B33:B61">
    <cfRule type="duplicateValues" dxfId="262" priority="491"/>
  </conditionalFormatting>
  <conditionalFormatting sqref="B61 B56 B47:B48">
    <cfRule type="duplicateValues" dxfId="261" priority="498"/>
  </conditionalFormatting>
  <conditionalFormatting sqref="N32:N61">
    <cfRule type="duplicateValues" dxfId="260" priority="499"/>
  </conditionalFormatting>
  <conditionalFormatting sqref="N35:N61">
    <cfRule type="duplicateValues" dxfId="259" priority="504"/>
  </conditionalFormatting>
  <conditionalFormatting sqref="N116:N124">
    <cfRule type="duplicateValues" dxfId="258" priority="511"/>
    <cfRule type="duplicateValues" dxfId="257" priority="512"/>
  </conditionalFormatting>
  <conditionalFormatting sqref="N116:N148">
    <cfRule type="duplicateValues" dxfId="256" priority="523"/>
    <cfRule type="duplicateValues" dxfId="255" priority="524"/>
  </conditionalFormatting>
  <conditionalFormatting sqref="N116:N142">
    <cfRule type="duplicateValues" dxfId="254" priority="535"/>
    <cfRule type="duplicateValues" dxfId="253" priority="536"/>
  </conditionalFormatting>
  <printOptions horizontalCentered="1" verticalCentered="1"/>
  <pageMargins left="0.19685039370078741" right="0.19685039370078741" top="0.19685039370078741" bottom="0.19685039370078741" header="0.31496062992125984" footer="0.31496062992125984"/>
  <pageSetup paperSize="14" scale="10" fitToHeight="0" orientation="landscape" horizontalDpi="360" verticalDpi="360" r:id="rId1"/>
  <rowBreaks count="7" manualBreakCount="7">
    <brk id="14" min="1" max="25" man="1"/>
    <brk id="62" min="1" max="25" man="1"/>
    <brk id="149" max="16383" man="1"/>
    <brk id="162" min="1" max="25" man="1"/>
    <brk id="174" min="1" max="25" man="1"/>
    <brk id="186" min="1" max="25" man="1"/>
    <brk id="198" min="1" max="25"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DE38-6358-40C0-B4D6-B28FA38FBBB7}">
  <dimension ref="A1:AZ236"/>
  <sheetViews>
    <sheetView workbookViewId="0"/>
  </sheetViews>
  <sheetFormatPr defaultColWidth="9" defaultRowHeight="32.5" x14ac:dyDescent="0.25"/>
  <cols>
    <col min="1" max="1" width="26.453125" style="128" customWidth="1"/>
    <col min="2" max="3" width="76.54296875" style="128" customWidth="1"/>
    <col min="4" max="4" width="51.90625" style="128" bestFit="1" customWidth="1"/>
    <col min="5" max="5" width="95.54296875" style="132" bestFit="1" customWidth="1"/>
    <col min="6" max="7" width="55.54296875" style="132" customWidth="1"/>
    <col min="8" max="8" width="72.90625" style="132" bestFit="1" customWidth="1"/>
    <col min="9" max="9" width="46.453125" style="128" bestFit="1" customWidth="1"/>
    <col min="10" max="13" width="55.54296875" style="128" customWidth="1"/>
    <col min="14" max="14" width="46.453125" style="128" bestFit="1" customWidth="1"/>
    <col min="15" max="15" width="74.6328125" style="128" bestFit="1" customWidth="1"/>
    <col min="16" max="16" width="77.90625" style="128" bestFit="1" customWidth="1"/>
    <col min="17" max="17" width="80.6328125" style="128" bestFit="1" customWidth="1"/>
    <col min="18" max="18" width="65.36328125" style="128" bestFit="1" customWidth="1"/>
    <col min="19" max="19" width="126.453125" style="128" customWidth="1"/>
    <col min="20" max="21" width="58.26953125" style="128" customWidth="1"/>
    <col min="22" max="22" width="51.90625" style="128" bestFit="1" customWidth="1"/>
    <col min="23" max="23" width="73.81640625" style="132" bestFit="1" customWidth="1"/>
    <col min="24" max="25" width="58.26953125" style="132" customWidth="1"/>
    <col min="26" max="26" width="55.54296875" style="128" bestFit="1" customWidth="1"/>
    <col min="27" max="36" width="9" style="128"/>
    <col min="37" max="37" width="8.7265625" style="128" customWidth="1"/>
    <col min="38" max="16384" width="9" style="128"/>
  </cols>
  <sheetData>
    <row r="1" spans="1:26" ht="88.5" x14ac:dyDescent="0.25">
      <c r="B1" s="1087" t="s">
        <v>539</v>
      </c>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9"/>
    </row>
    <row r="2" spans="1:26" ht="89" thickBot="1" x14ac:dyDescent="0.3">
      <c r="B2" s="1090" t="s">
        <v>552</v>
      </c>
      <c r="C2" s="1091"/>
      <c r="D2" s="1091"/>
      <c r="E2" s="1091"/>
      <c r="F2" s="1091"/>
      <c r="G2" s="1091"/>
      <c r="H2" s="1091"/>
      <c r="I2" s="1091"/>
      <c r="J2" s="1091"/>
      <c r="K2" s="1091"/>
      <c r="L2" s="1137"/>
      <c r="M2" s="1137"/>
      <c r="N2" s="1137"/>
      <c r="O2" s="1091"/>
      <c r="P2" s="1091"/>
      <c r="Q2" s="1091"/>
      <c r="R2" s="1091"/>
      <c r="S2" s="1091"/>
      <c r="T2" s="1091"/>
      <c r="U2" s="1091"/>
      <c r="V2" s="1091"/>
      <c r="W2" s="1091"/>
      <c r="X2" s="1091"/>
      <c r="Y2" s="1091"/>
      <c r="Z2" s="1092"/>
    </row>
    <row r="3" spans="1:26" s="129" customFormat="1" ht="117.5" customHeight="1" x14ac:dyDescent="0.25">
      <c r="B3" s="1093" t="s">
        <v>38</v>
      </c>
      <c r="C3" s="1070"/>
      <c r="D3" s="1071" t="s">
        <v>39</v>
      </c>
      <c r="E3" s="1071" t="s">
        <v>32</v>
      </c>
      <c r="F3" s="1094" t="s">
        <v>11</v>
      </c>
      <c r="G3" s="1070"/>
      <c r="H3" s="1071" t="s">
        <v>59</v>
      </c>
      <c r="I3" s="1071" t="s">
        <v>21</v>
      </c>
      <c r="J3" s="1095" t="s">
        <v>9</v>
      </c>
      <c r="K3" s="1138"/>
      <c r="L3" s="1136" t="s">
        <v>8</v>
      </c>
      <c r="M3" s="1136"/>
      <c r="N3" s="1136" t="s">
        <v>7</v>
      </c>
      <c r="O3" s="1070" t="s">
        <v>36</v>
      </c>
      <c r="P3" s="1071" t="s">
        <v>37</v>
      </c>
      <c r="Q3" s="1071" t="s">
        <v>45</v>
      </c>
      <c r="R3" s="1071" t="s">
        <v>10</v>
      </c>
      <c r="S3" s="1071" t="s">
        <v>62</v>
      </c>
      <c r="T3" s="1094" t="s">
        <v>35</v>
      </c>
      <c r="U3" s="1070"/>
      <c r="V3" s="1094" t="s">
        <v>60</v>
      </c>
      <c r="W3" s="1094" t="s">
        <v>61</v>
      </c>
      <c r="X3" s="1095" t="s">
        <v>63</v>
      </c>
      <c r="Y3" s="1096"/>
      <c r="Z3" s="1099" t="s">
        <v>43</v>
      </c>
    </row>
    <row r="4" spans="1:26" s="129" customFormat="1" ht="117.5" customHeight="1" x14ac:dyDescent="0.25">
      <c r="B4" s="1093"/>
      <c r="C4" s="1070"/>
      <c r="D4" s="1071"/>
      <c r="E4" s="1071"/>
      <c r="F4" s="1094"/>
      <c r="G4" s="1070"/>
      <c r="H4" s="1071"/>
      <c r="I4" s="1071"/>
      <c r="J4" s="1097"/>
      <c r="K4" s="1139"/>
      <c r="L4" s="1136"/>
      <c r="M4" s="1136"/>
      <c r="N4" s="1136"/>
      <c r="O4" s="1070"/>
      <c r="P4" s="1071"/>
      <c r="Q4" s="1071"/>
      <c r="R4" s="1071"/>
      <c r="S4" s="1071"/>
      <c r="T4" s="1094"/>
      <c r="U4" s="1070"/>
      <c r="V4" s="1094"/>
      <c r="W4" s="1094"/>
      <c r="X4" s="1097"/>
      <c r="Y4" s="1098"/>
      <c r="Z4" s="1099"/>
    </row>
    <row r="5" spans="1:26" ht="90" x14ac:dyDescent="0.25">
      <c r="B5" s="1067" t="s">
        <v>26</v>
      </c>
      <c r="C5" s="1068"/>
      <c r="D5" s="1068"/>
      <c r="E5" s="1068"/>
      <c r="F5" s="1068"/>
      <c r="G5" s="1068"/>
      <c r="H5" s="1068"/>
      <c r="I5" s="1068"/>
      <c r="J5" s="1068"/>
      <c r="K5" s="1068"/>
      <c r="L5" s="1068"/>
      <c r="M5" s="1068"/>
      <c r="N5" s="1068"/>
      <c r="O5" s="1068"/>
      <c r="P5" s="1068"/>
      <c r="Q5" s="1068"/>
      <c r="R5" s="1068"/>
      <c r="S5" s="1068"/>
      <c r="T5" s="1068"/>
      <c r="U5" s="1068"/>
      <c r="V5" s="1068"/>
      <c r="W5" s="1068"/>
      <c r="X5" s="1068"/>
      <c r="Y5" s="1068"/>
      <c r="Z5" s="1069"/>
    </row>
    <row r="6" spans="1:26" s="350" customFormat="1" ht="184" x14ac:dyDescent="0.25">
      <c r="B6" s="1085" t="str">
        <f>input!C84</f>
        <v>BADOL, EUSEBIO G.</v>
      </c>
      <c r="C6" s="1086"/>
      <c r="D6" s="305">
        <f>input!D84</f>
        <v>8465</v>
      </c>
      <c r="E6" s="305" t="str">
        <f>input!E84</f>
        <v>Assistant Miner</v>
      </c>
      <c r="F6" s="1077" t="str">
        <f>input!F84</f>
        <v>Struck by object</v>
      </c>
      <c r="G6" s="1078"/>
      <c r="H6" s="305" t="str">
        <f>input!G84</f>
        <v>Stope</v>
      </c>
      <c r="I6" s="305" t="str">
        <f>input!H84</f>
        <v>850L</v>
      </c>
      <c r="J6" s="1079">
        <f>input!I84</f>
        <v>46150</v>
      </c>
      <c r="K6" s="1080"/>
      <c r="L6" s="1126">
        <f>input!J84</f>
        <v>0.78125</v>
      </c>
      <c r="M6" s="1126"/>
      <c r="N6" s="392" t="str">
        <f>input!K84</f>
        <v>Third</v>
      </c>
      <c r="O6" s="352" t="str">
        <f>input!L84</f>
        <v>Venancio A. Bad-ay</v>
      </c>
      <c r="P6" s="352" t="str">
        <f>input!M84</f>
        <v>Dimas S. Gao-ay</v>
      </c>
      <c r="Q6" s="352" t="str">
        <f>input!N84</f>
        <v>Regie D. Espinosa</v>
      </c>
      <c r="R6" s="352" t="str">
        <f>input!O84</f>
        <v>FAC</v>
      </c>
      <c r="S6" s="352" t="str">
        <f>input!P84</f>
        <v>Pulling of RDM prior to rock bolting</v>
      </c>
      <c r="T6" s="1083" t="str">
        <f>input!Q84</f>
        <v>FPP/RWV</v>
      </c>
      <c r="U6" s="1084"/>
      <c r="V6" s="305" t="str">
        <f>input!R84</f>
        <v>MOG</v>
      </c>
      <c r="W6" s="305" t="str">
        <f>input!S84</f>
        <v>Dept. 1</v>
      </c>
      <c r="X6" s="1077" t="str">
        <f>input!T84</f>
        <v>Section 1</v>
      </c>
      <c r="Y6" s="1078"/>
      <c r="Z6" s="353" t="str">
        <f>input!U84</f>
        <v>MAT</v>
      </c>
    </row>
    <row r="7" spans="1:26" s="350" customFormat="1" ht="368" x14ac:dyDescent="0.25">
      <c r="B7" s="1085" t="str">
        <f>input!C85</f>
        <v>OSSOG, ANDRE MARK A.</v>
      </c>
      <c r="C7" s="1086"/>
      <c r="D7" s="305">
        <f>input!D85</f>
        <v>8483</v>
      </c>
      <c r="E7" s="305" t="str">
        <f>input!E85</f>
        <v>Assistant Miner</v>
      </c>
      <c r="F7" s="1077" t="str">
        <f>input!F85</f>
        <v>Caught in between</v>
      </c>
      <c r="G7" s="1078"/>
      <c r="H7" s="305" t="str">
        <f>input!G85</f>
        <v>Shaft Station / Resting Area</v>
      </c>
      <c r="I7" s="305" t="str">
        <f>input!H85</f>
        <v>1150L</v>
      </c>
      <c r="J7" s="1079">
        <f>input!I85</f>
        <v>46151</v>
      </c>
      <c r="K7" s="1080"/>
      <c r="L7" s="1126">
        <f>input!J85</f>
        <v>0.61527777777777781</v>
      </c>
      <c r="M7" s="1126"/>
      <c r="N7" s="392" t="str">
        <f>input!K85</f>
        <v>Third</v>
      </c>
      <c r="O7" s="352" t="str">
        <f>input!L85</f>
        <v>Hilbert G. Andong</v>
      </c>
      <c r="P7" s="352" t="str">
        <f>input!M85</f>
        <v>Ruben T. Saliwey</v>
      </c>
      <c r="Q7" s="352" t="str">
        <f>input!N85</f>
        <v>Reynaldo C. Agno</v>
      </c>
      <c r="R7" s="352" t="str">
        <f>input!O85</f>
        <v>FAC</v>
      </c>
      <c r="S7" s="352" t="str">
        <f>input!P85</f>
        <v>Transport of LHD tires to Mancage at 1150 Shaft</v>
      </c>
      <c r="T7" s="1083" t="str">
        <f>input!Q85</f>
        <v>FPP</v>
      </c>
      <c r="U7" s="1084"/>
      <c r="V7" s="305" t="str">
        <f>input!R85</f>
        <v>MOG</v>
      </c>
      <c r="W7" s="305" t="str">
        <f>input!S85</f>
        <v>Dept. 2</v>
      </c>
      <c r="X7" s="1077" t="str">
        <f>input!T85</f>
        <v>Section 5</v>
      </c>
      <c r="Y7" s="1078"/>
      <c r="Z7" s="353" t="str">
        <f>input!U85</f>
        <v>MAT</v>
      </c>
    </row>
    <row r="8" spans="1:26" s="350" customFormat="1" ht="184" x14ac:dyDescent="0.25">
      <c r="B8" s="1085" t="str">
        <f>input!C86</f>
        <v>GUMAAD, EDMUND T.</v>
      </c>
      <c r="C8" s="1086"/>
      <c r="D8" s="305">
        <f>input!D86</f>
        <v>9844</v>
      </c>
      <c r="E8" s="305" t="str">
        <f>input!E86</f>
        <v>Ventilation Installation Man</v>
      </c>
      <c r="F8" s="1077" t="str">
        <f>input!F86</f>
        <v>Struck by object</v>
      </c>
      <c r="G8" s="1078"/>
      <c r="H8" s="305" t="str">
        <f>input!G86</f>
        <v>Stope</v>
      </c>
      <c r="I8" s="305" t="str">
        <f>input!H86</f>
        <v>1150L</v>
      </c>
      <c r="J8" s="1079">
        <f>input!I86</f>
        <v>46155</v>
      </c>
      <c r="K8" s="1080"/>
      <c r="L8" s="1126">
        <f>input!J86</f>
        <v>0.39583333333333331</v>
      </c>
      <c r="M8" s="1126"/>
      <c r="N8" s="392" t="str">
        <f>input!K86</f>
        <v>Second</v>
      </c>
      <c r="O8" s="352" t="str">
        <f>input!L86</f>
        <v>Richard C. Ducusin</v>
      </c>
      <c r="P8" s="352" t="str">
        <f>input!M86</f>
        <v>Francis E. Mabunga</v>
      </c>
      <c r="Q8" s="352" t="str">
        <f>input!N86</f>
        <v>Eufrosino A. De Leon Jr.</v>
      </c>
      <c r="R8" s="352" t="str">
        <f>input!O86</f>
        <v>FAC</v>
      </c>
      <c r="S8" s="352" t="str">
        <f>input!P86</f>
        <v>Cutting of vent tube cord</v>
      </c>
      <c r="T8" s="1083" t="str">
        <f>input!Q86</f>
        <v>MAT/AOV</v>
      </c>
      <c r="U8" s="1084"/>
      <c r="V8" s="305" t="str">
        <f>input!R86</f>
        <v>MEGG</v>
      </c>
      <c r="W8" s="305" t="str">
        <f>input!S86</f>
        <v>Mine Ventilation</v>
      </c>
      <c r="X8" s="1077">
        <f>input!T86</f>
        <v>0</v>
      </c>
      <c r="Y8" s="1078"/>
      <c r="Z8" s="353" t="str">
        <f>input!U86</f>
        <v>MAT</v>
      </c>
    </row>
    <row r="9" spans="1:26" s="350" customFormat="1" ht="276" x14ac:dyDescent="0.25">
      <c r="B9" s="1085" t="str">
        <f>input!C87</f>
        <v>REFUGIA, JOHN PAULINE M.</v>
      </c>
      <c r="C9" s="1086"/>
      <c r="D9" s="305">
        <f>input!D87</f>
        <v>8787</v>
      </c>
      <c r="E9" s="305" t="str">
        <f>input!E87</f>
        <v>PMS Foreman (Acting)</v>
      </c>
      <c r="F9" s="1077" t="str">
        <f>input!F87</f>
        <v>Caught in between</v>
      </c>
      <c r="G9" s="1078"/>
      <c r="H9" s="305" t="str">
        <f>input!G87</f>
        <v>Repair Bay</v>
      </c>
      <c r="I9" s="305" t="str">
        <f>input!H87</f>
        <v>900L</v>
      </c>
      <c r="J9" s="1079">
        <f>input!I87</f>
        <v>46160</v>
      </c>
      <c r="K9" s="1080"/>
      <c r="L9" s="1126">
        <f>input!J87</f>
        <v>0.41666666666666669</v>
      </c>
      <c r="M9" s="1126"/>
      <c r="N9" s="392" t="str">
        <f>input!K87</f>
        <v>Second</v>
      </c>
      <c r="O9" s="352" t="str">
        <f>input!L87</f>
        <v>Fernando A. Bustillo Jr.</v>
      </c>
      <c r="P9" s="352" t="str">
        <f>input!M87</f>
        <v>N/A</v>
      </c>
      <c r="Q9" s="352" t="str">
        <f>input!N87</f>
        <v>N/A</v>
      </c>
      <c r="R9" s="421" t="str">
        <f>input!O87</f>
        <v>LTA-NF</v>
      </c>
      <c r="S9" s="352" t="str">
        <f>input!P87</f>
        <v>Attempting to install the timber support to theLHD  boom</v>
      </c>
      <c r="T9" s="1083" t="str">
        <f>input!Q87</f>
        <v>MAT/AOV/WLT</v>
      </c>
      <c r="U9" s="1084"/>
      <c r="V9" s="305" t="str">
        <f>input!R87</f>
        <v>MOG</v>
      </c>
      <c r="W9" s="305" t="str">
        <f>input!S87</f>
        <v>MMME</v>
      </c>
      <c r="X9" s="1077" t="str">
        <f>input!T87</f>
        <v>Mobile</v>
      </c>
      <c r="Y9" s="1078"/>
      <c r="Z9" s="353" t="str">
        <f>input!U87</f>
        <v>MAT</v>
      </c>
    </row>
    <row r="10" spans="1:26" s="350" customFormat="1" ht="184" x14ac:dyDescent="0.25">
      <c r="B10" s="1085" t="str">
        <f>input!C88</f>
        <v>SORIANO W. PALAT</v>
      </c>
      <c r="C10" s="1086"/>
      <c r="D10" s="305">
        <f>input!D88</f>
        <v>8632</v>
      </c>
      <c r="E10" s="305" t="str">
        <f>input!E88</f>
        <v>Mine Services Aide</v>
      </c>
      <c r="F10" s="1077" t="str">
        <f>input!F88</f>
        <v>Occupational Illness / Pain</v>
      </c>
      <c r="G10" s="1078"/>
      <c r="H10" s="305" t="str">
        <f>input!G88</f>
        <v>Mainline / Access</v>
      </c>
      <c r="I10" s="305" t="str">
        <f>input!H88</f>
        <v>900L</v>
      </c>
      <c r="J10" s="1079">
        <f>input!I88</f>
        <v>46160</v>
      </c>
      <c r="K10" s="1080"/>
      <c r="L10" s="1126">
        <f>input!J88</f>
        <v>0.47916666666666669</v>
      </c>
      <c r="M10" s="1126"/>
      <c r="N10" s="392" t="str">
        <f>input!K88</f>
        <v>Second</v>
      </c>
      <c r="O10" s="352" t="str">
        <f>input!L88</f>
        <v>Jayson T. Capia-ao</v>
      </c>
      <c r="P10" s="352" t="str">
        <f>input!M88</f>
        <v>Randolf O. Anongos</v>
      </c>
      <c r="Q10" s="352" t="str">
        <f>input!N88</f>
        <v>N/A</v>
      </c>
      <c r="R10" s="352" t="str">
        <f>input!O88</f>
        <v>OI</v>
      </c>
      <c r="S10" s="352" t="str">
        <f>input!P88</f>
        <v>Transit of Ore to UG Crusher</v>
      </c>
      <c r="T10" s="1083" t="str">
        <f>input!Q88</f>
        <v>MAT/AOV/WLT</v>
      </c>
      <c r="U10" s="1084"/>
      <c r="V10" s="305" t="str">
        <f>input!R88</f>
        <v>MOG</v>
      </c>
      <c r="W10" s="305" t="str">
        <f>input!S88</f>
        <v>GMS</v>
      </c>
      <c r="X10" s="1077" t="str">
        <f>input!T88</f>
        <v>Main Haulage / Drift &amp; Track Maintenance</v>
      </c>
      <c r="Y10" s="1078"/>
      <c r="Z10" s="353" t="str">
        <f>input!U88</f>
        <v>MAT</v>
      </c>
    </row>
    <row r="11" spans="1:26" s="350" customFormat="1" ht="184" x14ac:dyDescent="0.25">
      <c r="B11" s="1085" t="str">
        <f>input!C89</f>
        <v>RAUL S. GALDOC</v>
      </c>
      <c r="C11" s="1086"/>
      <c r="D11" s="305">
        <f>input!D89</f>
        <v>1425</v>
      </c>
      <c r="E11" s="305" t="str">
        <f>input!E89</f>
        <v>Lead Miner</v>
      </c>
      <c r="F11" s="1077" t="str">
        <f>input!F89</f>
        <v>Struck by Falling Rock</v>
      </c>
      <c r="G11" s="1078"/>
      <c r="H11" s="305" t="str">
        <f>input!G89</f>
        <v>Stope</v>
      </c>
      <c r="I11" s="305" t="str">
        <f>input!H89</f>
        <v>870L</v>
      </c>
      <c r="J11" s="1079">
        <f>input!I89</f>
        <v>46160</v>
      </c>
      <c r="K11" s="1080"/>
      <c r="L11" s="1126">
        <f>input!J89</f>
        <v>0.64583333333333337</v>
      </c>
      <c r="M11" s="1126"/>
      <c r="N11" s="392" t="str">
        <f>input!K89</f>
        <v>Second</v>
      </c>
      <c r="O11" s="352" t="str">
        <f>input!L89</f>
        <v>Venancio A. Bad-ay</v>
      </c>
      <c r="P11" s="352" t="str">
        <f>input!M89</f>
        <v>Dimas S. Gao-ay</v>
      </c>
      <c r="Q11" s="352" t="str">
        <f>input!N89</f>
        <v>Regie D. Espinosa</v>
      </c>
      <c r="R11" s="352" t="str">
        <f>input!O89</f>
        <v>FAC</v>
      </c>
      <c r="S11" s="352" t="str">
        <f>input!P89</f>
        <v>Mucking Activity</v>
      </c>
      <c r="T11" s="1083" t="str">
        <f>input!Q89</f>
        <v>MAT/AOV/WLT</v>
      </c>
      <c r="U11" s="1084"/>
      <c r="V11" s="305" t="str">
        <f>input!R89</f>
        <v>MOG</v>
      </c>
      <c r="W11" s="305" t="str">
        <f>input!S89</f>
        <v>Dept. 1</v>
      </c>
      <c r="X11" s="1077" t="str">
        <f>input!T89</f>
        <v>Section 1</v>
      </c>
      <c r="Y11" s="1078"/>
      <c r="Z11" s="353" t="str">
        <f>input!U89</f>
        <v>MAT</v>
      </c>
    </row>
    <row r="12" spans="1:26" s="350" customFormat="1" ht="184" x14ac:dyDescent="0.25">
      <c r="B12" s="1085" t="str">
        <f>input!C90</f>
        <v>JORDAN JAMES W. BAGUISTA</v>
      </c>
      <c r="C12" s="1086"/>
      <c r="D12" s="305">
        <f>input!D90</f>
        <v>1207</v>
      </c>
      <c r="E12" s="305" t="str">
        <f>input!E90</f>
        <v>LHD Optr</v>
      </c>
      <c r="F12" s="1077" t="str">
        <f>input!F90</f>
        <v>Struck by Falling Rock</v>
      </c>
      <c r="G12" s="1078"/>
      <c r="H12" s="305" t="str">
        <f>input!G90</f>
        <v>Stope</v>
      </c>
      <c r="I12" s="305" t="str">
        <f>input!H90</f>
        <v>870L</v>
      </c>
      <c r="J12" s="1079">
        <f>input!I90</f>
        <v>46160</v>
      </c>
      <c r="K12" s="1080"/>
      <c r="L12" s="1126">
        <f>input!J90</f>
        <v>0.8125</v>
      </c>
      <c r="M12" s="1126"/>
      <c r="N12" s="392" t="str">
        <f>input!K90</f>
        <v>Third</v>
      </c>
      <c r="O12" s="352" t="str">
        <f>input!L90</f>
        <v>Venancio A. Bad-ay</v>
      </c>
      <c r="P12" s="352" t="str">
        <f>input!M90</f>
        <v>Dimas S. Gao-ay</v>
      </c>
      <c r="Q12" s="352" t="str">
        <f>input!N90</f>
        <v>Efren L. Mangamti</v>
      </c>
      <c r="R12" s="352" t="str">
        <f>input!O90</f>
        <v>FAC</v>
      </c>
      <c r="S12" s="352" t="str">
        <f>input!P90</f>
        <v>Mucking Activity</v>
      </c>
      <c r="T12" s="1083" t="str">
        <f>input!Q90</f>
        <v>MAT/AOV/WLT</v>
      </c>
      <c r="U12" s="1084"/>
      <c r="V12" s="305" t="str">
        <f>input!R90</f>
        <v>MOG</v>
      </c>
      <c r="W12" s="305" t="str">
        <f>input!S90</f>
        <v>Dept. 1</v>
      </c>
      <c r="X12" s="1077" t="str">
        <f>input!T90</f>
        <v>Section 1</v>
      </c>
      <c r="Y12" s="1078"/>
      <c r="Z12" s="353" t="str">
        <f>input!U90</f>
        <v>MAT</v>
      </c>
    </row>
    <row r="13" spans="1:26" ht="90" x14ac:dyDescent="0.25">
      <c r="B13" s="1072" t="s">
        <v>51</v>
      </c>
      <c r="C13" s="1073"/>
      <c r="D13" s="1073"/>
      <c r="E13" s="1073"/>
      <c r="F13" s="1073"/>
      <c r="G13" s="1073"/>
      <c r="H13" s="1073"/>
      <c r="I13" s="1073"/>
      <c r="J13" s="1073"/>
      <c r="K13" s="1073"/>
      <c r="L13" s="1073"/>
      <c r="M13" s="1073"/>
      <c r="N13" s="1073"/>
      <c r="O13" s="1073"/>
      <c r="P13" s="1073"/>
      <c r="Q13" s="1073"/>
      <c r="R13" s="1073"/>
      <c r="S13" s="1073"/>
      <c r="T13" s="1073"/>
      <c r="U13" s="1073"/>
      <c r="V13" s="1073"/>
      <c r="W13" s="1073"/>
      <c r="X13" s="1073"/>
      <c r="Y13" s="1073"/>
      <c r="Z13" s="1074"/>
    </row>
    <row r="14" spans="1:26" ht="276" x14ac:dyDescent="0.25">
      <c r="A14" s="350"/>
      <c r="B14" s="1075" t="str">
        <f>input!C77</f>
        <v>LUMADAO, JUNE MARK S.</v>
      </c>
      <c r="C14" s="1076"/>
      <c r="D14" s="305">
        <f>input!D77</f>
        <v>303</v>
      </c>
      <c r="E14" s="305" t="str">
        <f>input!E77</f>
        <v>Maintenance Man (PCES)</v>
      </c>
      <c r="F14" s="1077" t="str">
        <f>input!F77</f>
        <v>Fall on Same Level</v>
      </c>
      <c r="G14" s="1078"/>
      <c r="H14" s="305" t="str">
        <f>input!G77</f>
        <v>Golf Course, Sapid</v>
      </c>
      <c r="I14" s="305" t="str">
        <f>input!H77</f>
        <v>S (N/A)</v>
      </c>
      <c r="J14" s="1079" t="str">
        <f>input!I77</f>
        <v>May 8, 2026</v>
      </c>
      <c r="K14" s="1080"/>
      <c r="L14" s="1126">
        <f>input!J77</f>
        <v>0.55902777777777779</v>
      </c>
      <c r="M14" s="1126"/>
      <c r="N14" s="392" t="str">
        <f>input!K77</f>
        <v>Second</v>
      </c>
      <c r="O14" s="351" t="str">
        <f>input!L77</f>
        <v>Abraham L. Davis</v>
      </c>
      <c r="P14" s="351" t="str">
        <f>input!M77</f>
        <v>Dember F. Dictaan Jr.</v>
      </c>
      <c r="Q14" s="351" t="str">
        <f>input!N77</f>
        <v>N/A</v>
      </c>
      <c r="R14" s="351" t="str">
        <f>input!O77</f>
        <v>FAC</v>
      </c>
      <c r="S14" s="351" t="str">
        <f>input!P77</f>
        <v>Loading of excavated soil at the service dump truck</v>
      </c>
      <c r="T14" s="1083" t="str">
        <f>input!Q77</f>
        <v>MBK / RML</v>
      </c>
      <c r="U14" s="1084"/>
      <c r="V14" s="305" t="str">
        <f>input!R77</f>
        <v>MPG</v>
      </c>
      <c r="W14" s="305" t="str">
        <f>input!S77</f>
        <v>PCES</v>
      </c>
      <c r="X14" s="1077" t="str">
        <f>input!T77</f>
        <v>Road &amp; Camp Maintenance</v>
      </c>
      <c r="Y14" s="1078"/>
      <c r="Z14" s="353" t="str">
        <f>input!U77</f>
        <v>KTA</v>
      </c>
    </row>
    <row r="15" spans="1:26" ht="184" customHeight="1" x14ac:dyDescent="0.25">
      <c r="A15" s="350"/>
      <c r="B15" s="1075" t="str">
        <f>input!C78</f>
        <v>SACPA, JEROUS CAD-AN</v>
      </c>
      <c r="C15" s="1076"/>
      <c r="D15" s="305">
        <f>input!D78</f>
        <v>1095</v>
      </c>
      <c r="E15" s="305" t="str">
        <f>input!E78</f>
        <v>Mill Operations Aide</v>
      </c>
      <c r="F15" s="1077" t="str">
        <f>input!F78</f>
        <v>Caught on</v>
      </c>
      <c r="G15" s="1078"/>
      <c r="H15" s="305" t="str">
        <f>input!G78</f>
        <v>Crushing Area</v>
      </c>
      <c r="I15" s="305" t="str">
        <f>input!H78</f>
        <v>S (N/A)</v>
      </c>
      <c r="J15" s="1079" t="str">
        <f>input!I78</f>
        <v>May 12, 2026</v>
      </c>
      <c r="K15" s="1080"/>
      <c r="L15" s="1126">
        <f>input!J78</f>
        <v>0.30902777777777779</v>
      </c>
      <c r="M15" s="1126"/>
      <c r="N15" s="392" t="str">
        <f>input!K78</f>
        <v>Second</v>
      </c>
      <c r="O15" s="351" t="str">
        <f>input!L78</f>
        <v>Dexter B. Arevalo</v>
      </c>
      <c r="P15" s="351" t="str">
        <f>input!M78</f>
        <v>Wendel D. Balag-ey</v>
      </c>
      <c r="Q15" s="351" t="str">
        <f>input!N78</f>
        <v>N/A</v>
      </c>
      <c r="R15" s="420" t="str">
        <f>input!O78</f>
        <v>LTA-NF</v>
      </c>
      <c r="S15" s="351" t="str">
        <f>input!P78</f>
        <v>Scraping material build-up</v>
      </c>
      <c r="T15" s="1083" t="str">
        <f>input!Q78</f>
        <v>MBK / RML</v>
      </c>
      <c r="U15" s="1084"/>
      <c r="V15" s="305" t="str">
        <f>input!R78</f>
        <v>MPG</v>
      </c>
      <c r="W15" s="305" t="str">
        <f>input!S78</f>
        <v>Mill Operations</v>
      </c>
      <c r="X15" s="1077" t="str">
        <f>input!T78</f>
        <v>Crushing &amp; Grinding</v>
      </c>
      <c r="Y15" s="1078"/>
      <c r="Z15" s="353" t="str">
        <f>input!U78</f>
        <v>KTA</v>
      </c>
    </row>
    <row r="16" spans="1:26" ht="184" customHeight="1" x14ac:dyDescent="0.25">
      <c r="A16" s="350"/>
      <c r="B16" s="1075" t="str">
        <f>input!C79</f>
        <v>BAUTISTA, LEO V. II</v>
      </c>
      <c r="C16" s="1076"/>
      <c r="D16" s="305">
        <f>input!D79</f>
        <v>8477</v>
      </c>
      <c r="E16" s="305" t="str">
        <f>input!E79</f>
        <v>Jr. Mechanic</v>
      </c>
      <c r="F16" s="1077" t="str">
        <f>input!F79</f>
        <v>Eye Contact with Foreign Object</v>
      </c>
      <c r="G16" s="1078"/>
      <c r="H16" s="305" t="str">
        <f>input!G79</f>
        <v>Machine Shop</v>
      </c>
      <c r="I16" s="305" t="str">
        <f>input!H79</f>
        <v>S (N/A)</v>
      </c>
      <c r="J16" s="1079" t="str">
        <f>input!I79</f>
        <v>May 15, 2026</v>
      </c>
      <c r="K16" s="1080"/>
      <c r="L16" s="1126">
        <f>input!J79</f>
        <v>0.3611111111111111</v>
      </c>
      <c r="M16" s="1126"/>
      <c r="N16" s="392" t="str">
        <f>input!K79</f>
        <v>Second</v>
      </c>
      <c r="O16" s="351" t="str">
        <f>input!L79</f>
        <v>Larry A. Arigue</v>
      </c>
      <c r="P16" s="351" t="str">
        <f>input!M79</f>
        <v>James I. Consolacion</v>
      </c>
      <c r="Q16" s="351" t="str">
        <f>input!N79</f>
        <v>Kristian Lloyd D. Bulay</v>
      </c>
      <c r="R16" s="351" t="str">
        <f>input!O79</f>
        <v>FAC</v>
      </c>
      <c r="S16" s="351" t="str">
        <f>input!P79</f>
        <v>Grooving operations on pipes</v>
      </c>
      <c r="T16" s="1083" t="str">
        <f>input!Q79</f>
        <v>ENC / RML</v>
      </c>
      <c r="U16" s="1084"/>
      <c r="V16" s="305" t="str">
        <f>input!R79</f>
        <v>MOG</v>
      </c>
      <c r="W16" s="305" t="str">
        <f>input!S79</f>
        <v>MWSO</v>
      </c>
      <c r="X16" s="1077" t="str">
        <f>input!T79</f>
        <v>Machine Shop</v>
      </c>
      <c r="Y16" s="1078"/>
      <c r="Z16" s="353" t="str">
        <f>input!U79</f>
        <v>KTA</v>
      </c>
    </row>
    <row r="17" spans="1:26" ht="276" x14ac:dyDescent="0.25">
      <c r="A17" s="350"/>
      <c r="B17" s="1075" t="str">
        <f>input!C81</f>
        <v>REX KEVIN B. DAO-AS</v>
      </c>
      <c r="C17" s="1076"/>
      <c r="D17" s="305">
        <f>input!D81</f>
        <v>3717</v>
      </c>
      <c r="E17" s="305" t="str">
        <f>input!E81</f>
        <v>Heavy Equipment Operator</v>
      </c>
      <c r="F17" s="1077" t="str">
        <f>input!F81</f>
        <v>Occupational Illness / Pain</v>
      </c>
      <c r="G17" s="1078"/>
      <c r="H17" s="305" t="str">
        <f>input!G81</f>
        <v>On the road</v>
      </c>
      <c r="I17" s="305" t="str">
        <f>input!H81</f>
        <v>S (N/A)</v>
      </c>
      <c r="J17" s="1079" t="str">
        <f>input!I81</f>
        <v>May 20, 2026</v>
      </c>
      <c r="K17" s="1080"/>
      <c r="L17" s="1126">
        <f>input!J81</f>
        <v>0.47916666666666669</v>
      </c>
      <c r="M17" s="1126"/>
      <c r="N17" s="392" t="str">
        <f>input!K81</f>
        <v>Second</v>
      </c>
      <c r="O17" s="351" t="str">
        <f>input!L81</f>
        <v>Larry A. Arigue</v>
      </c>
      <c r="P17" s="351" t="str">
        <f>input!M81</f>
        <v>Melno S. Palayen</v>
      </c>
      <c r="Q17" s="351" t="str">
        <f>input!N81</f>
        <v>Raul S. Visperas</v>
      </c>
      <c r="R17" s="351" t="str">
        <f>input!O81</f>
        <v>OI</v>
      </c>
      <c r="S17" s="351" t="str">
        <f>input!P81</f>
        <v>Registration of assigned vehicle</v>
      </c>
      <c r="T17" s="1083" t="str">
        <f>input!Q81</f>
        <v>ENC / RML</v>
      </c>
      <c r="U17" s="1084"/>
      <c r="V17" s="305" t="str">
        <f>input!R81</f>
        <v>MOG</v>
      </c>
      <c r="W17" s="305" t="str">
        <f>input!S81</f>
        <v>MWSO</v>
      </c>
      <c r="X17" s="1077" t="str">
        <f>input!T81</f>
        <v>Motorpool / Transport</v>
      </c>
      <c r="Y17" s="1078"/>
      <c r="Z17" s="353" t="str">
        <f>input!U81</f>
        <v>KTA</v>
      </c>
    </row>
    <row r="18" spans="1:26" ht="184" customHeight="1" x14ac:dyDescent="0.25">
      <c r="A18" s="350"/>
      <c r="B18" s="1075" t="str">
        <f>input!C82</f>
        <v>CATBAGAN, NARRY D.</v>
      </c>
      <c r="C18" s="1076"/>
      <c r="D18" s="305">
        <f>input!D82</f>
        <v>4095</v>
      </c>
      <c r="E18" s="305" t="str">
        <f>input!E82</f>
        <v>CIP Operator</v>
      </c>
      <c r="F18" s="1077" t="str">
        <f>input!F82</f>
        <v>Contact with Object</v>
      </c>
      <c r="G18" s="1078"/>
      <c r="H18" s="305" t="str">
        <f>input!G82</f>
        <v>CIP - Barren Pump Area</v>
      </c>
      <c r="I18" s="305" t="str">
        <f>input!H82</f>
        <v>S (N/A)</v>
      </c>
      <c r="J18" s="1079" t="str">
        <f>input!I82</f>
        <v>May 23, 2026</v>
      </c>
      <c r="K18" s="1080"/>
      <c r="L18" s="1126">
        <f>input!J82</f>
        <v>0.40625</v>
      </c>
      <c r="M18" s="1126"/>
      <c r="N18" s="392" t="str">
        <f>input!K82</f>
        <v>Second</v>
      </c>
      <c r="O18" s="351" t="str">
        <f>input!L82</f>
        <v>Dexter B. Arevalo</v>
      </c>
      <c r="P18" s="351" t="str">
        <f>input!M82</f>
        <v>Jeric T. Dulawan</v>
      </c>
      <c r="Q18" s="351" t="str">
        <f>input!N82</f>
        <v>John Ray T. Salguit</v>
      </c>
      <c r="R18" s="351" t="str">
        <f>input!O82</f>
        <v>FAC</v>
      </c>
      <c r="S18" s="351" t="str">
        <f>input!P82</f>
        <v>Transferring operation of Barren pump 1 to 2</v>
      </c>
      <c r="T18" s="1083" t="str">
        <f>input!Q82</f>
        <v>RML</v>
      </c>
      <c r="U18" s="1084"/>
      <c r="V18" s="305" t="str">
        <f>input!R82</f>
        <v>MPG</v>
      </c>
      <c r="W18" s="305" t="str">
        <f>input!S82</f>
        <v>Mill Operations</v>
      </c>
      <c r="X18" s="1077" t="str">
        <f>input!T82</f>
        <v>CIP</v>
      </c>
      <c r="Y18" s="1078"/>
      <c r="Z18" s="353" t="str">
        <f>input!U82</f>
        <v>KTA</v>
      </c>
    </row>
    <row r="19" spans="1:26" ht="184" customHeight="1" x14ac:dyDescent="0.25">
      <c r="A19" s="350"/>
      <c r="B19" s="1075" t="str">
        <f>input!C83</f>
        <v>GISGISWANG, RUEL R.</v>
      </c>
      <c r="C19" s="1076"/>
      <c r="D19" s="305">
        <f>input!D83</f>
        <v>4135</v>
      </c>
      <c r="E19" s="305" t="str">
        <f>input!E83</f>
        <v>Grinding Operator</v>
      </c>
      <c r="F19" s="1077" t="str">
        <f>input!F83</f>
        <v>Contact with Object</v>
      </c>
      <c r="G19" s="1078"/>
      <c r="H19" s="305" t="str">
        <f>input!G83</f>
        <v>CIP - Barren Pump Area</v>
      </c>
      <c r="I19" s="305" t="str">
        <f>input!H83</f>
        <v>S (N/A)</v>
      </c>
      <c r="J19" s="1079" t="str">
        <f>input!I83</f>
        <v>May 23, 2026</v>
      </c>
      <c r="K19" s="1080"/>
      <c r="L19" s="1126">
        <f>input!J83</f>
        <v>0.40625</v>
      </c>
      <c r="M19" s="1126"/>
      <c r="N19" s="392" t="str">
        <f>input!K83</f>
        <v>Second</v>
      </c>
      <c r="O19" s="351" t="str">
        <f>input!L83</f>
        <v>Dexter B. Arevalo</v>
      </c>
      <c r="P19" s="351" t="str">
        <f>input!M83</f>
        <v>Jeric T. Dulawan</v>
      </c>
      <c r="Q19" s="351" t="str">
        <f>input!N83</f>
        <v>John Ray T. Salguit</v>
      </c>
      <c r="R19" s="351" t="str">
        <f>input!O83</f>
        <v>FAC</v>
      </c>
      <c r="S19" s="351" t="str">
        <f>input!P83</f>
        <v>Transferring operation of Barren pump 1 to 2</v>
      </c>
      <c r="T19" s="1083" t="str">
        <f>input!Q83</f>
        <v>RML</v>
      </c>
      <c r="U19" s="1084"/>
      <c r="V19" s="305" t="str">
        <f>input!R83</f>
        <v>MPG</v>
      </c>
      <c r="W19" s="305" t="str">
        <f>input!S83</f>
        <v>Mill Operations</v>
      </c>
      <c r="X19" s="1077" t="str">
        <f>input!T83</f>
        <v>Crushing &amp; Grinding</v>
      </c>
      <c r="Y19" s="1078"/>
      <c r="Z19" s="353" t="str">
        <f>input!U83</f>
        <v>KTA</v>
      </c>
    </row>
    <row r="20" spans="1:26" ht="184" customHeight="1" x14ac:dyDescent="0.25">
      <c r="A20" s="350"/>
      <c r="B20" s="1075" t="str">
        <f>input!C91</f>
        <v>SUNI, RONALD S.</v>
      </c>
      <c r="C20" s="1076"/>
      <c r="D20" s="305">
        <f>input!D91</f>
        <v>7023</v>
      </c>
      <c r="E20" s="305" t="str">
        <f>input!E91</f>
        <v>Sand Production Operator</v>
      </c>
      <c r="F20" s="1077" t="str">
        <f>input!F91</f>
        <v>Caught in Between</v>
      </c>
      <c r="G20" s="1078"/>
      <c r="H20" s="305" t="str">
        <f>input!G91</f>
        <v>Upper Tram</v>
      </c>
      <c r="I20" s="305" t="str">
        <f>input!H91</f>
        <v>S (N/A)</v>
      </c>
      <c r="J20" s="1079" t="str">
        <f>input!I91</f>
        <v>May 26, 2026</v>
      </c>
      <c r="K20" s="1080"/>
      <c r="L20" s="1126">
        <f>input!J91</f>
        <v>0.4236111111111111</v>
      </c>
      <c r="M20" s="1126"/>
      <c r="N20" s="392" t="str">
        <f>input!K91</f>
        <v>Second</v>
      </c>
      <c r="O20" s="351" t="str">
        <f>input!L91</f>
        <v>Dexter B. Arevalo</v>
      </c>
      <c r="P20" s="351" t="str">
        <f>input!M91</f>
        <v>Christopher T. Baniaga</v>
      </c>
      <c r="Q20" s="351" t="str">
        <f>input!N91</f>
        <v>Vincent S. Camiling</v>
      </c>
      <c r="R20" s="420" t="str">
        <f>input!O91</f>
        <v>LTA-NF</v>
      </c>
      <c r="S20" s="351" t="str">
        <f>input!P91</f>
        <v>Reinstalling detached cable</v>
      </c>
      <c r="T20" s="1083" t="str">
        <f>input!Q91</f>
        <v>MBK / RML</v>
      </c>
      <c r="U20" s="1084"/>
      <c r="V20" s="305" t="str">
        <f>input!R91</f>
        <v>MPG</v>
      </c>
      <c r="W20" s="305" t="str">
        <f>input!S91</f>
        <v>Mill Operations</v>
      </c>
      <c r="X20" s="1077" t="str">
        <f>input!T91</f>
        <v>Sand Production</v>
      </c>
      <c r="Y20" s="1078"/>
      <c r="Z20" s="353" t="str">
        <f>input!U91</f>
        <v>KTA</v>
      </c>
    </row>
    <row r="21" spans="1:26" ht="184" customHeight="1" x14ac:dyDescent="0.25">
      <c r="A21" s="350"/>
      <c r="B21" s="1075" t="str">
        <f>input!C92</f>
        <v>RUFINO, ALVIN</v>
      </c>
      <c r="C21" s="1076"/>
      <c r="D21" s="305">
        <f>input!D92</f>
        <v>8354</v>
      </c>
      <c r="E21" s="305" t="str">
        <f>input!E92</f>
        <v>Jr. Mechanical Engineer</v>
      </c>
      <c r="F21" s="1077" t="str">
        <f>input!F92</f>
        <v>Fall on Same Level</v>
      </c>
      <c r="G21" s="1078"/>
      <c r="H21" s="305" t="str">
        <f>input!G92</f>
        <v>Poblacion, Mankayan</v>
      </c>
      <c r="I21" s="305" t="str">
        <f>input!H92</f>
        <v>S (N/A)</v>
      </c>
      <c r="J21" s="1079" t="str">
        <f>input!I92</f>
        <v>May 6, 2026</v>
      </c>
      <c r="K21" s="1080"/>
      <c r="L21" s="1126">
        <f>input!J92</f>
        <v>0.28819444444444448</v>
      </c>
      <c r="M21" s="1126"/>
      <c r="N21" s="392" t="str">
        <f>input!K92</f>
        <v>First</v>
      </c>
      <c r="O21" s="351" t="str">
        <f>input!L92</f>
        <v>Larry E. Arigue</v>
      </c>
      <c r="P21" s="351" t="str">
        <f>input!M92</f>
        <v>James I. Consolacion</v>
      </c>
      <c r="Q21" s="351" t="str">
        <f>input!N92</f>
        <v>N/A</v>
      </c>
      <c r="R21" s="351" t="str">
        <f>input!O92</f>
        <v>FAC</v>
      </c>
      <c r="S21" s="351" t="str">
        <f>input!P92</f>
        <v>Riding Motorcycle to work</v>
      </c>
      <c r="T21" s="1083" t="str">
        <f>input!Q92</f>
        <v>MBK / RML</v>
      </c>
      <c r="U21" s="1084"/>
      <c r="V21" s="305" t="str">
        <f>input!R92</f>
        <v>MOG</v>
      </c>
      <c r="W21" s="305" t="str">
        <f>input!S92</f>
        <v>MWSO</v>
      </c>
      <c r="X21" s="1077" t="str">
        <f>input!T92</f>
        <v>Machine Shop</v>
      </c>
      <c r="Y21" s="1078"/>
      <c r="Z21" s="353" t="str">
        <f>input!U92</f>
        <v>KTA</v>
      </c>
    </row>
    <row r="22" spans="1:26" ht="90" hidden="1" customHeight="1" x14ac:dyDescent="0.25">
      <c r="B22" s="1072" t="s">
        <v>80</v>
      </c>
      <c r="C22" s="1073"/>
      <c r="D22" s="1073"/>
      <c r="E22" s="1073"/>
      <c r="F22" s="1073"/>
      <c r="G22" s="1073"/>
      <c r="H22" s="1073"/>
      <c r="I22" s="1073"/>
      <c r="J22" s="1073"/>
      <c r="K22" s="1073"/>
      <c r="L22" s="1073"/>
      <c r="M22" s="1073"/>
      <c r="N22" s="1073"/>
      <c r="O22" s="1073"/>
      <c r="P22" s="1073"/>
      <c r="Q22" s="1073"/>
      <c r="R22" s="1073"/>
      <c r="S22" s="1073"/>
      <c r="T22" s="1073"/>
      <c r="U22" s="1073"/>
      <c r="V22" s="1073"/>
      <c r="W22" s="1073"/>
      <c r="X22" s="1073"/>
      <c r="Y22" s="1073"/>
      <c r="Z22" s="1074"/>
    </row>
    <row r="23" spans="1:26" ht="92" hidden="1" x14ac:dyDescent="0.25">
      <c r="A23" s="350"/>
      <c r="B23" s="1075" t="s">
        <v>57</v>
      </c>
      <c r="C23" s="1076"/>
      <c r="D23" s="305"/>
      <c r="E23" s="305"/>
      <c r="F23" s="1077"/>
      <c r="G23" s="1078"/>
      <c r="H23" s="305"/>
      <c r="I23" s="305"/>
      <c r="J23" s="1079"/>
      <c r="K23" s="1080"/>
      <c r="L23" s="1126"/>
      <c r="M23" s="1126"/>
      <c r="N23" s="392"/>
      <c r="O23" s="352"/>
      <c r="P23" s="352"/>
      <c r="Q23" s="352"/>
      <c r="R23" s="305"/>
      <c r="S23" s="305"/>
      <c r="T23" s="1083"/>
      <c r="U23" s="1084"/>
      <c r="V23" s="305"/>
      <c r="W23" s="305"/>
      <c r="X23" s="1077"/>
      <c r="Y23" s="1078"/>
      <c r="Z23" s="353"/>
    </row>
    <row r="24" spans="1:26" ht="90" customHeight="1" x14ac:dyDescent="0.25">
      <c r="B24" s="1072" t="s">
        <v>675</v>
      </c>
      <c r="C24" s="1073"/>
      <c r="D24" s="1073"/>
      <c r="E24" s="1073"/>
      <c r="F24" s="1073"/>
      <c r="G24" s="1073"/>
      <c r="H24" s="1073"/>
      <c r="I24" s="1073"/>
      <c r="J24" s="1073"/>
      <c r="K24" s="1073"/>
      <c r="L24" s="1073"/>
      <c r="M24" s="1073"/>
      <c r="N24" s="1073"/>
      <c r="O24" s="1073"/>
      <c r="P24" s="1073"/>
      <c r="Q24" s="1073"/>
      <c r="R24" s="1073"/>
      <c r="S24" s="1073"/>
      <c r="T24" s="1073"/>
      <c r="U24" s="1073"/>
      <c r="V24" s="1073"/>
      <c r="W24" s="1073"/>
      <c r="X24" s="1073"/>
      <c r="Y24" s="1073"/>
      <c r="Z24" s="1074"/>
    </row>
    <row r="25" spans="1:26" s="133" customFormat="1" ht="184.5" thickBot="1" x14ac:dyDescent="0.3">
      <c r="A25" s="350"/>
      <c r="B25" s="1075" t="str">
        <f>input!C80</f>
        <v>FOREST FIRE</v>
      </c>
      <c r="C25" s="1076"/>
      <c r="D25" s="304" t="str">
        <f>input!D80</f>
        <v>N/A</v>
      </c>
      <c r="E25" s="304" t="str">
        <f>input!E80</f>
        <v>N/A</v>
      </c>
      <c r="F25" s="1077" t="str">
        <f>input!F80</f>
        <v>Fire</v>
      </c>
      <c r="G25" s="1078"/>
      <c r="H25" s="305" t="str">
        <f>input!G80</f>
        <v>Pukitan Area</v>
      </c>
      <c r="I25" s="305" t="str">
        <f>input!H80</f>
        <v>S (N/A)</v>
      </c>
      <c r="J25" s="1100" t="str">
        <f>input!I80</f>
        <v>May 16, 2026</v>
      </c>
      <c r="K25" s="1101"/>
      <c r="L25" s="1126">
        <f>input!J80</f>
        <v>0.74583333333333324</v>
      </c>
      <c r="M25" s="1126"/>
      <c r="N25" s="392" t="str">
        <f>input!K80</f>
        <v>Third</v>
      </c>
      <c r="O25" s="352" t="str">
        <f>input!L80</f>
        <v>N/A</v>
      </c>
      <c r="P25" s="352" t="str">
        <f>input!M80</f>
        <v>N/A</v>
      </c>
      <c r="Q25" s="352" t="str">
        <f>input!N80</f>
        <v>N/A</v>
      </c>
      <c r="R25" s="352" t="str">
        <f>input!O80</f>
        <v>EI</v>
      </c>
      <c r="S25" s="352" t="str">
        <f>input!P80</f>
        <v>Normal Surface Operations</v>
      </c>
      <c r="T25" s="1083" t="str">
        <f>input!Q80</f>
        <v>N/A</v>
      </c>
      <c r="U25" s="1084"/>
      <c r="V25" s="305" t="str">
        <f>input!R80</f>
        <v>ASG</v>
      </c>
      <c r="W25" s="305" t="str">
        <f>input!S80</f>
        <v>IOSD</v>
      </c>
      <c r="X25" s="1077" t="str">
        <f>input!T80</f>
        <v>N/A - Community</v>
      </c>
      <c r="Y25" s="1078"/>
      <c r="Z25" s="353" t="str">
        <f>input!U80</f>
        <v>KTA</v>
      </c>
    </row>
    <row r="26" spans="1:26" ht="82" customHeight="1" x14ac:dyDescent="0.25">
      <c r="B26" s="1102" t="s">
        <v>22</v>
      </c>
      <c r="C26" s="1103"/>
      <c r="D26" s="306" t="s">
        <v>6</v>
      </c>
      <c r="E26" s="306" t="s">
        <v>2</v>
      </c>
      <c r="F26" s="306" t="s">
        <v>3</v>
      </c>
      <c r="G26" s="306" t="s">
        <v>1</v>
      </c>
      <c r="H26" s="306" t="s">
        <v>0</v>
      </c>
      <c r="I26" s="306" t="s">
        <v>53</v>
      </c>
      <c r="J26" s="306" t="s">
        <v>12</v>
      </c>
      <c r="K26" s="306" t="s">
        <v>693</v>
      </c>
      <c r="L26" s="306" t="s">
        <v>5</v>
      </c>
      <c r="M26" s="307" t="s">
        <v>40</v>
      </c>
      <c r="N26" s="1008" t="s">
        <v>11</v>
      </c>
      <c r="O26" s="1008"/>
      <c r="P26" s="1007"/>
      <c r="Q26" s="308" t="s">
        <v>6</v>
      </c>
      <c r="R26" s="308" t="s">
        <v>2</v>
      </c>
      <c r="S26" s="308" t="s">
        <v>3</v>
      </c>
      <c r="T26" s="308" t="s">
        <v>1</v>
      </c>
      <c r="U26" s="308" t="s">
        <v>0</v>
      </c>
      <c r="V26" s="308" t="s">
        <v>53</v>
      </c>
      <c r="W26" s="308" t="s">
        <v>12</v>
      </c>
      <c r="X26" s="308" t="s">
        <v>693</v>
      </c>
      <c r="Y26" s="308" t="s">
        <v>5</v>
      </c>
      <c r="Z26" s="309" t="s">
        <v>40</v>
      </c>
    </row>
    <row r="27" spans="1:26" ht="92" x14ac:dyDescent="0.25">
      <c r="B27" s="1104" t="s">
        <v>33</v>
      </c>
      <c r="C27" s="1105"/>
      <c r="D27" s="310">
        <f>COUNTIFS(input!$O:$O,May!$D$26,input!$E:$E,May!B27,input!$A:$A,May!$B$2)</f>
        <v>0</v>
      </c>
      <c r="E27" s="310">
        <f>COUNTIFS(input!$O:$O,May!$E$26,input!$E:$E,May!B27,input!$A:$A,May!$B$2)</f>
        <v>0</v>
      </c>
      <c r="F27" s="310">
        <f>COUNTIFS(input!$O:$O,May!$F$26,input!$E:$E,May!B27,input!$A:$A,May!$B$2)</f>
        <v>0</v>
      </c>
      <c r="G27" s="311">
        <f>COUNTIFS(input!$O:$O,May!$G$26,input!$E:$E,May!B27,input!$A:$A,May!$B$2)</f>
        <v>2</v>
      </c>
      <c r="H27" s="311">
        <f>COUNTIFS(input!$O:$O,May!$H$26,input!$E:$E,May!B27,input!$A:$A,May!$B$2)</f>
        <v>0</v>
      </c>
      <c r="I27" s="311">
        <f>COUNTIFS(input!$O:$O,May!$I$26,input!$E:$E,May!B27,input!$A:$A,May!$B$2)</f>
        <v>0</v>
      </c>
      <c r="J27" s="311">
        <f>COUNTIFS(input!$O:$O,May!$K$26,input!$E:$E,May!B27,input!$A:$A,May!$B$2)</f>
        <v>0</v>
      </c>
      <c r="K27" s="311">
        <f>COUNTIFS(input!$O:$O,May!$K$26,input!$E:$E,May!B27,input!$A:$A,May!$B$2)</f>
        <v>0</v>
      </c>
      <c r="L27" s="312">
        <f t="shared" ref="L27:L38" si="0">SUM(D27:K27)</f>
        <v>2</v>
      </c>
      <c r="M27" s="313" cm="1">
        <f t="array" ref="M27">_xlfn.IFS(L27=0,0,L27&gt;=1,L27/$L$66)</f>
        <v>0.125</v>
      </c>
      <c r="N27" s="1106" t="s">
        <v>86</v>
      </c>
      <c r="O27" s="1106"/>
      <c r="P27" s="1105"/>
      <c r="Q27" s="310">
        <f>COUNTIFS(input!$O:$O,May!$Q$26,input!$F:$F,May!N27,input!$A:$A,May!$B$2)</f>
        <v>0</v>
      </c>
      <c r="R27" s="310">
        <f>COUNTIFS(input!$O:$O,May!$R$26,input!$F:$F,May!N27,input!$A:$A,May!$B$2)</f>
        <v>0</v>
      </c>
      <c r="S27" s="310">
        <f>COUNTIFS(input!$O:$O,May!$S$26,input!$F:$F,May!N27,input!$A:$A,May!$B$2)</f>
        <v>0</v>
      </c>
      <c r="T27" s="314">
        <f>COUNTIFS(input!$O:$O,May!$T$26,input!$F:$F,May!N27,input!$A:$A,May!$B$2)</f>
        <v>2</v>
      </c>
      <c r="U27" s="314">
        <f>COUNTIFS(input!$O:$O,May!$U$26,input!$F:$F,May!N27,input!$A:$A,May!$B$2)</f>
        <v>0</v>
      </c>
      <c r="V27" s="314">
        <f>COUNTIFS(input!$O:$O,May!$V$26,input!$F:$F,May!N27,input!$A:$A,May!$B$2)</f>
        <v>0</v>
      </c>
      <c r="W27" s="314">
        <f>COUNTIFS(input!$O:$O,May!$W$26,input!$F:$F,May!N27,input!$A:$A,May!$B$2)</f>
        <v>0</v>
      </c>
      <c r="X27" s="314">
        <f>COUNTIFS(input!$O:$O,May!$X$26,input!$F:$F,May!N27,input!$A:$A,May!$B$2)</f>
        <v>0</v>
      </c>
      <c r="Y27" s="312">
        <f>SUM(Q27:X27)</f>
        <v>2</v>
      </c>
      <c r="Z27" s="315" cm="1">
        <f t="array" ref="Z27">_xlfn.IFS(Y27=0,0,Y27&gt;=1,Y27/$Y$66)</f>
        <v>0.125</v>
      </c>
    </row>
    <row r="28" spans="1:26" ht="92" x14ac:dyDescent="0.25">
      <c r="B28" s="990" t="s">
        <v>1781</v>
      </c>
      <c r="C28" s="991"/>
      <c r="D28" s="316">
        <f>COUNTIFS(input!$O:$O,May!$D$26,input!$E:$E,May!B28,input!$A:$A,May!$B$2)</f>
        <v>0</v>
      </c>
      <c r="E28" s="316">
        <f>COUNTIFS(input!$O:$O,May!$E$26,input!$E:$E,May!B28,input!$A:$A,May!$B$2)</f>
        <v>0</v>
      </c>
      <c r="F28" s="317">
        <f>COUNTIFS(input!$O:$O,May!$F$26,input!$E:$E,May!B28,input!$A:$A,May!$B$2)</f>
        <v>0</v>
      </c>
      <c r="G28" s="318">
        <f>COUNTIFS(input!$O:$O,May!$G$26,input!$E:$E,May!B28,input!$A:$A,May!$B$2)</f>
        <v>1</v>
      </c>
      <c r="H28" s="318">
        <f>COUNTIFS(input!$O:$O,May!$H$26,input!$E:$E,May!B28,input!$A:$A,May!$B$2)</f>
        <v>0</v>
      </c>
      <c r="I28" s="318">
        <f>COUNTIFS(input!$O:$O,May!$I$26,input!$E:$E,May!B28,input!$A:$A,May!$B$2)</f>
        <v>0</v>
      </c>
      <c r="J28" s="318">
        <f>COUNTIFS(input!$O:$O,May!$K$26,input!$E:$E,May!B28,input!$A:$A,May!$B$2)</f>
        <v>0</v>
      </c>
      <c r="K28" s="319">
        <f>COUNTIFS(input!$O:$O,May!$K$26,input!$E:$E,May!B28,input!$A:$A,May!$B$2)</f>
        <v>0</v>
      </c>
      <c r="L28" s="312">
        <f t="shared" si="0"/>
        <v>1</v>
      </c>
      <c r="M28" s="313" cm="1">
        <f t="array" ref="M28">_xlfn.IFS(L28=0,0,L28&gt;=1,L28/$L$66)</f>
        <v>6.25E-2</v>
      </c>
      <c r="N28" s="1065" t="s">
        <v>138</v>
      </c>
      <c r="O28" s="1065"/>
      <c r="P28" s="1066"/>
      <c r="Q28" s="316">
        <f>COUNTIFS(input!$O:$O,May!$Q$26,input!$F:$F,May!N28,input!$A:$A,May!$B$2)</f>
        <v>0</v>
      </c>
      <c r="R28" s="316">
        <f>COUNTIFS(input!$O:$O,May!$R$26,input!$F:$F,May!N28,input!$A:$A,May!$B$2)</f>
        <v>0</v>
      </c>
      <c r="S28" s="316">
        <f>COUNTIFS(input!$O:$O,May!$S$26,input!$F:$F,May!N28,input!$A:$A,May!$B$2)</f>
        <v>0</v>
      </c>
      <c r="T28" s="321">
        <f>COUNTIFS(input!$O:$O,May!$T$26,input!$F:$F,May!N28,input!$A:$A,May!$B$2)</f>
        <v>0</v>
      </c>
      <c r="U28" s="322">
        <f>COUNTIFS(input!$O:$O,May!$U$26,input!$F:$F,May!N28,input!$A:$A,May!$B$2)</f>
        <v>0</v>
      </c>
      <c r="V28" s="322">
        <f>COUNTIFS(input!$O:$O,May!$V$26,input!$F:$F,May!N28,input!$A:$A,May!$B$2)</f>
        <v>0</v>
      </c>
      <c r="W28" s="323">
        <f>COUNTIFS(input!$O:$O,May!$W$26,input!$F:$F,May!N28,input!$A:$A,May!$B$2)</f>
        <v>0</v>
      </c>
      <c r="X28" s="324">
        <f>COUNTIFS(input!$O:$O,May!$X$26,input!$F:$F,May!N28,input!$A:$A,May!$B$2)</f>
        <v>0</v>
      </c>
      <c r="Y28" s="312">
        <f>SUM(Q28:X28)</f>
        <v>0</v>
      </c>
      <c r="Z28" s="315" cm="1">
        <f t="array" ref="Z28">_xlfn.IFS(Y28=0,0,Y28&gt;=1,Y28/$Y$66)</f>
        <v>0</v>
      </c>
    </row>
    <row r="29" spans="1:26" ht="92" customHeight="1" x14ac:dyDescent="0.25">
      <c r="B29" s="990" t="s">
        <v>472</v>
      </c>
      <c r="C29" s="991"/>
      <c r="D29" s="316">
        <f>COUNTIFS(input!$O:$O,May!$D$26,input!$E:$E,May!B29,input!$A:$A,May!$B$2)</f>
        <v>0</v>
      </c>
      <c r="E29" s="316">
        <f>COUNTIFS(input!$O:$O,May!$E$26,input!$E:$E,May!B29,input!$A:$A,May!$B$2)</f>
        <v>0</v>
      </c>
      <c r="F29" s="317">
        <f>COUNTIFS(input!$O:$O,May!$F$26,input!$E:$E,May!B29,input!$A:$A,May!$B$2)</f>
        <v>0</v>
      </c>
      <c r="G29" s="318">
        <f>COUNTIFS(input!$O:$O,May!$G$26,input!$E:$E,May!B29,input!$A:$A,May!$B$2)</f>
        <v>0</v>
      </c>
      <c r="H29" s="318">
        <f>COUNTIFS(input!$O:$O,May!$H$26,input!$E:$E,May!B29,input!$A:$A,May!$B$2)</f>
        <v>0</v>
      </c>
      <c r="I29" s="318">
        <f>COUNTIFS(input!$O:$O,May!$I$26,input!$E:$E,May!B29,input!$A:$A,May!$B$2)</f>
        <v>0</v>
      </c>
      <c r="J29" s="318">
        <f>COUNTIFS(input!$O:$O,May!$K$26,input!$E:$E,May!B29,input!$A:$A,May!$B$2)</f>
        <v>0</v>
      </c>
      <c r="K29" s="319">
        <f>COUNTIFS(input!$O:$O,May!$K$26,input!$E:$E,May!B29,input!$A:$A,May!$B$2)</f>
        <v>0</v>
      </c>
      <c r="L29" s="312">
        <f t="shared" si="0"/>
        <v>0</v>
      </c>
      <c r="M29" s="313" cm="1">
        <f t="array" ref="M29">_xlfn.IFS(L29=0,0,L29&gt;=1,L29/$L$66)</f>
        <v>0</v>
      </c>
      <c r="N29" s="1016" t="s">
        <v>17</v>
      </c>
      <c r="O29" s="1016"/>
      <c r="P29" s="991"/>
      <c r="Q29" s="316">
        <f>COUNTIFS(input!$O:$O,May!$Q$26,input!$F:$F,May!N29,input!$A:$A,May!$B$2)</f>
        <v>0</v>
      </c>
      <c r="R29" s="316">
        <f>COUNTIFS(input!$O:$O,May!$R$26,input!$F:$F,May!N29,input!$A:$A,May!$B$2)</f>
        <v>0</v>
      </c>
      <c r="S29" s="316">
        <f>COUNTIFS(input!$O:$O,May!$S$26,input!$F:$F,May!N29,input!$A:$A,May!$B$2)</f>
        <v>0</v>
      </c>
      <c r="T29" s="321">
        <f>COUNTIFS(input!$O:$O,May!$T$26,input!$F:$F,May!N29,input!$A:$A,May!$B$2)</f>
        <v>2</v>
      </c>
      <c r="U29" s="322">
        <f>COUNTIFS(input!$O:$O,May!$U$26,input!$F:$F,May!N29,input!$A:$A,May!$B$2)</f>
        <v>0</v>
      </c>
      <c r="V29" s="322">
        <f>COUNTIFS(input!$O:$O,May!$V$26,input!$F:$F,May!N29,input!$A:$A,May!$B$2)</f>
        <v>0</v>
      </c>
      <c r="W29" s="323">
        <f>COUNTIFS(input!$O:$O,May!$W$26,input!$F:$F,May!N29,input!$A:$A,May!$B$2)</f>
        <v>0</v>
      </c>
      <c r="X29" s="324">
        <f>COUNTIFS(input!$O:$O,May!$X$26,input!$F:$F,May!N29,input!$A:$A,May!$B$2)</f>
        <v>0</v>
      </c>
      <c r="Y29" s="312">
        <f>SUM(Q29:X29)</f>
        <v>2</v>
      </c>
      <c r="Z29" s="315" cm="1">
        <f t="array" ref="Z29">_xlfn.IFS(Y29=0,0,Y29&gt;=1,Y29/$Y$66)</f>
        <v>0.125</v>
      </c>
    </row>
    <row r="30" spans="1:26" ht="92" customHeight="1" x14ac:dyDescent="0.25">
      <c r="B30" s="990" t="s">
        <v>1536</v>
      </c>
      <c r="C30" s="991"/>
      <c r="D30" s="316">
        <f>COUNTIFS(input!$O:$O,May!$D$26,input!$E:$E,May!B30,input!$A:$A,May!$B$2)</f>
        <v>0</v>
      </c>
      <c r="E30" s="316">
        <f>COUNTIFS(input!$O:$O,May!$E$26,input!$E:$E,May!B30,input!$A:$A,May!$B$2)</f>
        <v>0</v>
      </c>
      <c r="F30" s="317">
        <f>COUNTIFS(input!$O:$O,May!$F$26,input!$E:$E,May!B30,input!$A:$A,May!$B$2)</f>
        <v>0</v>
      </c>
      <c r="G30" s="318">
        <f>COUNTIFS(input!$O:$O,May!$G$26,input!$E:$E,May!B30,input!$A:$A,May!$B$2)</f>
        <v>0</v>
      </c>
      <c r="H30" s="318">
        <f>COUNTIFS(input!$O:$O,May!$H$26,input!$E:$E,May!B30,input!$A:$A,May!$B$2)</f>
        <v>0</v>
      </c>
      <c r="I30" s="318">
        <f>COUNTIFS(input!$O:$O,May!$I$26,input!$E:$E,May!B30,input!$A:$A,May!$B$2)</f>
        <v>0</v>
      </c>
      <c r="J30" s="318">
        <f>COUNTIFS(input!$O:$O,May!$K$26,input!$E:$E,May!B30,input!$A:$A,May!$B$2)</f>
        <v>0</v>
      </c>
      <c r="K30" s="319">
        <f>COUNTIFS(input!$O:$O,May!$K$26,input!$E:$E,May!B30,input!$A:$A,May!$B$2)</f>
        <v>0</v>
      </c>
      <c r="L30" s="312">
        <f t="shared" si="0"/>
        <v>0</v>
      </c>
      <c r="M30" s="313" cm="1">
        <f t="array" ref="M30">_xlfn.IFS(L30=0,0,L30&gt;=1,L30/$L$66)</f>
        <v>0</v>
      </c>
      <c r="N30" s="1016" t="s">
        <v>20</v>
      </c>
      <c r="O30" s="1016"/>
      <c r="P30" s="991"/>
      <c r="Q30" s="316">
        <f>COUNTIFS(input!$O:$O,May!$Q$26,input!$F:$F,May!N30,input!$A:$A,May!$B$2)</f>
        <v>0</v>
      </c>
      <c r="R30" s="316">
        <f>COUNTIFS(input!$O:$O,May!$R$26,input!$F:$F,May!N30,input!$A:$A,May!$B$2)</f>
        <v>2</v>
      </c>
      <c r="S30" s="316">
        <f>COUNTIFS(input!$O:$O,May!$S$26,input!$F:$F,May!N30,input!$A:$A,May!$B$2)</f>
        <v>0</v>
      </c>
      <c r="T30" s="321">
        <f>COUNTIFS(input!$O:$O,May!$T$26,input!$F:$F,May!N30,input!$A:$A,May!$B$2)</f>
        <v>1</v>
      </c>
      <c r="U30" s="322">
        <f>COUNTIFS(input!$O:$O,May!$U$26,input!$F:$F,May!N30,input!$A:$A,May!$B$2)</f>
        <v>0</v>
      </c>
      <c r="V30" s="322">
        <f>COUNTIFS(input!$O:$O,May!$V$26,input!$F:$F,May!N30,input!$A:$A,May!$B$2)</f>
        <v>0</v>
      </c>
      <c r="W30" s="323">
        <f>COUNTIFS(input!$O:$O,May!$W$26,input!$F:$F,May!N30,input!$A:$A,May!$B$2)</f>
        <v>0</v>
      </c>
      <c r="X30" s="324">
        <f>COUNTIFS(input!$O:$O,May!$X$26,input!$F:$F,May!N30,input!$A:$A,May!$B$2)</f>
        <v>0</v>
      </c>
      <c r="Y30" s="312">
        <f t="shared" ref="Y30:Y65" si="1">SUM(Q30:X30)</f>
        <v>3</v>
      </c>
      <c r="Z30" s="315" cm="1">
        <f t="array" ref="Z30">_xlfn.IFS(Y30=0,0,Y30&gt;=1,Y30/$Y$66)</f>
        <v>0.1875</v>
      </c>
    </row>
    <row r="31" spans="1:26" ht="92" customHeight="1" x14ac:dyDescent="0.25">
      <c r="B31" s="990" t="s">
        <v>682</v>
      </c>
      <c r="C31" s="991"/>
      <c r="D31" s="316">
        <f>COUNTIFS(input!$O:$O,May!$D$26,input!$E:$E,May!B31,input!$A:$A,May!$B$2)</f>
        <v>0</v>
      </c>
      <c r="E31" s="316">
        <f>COUNTIFS(input!$O:$O,May!$E$26,input!$E:$E,May!B31,input!$A:$A,May!$B$2)</f>
        <v>0</v>
      </c>
      <c r="F31" s="317">
        <f>COUNTIFS(input!$O:$O,May!$F$26,input!$E:$E,May!B31,input!$A:$A,May!$B$2)</f>
        <v>0</v>
      </c>
      <c r="G31" s="318">
        <f>COUNTIFS(input!$O:$O,May!$G$26,input!$E:$E,May!B31,input!$A:$A,May!$B$2)</f>
        <v>0</v>
      </c>
      <c r="H31" s="318">
        <f>COUNTIFS(input!$O:$O,May!$H$26,input!$E:$E,May!B31,input!$A:$A,May!$B$2)</f>
        <v>0</v>
      </c>
      <c r="I31" s="318">
        <f>COUNTIFS(input!$O:$O,May!$I$26,input!$E:$E,May!B31,input!$A:$A,May!$B$2)</f>
        <v>0</v>
      </c>
      <c r="J31" s="318">
        <f>COUNTIFS(input!$O:$O,May!$K$26,input!$E:$E,May!B31,input!$A:$A,May!$B$2)</f>
        <v>0</v>
      </c>
      <c r="K31" s="319">
        <f>COUNTIFS(input!$O:$O,May!$K$26,input!$E:$E,May!B31,input!$A:$A,May!$B$2)</f>
        <v>0</v>
      </c>
      <c r="L31" s="312">
        <f t="shared" si="0"/>
        <v>0</v>
      </c>
      <c r="M31" s="313" cm="1">
        <f t="array" ref="M31">_xlfn.IFS(L31=0,0,L31&gt;=1,L31/$L$66)</f>
        <v>0</v>
      </c>
      <c r="N31" s="1016" t="s">
        <v>25</v>
      </c>
      <c r="O31" s="1016"/>
      <c r="P31" s="991"/>
      <c r="Q31" s="316">
        <f>COUNTIFS(input!$O:$O,May!$Q$26,input!$F:$F,May!N31,input!$A:$A,May!$B$2)</f>
        <v>0</v>
      </c>
      <c r="R31" s="316">
        <f>COUNTIFS(input!$O:$O,May!$R$26,input!$F:$F,May!N31,input!$A:$A,May!$B$2)</f>
        <v>1</v>
      </c>
      <c r="S31" s="316">
        <f>COUNTIFS(input!$O:$O,May!$S$26,input!$F:$F,May!N31,input!$A:$A,May!$B$2)</f>
        <v>0</v>
      </c>
      <c r="T31" s="321">
        <f>COUNTIFS(input!$O:$O,May!$T$26,input!$F:$F,May!N31,input!$A:$A,May!$B$2)</f>
        <v>0</v>
      </c>
      <c r="U31" s="322">
        <f>COUNTIFS(input!$O:$O,May!$U$26,input!$F:$F,May!N31,input!$A:$A,May!$B$2)</f>
        <v>0</v>
      </c>
      <c r="V31" s="322">
        <f>COUNTIFS(input!$O:$O,May!$V$26,input!$F:$F,May!N31,input!$A:$A,May!$B$2)</f>
        <v>0</v>
      </c>
      <c r="W31" s="323">
        <f>COUNTIFS(input!$O:$O,May!$W$26,input!$F:$F,May!N31,input!$A:$A,May!$B$2)</f>
        <v>0</v>
      </c>
      <c r="X31" s="324">
        <f>COUNTIFS(input!$O:$O,May!$X$26,input!$F:$F,May!N31,input!$A:$A,May!$B$2)</f>
        <v>0</v>
      </c>
      <c r="Y31" s="312">
        <f t="shared" si="1"/>
        <v>1</v>
      </c>
      <c r="Z31" s="315" cm="1">
        <f t="array" ref="Z31">_xlfn.IFS(Y31=0,0,Y31&gt;=1,Y31/$Y$66)</f>
        <v>6.25E-2</v>
      </c>
    </row>
    <row r="32" spans="1:26" ht="92" customHeight="1" x14ac:dyDescent="0.25">
      <c r="B32" s="990" t="s">
        <v>493</v>
      </c>
      <c r="C32" s="991"/>
      <c r="D32" s="316">
        <f>COUNTIFS(input!$O:$O,May!$D$26,input!$E:$E,May!B32,input!$A:$A,May!$B$2)</f>
        <v>0</v>
      </c>
      <c r="E32" s="316">
        <f>COUNTIFS(input!$O:$O,May!$E$26,input!$E:$E,May!B32,input!$A:$A,May!$B$2)</f>
        <v>0</v>
      </c>
      <c r="F32" s="317">
        <f>COUNTIFS(input!$O:$O,May!$F$26,input!$E:$E,May!B32,input!$A:$A,May!$B$2)</f>
        <v>0</v>
      </c>
      <c r="G32" s="318">
        <f>COUNTIFS(input!$O:$O,May!$G$26,input!$E:$E,May!B32,input!$A:$A,May!$B$2)</f>
        <v>0</v>
      </c>
      <c r="H32" s="318">
        <f>COUNTIFS(input!$O:$O,May!$H$26,input!$E:$E,May!B32,input!$A:$A,May!$B$2)</f>
        <v>0</v>
      </c>
      <c r="I32" s="318">
        <f>COUNTIFS(input!$O:$O,May!$I$26,input!$E:$E,May!B32,input!$A:$A,May!$B$2)</f>
        <v>0</v>
      </c>
      <c r="J32" s="318">
        <f>COUNTIFS(input!$O:$O,May!$K$26,input!$E:$E,May!B32,input!$A:$A,May!$B$2)</f>
        <v>0</v>
      </c>
      <c r="K32" s="319">
        <f>COUNTIFS(input!$O:$O,May!$K$26,input!$E:$E,May!B32,input!$A:$A,May!$B$2)</f>
        <v>0</v>
      </c>
      <c r="L32" s="312">
        <f t="shared" si="0"/>
        <v>0</v>
      </c>
      <c r="M32" s="313" cm="1">
        <f t="array" ref="M32">_xlfn.IFS(L32=0,0,L32&gt;=1,L32/$L$66)</f>
        <v>0</v>
      </c>
      <c r="N32" s="1016" t="s">
        <v>19</v>
      </c>
      <c r="O32" s="1016"/>
      <c r="P32" s="991"/>
      <c r="Q32" s="316">
        <f>COUNTIFS(input!$O:$O,May!$Q$26,input!$F:$F,May!N32,input!$A:$A,May!$B$2)</f>
        <v>0</v>
      </c>
      <c r="R32" s="316">
        <f>COUNTIFS(input!$O:$O,May!$R$26,input!$F:$F,May!N32,input!$A:$A,May!$B$2)</f>
        <v>0</v>
      </c>
      <c r="S32" s="316">
        <f>COUNTIFS(input!$O:$O,May!$S$26,input!$F:$F,May!N32,input!$A:$A,May!$B$2)</f>
        <v>0</v>
      </c>
      <c r="T32" s="321">
        <f>COUNTIFS(input!$O:$O,May!$T$26,input!$F:$F,May!N32,input!$A:$A,May!$B$2)</f>
        <v>2</v>
      </c>
      <c r="U32" s="322">
        <f>COUNTIFS(input!$O:$O,May!$U$26,input!$F:$F,May!N32,input!$A:$A,May!$B$2)</f>
        <v>0</v>
      </c>
      <c r="V32" s="322">
        <f>COUNTIFS(input!$O:$O,May!$V$26,input!$F:$F,May!N32,input!$A:$A,May!$B$2)</f>
        <v>0</v>
      </c>
      <c r="W32" s="323">
        <f>COUNTIFS(input!$O:$O,May!$W$26,input!$F:$F,May!N32,input!$A:$A,May!$B$2)</f>
        <v>0</v>
      </c>
      <c r="X32" s="324">
        <f>COUNTIFS(input!$O:$O,May!$X$26,input!$F:$F,May!N32,input!$A:$A,May!$B$2)</f>
        <v>0</v>
      </c>
      <c r="Y32" s="312">
        <f t="shared" si="1"/>
        <v>2</v>
      </c>
      <c r="Z32" s="315" cm="1">
        <f t="array" ref="Z32">_xlfn.IFS(Y32=0,0,Y32&gt;=1,Y32/$Y$66)</f>
        <v>0.125</v>
      </c>
    </row>
    <row r="33" spans="2:26" ht="92" hidden="1" customHeight="1" x14ac:dyDescent="0.25">
      <c r="B33" s="990" t="s">
        <v>681</v>
      </c>
      <c r="C33" s="991"/>
      <c r="D33" s="316">
        <f>COUNTIFS(input!$O:$O,May!$D$26,input!$E:$E,May!B33,input!$A:$A,May!$B$2)</f>
        <v>0</v>
      </c>
      <c r="E33" s="316">
        <f>COUNTIFS(input!$O:$O,May!$E$26,input!$E:$E,May!B33,input!$A:$A,May!$B$2)</f>
        <v>0</v>
      </c>
      <c r="F33" s="317">
        <f>COUNTIFS(input!$O:$O,May!$F$26,input!$E:$E,May!B33,input!$A:$A,May!$B$2)</f>
        <v>0</v>
      </c>
      <c r="G33" s="318">
        <f>COUNTIFS(input!$O:$O,May!$G$26,input!$E:$E,May!B33,input!$A:$A,May!$B$2)</f>
        <v>0</v>
      </c>
      <c r="H33" s="318">
        <f>COUNTIFS(input!$O:$O,May!$H$26,input!$E:$E,May!B33,input!$A:$A,May!$B$2)</f>
        <v>0</v>
      </c>
      <c r="I33" s="318">
        <f>COUNTIFS(input!$O:$O,May!$I$26,input!$E:$E,May!B33,input!$A:$A,May!$B$2)</f>
        <v>0</v>
      </c>
      <c r="J33" s="318">
        <f>COUNTIFS(input!$O:$O,May!$K$26,input!$E:$E,May!B33,input!$A:$A,May!$B$2)</f>
        <v>0</v>
      </c>
      <c r="K33" s="319">
        <f>COUNTIFS(input!$O:$O,May!$K$26,input!$E:$E,May!B33,input!$A:$A,May!$B$2)</f>
        <v>0</v>
      </c>
      <c r="L33" s="312">
        <f t="shared" si="0"/>
        <v>0</v>
      </c>
      <c r="M33" s="313" cm="1">
        <f t="array" ref="M33">_xlfn.IFS(L33=0,0,L33&gt;=1,L33/$L$66)</f>
        <v>0</v>
      </c>
      <c r="N33" s="1065" t="s">
        <v>27</v>
      </c>
      <c r="O33" s="1065"/>
      <c r="P33" s="1066"/>
      <c r="Q33" s="316">
        <f>COUNTIFS(input!$O:$O,May!$Q$26,input!$F:$F,May!N33,input!$A:$A,May!$B$2)</f>
        <v>0</v>
      </c>
      <c r="R33" s="316">
        <f>COUNTIFS(input!$O:$O,May!$R$26,input!$F:$F,May!N33,input!$A:$A,May!$B$2)</f>
        <v>0</v>
      </c>
      <c r="S33" s="316">
        <f>COUNTIFS(input!$O:$O,May!$S$26,input!$F:$F,May!N33,input!$A:$A,May!$B$2)</f>
        <v>0</v>
      </c>
      <c r="T33" s="321">
        <f>COUNTIFS(input!$O:$O,May!$T$26,input!$F:$F,May!N33,input!$A:$A,May!$B$2)</f>
        <v>0</v>
      </c>
      <c r="U33" s="322">
        <f>COUNTIFS(input!$O:$O,May!$U$26,input!$F:$F,May!N33,input!$A:$A,May!$B$2)</f>
        <v>0</v>
      </c>
      <c r="V33" s="322">
        <f>COUNTIFS(input!$O:$O,May!$V$26,input!$F:$F,May!N33,input!$A:$A,May!$B$2)</f>
        <v>0</v>
      </c>
      <c r="W33" s="323">
        <f>COUNTIFS(input!$O:$O,May!$W$26,input!$F:$F,May!N33,input!$A:$A,May!$B$2)</f>
        <v>0</v>
      </c>
      <c r="X33" s="324">
        <f>COUNTIFS(input!$O:$O,May!$X$26,input!$F:$F,May!N33,input!$A:$A,May!$B$2)</f>
        <v>0</v>
      </c>
      <c r="Y33" s="312">
        <f t="shared" si="1"/>
        <v>0</v>
      </c>
      <c r="Z33" s="315" cm="1">
        <f t="array" ref="Z33">_xlfn.IFS(Y33=0,0,Y33&gt;=1,Y33/$Y$66)</f>
        <v>0</v>
      </c>
    </row>
    <row r="34" spans="2:26" ht="92" hidden="1" customHeight="1" x14ac:dyDescent="0.25">
      <c r="B34" s="990" t="s">
        <v>776</v>
      </c>
      <c r="C34" s="991"/>
      <c r="D34" s="316">
        <f>COUNTIFS(input!$O:$O,May!$D$26,input!$E:$E,May!B34,input!$A:$A,May!$B$2)</f>
        <v>0</v>
      </c>
      <c r="E34" s="316">
        <f>COUNTIFS(input!$O:$O,May!$E$26,input!$E:$E,May!B34,input!$A:$A,May!$B$2)</f>
        <v>0</v>
      </c>
      <c r="F34" s="317">
        <f>COUNTIFS(input!$O:$O,May!$F$26,input!$E:$E,May!B34,input!$A:$A,May!$B$2)</f>
        <v>0</v>
      </c>
      <c r="G34" s="318">
        <f>COUNTIFS(input!$O:$O,May!$G$26,input!$E:$E,May!B34,input!$A:$A,May!$B$2)</f>
        <v>0</v>
      </c>
      <c r="H34" s="318">
        <f>COUNTIFS(input!$O:$O,May!$H$26,input!$E:$E,May!B34,input!$A:$A,May!$B$2)</f>
        <v>0</v>
      </c>
      <c r="I34" s="318">
        <f>COUNTIFS(input!$O:$O,May!$I$26,input!$E:$E,May!B34,input!$A:$A,May!$B$2)</f>
        <v>0</v>
      </c>
      <c r="J34" s="318">
        <f>COUNTIFS(input!$O:$O,May!$K$26,input!$E:$E,May!B34,input!$A:$A,May!$B$2)</f>
        <v>0</v>
      </c>
      <c r="K34" s="319">
        <f>COUNTIFS(input!$O:$O,May!$K$26,input!$E:$E,May!B34,input!$A:$A,May!$B$2)</f>
        <v>0</v>
      </c>
      <c r="L34" s="312">
        <f t="shared" si="0"/>
        <v>0</v>
      </c>
      <c r="M34" s="313" cm="1">
        <f t="array" ref="M34">_xlfn.IFS(L34=0,0,L34&gt;=1,L34/$L$66)</f>
        <v>0</v>
      </c>
      <c r="N34" s="1065" t="s">
        <v>64</v>
      </c>
      <c r="O34" s="1065"/>
      <c r="P34" s="1066"/>
      <c r="Q34" s="316">
        <f>COUNTIFS(input!$O:$O,May!$Q$26,input!$F:$F,May!N34,input!$A:$A,May!$B$2)</f>
        <v>0</v>
      </c>
      <c r="R34" s="316">
        <f>COUNTIFS(input!$O:$O,May!$R$26,input!$F:$F,May!N34,input!$A:$A,May!$B$2)</f>
        <v>0</v>
      </c>
      <c r="S34" s="316">
        <f>COUNTIFS(input!$O:$O,May!$S$26,input!$F:$F,May!N34,input!$A:$A,May!$B$2)</f>
        <v>0</v>
      </c>
      <c r="T34" s="321">
        <f>COUNTIFS(input!$O:$O,May!$T$26,input!$F:$F,May!N34,input!$A:$A,May!$B$2)</f>
        <v>0</v>
      </c>
      <c r="U34" s="322">
        <f>COUNTIFS(input!$O:$O,May!$U$26,input!$F:$F,May!N34,input!$A:$A,May!$B$2)</f>
        <v>0</v>
      </c>
      <c r="V34" s="322">
        <f>COUNTIFS(input!$O:$O,May!$V$26,input!$F:$F,May!N34,input!$A:$A,May!$B$2)</f>
        <v>0</v>
      </c>
      <c r="W34" s="323">
        <f>COUNTIFS(input!$O:$O,May!$W$26,input!$F:$F,May!N34,input!$A:$A,May!$B$2)</f>
        <v>0</v>
      </c>
      <c r="X34" s="324">
        <f>COUNTIFS(input!$O:$O,May!$X$26,input!$F:$F,May!N34,input!$A:$A,May!$B$2)</f>
        <v>0</v>
      </c>
      <c r="Y34" s="312">
        <f t="shared" si="1"/>
        <v>0</v>
      </c>
      <c r="Z34" s="315" cm="1">
        <f t="array" ref="Z34">_xlfn.IFS(Y34=0,0,Y34&gt;=1,Y34/$Y$66)</f>
        <v>0</v>
      </c>
    </row>
    <row r="35" spans="2:26" ht="92" hidden="1" customHeight="1" x14ac:dyDescent="0.25">
      <c r="B35" s="990" t="s">
        <v>622</v>
      </c>
      <c r="C35" s="991"/>
      <c r="D35" s="316">
        <f>COUNTIFS(input!$O:$O,May!$D$26,input!$E:$E,May!B35,input!$A:$A,May!$B$2)</f>
        <v>0</v>
      </c>
      <c r="E35" s="316">
        <f>COUNTIFS(input!$O:$O,May!$E$26,input!$E:$E,May!B35,input!$A:$A,May!$B$2)</f>
        <v>0</v>
      </c>
      <c r="F35" s="317">
        <f>COUNTIFS(input!$O:$O,May!$F$26,input!$E:$E,May!B35,input!$A:$A,May!$B$2)</f>
        <v>0</v>
      </c>
      <c r="G35" s="318">
        <f>COUNTIFS(input!$O:$O,May!$G$26,input!$E:$E,May!B35,input!$A:$A,May!$B$2)</f>
        <v>0</v>
      </c>
      <c r="H35" s="318">
        <f>COUNTIFS(input!$O:$O,May!$H$26,input!$E:$E,May!B35,input!$A:$A,May!$B$2)</f>
        <v>0</v>
      </c>
      <c r="I35" s="318">
        <f>COUNTIFS(input!$O:$O,May!$I$26,input!$E:$E,May!B35,input!$A:$A,May!$B$2)</f>
        <v>0</v>
      </c>
      <c r="J35" s="318">
        <f>COUNTIFS(input!$O:$O,May!$K$26,input!$E:$E,May!B35,input!$A:$A,May!$B$2)</f>
        <v>0</v>
      </c>
      <c r="K35" s="319">
        <f>COUNTIFS(input!$O:$O,May!$K$26,input!$E:$E,May!B35,input!$A:$A,May!$B$2)</f>
        <v>0</v>
      </c>
      <c r="L35" s="312">
        <f t="shared" si="0"/>
        <v>0</v>
      </c>
      <c r="M35" s="313" cm="1">
        <f t="array" ref="M35">_xlfn.IFS(L35=0,0,L35&gt;=1,L35/$L$66)</f>
        <v>0</v>
      </c>
      <c r="N35" s="1065" t="s">
        <v>24</v>
      </c>
      <c r="O35" s="1065"/>
      <c r="P35" s="1066"/>
      <c r="Q35" s="316">
        <f>COUNTIFS(input!$O:$O,May!$Q$26,input!$F:$F,May!N35,input!$A:$A,May!$B$2)</f>
        <v>0</v>
      </c>
      <c r="R35" s="316">
        <f>COUNTIFS(input!$O:$O,May!$R$26,input!$F:$F,May!N35,input!$A:$A,May!$B$2)</f>
        <v>0</v>
      </c>
      <c r="S35" s="316">
        <f>COUNTIFS(input!$O:$O,May!$S$26,input!$F:$F,May!N35,input!$A:$A,May!$B$2)</f>
        <v>0</v>
      </c>
      <c r="T35" s="321">
        <f>COUNTIFS(input!$O:$O,May!$T$26,input!$F:$F,May!N35,input!$A:$A,May!$B$2)</f>
        <v>0</v>
      </c>
      <c r="U35" s="322">
        <f>COUNTIFS(input!$O:$O,May!$U$26,input!$F:$F,May!N35,input!$A:$A,May!$B$2)</f>
        <v>0</v>
      </c>
      <c r="V35" s="322">
        <f>COUNTIFS(input!$O:$O,May!$V$26,input!$F:$F,May!N35,input!$A:$A,May!$B$2)</f>
        <v>0</v>
      </c>
      <c r="W35" s="323">
        <f>COUNTIFS(input!$O:$O,May!$W$26,input!$F:$F,May!N35,input!$A:$A,May!$B$2)</f>
        <v>0</v>
      </c>
      <c r="X35" s="324">
        <f>COUNTIFS(input!$O:$O,May!$X$26,input!$F:$F,May!N35,input!$A:$A,May!$B$2)</f>
        <v>0</v>
      </c>
      <c r="Y35" s="312">
        <f t="shared" si="1"/>
        <v>0</v>
      </c>
      <c r="Z35" s="315" cm="1">
        <f t="array" ref="Z35">_xlfn.IFS(Y35=0,0,Y35&gt;=1,Y35/$Y$66)</f>
        <v>0</v>
      </c>
    </row>
    <row r="36" spans="2:26" ht="92" hidden="1" customHeight="1" x14ac:dyDescent="0.25">
      <c r="B36" s="990" t="s">
        <v>1434</v>
      </c>
      <c r="C36" s="991"/>
      <c r="D36" s="316">
        <f>COUNTIFS(input!$O:$O,May!$D$26,input!$E:$E,May!B36,input!$A:$A,May!$B$2)</f>
        <v>0</v>
      </c>
      <c r="E36" s="316">
        <f>COUNTIFS(input!$O:$O,May!$E$26,input!$E:$E,May!B36,input!$A:$A,May!$B$2)</f>
        <v>0</v>
      </c>
      <c r="F36" s="317">
        <f>COUNTIFS(input!$O:$O,May!$F$26,input!$E:$E,May!B36,input!$A:$A,May!$B$2)</f>
        <v>0</v>
      </c>
      <c r="G36" s="318">
        <f>COUNTIFS(input!$O:$O,May!$G$26,input!$E:$E,May!B36,input!$A:$A,May!$B$2)</f>
        <v>0</v>
      </c>
      <c r="H36" s="318">
        <f>COUNTIFS(input!$O:$O,May!$H$26,input!$E:$E,May!B36,input!$A:$A,May!$B$2)</f>
        <v>0</v>
      </c>
      <c r="I36" s="318">
        <f>COUNTIFS(input!$O:$O,May!$I$26,input!$E:$E,May!B36,input!$A:$A,May!$B$2)</f>
        <v>0</v>
      </c>
      <c r="J36" s="318">
        <f>COUNTIFS(input!$O:$O,May!$K$26,input!$E:$E,May!B36,input!$A:$A,May!$B$2)</f>
        <v>0</v>
      </c>
      <c r="K36" s="319">
        <f>COUNTIFS(input!$O:$O,May!$K$26,input!$E:$E,May!B36,input!$A:$A,May!$B$2)</f>
        <v>0</v>
      </c>
      <c r="L36" s="312">
        <f t="shared" si="0"/>
        <v>0</v>
      </c>
      <c r="M36" s="313" cm="1">
        <f t="array" ref="M36">_xlfn.IFS(L36=0,0,L36&gt;=1,L36/$L$66)</f>
        <v>0</v>
      </c>
      <c r="N36" s="1065" t="s">
        <v>65</v>
      </c>
      <c r="O36" s="1065"/>
      <c r="P36" s="1066"/>
      <c r="Q36" s="316">
        <f>COUNTIFS(input!$O:$O,May!$Q$26,input!$F:$F,May!N36,input!$A:$A,May!$B$2)</f>
        <v>0</v>
      </c>
      <c r="R36" s="316">
        <f>COUNTIFS(input!$O:$O,May!$R$26,input!$F:$F,May!N36,input!$A:$A,May!$B$2)</f>
        <v>0</v>
      </c>
      <c r="S36" s="316">
        <f>COUNTIFS(input!$O:$O,May!$S$26,input!$F:$F,May!N36,input!$A:$A,May!$B$2)</f>
        <v>0</v>
      </c>
      <c r="T36" s="321">
        <f>COUNTIFS(input!$O:$O,May!$T$26,input!$F:$F,May!N36,input!$A:$A,May!$B$2)</f>
        <v>0</v>
      </c>
      <c r="U36" s="322">
        <f>COUNTIFS(input!$O:$O,May!$U$26,input!$F:$F,May!N36,input!$A:$A,May!$B$2)</f>
        <v>0</v>
      </c>
      <c r="V36" s="322">
        <f>COUNTIFS(input!$O:$O,May!$V$26,input!$F:$F,May!N36,input!$A:$A,May!$B$2)</f>
        <v>0</v>
      </c>
      <c r="W36" s="323">
        <f>COUNTIFS(input!$O:$O,May!$W$26,input!$F:$F,May!N36,input!$A:$A,May!$B$2)</f>
        <v>0</v>
      </c>
      <c r="X36" s="324">
        <f>COUNTIFS(input!$O:$O,May!$X$26,input!$F:$F,May!N36,input!$A:$A,May!$B$2)</f>
        <v>0</v>
      </c>
      <c r="Y36" s="312">
        <f t="shared" si="1"/>
        <v>0</v>
      </c>
      <c r="Z36" s="315" cm="1">
        <f t="array" ref="Z36">_xlfn.IFS(Y36=0,0,Y36&gt;=1,Y36/$Y$66)</f>
        <v>0</v>
      </c>
    </row>
    <row r="37" spans="2:26" ht="92" customHeight="1" x14ac:dyDescent="0.25">
      <c r="B37" s="990" t="s">
        <v>105</v>
      </c>
      <c r="C37" s="991"/>
      <c r="D37" s="316">
        <f>COUNTIFS(input!$O:$O,May!$D$26,input!$E:$E,May!B37,input!$A:$A,May!$B$2)</f>
        <v>0</v>
      </c>
      <c r="E37" s="316">
        <f>COUNTIFS(input!$O:$O,May!$E$26,input!$E:$E,May!B37,input!$A:$A,May!$B$2)</f>
        <v>0</v>
      </c>
      <c r="F37" s="317">
        <f>COUNTIFS(input!$O:$O,May!$F$26,input!$E:$E,May!B37,input!$A:$A,May!$B$2)</f>
        <v>0</v>
      </c>
      <c r="G37" s="318">
        <f>COUNTIFS(input!$O:$O,May!$G$26,input!$E:$E,May!B37,input!$A:$A,May!$B$2)</f>
        <v>1</v>
      </c>
      <c r="H37" s="318">
        <f>COUNTIFS(input!$O:$O,May!$H$26,input!$E:$E,May!B37,input!$A:$A,May!$B$2)</f>
        <v>0</v>
      </c>
      <c r="I37" s="318">
        <f>COUNTIFS(input!$O:$O,May!$I$26,input!$E:$E,May!B37,input!$A:$A,May!$B$2)</f>
        <v>0</v>
      </c>
      <c r="J37" s="318">
        <f>COUNTIFS(input!$O:$O,May!$K$26,input!$E:$E,May!B37,input!$A:$A,May!$B$2)</f>
        <v>0</v>
      </c>
      <c r="K37" s="319">
        <f>COUNTIFS(input!$O:$O,May!$K$26,input!$E:$E,May!B37,input!$A:$A,May!$B$2)</f>
        <v>0</v>
      </c>
      <c r="L37" s="312">
        <f t="shared" si="0"/>
        <v>1</v>
      </c>
      <c r="M37" s="313" cm="1">
        <f t="array" ref="M37">_xlfn.IFS(L37=0,0,L37&gt;=1,L37/$L$66)</f>
        <v>6.25E-2</v>
      </c>
      <c r="N37" s="1065" t="s">
        <v>339</v>
      </c>
      <c r="O37" s="1065"/>
      <c r="P37" s="1066"/>
      <c r="Q37" s="316">
        <f>COUNTIFS(input!$O:$O,May!$Q$26,input!$F:$F,May!N37,input!$A:$A,May!$B$2)</f>
        <v>0</v>
      </c>
      <c r="R37" s="316">
        <f>COUNTIFS(input!$O:$O,May!$R$26,input!$F:$F,May!N37,input!$A:$A,May!$B$2)</f>
        <v>0</v>
      </c>
      <c r="S37" s="316">
        <f>COUNTIFS(input!$O:$O,May!$S$26,input!$F:$F,May!N37,input!$A:$A,May!$B$2)</f>
        <v>0</v>
      </c>
      <c r="T37" s="321">
        <f>COUNTIFS(input!$O:$O,May!$T$26,input!$F:$F,May!N37,input!$A:$A,May!$B$2)</f>
        <v>0</v>
      </c>
      <c r="U37" s="322">
        <f>COUNTIFS(input!$O:$O,May!$U$26,input!$F:$F,May!N37,input!$A:$A,May!$B$2)</f>
        <v>0</v>
      </c>
      <c r="V37" s="322">
        <f>COUNTIFS(input!$O:$O,May!$V$26,input!$F:$F,May!N37,input!$A:$A,May!$B$2)</f>
        <v>0</v>
      </c>
      <c r="W37" s="323">
        <f>COUNTIFS(input!$O:$O,May!$W$26,input!$F:$F,May!N37,input!$A:$A,May!$B$2)</f>
        <v>0</v>
      </c>
      <c r="X37" s="324">
        <f>COUNTIFS(input!$O:$O,May!$X$26,input!$F:$F,May!N37,input!$A:$A,May!$B$2)</f>
        <v>0</v>
      </c>
      <c r="Y37" s="312">
        <f>SUM(Q37:X37)</f>
        <v>0</v>
      </c>
      <c r="Z37" s="315" cm="1">
        <f t="array" ref="Z37">_xlfn.IFS(Y37=0,0,Y37&gt;=1,Y37/$Y$66)</f>
        <v>0</v>
      </c>
    </row>
    <row r="38" spans="2:26" ht="92" customHeight="1" x14ac:dyDescent="0.25">
      <c r="B38" s="990" t="s">
        <v>1774</v>
      </c>
      <c r="C38" s="991"/>
      <c r="D38" s="316">
        <f>COUNTIFS(input!$O:$O,May!$D$26,input!$E:$E,May!B38,input!$A:$A,May!$B$2)</f>
        <v>0</v>
      </c>
      <c r="E38" s="316">
        <f>COUNTIFS(input!$O:$O,May!$E$26,input!$E:$E,May!B38,input!$A:$A,May!$B$2)</f>
        <v>0</v>
      </c>
      <c r="F38" s="317">
        <f>COUNTIFS(input!$O:$O,May!$F$26,input!$E:$E,May!B38,input!$A:$A,May!$B$2)</f>
        <v>0</v>
      </c>
      <c r="G38" s="318">
        <f>COUNTIFS(input!$O:$O,May!$G$26,input!$E:$E,May!B38,input!$A:$A,May!$B$2)</f>
        <v>0</v>
      </c>
      <c r="H38" s="318">
        <f>COUNTIFS(input!$O:$O,May!$H$26,input!$E:$E,May!B38,input!$A:$A,May!$B$2)</f>
        <v>0</v>
      </c>
      <c r="I38" s="318">
        <f>COUNTIFS(input!$O:$O,May!$I$26,input!$E:$E,May!B38,input!$A:$A,May!$B$2)</f>
        <v>1</v>
      </c>
      <c r="J38" s="318">
        <f>COUNTIFS(input!$O:$O,May!$K$26,input!$E:$E,May!B38,input!$A:$A,May!$B$2)</f>
        <v>0</v>
      </c>
      <c r="K38" s="319">
        <f>COUNTIFS(input!$O:$O,May!$K$26,input!$E:$E,May!B38,input!$A:$A,May!$B$2)</f>
        <v>0</v>
      </c>
      <c r="L38" s="312">
        <f t="shared" si="0"/>
        <v>1</v>
      </c>
      <c r="M38" s="313" cm="1">
        <f t="array" ref="M38">_xlfn.IFS(L38=0,0,L38&gt;=1,L38/$L$66)</f>
        <v>6.25E-2</v>
      </c>
      <c r="N38" s="1065" t="s">
        <v>67</v>
      </c>
      <c r="O38" s="1065"/>
      <c r="P38" s="1066"/>
      <c r="Q38" s="316">
        <f>COUNTIFS(input!$O:$O,May!$Q$26,input!$F:$F,May!N38,input!$A:$A,May!$B$2)</f>
        <v>0</v>
      </c>
      <c r="R38" s="316">
        <f>COUNTIFS(input!$O:$O,May!$R$26,input!$F:$F,May!N38,input!$A:$A,May!$B$2)</f>
        <v>0</v>
      </c>
      <c r="S38" s="316">
        <f>COUNTIFS(input!$O:$O,May!$S$26,input!$F:$F,May!N38,input!$A:$A,May!$B$2)</f>
        <v>0</v>
      </c>
      <c r="T38" s="321">
        <f>COUNTIFS(input!$O:$O,May!$T$26,input!$F:$F,May!N38,input!$A:$A,May!$B$2)</f>
        <v>0</v>
      </c>
      <c r="U38" s="322">
        <f>COUNTIFS(input!$O:$O,May!$U$26,input!$F:$F,May!N38,input!$A:$A,May!$B$2)</f>
        <v>0</v>
      </c>
      <c r="V38" s="322">
        <f>COUNTIFS(input!$O:$O,May!$V$26,input!$F:$F,May!N38,input!$A:$A,May!$B$2)</f>
        <v>0</v>
      </c>
      <c r="W38" s="323">
        <f>COUNTIFS(input!$O:$O,May!$W$26,input!$F:$F,May!N38,input!$A:$A,May!$B$2)</f>
        <v>0</v>
      </c>
      <c r="X38" s="324">
        <f>COUNTIFS(input!$O:$O,May!$X$26,input!$F:$F,May!N38,input!$A:$A,May!$B$2)</f>
        <v>0</v>
      </c>
      <c r="Y38" s="312">
        <f>SUM(Q38:X38)</f>
        <v>0</v>
      </c>
      <c r="Z38" s="315" cm="1">
        <f t="array" ref="Z38">_xlfn.IFS(Y38=0,0,Y38&gt;=1,Y38/$Y$66)</f>
        <v>0</v>
      </c>
    </row>
    <row r="39" spans="2:26" ht="92" customHeight="1" x14ac:dyDescent="0.25">
      <c r="B39" s="990" t="s">
        <v>1756</v>
      </c>
      <c r="C39" s="991"/>
      <c r="D39" s="316">
        <f>COUNTIFS(input!$O:$O,May!$D$26,input!$E:$E,May!B39,input!$A:$A,May!$B$2)</f>
        <v>0</v>
      </c>
      <c r="E39" s="316">
        <f>COUNTIFS(input!$O:$O,May!$E$26,input!$E:$E,May!B39,input!$A:$A,May!$B$2)</f>
        <v>0</v>
      </c>
      <c r="F39" s="317">
        <f>COUNTIFS(input!$O:$O,May!$F$26,input!$E:$E,May!B39,input!$A:$A,May!$B$2)</f>
        <v>0</v>
      </c>
      <c r="G39" s="318">
        <f>COUNTIFS(input!$O:$O,May!$G$26,input!$E:$E,May!B39,input!$A:$A,May!$B$2)</f>
        <v>1</v>
      </c>
      <c r="H39" s="318">
        <f>COUNTIFS(input!$O:$O,May!$H$26,input!$E:$E,May!B39,input!$A:$A,May!$B$2)</f>
        <v>0</v>
      </c>
      <c r="I39" s="318">
        <f>COUNTIFS(input!$O:$O,May!$I$26,input!$E:$E,May!B39,input!$A:$A,May!$B$2)</f>
        <v>0</v>
      </c>
      <c r="J39" s="318">
        <f>COUNTIFS(input!$O:$O,May!$K$26,input!$E:$E,May!B39,input!$A:$A,May!$B$2)</f>
        <v>0</v>
      </c>
      <c r="K39" s="319">
        <f>COUNTIFS(input!$O:$O,May!$K$26,input!$E:$E,May!B39,input!$A:$A,May!$B$2)</f>
        <v>0</v>
      </c>
      <c r="L39" s="312">
        <f t="shared" ref="L39:L45" si="2">SUM(D39:K39)</f>
        <v>1</v>
      </c>
      <c r="M39" s="313" cm="1">
        <f t="array" ref="M39">_xlfn.IFS(L39=0,0,L39&gt;=1,L39/$L$66)</f>
        <v>6.25E-2</v>
      </c>
      <c r="N39" s="1016" t="s">
        <v>122</v>
      </c>
      <c r="O39" s="1016"/>
      <c r="P39" s="991"/>
      <c r="Q39" s="316">
        <f>COUNTIFS(input!$O:$O,May!$Q$26,input!$F:$F,May!N39,input!$A:$A,May!$B$2)</f>
        <v>0</v>
      </c>
      <c r="R39" s="316">
        <f>COUNTIFS(input!$O:$O,May!$R$26,input!$F:$F,May!N39,input!$A:$A,May!$B$2)</f>
        <v>0</v>
      </c>
      <c r="S39" s="316">
        <f>COUNTIFS(input!$O:$O,May!$S$26,input!$F:$F,May!N39,input!$A:$A,May!$B$2)</f>
        <v>0</v>
      </c>
      <c r="T39" s="321">
        <f>COUNTIFS(input!$O:$O,May!$T$26,input!$F:$F,May!N39,input!$A:$A,May!$B$2)</f>
        <v>0</v>
      </c>
      <c r="U39" s="322">
        <f>COUNTIFS(input!$O:$O,May!$U$26,input!$F:$F,May!N39,input!$A:$A,May!$B$2)</f>
        <v>0</v>
      </c>
      <c r="V39" s="322">
        <f>COUNTIFS(input!$O:$O,May!$V$26,input!$F:$F,May!N39,input!$A:$A,May!$B$2)</f>
        <v>0</v>
      </c>
      <c r="W39" s="323">
        <f>COUNTIFS(input!$O:$O,May!$W$26,input!$F:$F,May!N39,input!$A:$A,May!$B$2)</f>
        <v>0</v>
      </c>
      <c r="X39" s="324">
        <f>COUNTIFS(input!$O:$O,May!$X$26,input!$F:$F,May!N39,input!$A:$A,May!$B$2)</f>
        <v>1</v>
      </c>
      <c r="Y39" s="312">
        <f t="shared" si="1"/>
        <v>1</v>
      </c>
      <c r="Z39" s="315" cm="1">
        <f t="array" ref="Z39">_xlfn.IFS(Y39=0,0,Y39&gt;=1,Y39/$Y$66)</f>
        <v>6.25E-2</v>
      </c>
    </row>
    <row r="40" spans="2:26" ht="92" customHeight="1" x14ac:dyDescent="0.25">
      <c r="B40" s="990" t="s">
        <v>1888</v>
      </c>
      <c r="C40" s="991"/>
      <c r="D40" s="316">
        <f>COUNTIFS(input!$O:$O,May!$D$26,input!$E:$E,May!B40,input!$A:$A,May!$B$2)</f>
        <v>0</v>
      </c>
      <c r="E40" s="316">
        <f>COUNTIFS(input!$O:$O,May!$E$26,input!$E:$E,May!B40,input!$A:$A,May!$B$2)</f>
        <v>0</v>
      </c>
      <c r="F40" s="317">
        <f>COUNTIFS(input!$O:$O,May!$F$26,input!$E:$E,May!B40,input!$A:$A,May!$B$2)</f>
        <v>0</v>
      </c>
      <c r="G40" s="318">
        <f>COUNTIFS(input!$O:$O,May!$G$26,input!$E:$E,May!B40,input!$A:$A,May!$B$2)</f>
        <v>1</v>
      </c>
      <c r="H40" s="318">
        <f>COUNTIFS(input!$O:$O,May!$H$26,input!$E:$E,May!B40,input!$A:$A,May!$B$2)</f>
        <v>0</v>
      </c>
      <c r="I40" s="318">
        <f>COUNTIFS(input!$O:$O,May!$I$26,input!$E:$E,May!B40,input!$A:$A,May!$B$2)</f>
        <v>0</v>
      </c>
      <c r="J40" s="318">
        <f>COUNTIFS(input!$O:$O,May!$K$26,input!$E:$E,May!B40,input!$A:$A,May!$B$2)</f>
        <v>0</v>
      </c>
      <c r="K40" s="319">
        <f>COUNTIFS(input!$O:$O,May!$K$26,input!$E:$E,May!B40,input!$A:$A,May!$B$2)</f>
        <v>0</v>
      </c>
      <c r="L40" s="312">
        <f>SUM(D40:K40)</f>
        <v>1</v>
      </c>
      <c r="M40" s="313" cm="1">
        <f t="array" ref="M40">_xlfn.IFS(L40=0,0,L40&gt;=1,L40/$L$66)</f>
        <v>6.25E-2</v>
      </c>
      <c r="N40" s="1016" t="s">
        <v>135</v>
      </c>
      <c r="O40" s="1016"/>
      <c r="P40" s="991"/>
      <c r="Q40" s="316">
        <f>COUNTIFS(input!$O:$O,May!$Q$26,input!$F:$F,May!N40,input!$A:$A,May!$B$2)</f>
        <v>0</v>
      </c>
      <c r="R40" s="316">
        <f>COUNTIFS(input!$O:$O,May!$R$26,input!$F:$F,May!N40,input!$A:$A,May!$B$2)</f>
        <v>0</v>
      </c>
      <c r="S40" s="316">
        <f>COUNTIFS(input!$O:$O,May!$S$26,input!$F:$F,May!N40,input!$A:$A,May!$B$2)</f>
        <v>0</v>
      </c>
      <c r="T40" s="321">
        <f>COUNTIFS(input!$O:$O,May!$T$26,input!$F:$F,May!N40,input!$A:$A,May!$B$2)</f>
        <v>2</v>
      </c>
      <c r="U40" s="322">
        <f>COUNTIFS(input!$O:$O,May!$U$26,input!$F:$F,May!N40,input!$A:$A,May!$B$2)</f>
        <v>0</v>
      </c>
      <c r="V40" s="322">
        <f>COUNTIFS(input!$O:$O,May!$V$26,input!$F:$F,May!N40,input!$A:$A,May!$B$2)</f>
        <v>0</v>
      </c>
      <c r="W40" s="323">
        <f>COUNTIFS(input!$O:$O,May!$W$26,input!$F:$F,May!N40,input!$A:$A,May!$B$2)</f>
        <v>0</v>
      </c>
      <c r="X40" s="324">
        <f>COUNTIFS(input!$O:$O,May!$X$26,input!$F:$F,May!N40,input!$A:$A,May!$B$2)</f>
        <v>0</v>
      </c>
      <c r="Y40" s="312">
        <f>SUM(Q40:X40)</f>
        <v>2</v>
      </c>
      <c r="Z40" s="315" cm="1">
        <f t="array" ref="Z40">_xlfn.IFS(Y40=0,0,Y40&gt;=1,Y40/$Y$66)</f>
        <v>0.125</v>
      </c>
    </row>
    <row r="41" spans="2:26" ht="92" hidden="1" customHeight="1" x14ac:dyDescent="0.25">
      <c r="B41" s="990" t="s">
        <v>658</v>
      </c>
      <c r="C41" s="991"/>
      <c r="D41" s="316">
        <f>COUNTIFS(input!$O:$O,May!$D$26,input!$E:$E,May!B41,input!$A:$A,May!$B$2)</f>
        <v>0</v>
      </c>
      <c r="E41" s="316">
        <f>COUNTIFS(input!$O:$O,May!$E$26,input!$E:$E,May!B41,input!$A:$A,May!$B$2)</f>
        <v>0</v>
      </c>
      <c r="F41" s="317">
        <f>COUNTIFS(input!$O:$O,May!$F$26,input!$E:$E,May!B41,input!$A:$A,May!$B$2)</f>
        <v>0</v>
      </c>
      <c r="G41" s="318">
        <f>COUNTIFS(input!$O:$O,May!$G$26,input!$E:$E,May!B41,input!$A:$A,May!$B$2)</f>
        <v>0</v>
      </c>
      <c r="H41" s="318">
        <f>COUNTIFS(input!$O:$O,May!$H$26,input!$E:$E,May!B41,input!$A:$A,May!$B$2)</f>
        <v>0</v>
      </c>
      <c r="I41" s="318">
        <f>COUNTIFS(input!$O:$O,May!$I$26,input!$E:$E,May!B41,input!$A:$A,May!$B$2)</f>
        <v>0</v>
      </c>
      <c r="J41" s="318">
        <f>COUNTIFS(input!$O:$O,May!$K$26,input!$E:$E,May!B41,input!$A:$A,May!$B$2)</f>
        <v>0</v>
      </c>
      <c r="K41" s="319">
        <f>COUNTIFS(input!$O:$O,May!$K$26,input!$E:$E,May!B41,input!$A:$A,May!$B$2)</f>
        <v>0</v>
      </c>
      <c r="L41" s="312">
        <f t="shared" si="2"/>
        <v>0</v>
      </c>
      <c r="M41" s="313" cm="1">
        <f t="array" ref="M41">_xlfn.IFS(L41=0,0,L41&gt;=1,L41/$L$66)</f>
        <v>0</v>
      </c>
      <c r="N41" s="1065" t="s">
        <v>95</v>
      </c>
      <c r="O41" s="1065"/>
      <c r="P41" s="1066"/>
      <c r="Q41" s="316">
        <f>COUNTIFS(input!$O:$O,May!$Q$26,input!$F:$F,May!N41,input!$A:$A,May!$B$2)</f>
        <v>0</v>
      </c>
      <c r="R41" s="316">
        <f>COUNTIFS(input!$O:$O,May!$R$26,input!$F:$F,May!N41,input!$A:$A,May!$B$2)</f>
        <v>0</v>
      </c>
      <c r="S41" s="316">
        <f>COUNTIFS(input!$O:$O,May!$S$26,input!$F:$F,May!N41,input!$A:$A,May!$B$2)</f>
        <v>0</v>
      </c>
      <c r="T41" s="321">
        <f>COUNTIFS(input!$O:$O,May!$T$26,input!$F:$F,May!N41,input!$A:$A,May!$B$2)</f>
        <v>0</v>
      </c>
      <c r="U41" s="322">
        <f>COUNTIFS(input!$O:$O,May!$U$26,input!$F:$F,May!N41,input!$A:$A,May!$B$2)</f>
        <v>0</v>
      </c>
      <c r="V41" s="322">
        <f>COUNTIFS(input!$O:$O,May!$V$26,input!$F:$F,May!N41,input!$A:$A,May!$B$2)</f>
        <v>0</v>
      </c>
      <c r="W41" s="323">
        <f>COUNTIFS(input!$O:$O,May!$W$26,input!$F:$F,May!N41,input!$A:$A,May!$B$2)</f>
        <v>0</v>
      </c>
      <c r="X41" s="324">
        <f>COUNTIFS(input!$O:$O,May!$X$26,input!$F:$F,May!N41,input!$A:$A,May!$B$2)</f>
        <v>0</v>
      </c>
      <c r="Y41" s="312">
        <f t="shared" si="1"/>
        <v>0</v>
      </c>
      <c r="Z41" s="315" cm="1">
        <f t="array" ref="Z41">_xlfn.IFS(Y41=0,0,Y41&gt;=1,Y41/$Y$66)</f>
        <v>0</v>
      </c>
    </row>
    <row r="42" spans="2:26" ht="92" customHeight="1" x14ac:dyDescent="0.25">
      <c r="B42" s="990" t="s">
        <v>18</v>
      </c>
      <c r="C42" s="991"/>
      <c r="D42" s="316">
        <f>COUNTIFS(input!$O:$O,May!$D$26,input!$E:$E,May!B42,input!$A:$A,May!$B$2)</f>
        <v>0</v>
      </c>
      <c r="E42" s="316">
        <f>COUNTIFS(input!$O:$O,May!$E$26,input!$E:$E,May!B42,input!$A:$A,May!$B$2)</f>
        <v>0</v>
      </c>
      <c r="F42" s="317">
        <f>COUNTIFS(input!$O:$O,May!$F$26,input!$E:$E,May!B42,input!$A:$A,May!$B$2)</f>
        <v>0</v>
      </c>
      <c r="G42" s="318">
        <f>COUNTIFS(input!$O:$O,May!$G$26,input!$E:$E,May!B42,input!$A:$A,May!$B$2)</f>
        <v>1</v>
      </c>
      <c r="H42" s="318">
        <f>COUNTIFS(input!$O:$O,May!$H$26,input!$E:$E,May!B42,input!$A:$A,May!$B$2)</f>
        <v>0</v>
      </c>
      <c r="I42" s="318">
        <f>COUNTIFS(input!$O:$O,May!$I$26,input!$E:$E,May!B42,input!$A:$A,May!$B$2)</f>
        <v>0</v>
      </c>
      <c r="J42" s="318">
        <f>COUNTIFS(input!$O:$O,May!$K$26,input!$E:$E,May!B42,input!$A:$A,May!$B$2)</f>
        <v>0</v>
      </c>
      <c r="K42" s="319">
        <f>COUNTIFS(input!$O:$O,May!$K$26,input!$E:$E,May!B42,input!$A:$A,May!$B$2)</f>
        <v>0</v>
      </c>
      <c r="L42" s="312">
        <f t="shared" si="2"/>
        <v>1</v>
      </c>
      <c r="M42" s="313" cm="1">
        <f t="array" ref="M42">_xlfn.IFS(L42=0,0,L42&gt;=1,L42/$L$66)</f>
        <v>6.25E-2</v>
      </c>
      <c r="N42" s="1065" t="s">
        <v>68</v>
      </c>
      <c r="O42" s="1065"/>
      <c r="P42" s="1066"/>
      <c r="Q42" s="316">
        <f>COUNTIFS(input!$O:$O,May!$Q$26,input!$F:$F,May!N42,input!$A:$A,May!$B$2)</f>
        <v>0</v>
      </c>
      <c r="R42" s="316">
        <f>COUNTIFS(input!$O:$O,May!$R$26,input!$F:$F,May!N42,input!$A:$A,May!$B$2)</f>
        <v>0</v>
      </c>
      <c r="S42" s="316">
        <f>COUNTIFS(input!$O:$O,May!$S$26,input!$F:$F,May!N42,input!$A:$A,May!$B$2)</f>
        <v>0</v>
      </c>
      <c r="T42" s="321">
        <f>COUNTIFS(input!$O:$O,May!$T$26,input!$F:$F,May!N42,input!$A:$A,May!$B$2)</f>
        <v>0</v>
      </c>
      <c r="U42" s="322">
        <f>COUNTIFS(input!$O:$O,May!$U$26,input!$F:$F,May!N42,input!$A:$A,May!$B$2)</f>
        <v>0</v>
      </c>
      <c r="V42" s="322">
        <f>COUNTIFS(input!$O:$O,May!$V$26,input!$F:$F,May!N42,input!$A:$A,May!$B$2)</f>
        <v>0</v>
      </c>
      <c r="W42" s="323">
        <f>COUNTIFS(input!$O:$O,May!$W$26,input!$F:$F,May!N42,input!$A:$A,May!$B$2)</f>
        <v>0</v>
      </c>
      <c r="X42" s="324">
        <f>COUNTIFS(input!$O:$O,May!$X$26,input!$F:$F,May!N42,input!$A:$A,May!$B$2)</f>
        <v>0</v>
      </c>
      <c r="Y42" s="312">
        <f t="shared" si="1"/>
        <v>0</v>
      </c>
      <c r="Z42" s="315" cm="1">
        <f t="array" ref="Z42">_xlfn.IFS(Y42=0,0,Y42&gt;=1,Y42/$Y$66)</f>
        <v>0</v>
      </c>
    </row>
    <row r="43" spans="2:26" ht="92" customHeight="1" x14ac:dyDescent="0.25">
      <c r="B43" s="990" t="s">
        <v>410</v>
      </c>
      <c r="C43" s="991"/>
      <c r="D43" s="316">
        <f>COUNTIFS(input!$O:$O,May!$D$26,input!$E:$E,May!B43,input!$A:$A,May!$B$2)</f>
        <v>0</v>
      </c>
      <c r="E43" s="316">
        <f>COUNTIFS(input!$O:$O,May!$E$26,input!$E:$E,May!B43,input!$A:$A,May!$B$2)</f>
        <v>0</v>
      </c>
      <c r="F43" s="317">
        <f>COUNTIFS(input!$O:$O,May!$F$26,input!$E:$E,May!B43,input!$A:$A,May!$B$2)</f>
        <v>0</v>
      </c>
      <c r="G43" s="318">
        <f>COUNTIFS(input!$O:$O,May!$G$26,input!$E:$E,May!B43,input!$A:$A,May!$B$2)</f>
        <v>1</v>
      </c>
      <c r="H43" s="318">
        <f>COUNTIFS(input!$O:$O,May!$H$26,input!$E:$E,May!B43,input!$A:$A,May!$B$2)</f>
        <v>0</v>
      </c>
      <c r="I43" s="318">
        <f>COUNTIFS(input!$O:$O,May!$I$26,input!$E:$E,May!B43,input!$A:$A,May!$B$2)</f>
        <v>0</v>
      </c>
      <c r="J43" s="318">
        <f>COUNTIFS(input!$O:$O,May!$K$26,input!$E:$E,May!B43,input!$A:$A,May!$B$2)</f>
        <v>0</v>
      </c>
      <c r="K43" s="319">
        <f>COUNTIFS(input!$O:$O,May!$K$26,input!$E:$E,May!B43,input!$A:$A,May!$B$2)</f>
        <v>0</v>
      </c>
      <c r="L43" s="312">
        <f t="shared" si="2"/>
        <v>1</v>
      </c>
      <c r="M43" s="313" cm="1">
        <f t="array" ref="M43">_xlfn.IFS(L43=0,0,L43&gt;=1,L43/$L$66)</f>
        <v>6.25E-2</v>
      </c>
      <c r="N43" s="1064" t="s">
        <v>69</v>
      </c>
      <c r="O43" s="1065"/>
      <c r="P43" s="1066"/>
      <c r="Q43" s="316">
        <f>COUNTIFS(input!$O:$O,May!$Q$26,input!$F:$F,May!N43,input!$A:$A,May!$B$2)</f>
        <v>0</v>
      </c>
      <c r="R43" s="316">
        <f>COUNTIFS(input!$O:$O,May!$R$26,input!$F:$F,May!N43,input!$A:$A,May!$B$2)</f>
        <v>0</v>
      </c>
      <c r="S43" s="316">
        <f>COUNTIFS(input!$O:$O,May!$S$26,input!$F:$F,May!N43,input!$A:$A,May!$B$2)</f>
        <v>0</v>
      </c>
      <c r="T43" s="321">
        <f>COUNTIFS(input!$O:$O,May!$T$26,input!$F:$F,May!N43,input!$A:$A,May!$B$2)</f>
        <v>0</v>
      </c>
      <c r="U43" s="322">
        <f>COUNTIFS(input!$O:$O,May!$U$26,input!$F:$F,May!N43,input!$A:$A,May!$B$2)</f>
        <v>0</v>
      </c>
      <c r="V43" s="322">
        <f>COUNTIFS(input!$O:$O,May!$V$26,input!$F:$F,May!N43,input!$A:$A,May!$B$2)</f>
        <v>0</v>
      </c>
      <c r="W43" s="323">
        <f>COUNTIFS(input!$O:$O,May!$W$26,input!$F:$F,May!N43,input!$A:$A,May!$B$2)</f>
        <v>0</v>
      </c>
      <c r="X43" s="324">
        <f>COUNTIFS(input!$O:$O,May!$X$26,input!$F:$F,May!N43,input!$A:$A,May!$B$2)</f>
        <v>0</v>
      </c>
      <c r="Y43" s="312">
        <f t="shared" si="1"/>
        <v>0</v>
      </c>
      <c r="Z43" s="315" cm="1">
        <f t="array" ref="Z43">_xlfn.IFS(Y43=0,0,Y43&gt;=1,Y43/$Y$66)</f>
        <v>0</v>
      </c>
    </row>
    <row r="44" spans="2:26" ht="92" hidden="1" customHeight="1" x14ac:dyDescent="0.25">
      <c r="B44" s="990" t="s">
        <v>1509</v>
      </c>
      <c r="C44" s="991"/>
      <c r="D44" s="316">
        <f>COUNTIFS(input!$O:$O,May!$D$26,input!$E:$E,May!B44,input!$A:$A,May!$B$2)</f>
        <v>0</v>
      </c>
      <c r="E44" s="316">
        <f>COUNTIFS(input!$O:$O,May!$E$26,input!$E:$E,May!B44,input!$A:$A,May!$B$2)</f>
        <v>0</v>
      </c>
      <c r="F44" s="317">
        <f>COUNTIFS(input!$O:$O,May!$F$26,input!$E:$E,May!B44,input!$A:$A,May!$B$2)</f>
        <v>0</v>
      </c>
      <c r="G44" s="318">
        <f>COUNTIFS(input!$O:$O,May!$G$26,input!$E:$E,May!B44,input!$A:$A,May!$B$2)</f>
        <v>0</v>
      </c>
      <c r="H44" s="318">
        <f>COUNTIFS(input!$O:$O,May!$H$26,input!$E:$E,May!B44,input!$A:$A,May!$B$2)</f>
        <v>0</v>
      </c>
      <c r="I44" s="318">
        <f>COUNTIFS(input!$O:$O,May!$I$26,input!$E:$E,May!B44,input!$A:$A,May!$B$2)</f>
        <v>0</v>
      </c>
      <c r="J44" s="318">
        <f>COUNTIFS(input!$O:$O,May!$K$26,input!$E:$E,May!B44,input!$A:$A,May!$B$2)</f>
        <v>0</v>
      </c>
      <c r="K44" s="319">
        <f>COUNTIFS(input!$O:$O,May!$K$26,input!$E:$E,May!B44,input!$A:$A,May!$B$2)</f>
        <v>0</v>
      </c>
      <c r="L44" s="312">
        <f t="shared" si="2"/>
        <v>0</v>
      </c>
      <c r="M44" s="313" cm="1">
        <f t="array" ref="M44">_xlfn.IFS(L44=0,0,L44&gt;=1,L44/$L$66)</f>
        <v>0</v>
      </c>
      <c r="N44" s="1064" t="s">
        <v>84</v>
      </c>
      <c r="O44" s="1065"/>
      <c r="P44" s="1066"/>
      <c r="Q44" s="316">
        <f>COUNTIFS(input!$O:$O,May!$Q$26,input!$F:$F,May!N44,input!$A:$A,May!$B$2)</f>
        <v>0</v>
      </c>
      <c r="R44" s="316">
        <f>COUNTIFS(input!$O:$O,May!$R$26,input!$F:$F,May!N44,input!$A:$A,May!$B$2)</f>
        <v>0</v>
      </c>
      <c r="S44" s="316">
        <f>COUNTIFS(input!$O:$O,May!$S$26,input!$F:$F,May!N44,input!$A:$A,May!$B$2)</f>
        <v>0</v>
      </c>
      <c r="T44" s="321">
        <f>COUNTIFS(input!$O:$O,May!$T$26,input!$F:$F,May!N44,input!$A:$A,May!$B$2)</f>
        <v>0</v>
      </c>
      <c r="U44" s="322">
        <f>COUNTIFS(input!$O:$O,May!$U$26,input!$F:$F,May!N44,input!$A:$A,May!$B$2)</f>
        <v>0</v>
      </c>
      <c r="V44" s="322">
        <f>COUNTIFS(input!$O:$O,May!$V$26,input!$F:$F,May!N44,input!$A:$A,May!$B$2)</f>
        <v>0</v>
      </c>
      <c r="W44" s="323">
        <f>COUNTIFS(input!$O:$O,May!$W$26,input!$F:$F,May!N44,input!$A:$A,May!$B$2)</f>
        <v>0</v>
      </c>
      <c r="X44" s="324">
        <f>COUNTIFS(input!$O:$O,May!$X$26,input!$F:$F,May!N44,input!$A:$A,May!$B$2)</f>
        <v>0</v>
      </c>
      <c r="Y44" s="312">
        <f t="shared" si="1"/>
        <v>0</v>
      </c>
      <c r="Z44" s="315" cm="1">
        <f t="array" ref="Z44">_xlfn.IFS(Y44=0,0,Y44&gt;=1,Y44/$Y$66)</f>
        <v>0</v>
      </c>
    </row>
    <row r="45" spans="2:26" ht="92" customHeight="1" x14ac:dyDescent="0.25">
      <c r="B45" s="990" t="s">
        <v>747</v>
      </c>
      <c r="C45" s="991"/>
      <c r="D45" s="316">
        <f>COUNTIFS(input!$O:$O,May!$D$26,input!$E:$E,May!B45,input!$A:$A,May!$B$2)</f>
        <v>0</v>
      </c>
      <c r="E45" s="316">
        <f>COUNTIFS(input!$O:$O,May!$E$26,input!$E:$E,May!B45,input!$A:$A,May!$B$2)</f>
        <v>0</v>
      </c>
      <c r="F45" s="317">
        <f>COUNTIFS(input!$O:$O,May!$F$26,input!$E:$E,May!B45,input!$A:$A,May!$B$2)</f>
        <v>0</v>
      </c>
      <c r="G45" s="318">
        <f>COUNTIFS(input!$O:$O,May!$G$26,input!$E:$E,May!B45,input!$A:$A,May!$B$2)</f>
        <v>0</v>
      </c>
      <c r="H45" s="318">
        <f>COUNTIFS(input!$O:$O,May!$H$26,input!$E:$E,May!B45,input!$A:$A,May!$B$2)</f>
        <v>0</v>
      </c>
      <c r="I45" s="318">
        <f>COUNTIFS(input!$O:$O,May!$I$26,input!$E:$E,May!B45,input!$A:$A,May!$B$2)</f>
        <v>0</v>
      </c>
      <c r="J45" s="318">
        <f>COUNTIFS(input!$O:$O,May!$K$26,input!$E:$E,May!B45,input!$A:$A,May!$B$2)</f>
        <v>0</v>
      </c>
      <c r="K45" s="319">
        <f>COUNTIFS(input!$O:$O,May!$K$26,input!$E:$E,May!B45,input!$A:$A,May!$B$2)</f>
        <v>0</v>
      </c>
      <c r="L45" s="312">
        <f t="shared" si="2"/>
        <v>0</v>
      </c>
      <c r="M45" s="313" cm="1">
        <f t="array" ref="M45">_xlfn.IFS(L45=0,0,L45&gt;=1,L45/$L$66)</f>
        <v>0</v>
      </c>
      <c r="N45" s="1016" t="s">
        <v>56</v>
      </c>
      <c r="O45" s="1016"/>
      <c r="P45" s="991"/>
      <c r="Q45" s="316">
        <f>COUNTIFS(input!$O:$O,May!$Q$26,input!$F:$F,May!N45,input!$A:$A,May!$B$2)</f>
        <v>0</v>
      </c>
      <c r="R45" s="316">
        <f>COUNTIFS(input!$O:$O,May!$R$26,input!$F:$F,May!N45,input!$A:$A,May!$B$2)</f>
        <v>0</v>
      </c>
      <c r="S45" s="316">
        <f>COUNTIFS(input!$O:$O,May!$S$26,input!$F:$F,May!N45,input!$A:$A,May!$B$2)</f>
        <v>0</v>
      </c>
      <c r="T45" s="321">
        <f>COUNTIFS(input!$O:$O,May!$T$26,input!$F:$F,May!N45,input!$A:$A,May!$B$2)</f>
        <v>1</v>
      </c>
      <c r="U45" s="322">
        <f>COUNTIFS(input!$O:$O,May!$U$26,input!$F:$F,May!N45,input!$A:$A,May!$B$2)</f>
        <v>0</v>
      </c>
      <c r="V45" s="322">
        <f>COUNTIFS(input!$O:$O,May!$V$26,input!$F:$F,May!N45,input!$A:$A,May!$B$2)</f>
        <v>0</v>
      </c>
      <c r="W45" s="323">
        <f>COUNTIFS(input!$O:$O,May!$W$26,input!$F:$F,May!N45,input!$A:$A,May!$B$2)</f>
        <v>0</v>
      </c>
      <c r="X45" s="324">
        <f>COUNTIFS(input!$O:$O,May!$X$26,input!$F:$F,May!N45,input!$A:$A,May!$B$2)</f>
        <v>0</v>
      </c>
      <c r="Y45" s="312">
        <f t="shared" si="1"/>
        <v>1</v>
      </c>
      <c r="Z45" s="315" cm="1">
        <f t="array" ref="Z45">_xlfn.IFS(Y45=0,0,Y45&gt;=1,Y45/$Y$66)</f>
        <v>6.25E-2</v>
      </c>
    </row>
    <row r="46" spans="2:26" ht="92" customHeight="1" x14ac:dyDescent="0.25">
      <c r="B46" s="990" t="s">
        <v>333</v>
      </c>
      <c r="C46" s="991"/>
      <c r="D46" s="316">
        <f>COUNTIFS(input!$O:$O,May!$D$26,input!$E:$E,May!B46,input!$A:$A,May!$B$2)</f>
        <v>0</v>
      </c>
      <c r="E46" s="316">
        <f>COUNTIFS(input!$O:$O,May!$E$26,input!$E:$E,May!B46,input!$A:$A,May!$B$2)</f>
        <v>0</v>
      </c>
      <c r="F46" s="317">
        <f>COUNTIFS(input!$O:$O,May!$F$26,input!$E:$E,May!B46,input!$A:$A,May!$B$2)</f>
        <v>0</v>
      </c>
      <c r="G46" s="318">
        <f>COUNTIFS(input!$O:$O,May!$G$26,input!$E:$E,May!B46,input!$A:$A,May!$B$2)</f>
        <v>0</v>
      </c>
      <c r="H46" s="318">
        <f>COUNTIFS(input!$O:$O,May!$H$26,input!$E:$E,May!B46,input!$A:$A,May!$B$2)</f>
        <v>0</v>
      </c>
      <c r="I46" s="318">
        <f>COUNTIFS(input!$O:$O,May!$I$26,input!$E:$E,May!B46,input!$A:$A,May!$B$2)</f>
        <v>0</v>
      </c>
      <c r="J46" s="318">
        <f>COUNTIFS(input!$O:$O,May!$K$26,input!$E:$E,May!B46,input!$A:$A,May!$B$2)</f>
        <v>0</v>
      </c>
      <c r="K46" s="319">
        <f>COUNTIFS(input!$O:$O,May!$K$26,input!$E:$E,May!B46,input!$A:$A,May!$B$2)</f>
        <v>0</v>
      </c>
      <c r="L46" s="312">
        <f>SUM(D46:K46)</f>
        <v>0</v>
      </c>
      <c r="M46" s="313" cm="1">
        <f t="array" ref="M46">_xlfn.IFS(L46=0,0,L46&gt;=1,L46/$L$66)</f>
        <v>0</v>
      </c>
      <c r="N46" s="1016" t="s">
        <v>203</v>
      </c>
      <c r="O46" s="1016"/>
      <c r="P46" s="991"/>
      <c r="Q46" s="316">
        <f>COUNTIFS(input!$O:$O,May!$Q$26,input!$F:$F,May!N46,input!$A:$A,May!$B$2)</f>
        <v>0</v>
      </c>
      <c r="R46" s="316">
        <f>COUNTIFS(input!$O:$O,May!$R$26,input!$F:$F,May!N46,input!$A:$A,May!$B$2)</f>
        <v>0</v>
      </c>
      <c r="S46" s="316">
        <f>COUNTIFS(input!$O:$O,May!$S$26,input!$F:$F,May!N46,input!$A:$A,May!$B$2)</f>
        <v>0</v>
      </c>
      <c r="T46" s="321">
        <f>COUNTIFS(input!$O:$O,May!$T$26,input!$F:$F,May!N46,input!$A:$A,May!$B$2)</f>
        <v>0</v>
      </c>
      <c r="U46" s="322">
        <f>COUNTIFS(input!$O:$O,May!$U$26,input!$F:$F,May!N46,input!$A:$A,May!$B$2)</f>
        <v>0</v>
      </c>
      <c r="V46" s="322">
        <f>COUNTIFS(input!$O:$O,May!$V$26,input!$F:$F,May!N46,input!$A:$A,May!$B$2)</f>
        <v>2</v>
      </c>
      <c r="W46" s="323">
        <f>COUNTIFS(input!$O:$O,May!$W$26,input!$F:$F,May!N46,input!$A:$A,May!$B$2)</f>
        <v>0</v>
      </c>
      <c r="X46" s="324">
        <f>COUNTIFS(input!$O:$O,May!$X$26,input!$F:$F,May!N46,input!$A:$A,May!$B$2)</f>
        <v>0</v>
      </c>
      <c r="Y46" s="312">
        <f t="shared" si="1"/>
        <v>2</v>
      </c>
      <c r="Z46" s="315" cm="1">
        <f t="array" ref="Z46">_xlfn.IFS(Y46=0,0,Y46&gt;=1,Y46/$Y$66)</f>
        <v>0.125</v>
      </c>
    </row>
    <row r="47" spans="2:26" ht="92" hidden="1" customHeight="1" x14ac:dyDescent="0.25">
      <c r="B47" s="990" t="s">
        <v>1550</v>
      </c>
      <c r="C47" s="991"/>
      <c r="D47" s="316">
        <f>COUNTIFS(input!$O:$O,May!$D$26,input!$E:$E,May!B47,input!$A:$A,May!$B$2)</f>
        <v>0</v>
      </c>
      <c r="E47" s="316">
        <f>COUNTIFS(input!$O:$O,May!$E$26,input!$E:$E,May!B47,input!$A:$A,May!$B$2)</f>
        <v>0</v>
      </c>
      <c r="F47" s="317">
        <f>COUNTIFS(input!$O:$O,May!$F$26,input!$E:$E,May!B47,input!$A:$A,May!$B$2)</f>
        <v>0</v>
      </c>
      <c r="G47" s="318">
        <f>COUNTIFS(input!$O:$O,May!$G$26,input!$E:$E,May!B47,input!$A:$A,May!$B$2)</f>
        <v>0</v>
      </c>
      <c r="H47" s="318">
        <f>COUNTIFS(input!$O:$O,May!$H$26,input!$E:$E,May!B47,input!$A:$A,May!$B$2)</f>
        <v>0</v>
      </c>
      <c r="I47" s="318">
        <f>COUNTIFS(input!$O:$O,May!$I$26,input!$E:$E,May!B47,input!$A:$A,May!$B$2)</f>
        <v>0</v>
      </c>
      <c r="J47" s="318">
        <f>COUNTIFS(input!$O:$O,May!$K$26,input!$E:$E,May!B47,input!$A:$A,May!$B$2)</f>
        <v>0</v>
      </c>
      <c r="K47" s="319">
        <f>COUNTIFS(input!$O:$O,May!$K$26,input!$E:$E,May!B47,input!$A:$A,May!$B$2)</f>
        <v>0</v>
      </c>
      <c r="L47" s="312">
        <f>SUM(D47:K47)</f>
        <v>0</v>
      </c>
      <c r="M47" s="313" cm="1">
        <f t="array" ref="M47">_xlfn.IFS(L47=0,0,L47&gt;=1,L47/$L$66)</f>
        <v>0</v>
      </c>
      <c r="N47" s="1065" t="s">
        <v>42</v>
      </c>
      <c r="O47" s="1065"/>
      <c r="P47" s="1066"/>
      <c r="Q47" s="316">
        <f>COUNTIFS(input!$O:$O,May!$Q$26,input!$F:$F,May!N47,input!$A:$A,May!$B$2)</f>
        <v>0</v>
      </c>
      <c r="R47" s="316">
        <f>COUNTIFS(input!$O:$O,May!$R$26,input!$F:$F,May!N47,input!$A:$A,May!$B$2)</f>
        <v>0</v>
      </c>
      <c r="S47" s="316">
        <f>COUNTIFS(input!$O:$O,May!$S$26,input!$F:$F,May!N47,input!$A:$A,May!$B$2)</f>
        <v>0</v>
      </c>
      <c r="T47" s="321">
        <f>COUNTIFS(input!$O:$O,May!$T$26,input!$F:$F,May!N47,input!$A:$A,May!$B$2)</f>
        <v>0</v>
      </c>
      <c r="U47" s="322">
        <f>COUNTIFS(input!$O:$O,May!$U$26,input!$F:$F,May!N47,input!$A:$A,May!$B$2)</f>
        <v>0</v>
      </c>
      <c r="V47" s="322">
        <f>COUNTIFS(input!$O:$O,May!$V$26,input!$F:$F,May!N47,input!$A:$A,May!$B$2)</f>
        <v>0</v>
      </c>
      <c r="W47" s="323">
        <f>COUNTIFS(input!$O:$O,May!$W$26,input!$F:$F,May!N47,input!$A:$A,May!$B$2)</f>
        <v>0</v>
      </c>
      <c r="X47" s="324">
        <f>COUNTIFS(input!$O:$O,May!$X$26,input!$F:$F,May!N47,input!$A:$A,May!$B$2)</f>
        <v>0</v>
      </c>
      <c r="Y47" s="312">
        <f t="shared" si="1"/>
        <v>0</v>
      </c>
      <c r="Z47" s="315" cm="1">
        <f t="array" ref="Z47">_xlfn.IFS(Y47=0,0,Y47&gt;=1,Y47/$Y$66)</f>
        <v>0</v>
      </c>
    </row>
    <row r="48" spans="2:26" ht="92" hidden="1" customHeight="1" x14ac:dyDescent="0.25">
      <c r="B48" s="990" t="s">
        <v>93</v>
      </c>
      <c r="C48" s="991"/>
      <c r="D48" s="316">
        <f>COUNTIFS(input!$O:$O,May!$D$26,input!$E:$E,May!B48,input!$A:$A,May!$B$2)</f>
        <v>0</v>
      </c>
      <c r="E48" s="316">
        <f>COUNTIFS(input!$O:$O,May!$E$26,input!$E:$E,May!B48,input!$A:$A,May!$B$2)</f>
        <v>0</v>
      </c>
      <c r="F48" s="317">
        <f>COUNTIFS(input!$O:$O,May!$F$26,input!$E:$E,May!B48,input!$A:$A,May!$B$2)</f>
        <v>0</v>
      </c>
      <c r="G48" s="318">
        <f>COUNTIFS(input!$O:$O,May!$G$26,input!$E:$E,May!B48,input!$A:$A,May!$B$2)</f>
        <v>0</v>
      </c>
      <c r="H48" s="318">
        <f>COUNTIFS(input!$O:$O,May!$H$26,input!$E:$E,May!B48,input!$A:$A,May!$B$2)</f>
        <v>0</v>
      </c>
      <c r="I48" s="318">
        <f>COUNTIFS(input!$O:$O,May!$I$26,input!$E:$E,May!B48,input!$A:$A,May!$B$2)</f>
        <v>0</v>
      </c>
      <c r="J48" s="318">
        <f>COUNTIFS(input!$O:$O,May!$K$26,input!$E:$E,May!B48,input!$A:$A,May!$B$2)</f>
        <v>0</v>
      </c>
      <c r="K48" s="319">
        <f>COUNTIFS(input!$O:$O,May!$K$26,input!$E:$E,May!B48,input!$A:$A,May!$B$2)</f>
        <v>0</v>
      </c>
      <c r="L48" s="312">
        <f t="shared" ref="L48:L54" si="3">SUM(D48:K48)</f>
        <v>0</v>
      </c>
      <c r="M48" s="313" cm="1">
        <f t="array" ref="M48">_xlfn.IFS(L48=0,0,L48&gt;=1,L48/$L$66)</f>
        <v>0</v>
      </c>
      <c r="N48" s="1065" t="s">
        <v>703</v>
      </c>
      <c r="O48" s="1065"/>
      <c r="P48" s="1066"/>
      <c r="Q48" s="316">
        <f>COUNTIFS(input!$O:$O,May!$Q$26,input!$F:$F,May!N48,input!$A:$A,May!$B$2)</f>
        <v>0</v>
      </c>
      <c r="R48" s="316">
        <f>COUNTIFS(input!$O:$O,May!$R$26,input!$F:$F,May!N48,input!$A:$A,May!$B$2)</f>
        <v>0</v>
      </c>
      <c r="S48" s="316">
        <f>COUNTIFS(input!$O:$O,May!$S$26,input!$F:$F,May!N48,input!$A:$A,May!$B$2)</f>
        <v>0</v>
      </c>
      <c r="T48" s="321">
        <f>COUNTIFS(input!$O:$O,May!$T$26,input!$F:$F,May!N48,input!$A:$A,May!$B$2)</f>
        <v>0</v>
      </c>
      <c r="U48" s="322">
        <f>COUNTIFS(input!$O:$O,May!$U$26,input!$F:$F,May!N48,input!$A:$A,May!$B$2)</f>
        <v>0</v>
      </c>
      <c r="V48" s="322">
        <f>COUNTIFS(input!$O:$O,May!$V$26,input!$F:$F,May!N48,input!$A:$A,May!$B$2)</f>
        <v>0</v>
      </c>
      <c r="W48" s="323">
        <f>COUNTIFS(input!$O:$O,May!$W$26,input!$F:$F,May!N48,input!$A:$A,May!$B$2)</f>
        <v>0</v>
      </c>
      <c r="X48" s="324">
        <f>COUNTIFS(input!$O:$O,May!$X$26,input!$F:$F,May!N48,input!$A:$A,May!$B$2)</f>
        <v>0</v>
      </c>
      <c r="Y48" s="312">
        <f t="shared" si="1"/>
        <v>0</v>
      </c>
      <c r="Z48" s="315" cm="1">
        <f t="array" ref="Z48">_xlfn.IFS(Y48=0,0,Y48&gt;=1,Y48/$Y$66)</f>
        <v>0</v>
      </c>
    </row>
    <row r="49" spans="2:26" ht="92" hidden="1" customHeight="1" x14ac:dyDescent="0.25">
      <c r="B49" s="990" t="s">
        <v>334</v>
      </c>
      <c r="C49" s="991"/>
      <c r="D49" s="316">
        <f>COUNTIFS(input!$O:$O,May!$D$26,input!$E:$E,May!B49,input!$A:$A,May!$B$2)</f>
        <v>0</v>
      </c>
      <c r="E49" s="316">
        <f>COUNTIFS(input!$O:$O,May!$E$26,input!$E:$E,May!B49,input!$A:$A,May!$B$2)</f>
        <v>0</v>
      </c>
      <c r="F49" s="317">
        <f>COUNTIFS(input!$O:$O,May!$F$26,input!$E:$E,May!B49,input!$A:$A,May!$B$2)</f>
        <v>0</v>
      </c>
      <c r="G49" s="318">
        <f>COUNTIFS(input!$O:$O,May!$G$26,input!$E:$E,May!B49,input!$A:$A,May!$B$2)</f>
        <v>0</v>
      </c>
      <c r="H49" s="318">
        <f>COUNTIFS(input!$O:$O,May!$H$26,input!$E:$E,May!B49,input!$A:$A,May!$B$2)</f>
        <v>0</v>
      </c>
      <c r="I49" s="318">
        <f>COUNTIFS(input!$O:$O,May!$I$26,input!$E:$E,May!B49,input!$A:$A,May!$B$2)</f>
        <v>0</v>
      </c>
      <c r="J49" s="318">
        <f>COUNTIFS(input!$O:$O,May!$K$26,input!$E:$E,May!B49,input!$A:$A,May!$B$2)</f>
        <v>0</v>
      </c>
      <c r="K49" s="319">
        <f>COUNTIFS(input!$O:$O,May!$K$26,input!$E:$E,May!B49,input!$A:$A,May!$B$2)</f>
        <v>0</v>
      </c>
      <c r="L49" s="312">
        <f t="shared" si="3"/>
        <v>0</v>
      </c>
      <c r="M49" s="313" cm="1">
        <f t="array" ref="M49">_xlfn.IFS(L49=0,0,L49&gt;=1,L49/$L$66)</f>
        <v>0</v>
      </c>
      <c r="N49" s="1065" t="s">
        <v>1533</v>
      </c>
      <c r="O49" s="1065"/>
      <c r="P49" s="1066"/>
      <c r="Q49" s="316">
        <f>COUNTIFS(input!$O:$O,May!$Q$26,input!$F:$F,May!N49,input!$A:$A,May!$B$2)</f>
        <v>0</v>
      </c>
      <c r="R49" s="316">
        <f>COUNTIFS(input!$O:$O,May!$R$26,input!$F:$F,May!N49,input!$A:$A,May!$B$2)</f>
        <v>0</v>
      </c>
      <c r="S49" s="316">
        <f>COUNTIFS(input!$O:$O,May!$S$26,input!$F:$F,May!N49,input!$A:$A,May!$B$2)</f>
        <v>0</v>
      </c>
      <c r="T49" s="321">
        <f>COUNTIFS(input!$O:$O,May!$T$26,input!$F:$F,May!N49,input!$A:$A,May!$B$2)</f>
        <v>0</v>
      </c>
      <c r="U49" s="322">
        <f>COUNTIFS(input!$O:$O,May!$U$26,input!$F:$F,May!N49,input!$A:$A,May!$B$2)</f>
        <v>0</v>
      </c>
      <c r="V49" s="322">
        <f>COUNTIFS(input!$O:$O,May!$V$26,input!$F:$F,May!N49,input!$A:$A,May!$B$2)</f>
        <v>0</v>
      </c>
      <c r="W49" s="323">
        <f>COUNTIFS(input!$O:$O,May!$W$26,input!$F:$F,May!N49,input!$A:$A,May!$B$2)</f>
        <v>0</v>
      </c>
      <c r="X49" s="324">
        <f>COUNTIFS(input!$O:$O,May!$X$26,input!$F:$F,May!N49,input!$A:$A,May!$B$2)</f>
        <v>0</v>
      </c>
      <c r="Y49" s="312">
        <f t="shared" si="1"/>
        <v>0</v>
      </c>
      <c r="Z49" s="315" cm="1">
        <f t="array" ref="Z49">_xlfn.IFS(Y49=0,0,Y49&gt;=1,Y49/$Y$66)</f>
        <v>0</v>
      </c>
    </row>
    <row r="50" spans="2:26" ht="92" customHeight="1" x14ac:dyDescent="0.25">
      <c r="B50" s="990" t="s">
        <v>881</v>
      </c>
      <c r="C50" s="991"/>
      <c r="D50" s="316">
        <f>COUNTIFS(input!$O:$O,May!$D$26,input!$E:$E,May!B50,input!$A:$A,May!$B$2)</f>
        <v>0</v>
      </c>
      <c r="E50" s="316">
        <f>COUNTIFS(input!$O:$O,May!$E$26,input!$E:$E,May!B50,input!$A:$A,May!$B$2)</f>
        <v>0</v>
      </c>
      <c r="F50" s="317">
        <f>COUNTIFS(input!$O:$O,May!$F$26,input!$E:$E,May!B50,input!$A:$A,May!$B$2)</f>
        <v>0</v>
      </c>
      <c r="G50" s="318">
        <f>COUNTIFS(input!$O:$O,May!$G$26,input!$E:$E,May!B50,input!$A:$A,May!$B$2)</f>
        <v>1</v>
      </c>
      <c r="H50" s="318">
        <f>COUNTIFS(input!$O:$O,May!$H$26,input!$E:$E,May!B50,input!$A:$A,May!$B$2)</f>
        <v>0</v>
      </c>
      <c r="I50" s="318">
        <f>COUNTIFS(input!$O:$O,May!$I$26,input!$E:$E,May!B50,input!$A:$A,May!$B$2)</f>
        <v>0</v>
      </c>
      <c r="J50" s="318">
        <f>COUNTIFS(input!$O:$O,May!$K$26,input!$E:$E,May!B50,input!$A:$A,May!$B$2)</f>
        <v>0</v>
      </c>
      <c r="K50" s="319">
        <f>COUNTIFS(input!$O:$O,May!$K$26,input!$E:$E,May!B50,input!$A:$A,May!$B$2)</f>
        <v>0</v>
      </c>
      <c r="L50" s="312">
        <f t="shared" si="3"/>
        <v>1</v>
      </c>
      <c r="M50" s="313" cm="1">
        <f t="array" ref="M50">_xlfn.IFS(L50=0,0,L50&gt;=1,L50/$L$66)</f>
        <v>6.25E-2</v>
      </c>
      <c r="N50" s="1065"/>
      <c r="O50" s="1065"/>
      <c r="P50" s="1066"/>
      <c r="Q50" s="316">
        <f>COUNTIFS(input!$O:$O,May!$Q$26,input!$F:$F,May!N50,input!$A:$A,May!$B$2)</f>
        <v>0</v>
      </c>
      <c r="R50" s="316">
        <f>COUNTIFS(input!$O:$O,May!$R$26,input!$F:$F,May!N50,input!$A:$A,May!$B$2)</f>
        <v>0</v>
      </c>
      <c r="S50" s="316">
        <f>COUNTIFS(input!$O:$O,May!$S$26,input!$F:$F,May!N50,input!$A:$A,May!$B$2)</f>
        <v>0</v>
      </c>
      <c r="T50" s="321">
        <f>COUNTIFS(input!$O:$O,May!$T$26,input!$F:$F,May!N50,input!$A:$A,May!$B$2)</f>
        <v>0</v>
      </c>
      <c r="U50" s="322">
        <f>COUNTIFS(input!$O:$O,May!$U$26,input!$F:$F,May!N50,input!$A:$A,May!$B$2)</f>
        <v>0</v>
      </c>
      <c r="V50" s="322">
        <f>COUNTIFS(input!$O:$O,May!$V$26,input!$F:$F,May!N50,input!$A:$A,May!$B$2)</f>
        <v>0</v>
      </c>
      <c r="W50" s="323">
        <f>COUNTIFS(input!$O:$O,May!$W$26,input!$F:$F,May!N50,input!$A:$A,May!$B$2)</f>
        <v>0</v>
      </c>
      <c r="X50" s="324">
        <f>COUNTIFS(input!$O:$O,May!$X$26,input!$F:$F,May!N50,input!$A:$A,May!$B$2)</f>
        <v>0</v>
      </c>
      <c r="Y50" s="312">
        <f t="shared" si="1"/>
        <v>0</v>
      </c>
      <c r="Z50" s="315" cm="1">
        <f t="array" ref="Z50">_xlfn.IFS(Y50=0,0,Y50&gt;=1,Y50/$Y$66)</f>
        <v>0</v>
      </c>
    </row>
    <row r="51" spans="2:26" ht="92" hidden="1" customHeight="1" x14ac:dyDescent="0.25">
      <c r="B51" s="990" t="s">
        <v>813</v>
      </c>
      <c r="C51" s="991"/>
      <c r="D51" s="316">
        <f>COUNTIFS(input!$O:$O,May!$D$26,input!$E:$E,May!B51,input!$A:$A,May!$B$2)</f>
        <v>0</v>
      </c>
      <c r="E51" s="316">
        <f>COUNTIFS(input!$O:$O,May!$E$26,input!$E:$E,May!B51,input!$A:$A,May!$B$2)</f>
        <v>0</v>
      </c>
      <c r="F51" s="317">
        <f>COUNTIFS(input!$O:$O,May!$F$26,input!$E:$E,May!B51,input!$A:$A,May!$B$2)</f>
        <v>0</v>
      </c>
      <c r="G51" s="318">
        <f>COUNTIFS(input!$O:$O,May!$G$26,input!$E:$E,May!B51,input!$A:$A,May!$B$2)</f>
        <v>0</v>
      </c>
      <c r="H51" s="318">
        <f>COUNTIFS(input!$O:$O,May!$H$26,input!$E:$E,May!B51,input!$A:$A,May!$B$2)</f>
        <v>0</v>
      </c>
      <c r="I51" s="318">
        <f>COUNTIFS(input!$O:$O,May!$I$26,input!$E:$E,May!B51,input!$A:$A,May!$B$2)</f>
        <v>0</v>
      </c>
      <c r="J51" s="318">
        <f>COUNTIFS(input!$O:$O,May!$K$26,input!$E:$E,May!B51,input!$A:$A,May!$B$2)</f>
        <v>0</v>
      </c>
      <c r="K51" s="319">
        <f>COUNTIFS(input!$O:$O,May!$K$26,input!$E:$E,May!B51,input!$A:$A,May!$B$2)</f>
        <v>0</v>
      </c>
      <c r="L51" s="312">
        <f t="shared" si="3"/>
        <v>0</v>
      </c>
      <c r="M51" s="313" cm="1">
        <f t="array" ref="M51">_xlfn.IFS(L51=0,0,L51&gt;=1,L51/$L$66)</f>
        <v>0</v>
      </c>
      <c r="N51" s="1065"/>
      <c r="O51" s="1065"/>
      <c r="P51" s="1066"/>
      <c r="Q51" s="316">
        <f>COUNTIFS(input!$O:$O,May!$Q$26,input!$F:$F,May!N51,input!$A:$A,May!$B$2)</f>
        <v>0</v>
      </c>
      <c r="R51" s="316">
        <f>COUNTIFS(input!$O:$O,May!$R$26,input!$F:$F,May!N51,input!$A:$A,May!$B$2)</f>
        <v>0</v>
      </c>
      <c r="S51" s="316">
        <f>COUNTIFS(input!$O:$O,May!$S$26,input!$F:$F,May!N51,input!$A:$A,May!$B$2)</f>
        <v>0</v>
      </c>
      <c r="T51" s="321">
        <f>COUNTIFS(input!$O:$O,May!$T$26,input!$F:$F,May!N51,input!$A:$A,May!$B$2)</f>
        <v>0</v>
      </c>
      <c r="U51" s="322">
        <f>COUNTIFS(input!$O:$O,May!$U$26,input!$F:$F,May!N51,input!$A:$A,May!$B$2)</f>
        <v>0</v>
      </c>
      <c r="V51" s="322">
        <f>COUNTIFS(input!$O:$O,May!$V$26,input!$F:$F,May!N51,input!$A:$A,May!$B$2)</f>
        <v>0</v>
      </c>
      <c r="W51" s="323">
        <f>COUNTIFS(input!$O:$O,May!$W$26,input!$F:$F,May!N51,input!$A:$A,May!$B$2)</f>
        <v>0</v>
      </c>
      <c r="X51" s="324">
        <f>COUNTIFS(input!$O:$O,May!$X$26,input!$F:$F,May!N51,input!$A:$A,May!$B$2)</f>
        <v>0</v>
      </c>
      <c r="Y51" s="312">
        <f t="shared" si="1"/>
        <v>0</v>
      </c>
      <c r="Z51" s="315" cm="1">
        <f t="array" ref="Z51">_xlfn.IFS(Y51=0,0,Y51&gt;=1,Y51/$Y$66)</f>
        <v>0</v>
      </c>
    </row>
    <row r="52" spans="2:26" ht="92" hidden="1" customHeight="1" x14ac:dyDescent="0.25">
      <c r="B52" s="990" t="s">
        <v>770</v>
      </c>
      <c r="C52" s="991"/>
      <c r="D52" s="316">
        <f>COUNTIFS(input!$O:$O,May!$D$26,input!$E:$E,May!B52,input!$A:$A,May!$B$2)</f>
        <v>0</v>
      </c>
      <c r="E52" s="316">
        <f>COUNTIFS(input!$O:$O,May!$E$26,input!$E:$E,May!B52,input!$A:$A,May!$B$2)</f>
        <v>0</v>
      </c>
      <c r="F52" s="317">
        <f>COUNTIFS(input!$O:$O,May!$F$26,input!$E:$E,May!B52,input!$A:$A,May!$B$2)</f>
        <v>0</v>
      </c>
      <c r="G52" s="318">
        <f>COUNTIFS(input!$O:$O,May!$G$26,input!$E:$E,May!B52,input!$A:$A,May!$B$2)</f>
        <v>0</v>
      </c>
      <c r="H52" s="318">
        <f>COUNTIFS(input!$O:$O,May!$H$26,input!$E:$E,May!B52,input!$A:$A,May!$B$2)</f>
        <v>0</v>
      </c>
      <c r="I52" s="318">
        <f>COUNTIFS(input!$O:$O,May!$I$26,input!$E:$E,May!B52,input!$A:$A,May!$B$2)</f>
        <v>0</v>
      </c>
      <c r="J52" s="318">
        <f>COUNTIFS(input!$O:$O,May!$K$26,input!$E:$E,May!B52,input!$A:$A,May!$B$2)</f>
        <v>0</v>
      </c>
      <c r="K52" s="319">
        <f>COUNTIFS(input!$O:$O,May!$K$26,input!$E:$E,May!B52,input!$A:$A,May!$B$2)</f>
        <v>0</v>
      </c>
      <c r="L52" s="312">
        <f t="shared" si="3"/>
        <v>0</v>
      </c>
      <c r="M52" s="313" cm="1">
        <f t="array" ref="M52">_xlfn.IFS(L52=0,0,L52&gt;=1,L52/$L$66)</f>
        <v>0</v>
      </c>
      <c r="N52" s="1065"/>
      <c r="O52" s="1065"/>
      <c r="P52" s="1066"/>
      <c r="Q52" s="316">
        <f>COUNTIFS(input!$O:$O,May!$Q$26,input!$F:$F,May!N52,input!$A:$A,May!$B$2)</f>
        <v>0</v>
      </c>
      <c r="R52" s="316">
        <f>COUNTIFS(input!$O:$O,May!$R$26,input!$F:$F,May!N52,input!$A:$A,May!$B$2)</f>
        <v>0</v>
      </c>
      <c r="S52" s="316">
        <f>COUNTIFS(input!$O:$O,May!$S$26,input!$F:$F,May!N52,input!$A:$A,May!$B$2)</f>
        <v>0</v>
      </c>
      <c r="T52" s="321">
        <f>COUNTIFS(input!$O:$O,May!$T$26,input!$F:$F,May!N52,input!$A:$A,May!$B$2)</f>
        <v>0</v>
      </c>
      <c r="U52" s="322">
        <f>COUNTIFS(input!$O:$O,May!$U$26,input!$F:$F,May!N52,input!$A:$A,May!$B$2)</f>
        <v>0</v>
      </c>
      <c r="V52" s="322">
        <f>COUNTIFS(input!$O:$O,May!$V$26,input!$F:$F,May!N52,input!$A:$A,May!$B$2)</f>
        <v>0</v>
      </c>
      <c r="W52" s="323">
        <f>COUNTIFS(input!$O:$O,May!$W$26,input!$F:$F,May!N52,input!$A:$A,May!$B$2)</f>
        <v>0</v>
      </c>
      <c r="X52" s="324">
        <f>COUNTIFS(input!$O:$O,May!$X$26,input!$F:$F,May!N52,input!$A:$A,May!$B$2)</f>
        <v>0</v>
      </c>
      <c r="Y52" s="312">
        <f t="shared" si="1"/>
        <v>0</v>
      </c>
      <c r="Z52" s="315" cm="1">
        <f t="array" ref="Z52">_xlfn.IFS(Y52=0,0,Y52&gt;=1,Y52/$Y$66)</f>
        <v>0</v>
      </c>
    </row>
    <row r="53" spans="2:26" ht="92" hidden="1" customHeight="1" x14ac:dyDescent="0.25">
      <c r="B53" s="990" t="s">
        <v>850</v>
      </c>
      <c r="C53" s="991"/>
      <c r="D53" s="316">
        <f>COUNTIFS(input!$O:$O,May!$D$26,input!$E:$E,May!B53,input!$A:$A,May!$B$2)</f>
        <v>0</v>
      </c>
      <c r="E53" s="316">
        <f>COUNTIFS(input!$O:$O,May!$E$26,input!$E:$E,May!B53,input!$A:$A,May!$B$2)</f>
        <v>0</v>
      </c>
      <c r="F53" s="317">
        <f>COUNTIFS(input!$O:$O,May!$F$26,input!$E:$E,May!B53,input!$A:$A,May!$B$2)</f>
        <v>0</v>
      </c>
      <c r="G53" s="318">
        <f>COUNTIFS(input!$O:$O,May!$G$26,input!$E:$E,May!B53,input!$A:$A,May!$B$2)</f>
        <v>0</v>
      </c>
      <c r="H53" s="318">
        <f>COUNTIFS(input!$O:$O,May!$H$26,input!$E:$E,May!B53,input!$A:$A,May!$B$2)</f>
        <v>0</v>
      </c>
      <c r="I53" s="318">
        <f>COUNTIFS(input!$O:$O,May!$I$26,input!$E:$E,May!B53,input!$A:$A,May!$B$2)</f>
        <v>0</v>
      </c>
      <c r="J53" s="318">
        <f>COUNTIFS(input!$O:$O,May!$K$26,input!$E:$E,May!B53,input!$A:$A,May!$B$2)</f>
        <v>0</v>
      </c>
      <c r="K53" s="319">
        <f>COUNTIFS(input!$O:$O,May!$K$26,input!$E:$E,May!B53,input!$A:$A,May!$B$2)</f>
        <v>0</v>
      </c>
      <c r="L53" s="312">
        <f t="shared" si="3"/>
        <v>0</v>
      </c>
      <c r="M53" s="313" cm="1">
        <f t="array" ref="M53">_xlfn.IFS(L53=0,0,L53&gt;=1,L53/$L$66)</f>
        <v>0</v>
      </c>
      <c r="N53" s="1065"/>
      <c r="O53" s="1065"/>
      <c r="P53" s="1066"/>
      <c r="Q53" s="316">
        <f>COUNTIFS(input!$O:$O,May!$Q$26,input!$F:$F,May!N53,input!$A:$A,May!$B$2)</f>
        <v>0</v>
      </c>
      <c r="R53" s="316">
        <f>COUNTIFS(input!$O:$O,May!$R$26,input!$F:$F,May!N53,input!$A:$A,May!$B$2)</f>
        <v>0</v>
      </c>
      <c r="S53" s="316">
        <f>COUNTIFS(input!$O:$O,May!$S$26,input!$F:$F,May!N53,input!$A:$A,May!$B$2)</f>
        <v>0</v>
      </c>
      <c r="T53" s="321">
        <f>COUNTIFS(input!$O:$O,May!$T$26,input!$F:$F,May!N53,input!$A:$A,May!$B$2)</f>
        <v>0</v>
      </c>
      <c r="U53" s="322">
        <f>COUNTIFS(input!$O:$O,May!$U$26,input!$F:$F,May!N53,input!$A:$A,May!$B$2)</f>
        <v>0</v>
      </c>
      <c r="V53" s="322">
        <f>COUNTIFS(input!$O:$O,May!$V$26,input!$F:$F,May!N53,input!$A:$A,May!$B$2)</f>
        <v>0</v>
      </c>
      <c r="W53" s="323">
        <f>COUNTIFS(input!$O:$O,May!$W$26,input!$F:$F,May!N53,input!$A:$A,May!$B$2)</f>
        <v>0</v>
      </c>
      <c r="X53" s="324">
        <f>COUNTIFS(input!$O:$O,May!$X$26,input!$F:$F,May!N53,input!$A:$A,May!$B$2)</f>
        <v>0</v>
      </c>
      <c r="Y53" s="312">
        <f t="shared" si="1"/>
        <v>0</v>
      </c>
      <c r="Z53" s="315" cm="1">
        <f t="array" ref="Z53">_xlfn.IFS(Y53=0,0,Y53&gt;=1,Y53/$Y$66)</f>
        <v>0</v>
      </c>
    </row>
    <row r="54" spans="2:26" ht="92" hidden="1" x14ac:dyDescent="0.25">
      <c r="B54" s="990" t="s">
        <v>130</v>
      </c>
      <c r="C54" s="991"/>
      <c r="D54" s="316">
        <f>COUNTIFS(input!$O:$O,May!$D$26,input!$E:$E,May!B54,input!$A:$A,May!$B$2)</f>
        <v>0</v>
      </c>
      <c r="E54" s="316">
        <f>COUNTIFS(input!$O:$O,May!$E$26,input!$E:$E,May!B54,input!$A:$A,May!$B$2)</f>
        <v>0</v>
      </c>
      <c r="F54" s="317">
        <f>COUNTIFS(input!$O:$O,May!$F$26,input!$E:$E,May!B54,input!$A:$A,May!$B$2)</f>
        <v>0</v>
      </c>
      <c r="G54" s="318">
        <f>COUNTIFS(input!$O:$O,May!$G$26,input!$E:$E,May!B54,input!$A:$A,May!$B$2)</f>
        <v>0</v>
      </c>
      <c r="H54" s="318">
        <f>COUNTIFS(input!$O:$O,May!$H$26,input!$E:$E,May!B54,input!$A:$A,May!$B$2)</f>
        <v>0</v>
      </c>
      <c r="I54" s="318">
        <f>COUNTIFS(input!$O:$O,May!$I$26,input!$E:$E,May!B54,input!$A:$A,May!$B$2)</f>
        <v>0</v>
      </c>
      <c r="J54" s="318">
        <f>COUNTIFS(input!$O:$O,May!$K$26,input!$E:$E,May!B54,input!$A:$A,May!$B$2)</f>
        <v>0</v>
      </c>
      <c r="K54" s="319">
        <f>COUNTIFS(input!$O:$O,May!$K$26,input!$E:$E,May!B54,input!$A:$A,May!$B$2)</f>
        <v>0</v>
      </c>
      <c r="L54" s="312">
        <f t="shared" si="3"/>
        <v>0</v>
      </c>
      <c r="M54" s="313" cm="1">
        <f t="array" ref="M54">_xlfn.IFS(L54=0,0,L54&gt;=1,L54/$L$66)</f>
        <v>0</v>
      </c>
      <c r="N54" s="1016"/>
      <c r="O54" s="1016"/>
      <c r="P54" s="991"/>
      <c r="Q54" s="316">
        <f>COUNTIFS(input!$O:$O,May!$Q$26,input!$F:$F,May!N54,input!$A:$A,May!$B$2)</f>
        <v>0</v>
      </c>
      <c r="R54" s="316">
        <f>COUNTIFS(input!$O:$O,May!$R$26,input!$F:$F,May!N54,input!$A:$A,May!$B$2)</f>
        <v>0</v>
      </c>
      <c r="S54" s="316">
        <f>COUNTIFS(input!$O:$O,May!$S$26,input!$F:$F,May!N54,input!$A:$A,May!$B$2)</f>
        <v>0</v>
      </c>
      <c r="T54" s="321">
        <f>COUNTIFS(input!$O:$O,May!$T$26,input!$F:$F,May!N54,input!$A:$A,May!$B$2)</f>
        <v>0</v>
      </c>
      <c r="U54" s="322">
        <f>COUNTIFS(input!$O:$O,May!$U$26,input!$F:$F,May!N54,input!$A:$A,May!$B$2)</f>
        <v>0</v>
      </c>
      <c r="V54" s="322">
        <f>COUNTIFS(input!$O:$O,May!$V$26,input!$F:$F,May!N54,input!$A:$A,May!$B$2)</f>
        <v>0</v>
      </c>
      <c r="W54" s="323">
        <f>COUNTIFS(input!$O:$O,May!$W$26,input!$F:$F,May!N54,input!$A:$A,May!$B$2)</f>
        <v>0</v>
      </c>
      <c r="X54" s="324">
        <f>COUNTIFS(input!$O:$O,May!$X$26,input!$F:$F,May!N54,input!$A:$A,May!$B$2)</f>
        <v>0</v>
      </c>
      <c r="Y54" s="312">
        <f t="shared" si="1"/>
        <v>0</v>
      </c>
      <c r="Z54" s="315" cm="1">
        <f t="array" ref="Z54">_xlfn.IFS(Y54=0,0,Y54&gt;=1,Y54/$Y$66)</f>
        <v>0</v>
      </c>
    </row>
    <row r="55" spans="2:26" ht="92" x14ac:dyDescent="0.25">
      <c r="B55" s="990" t="s">
        <v>110</v>
      </c>
      <c r="C55" s="991"/>
      <c r="D55" s="316">
        <f>COUNTIFS(input!$O:$O,May!$D$26,input!$E:$E,May!B55,input!$A:$A,May!$B$2)</f>
        <v>0</v>
      </c>
      <c r="E55" s="316">
        <f>COUNTIFS(input!$O:$O,May!$E$26,input!$E:$E,May!B55,input!$A:$A,May!$B$2)</f>
        <v>1</v>
      </c>
      <c r="F55" s="317">
        <f>COUNTIFS(input!$O:$O,May!$F$26,input!$E:$E,May!B55,input!$A:$A,May!$B$2)</f>
        <v>0</v>
      </c>
      <c r="G55" s="318">
        <f>COUNTIFS(input!$O:$O,May!$G$26,input!$E:$E,May!B55,input!$A:$A,May!$B$2)</f>
        <v>0</v>
      </c>
      <c r="H55" s="318">
        <f>COUNTIFS(input!$O:$O,May!$H$26,input!$E:$E,May!B55,input!$A:$A,May!$B$2)</f>
        <v>0</v>
      </c>
      <c r="I55" s="318">
        <f>COUNTIFS(input!$O:$O,May!$I$26,input!$E:$E,May!B55,input!$A:$A,May!$B$2)</f>
        <v>0</v>
      </c>
      <c r="J55" s="318">
        <f>COUNTIFS(input!$O:$O,May!$K$26,input!$E:$E,May!B55,input!$A:$A,May!$B$2)</f>
        <v>0</v>
      </c>
      <c r="K55" s="319">
        <f>COUNTIFS(input!$O:$O,May!$K$26,input!$E:$E,May!B55,input!$A:$A,May!$B$2)</f>
        <v>0</v>
      </c>
      <c r="L55" s="312">
        <f>SUM(D55:K55)</f>
        <v>1</v>
      </c>
      <c r="M55" s="313" cm="1">
        <f t="array" ref="M55">_xlfn.IFS(L55=0,0,L55&gt;=1,L55/$L$66)</f>
        <v>6.25E-2</v>
      </c>
      <c r="N55" s="1016"/>
      <c r="O55" s="1016"/>
      <c r="P55" s="991"/>
      <c r="Q55" s="316">
        <f>COUNTIFS(input!$O:$O,May!$Q$26,input!$F:$F,May!N55,input!$A:$A,May!$B$2)</f>
        <v>0</v>
      </c>
      <c r="R55" s="316">
        <f>COUNTIFS(input!$O:$O,May!$R$26,input!$F:$F,May!N55,input!$A:$A,May!$B$2)</f>
        <v>0</v>
      </c>
      <c r="S55" s="316">
        <f>COUNTIFS(input!$O:$O,May!$S$26,input!$F:$F,May!N55,input!$A:$A,May!$B$2)</f>
        <v>0</v>
      </c>
      <c r="T55" s="321">
        <f>COUNTIFS(input!$O:$O,May!$T$26,input!$F:$F,May!N55,input!$A:$A,May!$B$2)</f>
        <v>0</v>
      </c>
      <c r="U55" s="322">
        <f>COUNTIFS(input!$O:$O,May!$U$26,input!$F:$F,May!N55,input!$A:$A,May!$B$2)</f>
        <v>0</v>
      </c>
      <c r="V55" s="322">
        <f>COUNTIFS(input!$O:$O,May!$V$26,input!$F:$F,May!N55,input!$A:$A,May!$B$2)</f>
        <v>0</v>
      </c>
      <c r="W55" s="323">
        <f>COUNTIFS(input!$O:$O,May!$W$26,input!$F:$F,May!N55,input!$A:$A,May!$B$2)</f>
        <v>0</v>
      </c>
      <c r="X55" s="324">
        <f>COUNTIFS(input!$O:$O,May!$X$26,input!$F:$F,May!N55,input!$A:$A,May!$B$2)</f>
        <v>0</v>
      </c>
      <c r="Y55" s="312">
        <f>SUM(Q55:X55)</f>
        <v>0</v>
      </c>
      <c r="Z55" s="315" cm="1">
        <f t="array" ref="Z55">_xlfn.IFS(Y55=0,0,Y55&gt;=1,Y55/$Y$66)</f>
        <v>0</v>
      </c>
    </row>
    <row r="56" spans="2:26" ht="92" x14ac:dyDescent="0.25">
      <c r="B56" s="990" t="s">
        <v>1805</v>
      </c>
      <c r="C56" s="991"/>
      <c r="D56" s="316">
        <f>COUNTIFS(input!$O:$O,May!$D$26,input!$E:$E,May!B56,input!$A:$A,May!$B$2)</f>
        <v>0</v>
      </c>
      <c r="E56" s="316">
        <f>COUNTIFS(input!$O:$O,May!$E$26,input!$E:$E,May!B56,input!$A:$A,May!$B$2)</f>
        <v>0</v>
      </c>
      <c r="F56" s="317">
        <f>COUNTIFS(input!$O:$O,May!$F$26,input!$E:$E,May!B56,input!$A:$A,May!$B$2)</f>
        <v>0</v>
      </c>
      <c r="G56" s="318">
        <f>COUNTIFS(input!$O:$O,May!$G$26,input!$E:$E,May!B56,input!$A:$A,May!$B$2)</f>
        <v>0</v>
      </c>
      <c r="H56" s="318">
        <f>COUNTIFS(input!$O:$O,May!$H$26,input!$E:$E,May!B56,input!$A:$A,May!$B$2)</f>
        <v>0</v>
      </c>
      <c r="I56" s="318">
        <f>COUNTIFS(input!$O:$O,May!$I$26,input!$E:$E,May!B56,input!$A:$A,May!$B$2)</f>
        <v>1</v>
      </c>
      <c r="J56" s="318">
        <f>COUNTIFS(input!$O:$O,May!$K$26,input!$E:$E,May!B56,input!$A:$A,May!$B$2)</f>
        <v>0</v>
      </c>
      <c r="K56" s="319">
        <f>COUNTIFS(input!$O:$O,May!$K$26,input!$E:$E,May!B56,input!$A:$A,May!$B$2)</f>
        <v>0</v>
      </c>
      <c r="L56" s="312">
        <f>SUM(D56:K56)</f>
        <v>1</v>
      </c>
      <c r="M56" s="313" cm="1">
        <f t="array" ref="M56">_xlfn.IFS(L56=0,0,L56&gt;=1,L56/$L$66)</f>
        <v>6.25E-2</v>
      </c>
      <c r="N56" s="1016"/>
      <c r="O56" s="1016"/>
      <c r="P56" s="991"/>
      <c r="Q56" s="316">
        <f>COUNTIFS(input!$O:$O,May!$Q$26,input!$F:$F,May!N56,input!$A:$A,May!$B$2)</f>
        <v>0</v>
      </c>
      <c r="R56" s="316">
        <f>COUNTIFS(input!$O:$O,May!$R$26,input!$F:$F,May!N56,input!$A:$A,May!$B$2)</f>
        <v>0</v>
      </c>
      <c r="S56" s="316">
        <f>COUNTIFS(input!$O:$O,May!$S$26,input!$F:$F,May!N56,input!$A:$A,May!$B$2)</f>
        <v>0</v>
      </c>
      <c r="T56" s="321">
        <f>COUNTIFS(input!$O:$O,May!$T$26,input!$F:$F,May!N56,input!$A:$A,May!$B$2)</f>
        <v>0</v>
      </c>
      <c r="U56" s="322">
        <f>COUNTIFS(input!$O:$O,May!$U$26,input!$F:$F,May!N56,input!$A:$A,May!$B$2)</f>
        <v>0</v>
      </c>
      <c r="V56" s="322">
        <f>COUNTIFS(input!$O:$O,May!$V$26,input!$F:$F,May!N56,input!$A:$A,May!$B$2)</f>
        <v>0</v>
      </c>
      <c r="W56" s="323">
        <f>COUNTIFS(input!$O:$O,May!$W$26,input!$F:$F,May!N56,input!$A:$A,May!$B$2)</f>
        <v>0</v>
      </c>
      <c r="X56" s="324">
        <f>COUNTIFS(input!$O:$O,May!$X$26,input!$F:$F,May!N56,input!$A:$A,May!$B$2)</f>
        <v>0</v>
      </c>
      <c r="Y56" s="312">
        <f>SUM(Q56:X56)</f>
        <v>0</v>
      </c>
      <c r="Z56" s="315" cm="1">
        <f t="array" ref="Z56">_xlfn.IFS(Y56=0,0,Y56&gt;=1,Y56/$Y$66)</f>
        <v>0</v>
      </c>
    </row>
    <row r="57" spans="2:26" ht="97" customHeight="1" x14ac:dyDescent="0.25">
      <c r="B57" s="990" t="s">
        <v>1804</v>
      </c>
      <c r="C57" s="991"/>
      <c r="D57" s="316">
        <f>COUNTIFS(input!$O:$O,May!$D$26,input!$E:$E,May!B57,input!$A:$A,May!$B$2)</f>
        <v>0</v>
      </c>
      <c r="E57" s="316">
        <f>COUNTIFS(input!$O:$O,May!$E$26,input!$E:$E,May!B57,input!$A:$A,May!$B$2)</f>
        <v>1</v>
      </c>
      <c r="F57" s="317">
        <f>COUNTIFS(input!$O:$O,May!$F$26,input!$E:$E,May!B57,input!$A:$A,May!$B$2)</f>
        <v>0</v>
      </c>
      <c r="G57" s="318">
        <f>COUNTIFS(input!$O:$O,May!$G$26,input!$E:$E,May!B57,input!$A:$A,May!$B$2)</f>
        <v>0</v>
      </c>
      <c r="H57" s="318">
        <f>COUNTIFS(input!$O:$O,May!$H$26,input!$E:$E,May!B57,input!$A:$A,May!$B$2)</f>
        <v>0</v>
      </c>
      <c r="I57" s="318">
        <f>COUNTIFS(input!$O:$O,May!$I$26,input!$E:$E,May!B57,input!$A:$A,May!$B$2)</f>
        <v>0</v>
      </c>
      <c r="J57" s="318">
        <f>COUNTIFS(input!$O:$O,May!$K$26,input!$E:$E,May!B57,input!$A:$A,May!$B$2)</f>
        <v>0</v>
      </c>
      <c r="K57" s="319">
        <f>COUNTIFS(input!$O:$O,May!$K$26,input!$E:$E,May!B57,input!$A:$A,May!$B$2)</f>
        <v>0</v>
      </c>
      <c r="L57" s="312">
        <f>SUM(D57:K57)</f>
        <v>1</v>
      </c>
      <c r="M57" s="313" cm="1">
        <f t="array" ref="M57">_xlfn.IFS(L57=0,0,L57&gt;=1,L57/$L$66)</f>
        <v>6.25E-2</v>
      </c>
      <c r="N57" s="1016"/>
      <c r="O57" s="1016"/>
      <c r="P57" s="991"/>
      <c r="Q57" s="316">
        <f>COUNTIFS(input!$O:$O,May!$Q$26,input!$F:$F,May!N57,input!$A:$A,May!$B$2)</f>
        <v>0</v>
      </c>
      <c r="R57" s="316">
        <f>COUNTIFS(input!$O:$O,May!$R$26,input!$F:$F,May!N57,input!$A:$A,May!$B$2)</f>
        <v>0</v>
      </c>
      <c r="S57" s="316">
        <f>COUNTIFS(input!$O:$O,May!$S$26,input!$F:$F,May!N57,input!$A:$A,May!$B$2)</f>
        <v>0</v>
      </c>
      <c r="T57" s="321">
        <f>COUNTIFS(input!$O:$O,May!$T$26,input!$F:$F,May!N57,input!$A:$A,May!$B$2)</f>
        <v>0</v>
      </c>
      <c r="U57" s="322">
        <f>COUNTIFS(input!$O:$O,May!$U$26,input!$F:$F,May!N57,input!$A:$A,May!$B$2)</f>
        <v>0</v>
      </c>
      <c r="V57" s="322">
        <f>COUNTIFS(input!$O:$O,May!$V$26,input!$F:$F,May!N57,input!$A:$A,May!$B$2)</f>
        <v>0</v>
      </c>
      <c r="W57" s="323">
        <f>COUNTIFS(input!$O:$O,May!$W$26,input!$F:$F,May!N57,input!$A:$A,May!$B$2)</f>
        <v>0</v>
      </c>
      <c r="X57" s="324">
        <f>COUNTIFS(input!$O:$O,May!$X$26,input!$F:$F,May!N57,input!$A:$A,May!$B$2)</f>
        <v>0</v>
      </c>
      <c r="Y57" s="312">
        <f>SUM(Q57:X57)</f>
        <v>0</v>
      </c>
      <c r="Z57" s="315" cm="1">
        <f t="array" ref="Z57">_xlfn.IFS(Y57=0,0,Y57&gt;=1,Y57/$Y$66)</f>
        <v>0</v>
      </c>
    </row>
    <row r="58" spans="2:26" ht="92" hidden="1" x14ac:dyDescent="0.25">
      <c r="B58" s="990" t="s">
        <v>1435</v>
      </c>
      <c r="C58" s="991"/>
      <c r="D58" s="316">
        <f>COUNTIFS(input!$O:$O,May!$D$26,input!$E:$E,May!B58,input!$A:$A,May!$B$2)</f>
        <v>0</v>
      </c>
      <c r="E58" s="316">
        <f>COUNTIFS(input!$O:$O,May!$E$26,input!$E:$E,May!B58,input!$A:$A,May!$B$2)</f>
        <v>0</v>
      </c>
      <c r="F58" s="317">
        <f>COUNTIFS(input!$O:$O,May!$F$26,input!$E:$E,May!B58,input!$A:$A,May!$B$2)</f>
        <v>0</v>
      </c>
      <c r="G58" s="318">
        <f>COUNTIFS(input!$O:$O,May!$G$26,input!$E:$E,May!B58,input!$A:$A,May!$B$2)</f>
        <v>0</v>
      </c>
      <c r="H58" s="318">
        <f>COUNTIFS(input!$O:$O,May!$H$26,input!$E:$E,May!B58,input!$A:$A,May!$B$2)</f>
        <v>0</v>
      </c>
      <c r="I58" s="318">
        <f>COUNTIFS(input!$O:$O,May!$I$26,input!$E:$E,May!B58,input!$A:$A,May!$B$2)</f>
        <v>0</v>
      </c>
      <c r="J58" s="318">
        <f>COUNTIFS(input!$O:$O,May!$K$26,input!$E:$E,May!B58,input!$A:$A,May!$B$2)</f>
        <v>0</v>
      </c>
      <c r="K58" s="319">
        <f>COUNTIFS(input!$O:$O,May!$K$26,input!$E:$E,May!B58,input!$A:$A,May!$B$2)</f>
        <v>0</v>
      </c>
      <c r="L58" s="312">
        <f>SUM(D58:K58)</f>
        <v>0</v>
      </c>
      <c r="M58" s="313" cm="1">
        <f t="array" ref="M58">_xlfn.IFS(L58=0,0,L58&gt;=1,L58/$L$66)</f>
        <v>0</v>
      </c>
      <c r="N58" s="1065"/>
      <c r="O58" s="1065"/>
      <c r="P58" s="1066"/>
      <c r="Q58" s="316">
        <f>COUNTIFS(input!$O:$O,May!$Q$26,input!$F:$F,May!N58,input!$A:$A,May!$B$2)</f>
        <v>0</v>
      </c>
      <c r="R58" s="316">
        <f>COUNTIFS(input!$O:$O,May!$R$26,input!$F:$F,May!N58,input!$A:$A,May!$B$2)</f>
        <v>0</v>
      </c>
      <c r="S58" s="316">
        <f>COUNTIFS(input!$O:$O,May!$S$26,input!$F:$F,May!N58,input!$A:$A,May!$B$2)</f>
        <v>0</v>
      </c>
      <c r="T58" s="321">
        <f>COUNTIFS(input!$O:$O,May!$T$26,input!$F:$F,May!N58,input!$A:$A,May!$B$2)</f>
        <v>0</v>
      </c>
      <c r="U58" s="322">
        <f>COUNTIFS(input!$O:$O,May!$U$26,input!$F:$F,May!N58,input!$A:$A,May!$B$2)</f>
        <v>0</v>
      </c>
      <c r="V58" s="322">
        <f>COUNTIFS(input!$O:$O,May!$V$26,input!$F:$F,May!N58,input!$A:$A,May!$B$2)</f>
        <v>0</v>
      </c>
      <c r="W58" s="323">
        <f>COUNTIFS(input!$O:$O,May!$W$26,input!$F:$F,May!N58,input!$A:$A,May!$B$2)</f>
        <v>0</v>
      </c>
      <c r="X58" s="324">
        <f>COUNTIFS(input!$O:$O,May!$X$26,input!$F:$F,May!N58,input!$A:$A,May!$B$2)</f>
        <v>0</v>
      </c>
      <c r="Y58" s="312">
        <f t="shared" si="1"/>
        <v>0</v>
      </c>
      <c r="Z58" s="315" cm="1">
        <f t="array" ref="Z58">_xlfn.IFS(Y58=0,0,Y58&gt;=1,Y58/$Y$66)</f>
        <v>0</v>
      </c>
    </row>
    <row r="59" spans="2:26" ht="92" customHeight="1" x14ac:dyDescent="0.25">
      <c r="B59" s="990" t="s">
        <v>1827</v>
      </c>
      <c r="C59" s="991"/>
      <c r="D59" s="316">
        <f>COUNTIFS(input!$O:$O,May!$D$26,input!$E:$E,May!B59,input!$A:$A,May!$B$2)</f>
        <v>0</v>
      </c>
      <c r="E59" s="316">
        <f>COUNTIFS(input!$O:$O,May!$E$26,input!$E:$E,May!B59,input!$A:$A,May!$B$2)</f>
        <v>1</v>
      </c>
      <c r="F59" s="317">
        <f>COUNTIFS(input!$O:$O,May!$F$26,input!$E:$E,May!B59,input!$A:$A,May!$B$2)</f>
        <v>0</v>
      </c>
      <c r="G59" s="318">
        <f>COUNTIFS(input!$O:$O,May!$G$26,input!$E:$E,May!B59,input!$A:$A,May!$B$2)</f>
        <v>0</v>
      </c>
      <c r="H59" s="318">
        <f>COUNTIFS(input!$O:$O,May!$H$26,input!$E:$E,May!B59,input!$A:$A,May!$B$2)</f>
        <v>0</v>
      </c>
      <c r="I59" s="318">
        <f>COUNTIFS(input!$O:$O,May!$I$26,input!$E:$E,May!B59,input!$A:$A,May!$B$2)</f>
        <v>0</v>
      </c>
      <c r="J59" s="318">
        <f>COUNTIFS(input!$O:$O,May!$K$26,input!$E:$E,May!B59,input!$A:$A,May!$B$2)</f>
        <v>0</v>
      </c>
      <c r="K59" s="319">
        <f>COUNTIFS(input!$O:$O,May!$K$26,input!$E:$E,May!B59,input!$A:$A,May!$B$2)</f>
        <v>0</v>
      </c>
      <c r="L59" s="312">
        <f>SUM(D59:K59)</f>
        <v>1</v>
      </c>
      <c r="M59" s="313" cm="1">
        <f t="array" ref="M59">_xlfn.IFS(L59=0,0,L59&gt;=1,L59/$L$66)</f>
        <v>6.25E-2</v>
      </c>
      <c r="N59" s="1065"/>
      <c r="O59" s="1065"/>
      <c r="P59" s="1066"/>
      <c r="Q59" s="316">
        <f>COUNTIFS(input!$O:$O,May!$Q$26,input!$F:$F,May!N59,input!$A:$A,May!$B$2)</f>
        <v>0</v>
      </c>
      <c r="R59" s="316">
        <f>COUNTIFS(input!$O:$O,May!$R$26,input!$F:$F,May!N59,input!$A:$A,May!$B$2)</f>
        <v>0</v>
      </c>
      <c r="S59" s="316">
        <f>COUNTIFS(input!$O:$O,May!$S$26,input!$F:$F,May!N59,input!$A:$A,May!$B$2)</f>
        <v>0</v>
      </c>
      <c r="T59" s="321">
        <f>COUNTIFS(input!$O:$O,May!$T$26,input!$F:$F,May!N59,input!$A:$A,May!$B$2)</f>
        <v>0</v>
      </c>
      <c r="U59" s="322">
        <f>COUNTIFS(input!$O:$O,May!$U$26,input!$F:$F,May!N59,input!$A:$A,May!$B$2)</f>
        <v>0</v>
      </c>
      <c r="V59" s="322">
        <f>COUNTIFS(input!$O:$O,May!$V$26,input!$F:$F,May!N59,input!$A:$A,May!$B$2)</f>
        <v>0</v>
      </c>
      <c r="W59" s="323">
        <f>COUNTIFS(input!$O:$O,May!$W$26,input!$F:$F,May!N59,input!$A:$A,May!$B$2)</f>
        <v>0</v>
      </c>
      <c r="X59" s="324">
        <f>COUNTIFS(input!$O:$O,May!$X$26,input!$F:$F,May!N59,input!$A:$A,May!$B$2)</f>
        <v>0</v>
      </c>
      <c r="Y59" s="312">
        <f>SUM(Q59:X59)</f>
        <v>0</v>
      </c>
      <c r="Z59" s="315" cm="1">
        <f t="array" ref="Z59">_xlfn.IFS(Y59=0,0,Y59&gt;=1,Y59/$Y$66)</f>
        <v>0</v>
      </c>
    </row>
    <row r="60" spans="2:26" ht="92" hidden="1" customHeight="1" x14ac:dyDescent="0.25">
      <c r="B60" s="990" t="s">
        <v>777</v>
      </c>
      <c r="C60" s="991"/>
      <c r="D60" s="316">
        <f>COUNTIFS(input!$O:$O,May!$D$26,input!$E:$E,May!B60,input!$A:$A,May!$B$2)</f>
        <v>0</v>
      </c>
      <c r="E60" s="316">
        <f>COUNTIFS(input!$O:$O,May!$E$26,input!$E:$E,May!B60,input!$A:$A,May!$B$2)</f>
        <v>0</v>
      </c>
      <c r="F60" s="317">
        <f>COUNTIFS(input!$O:$O,May!$F$26,input!$E:$E,May!B60,input!$A:$A,May!$B$2)</f>
        <v>0</v>
      </c>
      <c r="G60" s="318">
        <f>COUNTIFS(input!$O:$O,May!$G$26,input!$E:$E,May!B60,input!$A:$A,May!$B$2)</f>
        <v>0</v>
      </c>
      <c r="H60" s="318">
        <f>COUNTIFS(input!$O:$O,May!$H$26,input!$E:$E,May!B60,input!$A:$A,May!$B$2)</f>
        <v>0</v>
      </c>
      <c r="I60" s="318">
        <f>COUNTIFS(input!$O:$O,May!$I$26,input!$E:$E,May!B60,input!$A:$A,May!$B$2)</f>
        <v>0</v>
      </c>
      <c r="J60" s="318">
        <f>COUNTIFS(input!$O:$O,May!$K$26,input!$E:$E,May!B60,input!$A:$A,May!$B$2)</f>
        <v>0</v>
      </c>
      <c r="K60" s="319">
        <f>COUNTIFS(input!$O:$O,May!$K$26,input!$E:$E,May!B60,input!$A:$A,May!$B$2)</f>
        <v>0</v>
      </c>
      <c r="L60" s="312">
        <f t="shared" ref="L60:L65" si="4">SUM(D60:K60)</f>
        <v>0</v>
      </c>
      <c r="M60" s="313" cm="1">
        <f t="array" ref="M60">_xlfn.IFS(L60=0,0,L60&gt;=1,L60/$L$66)</f>
        <v>0</v>
      </c>
      <c r="N60" s="1065"/>
      <c r="O60" s="1065"/>
      <c r="P60" s="1066"/>
      <c r="Q60" s="316">
        <f>COUNTIFS(input!$O:$O,May!$Q$26,input!$F:$F,May!N60,input!$A:$A,May!$B$2)</f>
        <v>0</v>
      </c>
      <c r="R60" s="316">
        <f>COUNTIFS(input!$O:$O,May!$R$26,input!$F:$F,May!N60,input!$A:$A,May!$B$2)</f>
        <v>0</v>
      </c>
      <c r="S60" s="316">
        <f>COUNTIFS(input!$O:$O,May!$S$26,input!$F:$F,May!N60,input!$A:$A,May!$B$2)</f>
        <v>0</v>
      </c>
      <c r="T60" s="321">
        <f>COUNTIFS(input!$O:$O,May!$T$26,input!$F:$F,May!N60,input!$A:$A,May!$B$2)</f>
        <v>0</v>
      </c>
      <c r="U60" s="322">
        <f>COUNTIFS(input!$O:$O,May!$U$26,input!$F:$F,May!N60,input!$A:$A,May!$B$2)</f>
        <v>0</v>
      </c>
      <c r="V60" s="322">
        <f>COUNTIFS(input!$O:$O,May!$V$26,input!$F:$F,May!N60,input!$A:$A,May!$B$2)</f>
        <v>0</v>
      </c>
      <c r="W60" s="323">
        <f>COUNTIFS(input!$O:$O,May!$W$26,input!$F:$F,May!N60,input!$A:$A,May!$B$2)</f>
        <v>0</v>
      </c>
      <c r="X60" s="324">
        <f>COUNTIFS(input!$O:$O,May!$X$26,input!$F:$F,May!N60,input!$A:$A,May!$B$2)</f>
        <v>0</v>
      </c>
      <c r="Y60" s="312">
        <f t="shared" si="1"/>
        <v>0</v>
      </c>
      <c r="Z60" s="315" cm="1">
        <f t="array" ref="Z60">_xlfn.IFS(Y60=0,0,Y60&gt;=1,Y60/$Y$66)</f>
        <v>0</v>
      </c>
    </row>
    <row r="61" spans="2:26" ht="92" hidden="1" customHeight="1" x14ac:dyDescent="0.25">
      <c r="B61" s="990" t="s">
        <v>41</v>
      </c>
      <c r="C61" s="991"/>
      <c r="D61" s="316">
        <f>COUNTIFS(input!$O:$O,May!$D$26,input!$E:$E,May!B61,input!$A:$A,May!$B$2)</f>
        <v>0</v>
      </c>
      <c r="E61" s="316">
        <f>COUNTIFS(input!$O:$O,May!$E$26,input!$E:$E,May!B61,input!$A:$A,May!$B$2)</f>
        <v>0</v>
      </c>
      <c r="F61" s="317">
        <f>COUNTIFS(input!$O:$O,May!$F$26,input!$E:$E,May!B61,input!$A:$A,May!$B$2)</f>
        <v>0</v>
      </c>
      <c r="G61" s="318">
        <f>COUNTIFS(input!$O:$O,May!$G$26,input!$E:$E,May!B61,input!$A:$A,May!$B$2)</f>
        <v>0</v>
      </c>
      <c r="H61" s="318">
        <f>COUNTIFS(input!$O:$O,May!$H$26,input!$E:$E,May!B61,input!$A:$A,May!$B$2)</f>
        <v>0</v>
      </c>
      <c r="I61" s="318">
        <f>COUNTIFS(input!$O:$O,May!$I$26,input!$E:$E,May!B61,input!$A:$A,May!$B$2)</f>
        <v>0</v>
      </c>
      <c r="J61" s="318">
        <f>COUNTIFS(input!$O:$O,May!$K$26,input!$E:$E,May!B61,input!$A:$A,May!$B$2)</f>
        <v>0</v>
      </c>
      <c r="K61" s="319">
        <f>COUNTIFS(input!$O:$O,May!$K$26,input!$E:$E,May!B61,input!$A:$A,May!$B$2)</f>
        <v>0</v>
      </c>
      <c r="L61" s="312">
        <f t="shared" si="4"/>
        <v>0</v>
      </c>
      <c r="M61" s="313" cm="1">
        <f t="array" ref="M61">_xlfn.IFS(L61=0,0,L61&gt;=1,L61/$L$66)</f>
        <v>0</v>
      </c>
      <c r="N61" s="1065"/>
      <c r="O61" s="1065"/>
      <c r="P61" s="1066"/>
      <c r="Q61" s="316">
        <f>COUNTIFS(input!$O:$O,May!$Q$26,input!$F:$F,May!N61,input!$A:$A,May!$B$2)</f>
        <v>0</v>
      </c>
      <c r="R61" s="316">
        <f>COUNTIFS(input!$O:$O,May!$R$26,input!$F:$F,May!N61,input!$A:$A,May!$B$2)</f>
        <v>0</v>
      </c>
      <c r="S61" s="316">
        <f>COUNTIFS(input!$O:$O,May!$S$26,input!$F:$F,May!N61,input!$A:$A,May!$B$2)</f>
        <v>0</v>
      </c>
      <c r="T61" s="321">
        <f>COUNTIFS(input!$O:$O,May!$T$26,input!$F:$F,May!N61,input!$A:$A,May!$B$2)</f>
        <v>0</v>
      </c>
      <c r="U61" s="322">
        <f>COUNTIFS(input!$O:$O,May!$U$26,input!$F:$F,May!N61,input!$A:$A,May!$B$2)</f>
        <v>0</v>
      </c>
      <c r="V61" s="322">
        <f>COUNTIFS(input!$O:$O,May!$V$26,input!$F:$F,May!N61,input!$A:$A,May!$B$2)</f>
        <v>0</v>
      </c>
      <c r="W61" s="323">
        <f>COUNTIFS(input!$O:$O,May!$W$26,input!$F:$F,May!N61,input!$A:$A,May!$B$2)</f>
        <v>0</v>
      </c>
      <c r="X61" s="324">
        <f>COUNTIFS(input!$O:$O,May!$X$26,input!$F:$F,May!N61,input!$A:$A,May!$B$2)</f>
        <v>0</v>
      </c>
      <c r="Y61" s="312">
        <f t="shared" si="1"/>
        <v>0</v>
      </c>
      <c r="Z61" s="315" cm="1">
        <f t="array" ref="Z61">_xlfn.IFS(Y61=0,0,Y61&gt;=1,Y61/$Y$66)</f>
        <v>0</v>
      </c>
    </row>
    <row r="62" spans="2:26" ht="92" hidden="1" x14ac:dyDescent="0.25">
      <c r="B62" s="990" t="s">
        <v>460</v>
      </c>
      <c r="C62" s="991"/>
      <c r="D62" s="316">
        <f>COUNTIFS(input!$O:$O,May!$D$26,input!$E:$E,May!B62,input!$A:$A,May!$B$2)</f>
        <v>0</v>
      </c>
      <c r="E62" s="316">
        <f>COUNTIFS(input!$O:$O,May!$E$26,input!$E:$E,May!B62,input!$A:$A,May!$B$2)</f>
        <v>0</v>
      </c>
      <c r="F62" s="317">
        <f>COUNTIFS(input!$O:$O,May!$F$26,input!$E:$E,May!B62,input!$A:$A,May!$B$2)</f>
        <v>0</v>
      </c>
      <c r="G62" s="318">
        <f>COUNTIFS(input!$O:$O,May!$G$26,input!$E:$E,May!B62,input!$A:$A,May!$B$2)</f>
        <v>0</v>
      </c>
      <c r="H62" s="318">
        <f>COUNTIFS(input!$O:$O,May!$H$26,input!$E:$E,May!B62,input!$A:$A,May!$B$2)</f>
        <v>0</v>
      </c>
      <c r="I62" s="318">
        <f>COUNTIFS(input!$O:$O,May!$I$26,input!$E:$E,May!B62,input!$A:$A,May!$B$2)</f>
        <v>0</v>
      </c>
      <c r="J62" s="318">
        <f>COUNTIFS(input!$O:$O,May!$K$26,input!$E:$E,May!B62,input!$A:$A,May!$B$2)</f>
        <v>0</v>
      </c>
      <c r="K62" s="319">
        <f>COUNTIFS(input!$O:$O,May!$K$26,input!$E:$E,May!B62,input!$A:$A,May!$B$2)</f>
        <v>0</v>
      </c>
      <c r="L62" s="312">
        <f t="shared" si="4"/>
        <v>0</v>
      </c>
      <c r="M62" s="313" cm="1">
        <f t="array" ref="M62">_xlfn.IFS(L62=0,0,L62&gt;=1,L62/$L$66)</f>
        <v>0</v>
      </c>
      <c r="N62" s="1058"/>
      <c r="O62" s="1016"/>
      <c r="P62" s="991"/>
      <c r="Q62" s="316">
        <f>COUNTIFS(input!$O:$O,May!$Q$26,input!$F:$F,May!N62,input!$A:$A,May!$B$2)</f>
        <v>0</v>
      </c>
      <c r="R62" s="316">
        <f>COUNTIFS(input!$O:$O,May!$R$26,input!$F:$F,May!N62,input!$A:$A,May!$B$2)</f>
        <v>0</v>
      </c>
      <c r="S62" s="316">
        <f>COUNTIFS(input!$O:$O,May!$S$26,input!$F:$F,May!N62,input!$A:$A,May!$B$2)</f>
        <v>0</v>
      </c>
      <c r="T62" s="321">
        <f>COUNTIFS(input!$O:$O,May!$T$26,input!$F:$F,May!N62,input!$A:$A,May!$B$2)</f>
        <v>0</v>
      </c>
      <c r="U62" s="322">
        <f>COUNTIFS(input!$O:$O,May!$U$26,input!$F:$F,May!N62,input!$A:$A,May!$B$2)</f>
        <v>0</v>
      </c>
      <c r="V62" s="322">
        <f>COUNTIFS(input!$O:$O,May!$V$26,input!$F:$F,May!N62,input!$A:$A,May!$B$2)</f>
        <v>0</v>
      </c>
      <c r="W62" s="323">
        <f>COUNTIFS(input!$O:$O,May!$W$26,input!$F:$F,May!N62,input!$A:$A,May!$B$2)</f>
        <v>0</v>
      </c>
      <c r="X62" s="324">
        <f>COUNTIFS(input!$O:$O,May!$X$26,input!$F:$F,May!N62,input!$A:$A,May!$B$2)</f>
        <v>0</v>
      </c>
      <c r="Y62" s="312">
        <f t="shared" si="1"/>
        <v>0</v>
      </c>
      <c r="Z62" s="315" cm="1">
        <f t="array" ref="Z62">_xlfn.IFS(Y62=0,0,Y62&gt;=1,Y62/$Y$66)</f>
        <v>0</v>
      </c>
    </row>
    <row r="63" spans="2:26" ht="92" hidden="1" customHeight="1" x14ac:dyDescent="0.25">
      <c r="B63" s="990" t="s">
        <v>482</v>
      </c>
      <c r="C63" s="991"/>
      <c r="D63" s="316">
        <f>COUNTIFS(input!$O:$O,May!$D$26,input!$E:$E,May!B63,input!$A:$A,May!$B$2)</f>
        <v>0</v>
      </c>
      <c r="E63" s="316">
        <f>COUNTIFS(input!$O:$O,May!$E$26,input!$E:$E,May!B63,input!$A:$A,May!$B$2)</f>
        <v>0</v>
      </c>
      <c r="F63" s="317">
        <f>COUNTIFS(input!$O:$O,May!$F$26,input!$E:$E,May!B63,input!$A:$A,May!$B$2)</f>
        <v>0</v>
      </c>
      <c r="G63" s="318">
        <f>COUNTIFS(input!$O:$O,May!$G$26,input!$E:$E,May!B63,input!$A:$A,May!$B$2)</f>
        <v>0</v>
      </c>
      <c r="H63" s="318">
        <f>COUNTIFS(input!$O:$O,May!$H$26,input!$E:$E,May!B63,input!$A:$A,May!$B$2)</f>
        <v>0</v>
      </c>
      <c r="I63" s="318">
        <f>COUNTIFS(input!$O:$O,May!$I$26,input!$E:$E,May!B63,input!$A:$A,May!$B$2)</f>
        <v>0</v>
      </c>
      <c r="J63" s="318">
        <f>COUNTIFS(input!$O:$O,May!$K$26,input!$E:$E,May!B63,input!$A:$A,May!$B$2)</f>
        <v>0</v>
      </c>
      <c r="K63" s="319">
        <f>COUNTIFS(input!$O:$O,May!$K$26,input!$E:$E,May!B63,input!$A:$A,May!$B$2)</f>
        <v>0</v>
      </c>
      <c r="L63" s="312">
        <f t="shared" si="4"/>
        <v>0</v>
      </c>
      <c r="M63" s="313" cm="1">
        <f t="array" ref="M63">_xlfn.IFS(L63=0,0,L63&gt;=1,L63/$L$66)</f>
        <v>0</v>
      </c>
      <c r="N63" s="1065"/>
      <c r="O63" s="1065"/>
      <c r="P63" s="1066"/>
      <c r="Q63" s="316">
        <f>COUNTIFS(input!$O:$O,May!$Q$26,input!$F:$F,May!N63,input!$A:$A,May!$B$2)</f>
        <v>0</v>
      </c>
      <c r="R63" s="316">
        <f>COUNTIFS(input!$O:$O,May!$R$26,input!$F:$F,May!N63,input!$A:$A,May!$B$2)</f>
        <v>0</v>
      </c>
      <c r="S63" s="316">
        <f>COUNTIFS(input!$O:$O,May!$S$26,input!$F:$F,May!N63,input!$A:$A,May!$B$2)</f>
        <v>0</v>
      </c>
      <c r="T63" s="321">
        <f>COUNTIFS(input!$O:$O,May!$T$26,input!$F:$F,May!N63,input!$A:$A,May!$B$2)</f>
        <v>0</v>
      </c>
      <c r="U63" s="322">
        <f>COUNTIFS(input!$O:$O,May!$U$26,input!$F:$F,May!N63,input!$A:$A,May!$B$2)</f>
        <v>0</v>
      </c>
      <c r="V63" s="322">
        <f>COUNTIFS(input!$O:$O,May!$V$26,input!$F:$F,May!N63,input!$A:$A,May!$B$2)</f>
        <v>0</v>
      </c>
      <c r="W63" s="323">
        <f>COUNTIFS(input!$O:$O,May!$W$26,input!$F:$F,May!N63,input!$A:$A,May!$B$2)</f>
        <v>0</v>
      </c>
      <c r="X63" s="324">
        <f>COUNTIFS(input!$O:$O,May!$X$26,input!$F:$F,May!N63,input!$A:$A,May!$B$2)</f>
        <v>0</v>
      </c>
      <c r="Y63" s="312">
        <f t="shared" si="1"/>
        <v>0</v>
      </c>
      <c r="Z63" s="315" cm="1">
        <f t="array" ref="Z63">_xlfn.IFS(Y63=0,0,Y63&gt;=1,Y63/$Y$66)</f>
        <v>0</v>
      </c>
    </row>
    <row r="64" spans="2:26" ht="92" customHeight="1" x14ac:dyDescent="0.25">
      <c r="B64" s="990" t="s">
        <v>247</v>
      </c>
      <c r="C64" s="991"/>
      <c r="D64" s="316">
        <f>COUNTIFS(input!$O:$O,May!$D$26,input!$E:$E,May!B64,input!$A:$A,May!$B$2)</f>
        <v>0</v>
      </c>
      <c r="E64" s="316">
        <f>COUNTIFS(input!$O:$O,May!$E$26,input!$E:$E,May!B64,input!$A:$A,May!$B$2)</f>
        <v>0</v>
      </c>
      <c r="F64" s="317">
        <f>COUNTIFS(input!$O:$O,May!$F$26,input!$E:$E,May!B64,input!$A:$A,May!$B$2)</f>
        <v>0</v>
      </c>
      <c r="G64" s="318">
        <f>COUNTIFS(input!$O:$O,May!$G$26,input!$E:$E,May!B64,input!$A:$A,May!$B$2)</f>
        <v>1</v>
      </c>
      <c r="H64" s="318">
        <f>COUNTIFS(input!$O:$O,May!$H$26,input!$E:$E,May!B64,input!$A:$A,May!$B$2)</f>
        <v>0</v>
      </c>
      <c r="I64" s="318">
        <f>COUNTIFS(input!$O:$O,May!$I$26,input!$E:$E,May!B64,input!$A:$A,May!$B$2)</f>
        <v>0</v>
      </c>
      <c r="J64" s="318">
        <f>COUNTIFS(input!$O:$O,May!$K$26,input!$E:$E,May!B64,input!$A:$A,May!$B$2)</f>
        <v>0</v>
      </c>
      <c r="K64" s="319">
        <f>COUNTIFS(input!$O:$O,May!$K$26,input!$E:$E,May!B64,input!$A:$A,May!$B$2)</f>
        <v>0</v>
      </c>
      <c r="L64" s="312">
        <f>SUM(D64:K64)</f>
        <v>1</v>
      </c>
      <c r="M64" s="313" cm="1">
        <f t="array" ref="M64">_xlfn.IFS(L64=0,0,L64&gt;=1,L64/$L$66)</f>
        <v>6.25E-2</v>
      </c>
      <c r="N64" s="1065"/>
      <c r="O64" s="1065"/>
      <c r="P64" s="1066"/>
      <c r="Q64" s="316">
        <f>COUNTIFS(input!$O:$O,May!$Q$26,input!$F:$F,May!N64,input!$A:$A,May!$B$2)</f>
        <v>0</v>
      </c>
      <c r="R64" s="316">
        <f>COUNTIFS(input!$O:$O,May!$R$26,input!$F:$F,May!N64,input!$A:$A,May!$B$2)</f>
        <v>0</v>
      </c>
      <c r="S64" s="316">
        <f>COUNTIFS(input!$O:$O,May!$S$26,input!$F:$F,May!N64,input!$A:$A,May!$B$2)</f>
        <v>0</v>
      </c>
      <c r="T64" s="321">
        <f>COUNTIFS(input!$O:$O,May!$T$26,input!$F:$F,May!N64,input!$A:$A,May!$B$2)</f>
        <v>0</v>
      </c>
      <c r="U64" s="322">
        <f>COUNTIFS(input!$O:$O,May!$U$26,input!$F:$F,May!N64,input!$A:$A,May!$B$2)</f>
        <v>0</v>
      </c>
      <c r="V64" s="322">
        <f>COUNTIFS(input!$O:$O,May!$V$26,input!$F:$F,May!N64,input!$A:$A,May!$B$2)</f>
        <v>0</v>
      </c>
      <c r="W64" s="323">
        <f>COUNTIFS(input!$O:$O,May!$W$26,input!$F:$F,May!N64,input!$A:$A,May!$B$2)</f>
        <v>0</v>
      </c>
      <c r="X64" s="324">
        <f>COUNTIFS(input!$O:$O,May!$X$26,input!$F:$F,May!N64,input!$A:$A,May!$B$2)</f>
        <v>0</v>
      </c>
      <c r="Y64" s="312">
        <f>SUM(Q64:X64)</f>
        <v>0</v>
      </c>
      <c r="Z64" s="315" cm="1">
        <f t="array" ref="Z64">_xlfn.IFS(Y64=0,0,Y64&gt;=1,Y64/$Y$66)</f>
        <v>0</v>
      </c>
    </row>
    <row r="65" spans="2:26" ht="92" x14ac:dyDescent="0.25">
      <c r="B65" s="1059" t="s">
        <v>57</v>
      </c>
      <c r="C65" s="1018"/>
      <c r="D65" s="316">
        <f>COUNTIFS(input!$O:$O,May!$D$26,input!$E:$E,May!B65,input!$A:$A,May!$B$2)</f>
        <v>0</v>
      </c>
      <c r="E65" s="316">
        <f>COUNTIFS(input!$O:$O,May!$E$26,input!$E:$E,May!B65,input!$A:$A,May!$B$2)</f>
        <v>0</v>
      </c>
      <c r="F65" s="317">
        <f>COUNTIFS(input!$O:$O,May!$F$26,input!$E:$E,May!B65,input!$A:$A,May!$B$2)</f>
        <v>0</v>
      </c>
      <c r="G65" s="318">
        <f>COUNTIFS(input!$O:$O,May!$G$26,input!$E:$E,May!B65,input!$A:$A,May!$B$2)</f>
        <v>0</v>
      </c>
      <c r="H65" s="318">
        <f>COUNTIFS(input!$O:$O,May!$H$26,input!$E:$E,May!B65,input!$A:$A,May!$B$2)</f>
        <v>0</v>
      </c>
      <c r="I65" s="318">
        <f>COUNTIFS(input!$O:$O,May!$I$26,input!$E:$E,May!B65,input!$A:$A,May!$B$2)</f>
        <v>0</v>
      </c>
      <c r="J65" s="318">
        <f>COUNTIFS(input!$O:$O,May!$J$26,input!$E:$E,May!B65,input!$A:$A,May!$B$2)</f>
        <v>0</v>
      </c>
      <c r="K65" s="319">
        <f>COUNTIFS(input!$O:$O,May!$K$26,input!$E:$E,May!B65,input!$A:$A,May!$B$2)</f>
        <v>1</v>
      </c>
      <c r="L65" s="312">
        <f t="shared" si="4"/>
        <v>1</v>
      </c>
      <c r="M65" s="313" cm="1">
        <f t="array" ref="M65">_xlfn.IFS(L65=0,0,L65&gt;=1,L65/$L$66)</f>
        <v>6.25E-2</v>
      </c>
      <c r="N65" s="1065"/>
      <c r="O65" s="1065"/>
      <c r="P65" s="1066"/>
      <c r="Q65" s="316">
        <f>COUNTIFS(input!$O:$O,May!$Q$26,input!$F:$F,May!N65,input!$A:$A,May!$B$2)</f>
        <v>0</v>
      </c>
      <c r="R65" s="316">
        <f>COUNTIFS(input!$O:$O,May!$R$26,input!$F:$F,May!N65,input!$A:$A,May!$B$2)</f>
        <v>0</v>
      </c>
      <c r="S65" s="316">
        <f>COUNTIFS(input!$O:$O,May!$S$26,input!$F:$F,May!N65,input!$A:$A,May!$B$2)</f>
        <v>0</v>
      </c>
      <c r="T65" s="321">
        <f>COUNTIFS(input!$O:$O,May!$T$26,input!$F:$F,May!N65,input!$A:$A,May!$B$2)</f>
        <v>0</v>
      </c>
      <c r="U65" s="322">
        <f>COUNTIFS(input!$O:$O,May!$U$26,input!$F:$F,May!N65,input!$A:$A,May!$B$2)</f>
        <v>0</v>
      </c>
      <c r="V65" s="322">
        <f>COUNTIFS(input!$O:$O,May!$V$26,input!$F:$F,May!N65,input!$A:$A,May!$B$2)</f>
        <v>0</v>
      </c>
      <c r="W65" s="323">
        <f>COUNTIFS(input!$O:$O,May!$W$26,input!$F:$F,May!N65,input!$A:$A,May!$B$2)</f>
        <v>0</v>
      </c>
      <c r="X65" s="324">
        <f>COUNTIFS(input!$O:$O,May!$X$26,input!$F:$F,May!N65,input!$A:$A,May!$B$2)</f>
        <v>0</v>
      </c>
      <c r="Y65" s="312">
        <f t="shared" si="1"/>
        <v>0</v>
      </c>
      <c r="Z65" s="315" cm="1">
        <f t="array" ref="Z65">_xlfn.IFS(Y65=0,0,Y65&gt;=1,Y65/$Y$66)</f>
        <v>0</v>
      </c>
    </row>
    <row r="66" spans="2:26" ht="90.5" thickBot="1" x14ac:dyDescent="0.3">
      <c r="B66" s="1005" t="s">
        <v>4</v>
      </c>
      <c r="C66" s="984"/>
      <c r="D66" s="340">
        <f t="shared" ref="D66:K66" si="5">SUM(D27:D63)</f>
        <v>0</v>
      </c>
      <c r="E66" s="340">
        <f t="shared" si="5"/>
        <v>3</v>
      </c>
      <c r="F66" s="340">
        <f t="shared" si="5"/>
        <v>0</v>
      </c>
      <c r="G66" s="340">
        <f t="shared" si="5"/>
        <v>9</v>
      </c>
      <c r="H66" s="340">
        <f t="shared" si="5"/>
        <v>0</v>
      </c>
      <c r="I66" s="340">
        <f t="shared" si="5"/>
        <v>2</v>
      </c>
      <c r="J66" s="340">
        <f t="shared" si="5"/>
        <v>0</v>
      </c>
      <c r="K66" s="340">
        <f t="shared" si="5"/>
        <v>0</v>
      </c>
      <c r="L66" s="401">
        <f>SUM(L27:L65)</f>
        <v>16</v>
      </c>
      <c r="M66" s="402">
        <f>SUM(M27:M65)</f>
        <v>1</v>
      </c>
      <c r="N66" s="983" t="s">
        <v>4</v>
      </c>
      <c r="O66" s="983"/>
      <c r="P66" s="984"/>
      <c r="Q66" s="340">
        <f t="shared" ref="Q66:X66" si="6">SUM(Q27:Q63)</f>
        <v>0</v>
      </c>
      <c r="R66" s="340">
        <f t="shared" si="6"/>
        <v>3</v>
      </c>
      <c r="S66" s="340">
        <f t="shared" si="6"/>
        <v>0</v>
      </c>
      <c r="T66" s="340">
        <f t="shared" si="6"/>
        <v>10</v>
      </c>
      <c r="U66" s="340">
        <f t="shared" si="6"/>
        <v>0</v>
      </c>
      <c r="V66" s="340">
        <f t="shared" si="6"/>
        <v>2</v>
      </c>
      <c r="W66" s="340">
        <f t="shared" si="6"/>
        <v>0</v>
      </c>
      <c r="X66" s="340">
        <f t="shared" si="6"/>
        <v>1</v>
      </c>
      <c r="Y66" s="340">
        <f>SUM(Y27:Y65)</f>
        <v>16</v>
      </c>
      <c r="Z66" s="403">
        <f>SUM(Z27:Z63)</f>
        <v>1</v>
      </c>
    </row>
    <row r="67" spans="2:26" ht="270" x14ac:dyDescent="0.25">
      <c r="B67" s="1149" t="s">
        <v>34</v>
      </c>
      <c r="C67" s="1150"/>
      <c r="D67" s="398" t="s">
        <v>6</v>
      </c>
      <c r="E67" s="398" t="s">
        <v>2</v>
      </c>
      <c r="F67" s="398" t="s">
        <v>3</v>
      </c>
      <c r="G67" s="398" t="s">
        <v>1</v>
      </c>
      <c r="H67" s="398" t="s">
        <v>0</v>
      </c>
      <c r="I67" s="398" t="s">
        <v>53</v>
      </c>
      <c r="J67" s="398" t="s">
        <v>12</v>
      </c>
      <c r="K67" s="398" t="s">
        <v>693</v>
      </c>
      <c r="L67" s="398" t="s">
        <v>5</v>
      </c>
      <c r="M67" s="399" t="s">
        <v>40</v>
      </c>
      <c r="N67" s="1151" t="s">
        <v>59</v>
      </c>
      <c r="O67" s="1151"/>
      <c r="P67" s="1152"/>
      <c r="Q67" s="398" t="s">
        <v>6</v>
      </c>
      <c r="R67" s="398" t="s">
        <v>2</v>
      </c>
      <c r="S67" s="398" t="s">
        <v>3</v>
      </c>
      <c r="T67" s="398" t="s">
        <v>1</v>
      </c>
      <c r="U67" s="398" t="s">
        <v>0</v>
      </c>
      <c r="V67" s="398" t="s">
        <v>53</v>
      </c>
      <c r="W67" s="398" t="s">
        <v>12</v>
      </c>
      <c r="X67" s="398" t="s">
        <v>693</v>
      </c>
      <c r="Y67" s="398" t="s">
        <v>5</v>
      </c>
      <c r="Z67" s="400" t="s">
        <v>40</v>
      </c>
    </row>
    <row r="68" spans="2:26" ht="92" hidden="1" x14ac:dyDescent="0.25">
      <c r="B68" s="1111" t="s">
        <v>13</v>
      </c>
      <c r="C68" s="1112"/>
      <c r="D68" s="1037">
        <f>COUNTIFS(input!$O:$O,May!$D$67,input!$K:$K,May!B68,input!$A:$A,May!$B$2)</f>
        <v>0</v>
      </c>
      <c r="E68" s="1037">
        <f>COUNTIFS(input!$O:$O,May!$E$67,input!$K:$K,May!B68,input!$A:$A,May!$B$2)</f>
        <v>0</v>
      </c>
      <c r="F68" s="1037">
        <f>COUNTIFS(input!$O:$O,May!$F$67,input!$K:$K,May!B68,input!$A:$A,May!$B$2)</f>
        <v>0</v>
      </c>
      <c r="G68" s="1043">
        <f>COUNTIFS(input!$O:$O,May!$G$67,input!$K:$K,May!B68,input!$A:$A,May!$B$2)</f>
        <v>1</v>
      </c>
      <c r="H68" s="1043">
        <f>COUNTIFS(input!$O:$O,May!$H$67,input!$K:$K,May!B68,input!$A:$A,May!$B$2)</f>
        <v>0</v>
      </c>
      <c r="I68" s="1055">
        <f>COUNTIFS(input!$O:$O,May!$I$67,input!$K:$K,May!B68,input!$A:$A,May!$B$2)</f>
        <v>0</v>
      </c>
      <c r="J68" s="1043">
        <f>COUNTIFS(input!$O:$O,May!$J$67,input!$K:$K,May!B68,input!$A:$A,May!$B$2)</f>
        <v>0</v>
      </c>
      <c r="K68" s="1043">
        <f>COUNTIFS(input!$O:$O,May!$K$67,input!$K:$K,May!B68,input!$A:$A,May!$B$2)</f>
        <v>0</v>
      </c>
      <c r="L68" s="1022">
        <f>SUM(D68:K74)</f>
        <v>1</v>
      </c>
      <c r="M68" s="1025" cm="1">
        <f t="array" ref="M68">_xlfn.IFS(L68=0,0,L68&gt;=1,L68/L113)</f>
        <v>6.25E-2</v>
      </c>
      <c r="N68" s="1124" t="s">
        <v>715</v>
      </c>
      <c r="O68" s="1124"/>
      <c r="P68" s="1125"/>
      <c r="Q68" s="310">
        <f>COUNTIFS(input!$O:$O,May!$Q$67,input!$G:$G,May!N68,input!$A:$A,May!$B$2)</f>
        <v>0</v>
      </c>
      <c r="R68" s="310">
        <f>COUNTIFS(input!$O:$O,May!$R$67,input!$G:$G,May!N68,input!$A:$A,May!$B$2)</f>
        <v>0</v>
      </c>
      <c r="S68" s="310">
        <f>COUNTIFS(input!$O:$O,May!$S$67,input!$G:$G,May!N68,input!$A:$A,May!$B$2)</f>
        <v>0</v>
      </c>
      <c r="T68" s="314">
        <f>COUNTIFS(input!$O:$O,May!$T$67,input!$G:$G,May!N68,input!$A:$A,May!$B$2)</f>
        <v>0</v>
      </c>
      <c r="U68" s="314">
        <f>COUNTIFS(input!$O:$O,May!$U$67,input!$G:$G,May!N68,input!$A:$A,May!$B$2)</f>
        <v>0</v>
      </c>
      <c r="V68" s="314">
        <f>COUNTIFS(input!$O:$O,May!$V$67,input!$G:$G,May!N68,input!$A:$A,May!$B$2)</f>
        <v>0</v>
      </c>
      <c r="W68" s="314">
        <f>COUNTIFS(input!$O:$O,May!$W$67,input!$G:$G,May!N68,input!$A:$A,May!$B$2)</f>
        <v>0</v>
      </c>
      <c r="X68" s="314">
        <f>COUNTIFS(input!$O:$O,May!$X$67,input!$G:$G,May!N68,input!$A:$A,May!$B$2)</f>
        <v>0</v>
      </c>
      <c r="Y68" s="312">
        <f>SUM(Q68:X68)</f>
        <v>0</v>
      </c>
      <c r="Z68" s="315" cm="1">
        <f t="array" ref="Z68">_xlfn.IFS(Y68=0,0,Y68&gt;=1,Y68/$Y$113)</f>
        <v>0</v>
      </c>
    </row>
    <row r="69" spans="2:26" ht="92" hidden="1" x14ac:dyDescent="0.25">
      <c r="B69" s="1030"/>
      <c r="C69" s="1047"/>
      <c r="D69" s="1038"/>
      <c r="E69" s="1038"/>
      <c r="F69" s="1038"/>
      <c r="G69" s="1044"/>
      <c r="H69" s="1044"/>
      <c r="I69" s="1056"/>
      <c r="J69" s="1044"/>
      <c r="K69" s="1044"/>
      <c r="L69" s="1023"/>
      <c r="M69" s="1026"/>
      <c r="N69" s="1065" t="s">
        <v>856</v>
      </c>
      <c r="O69" s="1065"/>
      <c r="P69" s="1066"/>
      <c r="Q69" s="316">
        <f>COUNTIFS(input!$O:$O,May!$Q$67,input!$G:$G,May!N69,input!$A:$A,May!$B$2)</f>
        <v>0</v>
      </c>
      <c r="R69" s="316">
        <f>COUNTIFS(input!$O:$O,May!$R$67,input!$G:$G,May!N69,input!$A:$A,May!$B$2)</f>
        <v>0</v>
      </c>
      <c r="S69" s="316">
        <f>COUNTIFS(input!$O:$O,May!$S$67,input!$G:$G,May!N69,input!$A:$A,May!$B$2)</f>
        <v>0</v>
      </c>
      <c r="T69" s="321">
        <f>COUNTIFS(input!$O:$O,May!$T$67,input!$G:$G,May!N69,input!$A:$A,May!$B$2)</f>
        <v>0</v>
      </c>
      <c r="U69" s="322">
        <f>COUNTIFS(input!$O:$O,May!$U$67,input!$G:$G,May!N69,input!$A:$A,May!$B$2)</f>
        <v>0</v>
      </c>
      <c r="V69" s="322">
        <f>COUNTIFS(input!$O:$O,May!$V$67,input!$G:$G,May!N69,input!$A:$A,May!$B$2)</f>
        <v>0</v>
      </c>
      <c r="W69" s="323">
        <f>COUNTIFS(input!$O:$O,May!$W$67,input!$G:$G,May!N69,input!$A:$A,May!$B$2)</f>
        <v>0</v>
      </c>
      <c r="X69" s="324">
        <f>COUNTIFS(input!$O:$O,May!$X$67,input!$G:$G,May!N69,input!$A:$A,May!$B$2)</f>
        <v>0</v>
      </c>
      <c r="Y69" s="312">
        <f>SUM(Q69:X69)</f>
        <v>0</v>
      </c>
      <c r="Z69" s="315" cm="1">
        <f t="array" ref="Z69">_xlfn.IFS(Y69=0,0,Y69&gt;=1,Y69/$Y$113)</f>
        <v>0</v>
      </c>
    </row>
    <row r="70" spans="2:26" ht="92" hidden="1" x14ac:dyDescent="0.25">
      <c r="B70" s="1030"/>
      <c r="C70" s="1047"/>
      <c r="D70" s="1038"/>
      <c r="E70" s="1038"/>
      <c r="F70" s="1038"/>
      <c r="G70" s="1044"/>
      <c r="H70" s="1044"/>
      <c r="I70" s="1056"/>
      <c r="J70" s="1044"/>
      <c r="K70" s="1044"/>
      <c r="L70" s="1023"/>
      <c r="M70" s="1026"/>
      <c r="N70" s="996" t="s">
        <v>816</v>
      </c>
      <c r="O70" s="996"/>
      <c r="P70" s="997"/>
      <c r="Q70" s="316">
        <f>COUNTIFS(input!$O:$O,May!$Q$67,input!$G:$G,May!N70,input!$A:$A,May!$B$2)</f>
        <v>0</v>
      </c>
      <c r="R70" s="316">
        <f>COUNTIFS(input!$O:$O,May!$R$67,input!$G:$G,May!N70,input!$A:$A,May!$B$2)</f>
        <v>0</v>
      </c>
      <c r="S70" s="316">
        <f>COUNTIFS(input!$O:$O,May!$S$67,input!$G:$G,May!N70,input!$A:$A,May!$B$2)</f>
        <v>0</v>
      </c>
      <c r="T70" s="321">
        <f>COUNTIFS(input!$O:$O,May!$T$67,input!$G:$G,May!N70,input!$A:$A,May!$B$2)</f>
        <v>0</v>
      </c>
      <c r="U70" s="322">
        <f>COUNTIFS(input!$O:$O,May!$U$67,input!$G:$G,May!N70,input!$A:$A,May!$B$2)</f>
        <v>0</v>
      </c>
      <c r="V70" s="322">
        <f>COUNTIFS(input!$O:$O,May!$V$67,input!$G:$G,May!N70,input!$A:$A,May!$B$2)</f>
        <v>0</v>
      </c>
      <c r="W70" s="323">
        <f>COUNTIFS(input!$O:$O,May!$W$67,input!$G:$G,May!N70,input!$A:$A,May!$B$2)</f>
        <v>0</v>
      </c>
      <c r="X70" s="324">
        <f>COUNTIFS(input!$O:$O,May!$X$67,input!$G:$G,May!N70,input!$A:$A,May!$B$2)</f>
        <v>0</v>
      </c>
      <c r="Y70" s="312">
        <f t="shared" ref="Y70:Y112" si="7">SUM(Q70:X70)</f>
        <v>0</v>
      </c>
      <c r="Z70" s="315" cm="1">
        <f t="array" ref="Z70">_xlfn.IFS(Y70=0,0,Y70&gt;=1,Y70/$Y$113)</f>
        <v>0</v>
      </c>
    </row>
    <row r="71" spans="2:26" ht="92" hidden="1" x14ac:dyDescent="0.25">
      <c r="B71" s="1030"/>
      <c r="C71" s="1047"/>
      <c r="D71" s="1038"/>
      <c r="E71" s="1038"/>
      <c r="F71" s="1038"/>
      <c r="G71" s="1044"/>
      <c r="H71" s="1044"/>
      <c r="I71" s="1056"/>
      <c r="J71" s="1044"/>
      <c r="K71" s="1044"/>
      <c r="L71" s="1023"/>
      <c r="M71" s="1026"/>
      <c r="N71" s="1065" t="s">
        <v>449</v>
      </c>
      <c r="O71" s="1065"/>
      <c r="P71" s="1066"/>
      <c r="Q71" s="316">
        <f>COUNTIFS(input!$O:$O,May!$Q$67,input!$G:$G,May!N71,input!$A:$A,May!$B$2)</f>
        <v>0</v>
      </c>
      <c r="R71" s="316">
        <f>COUNTIFS(input!$O:$O,May!$R$67,input!$G:$G,May!N71,input!$A:$A,May!$B$2)</f>
        <v>0</v>
      </c>
      <c r="S71" s="316">
        <f>COUNTIFS(input!$O:$O,May!$S$67,input!$G:$G,May!N71,input!$A:$A,May!$B$2)</f>
        <v>0</v>
      </c>
      <c r="T71" s="321">
        <f>COUNTIFS(input!$O:$O,May!$T$67,input!$G:$G,May!N71,input!$A:$A,May!$B$2)</f>
        <v>0</v>
      </c>
      <c r="U71" s="322">
        <f>COUNTIFS(input!$O:$O,May!$U$67,input!$G:$G,May!N71,input!$A:$A,May!$B$2)</f>
        <v>0</v>
      </c>
      <c r="V71" s="322">
        <f>COUNTIFS(input!$O:$O,May!$V$67,input!$G:$G,May!N71,input!$A:$A,May!$B$2)</f>
        <v>0</v>
      </c>
      <c r="W71" s="323">
        <f>COUNTIFS(input!$O:$O,May!$W$67,input!$G:$G,May!N71,input!$A:$A,May!$B$2)</f>
        <v>0</v>
      </c>
      <c r="X71" s="324">
        <f>COUNTIFS(input!$O:$O,May!$X$67,input!$G:$G,May!N71,input!$A:$A,May!$B$2)</f>
        <v>0</v>
      </c>
      <c r="Y71" s="312">
        <f t="shared" si="7"/>
        <v>0</v>
      </c>
      <c r="Z71" s="315" cm="1">
        <f t="array" ref="Z71">_xlfn.IFS(Y71=0,0,Y71&gt;=1,Y71/$Y$113)</f>
        <v>0</v>
      </c>
    </row>
    <row r="72" spans="2:26" ht="92" hidden="1" x14ac:dyDescent="0.25">
      <c r="B72" s="1030"/>
      <c r="C72" s="1047"/>
      <c r="D72" s="1038"/>
      <c r="E72" s="1038"/>
      <c r="F72" s="1038"/>
      <c r="G72" s="1044"/>
      <c r="H72" s="1044"/>
      <c r="I72" s="1056"/>
      <c r="J72" s="1044"/>
      <c r="K72" s="1044"/>
      <c r="L72" s="1023"/>
      <c r="M72" s="1026"/>
      <c r="N72" s="1065" t="s">
        <v>915</v>
      </c>
      <c r="O72" s="1065"/>
      <c r="P72" s="1066"/>
      <c r="Q72" s="316">
        <f>COUNTIFS(input!$O:$O,May!$Q$67,input!$G:$G,May!N72,input!$A:$A,May!$B$2)</f>
        <v>0</v>
      </c>
      <c r="R72" s="316">
        <f>COUNTIFS(input!$O:$O,May!$R$67,input!$G:$G,May!N72,input!$A:$A,May!$B$2)</f>
        <v>0</v>
      </c>
      <c r="S72" s="316">
        <f>COUNTIFS(input!$O:$O,May!$S$67,input!$G:$G,May!N72,input!$A:$A,May!$B$2)</f>
        <v>0</v>
      </c>
      <c r="T72" s="321">
        <f>COUNTIFS(input!$O:$O,May!$T$67,input!$G:$G,May!N72,input!$A:$A,May!$B$2)</f>
        <v>0</v>
      </c>
      <c r="U72" s="322">
        <f>COUNTIFS(input!$O:$O,May!$U$67,input!$G:$G,May!N72,input!$A:$A,May!$B$2)</f>
        <v>0</v>
      </c>
      <c r="V72" s="322">
        <f>COUNTIFS(input!$O:$O,May!$V$67,input!$G:$G,May!N72,input!$A:$A,May!$B$2)</f>
        <v>0</v>
      </c>
      <c r="W72" s="323">
        <f>COUNTIFS(input!$O:$O,May!$W$67,input!$G:$G,May!N72,input!$A:$A,May!$B$2)</f>
        <v>0</v>
      </c>
      <c r="X72" s="324">
        <f>COUNTIFS(input!$O:$O,May!$X$67,input!$G:$G,May!N72,input!$A:$A,May!$B$2)</f>
        <v>0</v>
      </c>
      <c r="Y72" s="312">
        <f t="shared" si="7"/>
        <v>0</v>
      </c>
      <c r="Z72" s="315" cm="1">
        <f t="array" ref="Z72">_xlfn.IFS(Y72=0,0,Y72&gt;=1,Y72/$Y$113)</f>
        <v>0</v>
      </c>
    </row>
    <row r="73" spans="2:26" ht="92" hidden="1" x14ac:dyDescent="0.25">
      <c r="B73" s="1030"/>
      <c r="C73" s="1047"/>
      <c r="D73" s="1038"/>
      <c r="E73" s="1038"/>
      <c r="F73" s="1038"/>
      <c r="G73" s="1044"/>
      <c r="H73" s="1044"/>
      <c r="I73" s="1056"/>
      <c r="J73" s="1044"/>
      <c r="K73" s="1044"/>
      <c r="L73" s="1023"/>
      <c r="M73" s="1026"/>
      <c r="N73" s="1065" t="s">
        <v>898</v>
      </c>
      <c r="O73" s="1065"/>
      <c r="P73" s="1066"/>
      <c r="Q73" s="316">
        <f>COUNTIFS(input!$O:$O,May!$Q$67,input!$G:$G,May!N73,input!$A:$A,May!$B$2)</f>
        <v>0</v>
      </c>
      <c r="R73" s="316">
        <f>COUNTIFS(input!$O:$O,May!$R$67,input!$G:$G,May!N73,input!$A:$A,May!$B$2)</f>
        <v>0</v>
      </c>
      <c r="S73" s="316">
        <f>COUNTIFS(input!$O:$O,May!$S$67,input!$G:$G,May!N73,input!$A:$A,May!$B$2)</f>
        <v>0</v>
      </c>
      <c r="T73" s="321">
        <f>COUNTIFS(input!$O:$O,May!$T$67,input!$G:$G,May!N73,input!$A:$A,May!$B$2)</f>
        <v>0</v>
      </c>
      <c r="U73" s="322">
        <f>COUNTIFS(input!$O:$O,May!$U$67,input!$G:$G,May!N73,input!$A:$A,May!$B$2)</f>
        <v>0</v>
      </c>
      <c r="V73" s="322">
        <f>COUNTIFS(input!$O:$O,May!$V$67,input!$G:$G,May!N73,input!$A:$A,May!$B$2)</f>
        <v>0</v>
      </c>
      <c r="W73" s="323">
        <f>COUNTIFS(input!$O:$O,May!$W$67,input!$G:$G,May!N73,input!$A:$A,May!$B$2)</f>
        <v>0</v>
      </c>
      <c r="X73" s="324">
        <f>COUNTIFS(input!$O:$O,May!$X$67,input!$G:$G,May!N73,input!$A:$A,May!$B$2)</f>
        <v>0</v>
      </c>
      <c r="Y73" s="312">
        <f t="shared" si="7"/>
        <v>0</v>
      </c>
      <c r="Z73" s="315" cm="1">
        <f t="array" ref="Z73">_xlfn.IFS(Y73=0,0,Y73&gt;=1,Y73/$Y$113)</f>
        <v>0</v>
      </c>
    </row>
    <row r="74" spans="2:26" ht="92" x14ac:dyDescent="0.25">
      <c r="B74" s="1030"/>
      <c r="C74" s="1047"/>
      <c r="D74" s="1038"/>
      <c r="E74" s="1038"/>
      <c r="F74" s="1038"/>
      <c r="G74" s="1044"/>
      <c r="H74" s="1044"/>
      <c r="I74" s="1056"/>
      <c r="J74" s="1044"/>
      <c r="K74" s="1044"/>
      <c r="L74" s="1023"/>
      <c r="M74" s="1026"/>
      <c r="N74" s="1153" t="s">
        <v>1782</v>
      </c>
      <c r="O74" s="1153"/>
      <c r="P74" s="1154"/>
      <c r="Q74" s="316">
        <f>COUNTIFS(input!$O:$O,May!$Q$67,input!$G:$G,May!N74,input!$A:$A,May!$B$2)</f>
        <v>0</v>
      </c>
      <c r="R74" s="316">
        <f>COUNTIFS(input!$O:$O,May!$R$67,input!$G:$G,May!N74,input!$A:$A,May!$B$2)</f>
        <v>0</v>
      </c>
      <c r="S74" s="316">
        <f>COUNTIFS(input!$O:$O,May!$S$67,input!$G:$G,May!N74,input!$A:$A,May!$B$2)</f>
        <v>0</v>
      </c>
      <c r="T74" s="321">
        <f>COUNTIFS(input!$O:$O,May!$T$67,input!$G:$G,May!N74,input!$A:$A,May!$B$2)</f>
        <v>2</v>
      </c>
      <c r="U74" s="322">
        <f>COUNTIFS(input!$O:$O,May!$U$67,input!$G:$G,May!N74,input!$A:$A,May!$B$2)</f>
        <v>0</v>
      </c>
      <c r="V74" s="322">
        <f>COUNTIFS(input!$O:$O,May!$V$67,input!$G:$G,May!N74,input!$A:$A,May!$B$2)</f>
        <v>0</v>
      </c>
      <c r="W74" s="323">
        <f>COUNTIFS(input!$O:$O,May!$W$67,input!$G:$G,May!N74,input!$A:$A,May!$B$2)</f>
        <v>0</v>
      </c>
      <c r="X74" s="324">
        <f>COUNTIFS(input!$O:$O,May!$X$67,input!$G:$G,May!N74,input!$A:$A,May!$B$2)</f>
        <v>0</v>
      </c>
      <c r="Y74" s="312">
        <f t="shared" si="7"/>
        <v>2</v>
      </c>
      <c r="Z74" s="315" cm="1">
        <f t="array" ref="Z74">_xlfn.IFS(Y74=0,0,Y74&gt;=1,Y74/$Y$113)</f>
        <v>0.125</v>
      </c>
    </row>
    <row r="75" spans="2:26" ht="92" customHeight="1" x14ac:dyDescent="0.25">
      <c r="B75" s="1030"/>
      <c r="C75" s="1047"/>
      <c r="D75" s="1038"/>
      <c r="E75" s="1038"/>
      <c r="F75" s="1038"/>
      <c r="G75" s="1044"/>
      <c r="H75" s="1044"/>
      <c r="I75" s="1056"/>
      <c r="J75" s="1044"/>
      <c r="K75" s="1044"/>
      <c r="L75" s="1023"/>
      <c r="M75" s="1026"/>
      <c r="N75" s="1153" t="s">
        <v>659</v>
      </c>
      <c r="O75" s="1153"/>
      <c r="P75" s="1154"/>
      <c r="Q75" s="316">
        <f>COUNTIFS(input!$O:$O,May!$Q$67,input!$G:$G,May!N75,input!$A:$A,May!$B$2)</f>
        <v>0</v>
      </c>
      <c r="R75" s="316">
        <f>COUNTIFS(input!$O:$O,May!$R$67,input!$G:$G,May!N75,input!$A:$A,May!$B$2)</f>
        <v>1</v>
      </c>
      <c r="S75" s="316">
        <f>COUNTIFS(input!$O:$O,May!$S$67,input!$G:$G,May!N75,input!$A:$A,May!$B$2)</f>
        <v>0</v>
      </c>
      <c r="T75" s="321">
        <f>COUNTIFS(input!$O:$O,May!$T$67,input!$G:$G,May!N75,input!$A:$A,May!$B$2)</f>
        <v>0</v>
      </c>
      <c r="U75" s="322">
        <f>COUNTIFS(input!$O:$O,May!$U$67,input!$G:$G,May!N75,input!$A:$A,May!$B$2)</f>
        <v>0</v>
      </c>
      <c r="V75" s="322">
        <f>COUNTIFS(input!$O:$O,May!$V$67,input!$G:$G,May!N75,input!$A:$A,May!$B$2)</f>
        <v>0</v>
      </c>
      <c r="W75" s="323">
        <f>COUNTIFS(input!$O:$O,May!$W$67,input!$G:$G,May!N75,input!$A:$A,May!$B$2)</f>
        <v>0</v>
      </c>
      <c r="X75" s="324">
        <f>COUNTIFS(input!$O:$O,May!$X$67,input!$G:$G,May!N75,input!$A:$A,May!$B$2)</f>
        <v>0</v>
      </c>
      <c r="Y75" s="312">
        <f t="shared" si="7"/>
        <v>1</v>
      </c>
      <c r="Z75" s="315" cm="1">
        <f t="array" ref="Z75">_xlfn.IFS(Y75=0,0,Y75&gt;=1,Y75/$Y$113)</f>
        <v>6.25E-2</v>
      </c>
    </row>
    <row r="76" spans="2:26" ht="92" hidden="1" customHeight="1" x14ac:dyDescent="0.25">
      <c r="B76" s="1030"/>
      <c r="C76" s="1047"/>
      <c r="D76" s="1038"/>
      <c r="E76" s="1038"/>
      <c r="F76" s="1038"/>
      <c r="G76" s="1044"/>
      <c r="H76" s="1044"/>
      <c r="I76" s="1056"/>
      <c r="J76" s="1044"/>
      <c r="K76" s="1044"/>
      <c r="L76" s="1023"/>
      <c r="M76" s="1026"/>
      <c r="N76" s="1121" t="s">
        <v>52</v>
      </c>
      <c r="O76" s="1065"/>
      <c r="P76" s="1066"/>
      <c r="Q76" s="316">
        <f>COUNTIFS(input!$O:$O,May!$Q$67,input!$G:$G,May!N76,input!$A:$A,May!$B$2)</f>
        <v>0</v>
      </c>
      <c r="R76" s="316">
        <f>COUNTIFS(input!$O:$O,May!$R$67,input!$G:$G,May!N76,input!$A:$A,May!$B$2)</f>
        <v>0</v>
      </c>
      <c r="S76" s="316">
        <f>COUNTIFS(input!$O:$O,May!$S$67,input!$G:$G,May!N76,input!$A:$A,May!$B$2)</f>
        <v>0</v>
      </c>
      <c r="T76" s="321">
        <f>COUNTIFS(input!$O:$O,May!$T$67,input!$G:$G,May!N76,input!$A:$A,May!$B$2)</f>
        <v>0</v>
      </c>
      <c r="U76" s="322">
        <f>COUNTIFS(input!$O:$O,May!$U$67,input!$G:$G,May!N76,input!$A:$A,May!$B$2)</f>
        <v>0</v>
      </c>
      <c r="V76" s="322">
        <f>COUNTIFS(input!$O:$O,May!$V$67,input!$G:$G,May!N76,input!$A:$A,May!$B$2)</f>
        <v>0</v>
      </c>
      <c r="W76" s="323">
        <f>COUNTIFS(input!$O:$O,May!$W$67,input!$G:$G,May!N76,input!$A:$A,May!$B$2)</f>
        <v>0</v>
      </c>
      <c r="X76" s="324">
        <f>COUNTIFS(input!$O:$O,May!$X$67,input!$G:$G,May!N76,input!$A:$A,May!$B$2)</f>
        <v>0</v>
      </c>
      <c r="Y76" s="312">
        <f t="shared" si="7"/>
        <v>0</v>
      </c>
      <c r="Z76" s="315" cm="1">
        <f t="array" ref="Z76">_xlfn.IFS(Y76=0,0,Y76&gt;=1,Y76/$Y$113)</f>
        <v>0</v>
      </c>
    </row>
    <row r="77" spans="2:26" ht="92" hidden="1" customHeight="1" x14ac:dyDescent="0.25">
      <c r="B77" s="1030"/>
      <c r="C77" s="1047"/>
      <c r="D77" s="1038"/>
      <c r="E77" s="1038"/>
      <c r="F77" s="1038"/>
      <c r="G77" s="1044"/>
      <c r="H77" s="1044"/>
      <c r="I77" s="1056"/>
      <c r="J77" s="1044"/>
      <c r="K77" s="1044"/>
      <c r="L77" s="1023"/>
      <c r="M77" s="1026"/>
      <c r="N77" s="1065" t="s">
        <v>103</v>
      </c>
      <c r="O77" s="1065"/>
      <c r="P77" s="1066"/>
      <c r="Q77" s="316">
        <f>COUNTIFS(input!$O:$O,May!$Q$67,input!$G:$G,May!N77,input!$A:$A,May!$B$2)</f>
        <v>0</v>
      </c>
      <c r="R77" s="316">
        <f>COUNTIFS(input!$O:$O,May!$R$67,input!$G:$G,May!N77,input!$A:$A,May!$B$2)</f>
        <v>0</v>
      </c>
      <c r="S77" s="316">
        <f>COUNTIFS(input!$O:$O,May!$S$67,input!$G:$G,May!N77,input!$A:$A,May!$B$2)</f>
        <v>0</v>
      </c>
      <c r="T77" s="321">
        <f>COUNTIFS(input!$O:$O,May!$T$67,input!$G:$G,May!N77,input!$A:$A,May!$B$2)</f>
        <v>0</v>
      </c>
      <c r="U77" s="322">
        <f>COUNTIFS(input!$O:$O,May!$U$67,input!$G:$G,May!N77,input!$A:$A,May!$B$2)</f>
        <v>0</v>
      </c>
      <c r="V77" s="322">
        <f>COUNTIFS(input!$O:$O,May!$V$67,input!$G:$G,May!N77,input!$A:$A,May!$B$2)</f>
        <v>0</v>
      </c>
      <c r="W77" s="323">
        <f>COUNTIFS(input!$O:$O,May!$W$67,input!$G:$G,May!N77,input!$A:$A,May!$B$2)</f>
        <v>0</v>
      </c>
      <c r="X77" s="324">
        <f>COUNTIFS(input!$O:$O,May!$X$67,input!$G:$G,May!N77,input!$A:$A,May!$B$2)</f>
        <v>0</v>
      </c>
      <c r="Y77" s="312">
        <f t="shared" si="7"/>
        <v>0</v>
      </c>
      <c r="Z77" s="315" cm="1">
        <f t="array" ref="Z77">_xlfn.IFS(Y77=0,0,Y77&gt;=1,Y77/$Y$113)</f>
        <v>0</v>
      </c>
    </row>
    <row r="78" spans="2:26" ht="92" hidden="1" customHeight="1" x14ac:dyDescent="0.25">
      <c r="B78" s="1109"/>
      <c r="C78" s="1113"/>
      <c r="D78" s="1114"/>
      <c r="E78" s="1114"/>
      <c r="F78" s="1114"/>
      <c r="G78" s="1054"/>
      <c r="H78" s="1054"/>
      <c r="I78" s="1057"/>
      <c r="J78" s="1054"/>
      <c r="K78" s="1054"/>
      <c r="L78" s="1024"/>
      <c r="M78" s="1027"/>
      <c r="N78" s="1065" t="s">
        <v>483</v>
      </c>
      <c r="O78" s="1065"/>
      <c r="P78" s="1066"/>
      <c r="Q78" s="316">
        <f>COUNTIFS(input!$O:$O,May!$Q$67,input!$G:$G,May!N78,input!$A:$A,May!$B$2)</f>
        <v>0</v>
      </c>
      <c r="R78" s="316">
        <f>COUNTIFS(input!$O:$O,May!$R$67,input!$G:$G,May!N78,input!$A:$A,May!$B$2)</f>
        <v>0</v>
      </c>
      <c r="S78" s="316">
        <f>COUNTIFS(input!$O:$O,May!$S$67,input!$G:$G,May!N78,input!$A:$A,May!$B$2)</f>
        <v>0</v>
      </c>
      <c r="T78" s="321">
        <f>COUNTIFS(input!$O:$O,May!$T$67,input!$G:$G,May!N78,input!$A:$A,May!$B$2)</f>
        <v>0</v>
      </c>
      <c r="U78" s="322">
        <f>COUNTIFS(input!$O:$O,May!$U$67,input!$G:$G,May!N78,input!$A:$A,May!$B$2)</f>
        <v>0</v>
      </c>
      <c r="V78" s="322">
        <f>COUNTIFS(input!$O:$O,May!$V$67,input!$G:$G,May!N78,input!$A:$A,May!$B$2)</f>
        <v>0</v>
      </c>
      <c r="W78" s="323">
        <f>COUNTIFS(input!$O:$O,May!$W$67,input!$G:$G,May!N78,input!$A:$A,May!$B$2)</f>
        <v>0</v>
      </c>
      <c r="X78" s="324">
        <f>COUNTIFS(input!$O:$O,May!$X$67,input!$G:$G,May!N78,input!$A:$A,May!$B$2)</f>
        <v>0</v>
      </c>
      <c r="Y78" s="312">
        <f t="shared" si="7"/>
        <v>0</v>
      </c>
      <c r="Z78" s="315" cm="1">
        <f t="array" ref="Z78">_xlfn.IFS(Y78=0,0,Y78&gt;=1,Y78/$Y$113)</f>
        <v>0</v>
      </c>
    </row>
    <row r="79" spans="2:26" ht="92" hidden="1" customHeight="1" x14ac:dyDescent="0.25">
      <c r="B79" s="1028" t="s">
        <v>14</v>
      </c>
      <c r="C79" s="1029"/>
      <c r="D79" s="1037">
        <f>COUNTIFS(input!$O:$O,May!$D$67,input!$K:$K,May!B79,input!$A:$A,May!$B$2)</f>
        <v>0</v>
      </c>
      <c r="E79" s="1037">
        <f>COUNTIFS(input!$O:$O,May!$E$67,input!$K:$K,May!B79,input!$A:$A,May!$B$2)</f>
        <v>3</v>
      </c>
      <c r="F79" s="1037">
        <f>COUNTIFS(input!$O:$O,May!$F$67,input!$K:$K,May!B79,input!$A:$A,May!$B$2)</f>
        <v>0</v>
      </c>
      <c r="G79" s="1043">
        <f>COUNTIFS(input!$O:$O,May!$G$67,input!$K:$K,May!B79,input!$A:$A,May!$B$2)</f>
        <v>6</v>
      </c>
      <c r="H79" s="1043">
        <f>COUNTIFS(input!$O:$O,May!$H$67,input!$K:$K,May!B79,input!$A:$A,May!$B$2)</f>
        <v>0</v>
      </c>
      <c r="I79" s="1055">
        <f>COUNTIFS(input!$O:$O,May!$I$67,input!$K:$K,May!B79,input!$A:$A,May!$B$2)</f>
        <v>2</v>
      </c>
      <c r="J79" s="1043">
        <f>COUNTIFS(input!$O:$O,May!$J$67,input!$K:$K,May!B79,input!$A:$A,May!$B$2)</f>
        <v>0</v>
      </c>
      <c r="K79" s="1043">
        <f>COUNTIFS(input!$O:$O,May!$K$67,input!$K:$K,May!B79,input!$A:$A,May!$B$2)</f>
        <v>0</v>
      </c>
      <c r="L79" s="1022">
        <f>SUM(D79:K93)</f>
        <v>11</v>
      </c>
      <c r="M79" s="1025">
        <f>_xlfn.IFS(L79=0,0,L79&gt;=1,L79/L113)</f>
        <v>0.6875</v>
      </c>
      <c r="N79" s="1065" t="s">
        <v>1421</v>
      </c>
      <c r="O79" s="1065"/>
      <c r="P79" s="1066"/>
      <c r="Q79" s="316">
        <f>COUNTIFS(input!$O:$O,May!$Q$67,input!$G:$G,May!N79,input!$A:$A,May!$B$2)</f>
        <v>0</v>
      </c>
      <c r="R79" s="316">
        <f>COUNTIFS(input!$O:$O,May!$R$67,input!$G:$G,May!N79,input!$A:$A,May!$B$2)</f>
        <v>0</v>
      </c>
      <c r="S79" s="316">
        <f>COUNTIFS(input!$O:$O,May!$S$67,input!$G:$G,May!N79,input!$A:$A,May!$B$2)</f>
        <v>0</v>
      </c>
      <c r="T79" s="321">
        <f>COUNTIFS(input!$O:$O,May!$T$67,input!$G:$G,May!N79,input!$A:$A,May!$B$2)</f>
        <v>0</v>
      </c>
      <c r="U79" s="322">
        <f>COUNTIFS(input!$O:$O,May!$U$67,input!$G:$G,May!N79,input!$A:$A,May!$B$2)</f>
        <v>0</v>
      </c>
      <c r="V79" s="322">
        <f>COUNTIFS(input!$O:$O,May!$V$67,input!$G:$G,May!N79,input!$A:$A,May!$B$2)</f>
        <v>0</v>
      </c>
      <c r="W79" s="323">
        <f>COUNTIFS(input!$O:$O,May!$W$67,input!$G:$G,May!N79,input!$A:$A,May!$B$2)</f>
        <v>0</v>
      </c>
      <c r="X79" s="324">
        <f>COUNTIFS(input!$O:$O,May!$X$67,input!$G:$G,May!N79,input!$A:$A,May!$B$2)</f>
        <v>0</v>
      </c>
      <c r="Y79" s="312">
        <f t="shared" si="7"/>
        <v>0</v>
      </c>
      <c r="Z79" s="315" cm="1">
        <f t="array" ref="Z79">_xlfn.IFS(Y79=0,0,Y79&gt;=1,Y79/$Y$113)</f>
        <v>0</v>
      </c>
    </row>
    <row r="80" spans="2:26" ht="92" customHeight="1" x14ac:dyDescent="0.25">
      <c r="B80" s="1030"/>
      <c r="C80" s="1031"/>
      <c r="D80" s="1038"/>
      <c r="E80" s="1038"/>
      <c r="F80" s="1038"/>
      <c r="G80" s="1044"/>
      <c r="H80" s="1044"/>
      <c r="I80" s="1056"/>
      <c r="J80" s="1044"/>
      <c r="K80" s="1044"/>
      <c r="L80" s="1023"/>
      <c r="M80" s="1026"/>
      <c r="N80" s="1153" t="s">
        <v>678</v>
      </c>
      <c r="O80" s="1153"/>
      <c r="P80" s="1154"/>
      <c r="Q80" s="316">
        <f>COUNTIFS(input!$O:$O,May!$Q$67,input!$G:$G,May!N80,input!$A:$A,May!$B$2)</f>
        <v>0</v>
      </c>
      <c r="R80" s="316">
        <f>COUNTIFS(input!$O:$O,May!$R$67,input!$G:$G,May!N80,input!$A:$A,May!$B$2)</f>
        <v>0</v>
      </c>
      <c r="S80" s="316">
        <f>COUNTIFS(input!$O:$O,May!$S$67,input!$G:$G,May!N80,input!$A:$A,May!$B$2)</f>
        <v>0</v>
      </c>
      <c r="T80" s="321">
        <f>COUNTIFS(input!$O:$O,May!$T$67,input!$G:$G,May!N80,input!$A:$A,May!$B$2)</f>
        <v>1</v>
      </c>
      <c r="U80" s="322">
        <f>COUNTIFS(input!$O:$O,May!$U$67,input!$G:$G,May!N80,input!$A:$A,May!$B$2)</f>
        <v>0</v>
      </c>
      <c r="V80" s="322">
        <f>COUNTIFS(input!$O:$O,May!$V$67,input!$G:$G,May!N80,input!$A:$A,May!$B$2)</f>
        <v>0</v>
      </c>
      <c r="W80" s="323">
        <f>COUNTIFS(input!$O:$O,May!$W$67,input!$G:$G,May!N80,input!$A:$A,May!$B$2)</f>
        <v>0</v>
      </c>
      <c r="X80" s="324">
        <f>COUNTIFS(input!$O:$O,May!$X$67,input!$G:$G,May!N80,input!$A:$A,May!$B$2)</f>
        <v>0</v>
      </c>
      <c r="Y80" s="312">
        <f t="shared" si="7"/>
        <v>1</v>
      </c>
      <c r="Z80" s="315" cm="1">
        <f t="array" ref="Z80">_xlfn.IFS(Y80=0,0,Y80&gt;=1,Y80/$Y$113)</f>
        <v>6.25E-2</v>
      </c>
    </row>
    <row r="81" spans="2:26" ht="92" hidden="1" customHeight="1" x14ac:dyDescent="0.25">
      <c r="B81" s="1030"/>
      <c r="C81" s="1031"/>
      <c r="D81" s="1038"/>
      <c r="E81" s="1038"/>
      <c r="F81" s="1038"/>
      <c r="G81" s="1044"/>
      <c r="H81" s="1044"/>
      <c r="I81" s="1056"/>
      <c r="J81" s="1044"/>
      <c r="K81" s="1044"/>
      <c r="L81" s="1023"/>
      <c r="M81" s="1026"/>
      <c r="N81" s="1065" t="s">
        <v>694</v>
      </c>
      <c r="O81" s="1065"/>
      <c r="P81" s="1066"/>
      <c r="Q81" s="316">
        <f>COUNTIFS(input!$O:$O,May!$Q$67,input!$G:$G,May!N81,input!$A:$A,May!$B$2)</f>
        <v>0</v>
      </c>
      <c r="R81" s="316">
        <f>COUNTIFS(input!$O:$O,May!$R$67,input!$G:$G,May!N81,input!$A:$A,May!$B$2)</f>
        <v>0</v>
      </c>
      <c r="S81" s="316">
        <f>COUNTIFS(input!$O:$O,May!$S$67,input!$G:$G,May!N81,input!$A:$A,May!$B$2)</f>
        <v>0</v>
      </c>
      <c r="T81" s="321">
        <f>COUNTIFS(input!$O:$O,May!$T$67,input!$G:$G,May!N81,input!$A:$A,May!$B$2)</f>
        <v>0</v>
      </c>
      <c r="U81" s="322">
        <f>COUNTIFS(input!$O:$O,May!$U$67,input!$G:$G,May!N81,input!$A:$A,May!$B$2)</f>
        <v>0</v>
      </c>
      <c r="V81" s="322">
        <f>COUNTIFS(input!$O:$O,May!$V$67,input!$G:$G,May!N81,input!$A:$A,May!$B$2)</f>
        <v>0</v>
      </c>
      <c r="W81" s="323">
        <f>COUNTIFS(input!$O:$O,May!$W$67,input!$G:$G,May!N81,input!$A:$A,May!$B$2)</f>
        <v>0</v>
      </c>
      <c r="X81" s="324">
        <f>COUNTIFS(input!$O:$O,May!$X$67,input!$G:$G,May!N81,input!$A:$A,May!$B$2)</f>
        <v>0</v>
      </c>
      <c r="Y81" s="312">
        <f t="shared" si="7"/>
        <v>0</v>
      </c>
      <c r="Z81" s="315" cm="1">
        <f t="array" ref="Z81">_xlfn.IFS(Y81=0,0,Y81&gt;=1,Y81/$Y$113)</f>
        <v>0</v>
      </c>
    </row>
    <row r="82" spans="2:26" ht="92" hidden="1" customHeight="1" x14ac:dyDescent="0.25">
      <c r="B82" s="1030"/>
      <c r="C82" s="1031"/>
      <c r="D82" s="1038"/>
      <c r="E82" s="1038"/>
      <c r="F82" s="1038"/>
      <c r="G82" s="1044"/>
      <c r="H82" s="1044"/>
      <c r="I82" s="1056"/>
      <c r="J82" s="1044"/>
      <c r="K82" s="1044"/>
      <c r="L82" s="1023"/>
      <c r="M82" s="1026"/>
      <c r="N82" s="1065" t="s">
        <v>415</v>
      </c>
      <c r="O82" s="1065"/>
      <c r="P82" s="1066"/>
      <c r="Q82" s="316">
        <f>COUNTIFS(input!$O:$O,May!$Q$67,input!$G:$G,May!N82,input!$A:$A,May!$B$2)</f>
        <v>0</v>
      </c>
      <c r="R82" s="316">
        <f>COUNTIFS(input!$O:$O,May!$R$67,input!$G:$G,May!N82,input!$A:$A,May!$B$2)</f>
        <v>0</v>
      </c>
      <c r="S82" s="316">
        <f>COUNTIFS(input!$O:$O,May!$S$67,input!$G:$G,May!N82,input!$A:$A,May!$B$2)</f>
        <v>0</v>
      </c>
      <c r="T82" s="321">
        <f>COUNTIFS(input!$O:$O,May!$T$67,input!$G:$G,May!N82,input!$A:$A,May!$B$2)</f>
        <v>0</v>
      </c>
      <c r="U82" s="322">
        <f>COUNTIFS(input!$O:$O,May!$U$67,input!$G:$G,May!N82,input!$A:$A,May!$B$2)</f>
        <v>0</v>
      </c>
      <c r="V82" s="322">
        <f>COUNTIFS(input!$O:$O,May!$V$67,input!$G:$G,May!N82,input!$A:$A,May!$B$2)</f>
        <v>0</v>
      </c>
      <c r="W82" s="323">
        <f>COUNTIFS(input!$O:$O,May!$W$67,input!$G:$G,May!N82,input!$A:$A,May!$B$2)</f>
        <v>0</v>
      </c>
      <c r="X82" s="324">
        <f>COUNTIFS(input!$O:$O,May!$X$67,input!$G:$G,May!N82,input!$A:$A,May!$B$2)</f>
        <v>0</v>
      </c>
      <c r="Y82" s="312">
        <f t="shared" si="7"/>
        <v>0</v>
      </c>
      <c r="Z82" s="315" cm="1">
        <f t="array" ref="Z82">_xlfn.IFS(Y82=0,0,Y82&gt;=1,Y82/$Y$113)</f>
        <v>0</v>
      </c>
    </row>
    <row r="83" spans="2:26" ht="92" hidden="1" customHeight="1" x14ac:dyDescent="0.25">
      <c r="B83" s="1030"/>
      <c r="C83" s="1031"/>
      <c r="D83" s="1038"/>
      <c r="E83" s="1038"/>
      <c r="F83" s="1038"/>
      <c r="G83" s="1044"/>
      <c r="H83" s="1044"/>
      <c r="I83" s="1056"/>
      <c r="J83" s="1044"/>
      <c r="K83" s="1044"/>
      <c r="L83" s="1023"/>
      <c r="M83" s="1026"/>
      <c r="N83" s="1065" t="s">
        <v>116</v>
      </c>
      <c r="O83" s="1065"/>
      <c r="P83" s="1066"/>
      <c r="Q83" s="316">
        <f>COUNTIFS(input!$O:$O,May!$Q$67,input!$G:$G,May!N83,input!$A:$A,May!$B$2)</f>
        <v>0</v>
      </c>
      <c r="R83" s="316">
        <f>COUNTIFS(input!$O:$O,May!$R$67,input!$G:$G,May!N83,input!$A:$A,May!$B$2)</f>
        <v>0</v>
      </c>
      <c r="S83" s="316">
        <f>COUNTIFS(input!$O:$O,May!$S$67,input!$G:$G,May!N83,input!$A:$A,May!$B$2)</f>
        <v>0</v>
      </c>
      <c r="T83" s="321">
        <f>COUNTIFS(input!$O:$O,May!$T$67,input!$G:$G,May!N83,input!$A:$A,May!$B$2)</f>
        <v>0</v>
      </c>
      <c r="U83" s="322">
        <f>COUNTIFS(input!$O:$O,May!$U$67,input!$G:$G,May!N83,input!$A:$A,May!$B$2)</f>
        <v>0</v>
      </c>
      <c r="V83" s="322">
        <f>COUNTIFS(input!$O:$O,May!$V$67,input!$G:$G,May!N83,input!$A:$A,May!$B$2)</f>
        <v>0</v>
      </c>
      <c r="W83" s="323">
        <f>COUNTIFS(input!$O:$O,May!$W$67,input!$G:$G,May!N83,input!$A:$A,May!$B$2)</f>
        <v>0</v>
      </c>
      <c r="X83" s="324">
        <f>COUNTIFS(input!$O:$O,May!$X$67,input!$G:$G,May!N83,input!$A:$A,May!$B$2)</f>
        <v>0</v>
      </c>
      <c r="Y83" s="312">
        <f t="shared" si="7"/>
        <v>0</v>
      </c>
      <c r="Z83" s="315" cm="1">
        <f t="array" ref="Z83">_xlfn.IFS(Y83=0,0,Y83&gt;=1,Y83/$Y$113)</f>
        <v>0</v>
      </c>
    </row>
    <row r="84" spans="2:26" ht="92" hidden="1" customHeight="1" x14ac:dyDescent="0.25">
      <c r="B84" s="1030"/>
      <c r="C84" s="1031"/>
      <c r="D84" s="1038"/>
      <c r="E84" s="1038"/>
      <c r="F84" s="1038"/>
      <c r="G84" s="1044"/>
      <c r="H84" s="1044"/>
      <c r="I84" s="1056"/>
      <c r="J84" s="1044"/>
      <c r="K84" s="1044"/>
      <c r="L84" s="1023"/>
      <c r="M84" s="1026"/>
      <c r="N84" s="1065" t="s">
        <v>1185</v>
      </c>
      <c r="O84" s="1065"/>
      <c r="P84" s="1066"/>
      <c r="Q84" s="316">
        <f>COUNTIFS(input!$O:$O,May!$Q$67,input!$G:$G,May!N84,input!$A:$A,May!$B$2)</f>
        <v>0</v>
      </c>
      <c r="R84" s="316">
        <f>COUNTIFS(input!$O:$O,May!$R$67,input!$G:$G,May!N84,input!$A:$A,May!$B$2)</f>
        <v>0</v>
      </c>
      <c r="S84" s="316">
        <f>COUNTIFS(input!$O:$O,May!$S$67,input!$G:$G,May!N84,input!$A:$A,May!$B$2)</f>
        <v>0</v>
      </c>
      <c r="T84" s="321">
        <f>COUNTIFS(input!$O:$O,May!$T$67,input!$G:$G,May!N84,input!$A:$A,May!$B$2)</f>
        <v>0</v>
      </c>
      <c r="U84" s="322">
        <f>COUNTIFS(input!$O:$O,May!$U$67,input!$G:$G,May!N84,input!$A:$A,May!$B$2)</f>
        <v>0</v>
      </c>
      <c r="V84" s="322">
        <f>COUNTIFS(input!$O:$O,May!$V$67,input!$G:$G,May!N84,input!$A:$A,May!$B$2)</f>
        <v>0</v>
      </c>
      <c r="W84" s="323">
        <f>COUNTIFS(input!$O:$O,May!$W$67,input!$G:$G,May!N84,input!$A:$A,May!$B$2)</f>
        <v>0</v>
      </c>
      <c r="X84" s="324">
        <f>COUNTIFS(input!$O:$O,May!$X$67,input!$G:$G,May!N84,input!$A:$A,May!$B$2)</f>
        <v>0</v>
      </c>
      <c r="Y84" s="312">
        <f t="shared" si="7"/>
        <v>0</v>
      </c>
      <c r="Z84" s="315" cm="1">
        <f t="array" ref="Z84">_xlfn.IFS(Y84=0,0,Y84&gt;=1,Y84/$Y$113)</f>
        <v>0</v>
      </c>
    </row>
    <row r="85" spans="2:26" ht="92" hidden="1" customHeight="1" x14ac:dyDescent="0.25">
      <c r="B85" s="1030"/>
      <c r="C85" s="1031"/>
      <c r="D85" s="1038"/>
      <c r="E85" s="1038"/>
      <c r="F85" s="1038"/>
      <c r="G85" s="1044"/>
      <c r="H85" s="1044"/>
      <c r="I85" s="1056"/>
      <c r="J85" s="1044"/>
      <c r="K85" s="1044"/>
      <c r="L85" s="1023"/>
      <c r="M85" s="1026"/>
      <c r="N85" s="1065" t="s">
        <v>740</v>
      </c>
      <c r="O85" s="1065"/>
      <c r="P85" s="1066"/>
      <c r="Q85" s="316">
        <f>COUNTIFS(input!$O:$O,May!$Q$67,input!$G:$G,May!N85,input!$A:$A,May!$B$2)</f>
        <v>0</v>
      </c>
      <c r="R85" s="316">
        <f>COUNTIFS(input!$O:$O,May!$R$67,input!$G:$G,May!N85,input!$A:$A,May!$B$2)</f>
        <v>0</v>
      </c>
      <c r="S85" s="316">
        <f>COUNTIFS(input!$O:$O,May!$S$67,input!$G:$G,May!N85,input!$A:$A,May!$B$2)</f>
        <v>0</v>
      </c>
      <c r="T85" s="321">
        <f>COUNTIFS(input!$O:$O,May!$T$67,input!$G:$G,May!N85,input!$A:$A,May!$B$2)</f>
        <v>0</v>
      </c>
      <c r="U85" s="322">
        <f>COUNTIFS(input!$O:$O,May!$U$67,input!$G:$G,May!N85,input!$A:$A,May!$B$2)</f>
        <v>0</v>
      </c>
      <c r="V85" s="322">
        <f>COUNTIFS(input!$O:$O,May!$V$67,input!$G:$G,May!N85,input!$A:$A,May!$B$2)</f>
        <v>0</v>
      </c>
      <c r="W85" s="323">
        <f>COUNTIFS(input!$O:$O,May!$W$67,input!$G:$G,May!N85,input!$A:$A,May!$B$2)</f>
        <v>0</v>
      </c>
      <c r="X85" s="324">
        <f>COUNTIFS(input!$O:$O,May!$X$67,input!$G:$G,May!N85,input!$A:$A,May!$B$2)</f>
        <v>0</v>
      </c>
      <c r="Y85" s="312">
        <f t="shared" si="7"/>
        <v>0</v>
      </c>
      <c r="Z85" s="315" cm="1">
        <f t="array" ref="Z85">_xlfn.IFS(Y85=0,0,Y85&gt;=1,Y85/$Y$113)</f>
        <v>0</v>
      </c>
    </row>
    <row r="86" spans="2:26" ht="92" hidden="1" customHeight="1" x14ac:dyDescent="0.25">
      <c r="B86" s="1030"/>
      <c r="C86" s="1031"/>
      <c r="D86" s="1038"/>
      <c r="E86" s="1038"/>
      <c r="F86" s="1038"/>
      <c r="G86" s="1044"/>
      <c r="H86" s="1044"/>
      <c r="I86" s="1056"/>
      <c r="J86" s="1044"/>
      <c r="K86" s="1044"/>
      <c r="L86" s="1023"/>
      <c r="M86" s="1026"/>
      <c r="N86" s="1065" t="s">
        <v>108</v>
      </c>
      <c r="O86" s="1065"/>
      <c r="P86" s="1066"/>
      <c r="Q86" s="316">
        <f>COUNTIFS(input!$O:$O,May!$Q$67,input!$G:$G,May!N86,input!$A:$A,May!$B$2)</f>
        <v>0</v>
      </c>
      <c r="R86" s="316">
        <f>COUNTIFS(input!$O:$O,May!$R$67,input!$G:$G,May!N86,input!$A:$A,May!$B$2)</f>
        <v>0</v>
      </c>
      <c r="S86" s="316">
        <f>COUNTIFS(input!$O:$O,May!$S$67,input!$G:$G,May!N86,input!$A:$A,May!$B$2)</f>
        <v>0</v>
      </c>
      <c r="T86" s="321">
        <f>COUNTIFS(input!$O:$O,May!$T$67,input!$G:$G,May!N86,input!$A:$A,May!$B$2)</f>
        <v>0</v>
      </c>
      <c r="U86" s="322">
        <f>COUNTIFS(input!$O:$O,May!$U$67,input!$G:$G,May!N86,input!$A:$A,May!$B$2)</f>
        <v>0</v>
      </c>
      <c r="V86" s="322">
        <f>COUNTIFS(input!$O:$O,May!$V$67,input!$G:$G,May!N86,input!$A:$A,May!$B$2)</f>
        <v>0</v>
      </c>
      <c r="W86" s="323">
        <f>COUNTIFS(input!$O:$O,May!$W$67,input!$G:$G,May!N86,input!$A:$A,May!$B$2)</f>
        <v>0</v>
      </c>
      <c r="X86" s="324">
        <f>COUNTIFS(input!$O:$O,May!$X$67,input!$G:$G,May!N86,input!$A:$A,May!$B$2)</f>
        <v>0</v>
      </c>
      <c r="Y86" s="312">
        <f t="shared" si="7"/>
        <v>0</v>
      </c>
      <c r="Z86" s="315" cm="1">
        <f t="array" ref="Z86">_xlfn.IFS(Y86=0,0,Y86&gt;=1,Y86/$Y$113)</f>
        <v>0</v>
      </c>
    </row>
    <row r="87" spans="2:26" ht="92" customHeight="1" x14ac:dyDescent="0.25">
      <c r="B87" s="1030"/>
      <c r="C87" s="1031"/>
      <c r="D87" s="1038"/>
      <c r="E87" s="1038"/>
      <c r="F87" s="1038"/>
      <c r="G87" s="1044"/>
      <c r="H87" s="1044"/>
      <c r="I87" s="1056"/>
      <c r="J87" s="1044"/>
      <c r="K87" s="1044"/>
      <c r="L87" s="1023"/>
      <c r="M87" s="1026"/>
      <c r="N87" s="1153" t="s">
        <v>398</v>
      </c>
      <c r="O87" s="1153"/>
      <c r="P87" s="1154"/>
      <c r="Q87" s="316">
        <f>COUNTIFS(input!$O:$O,May!$Q$67,input!$G:$G,May!N87,input!$A:$A,May!$B$2)</f>
        <v>0</v>
      </c>
      <c r="R87" s="316">
        <f>COUNTIFS(input!$O:$O,May!$R$67,input!$G:$G,May!N87,input!$A:$A,May!$B$2)</f>
        <v>0</v>
      </c>
      <c r="S87" s="316">
        <f>COUNTIFS(input!$O:$O,May!$S$67,input!$G:$G,May!N87,input!$A:$A,May!$B$2)</f>
        <v>0</v>
      </c>
      <c r="T87" s="321">
        <f>COUNTIFS(input!$O:$O,May!$T$67,input!$G:$G,May!N87,input!$A:$A,May!$B$2)</f>
        <v>1</v>
      </c>
      <c r="U87" s="322">
        <f>COUNTIFS(input!$O:$O,May!$U$67,input!$G:$G,May!N87,input!$A:$A,May!$B$2)</f>
        <v>0</v>
      </c>
      <c r="V87" s="322">
        <f>COUNTIFS(input!$O:$O,May!$V$67,input!$G:$G,May!N87,input!$A:$A,May!$B$2)</f>
        <v>0</v>
      </c>
      <c r="W87" s="323">
        <f>COUNTIFS(input!$O:$O,May!$W$67,input!$G:$G,May!N87,input!$A:$A,May!$B$2)</f>
        <v>0</v>
      </c>
      <c r="X87" s="324">
        <f>COUNTIFS(input!$O:$O,May!$X$67,input!$G:$G,May!N87,input!$A:$A,May!$B$2)</f>
        <v>0</v>
      </c>
      <c r="Y87" s="312">
        <f t="shared" si="7"/>
        <v>1</v>
      </c>
      <c r="Z87" s="315" cm="1">
        <f t="array" ref="Z87">_xlfn.IFS(Y87=0,0,Y87&gt;=1,Y87/$Y$113)</f>
        <v>6.25E-2</v>
      </c>
    </row>
    <row r="88" spans="2:26" ht="92" customHeight="1" x14ac:dyDescent="0.25">
      <c r="B88" s="1030"/>
      <c r="C88" s="1031"/>
      <c r="D88" s="1038"/>
      <c r="E88" s="1038"/>
      <c r="F88" s="1038"/>
      <c r="G88" s="1044"/>
      <c r="H88" s="1044"/>
      <c r="I88" s="1056"/>
      <c r="J88" s="1044"/>
      <c r="K88" s="1044"/>
      <c r="L88" s="1023"/>
      <c r="M88" s="1026"/>
      <c r="N88" s="1153" t="s">
        <v>83</v>
      </c>
      <c r="O88" s="1153"/>
      <c r="P88" s="1154"/>
      <c r="Q88" s="316">
        <f>COUNTIFS(input!$O:$O,May!$Q$67,input!$G:$G,May!N88,input!$A:$A,May!$B$2)</f>
        <v>0</v>
      </c>
      <c r="R88" s="316">
        <f>COUNTIFS(input!$O:$O,May!$R$67,input!$G:$G,May!N88,input!$A:$A,May!$B$2)</f>
        <v>0</v>
      </c>
      <c r="S88" s="316">
        <f>COUNTIFS(input!$O:$O,May!$S$67,input!$G:$G,May!N88,input!$A:$A,May!$B$2)</f>
        <v>0</v>
      </c>
      <c r="T88" s="321">
        <f>COUNTIFS(input!$O:$O,May!$T$67,input!$G:$G,May!N88,input!$A:$A,May!$B$2)</f>
        <v>0</v>
      </c>
      <c r="U88" s="322">
        <f>COUNTIFS(input!$O:$O,May!$U$67,input!$G:$G,May!N88,input!$A:$A,May!$B$2)</f>
        <v>0</v>
      </c>
      <c r="V88" s="322">
        <f>COUNTIFS(input!$O:$O,May!$V$67,input!$G:$G,May!N88,input!$A:$A,May!$B$2)</f>
        <v>1</v>
      </c>
      <c r="W88" s="323">
        <f>COUNTIFS(input!$O:$O,May!$W$67,input!$G:$G,May!N88,input!$A:$A,May!$B$2)</f>
        <v>0</v>
      </c>
      <c r="X88" s="324">
        <f>COUNTIFS(input!$O:$O,May!$X$67,input!$G:$G,May!N88,input!$A:$A,May!$B$2)</f>
        <v>0</v>
      </c>
      <c r="Y88" s="312">
        <f t="shared" si="7"/>
        <v>1</v>
      </c>
      <c r="Z88" s="315" cm="1">
        <f t="array" ref="Z88">_xlfn.IFS(Y88=0,0,Y88&gt;=1,Y88/$Y$113)</f>
        <v>6.25E-2</v>
      </c>
    </row>
    <row r="89" spans="2:26" ht="92" hidden="1" customHeight="1" x14ac:dyDescent="0.25">
      <c r="B89" s="1030"/>
      <c r="C89" s="1031"/>
      <c r="D89" s="1038"/>
      <c r="E89" s="1038"/>
      <c r="F89" s="1038"/>
      <c r="G89" s="1044"/>
      <c r="H89" s="1044"/>
      <c r="I89" s="1056"/>
      <c r="J89" s="1044"/>
      <c r="K89" s="1044"/>
      <c r="L89" s="1023"/>
      <c r="M89" s="1026"/>
      <c r="N89" s="1065" t="s">
        <v>1438</v>
      </c>
      <c r="O89" s="1065"/>
      <c r="P89" s="1066"/>
      <c r="Q89" s="316">
        <f>COUNTIFS(input!$O:$O,May!$Q$67,input!$G:$G,May!N89,input!$A:$A,May!$B$2)</f>
        <v>0</v>
      </c>
      <c r="R89" s="316">
        <f>COUNTIFS(input!$O:$O,May!$R$67,input!$G:$G,May!N89,input!$A:$A,May!$B$2)</f>
        <v>0</v>
      </c>
      <c r="S89" s="316">
        <f>COUNTIFS(input!$O:$O,May!$S$67,input!$G:$G,May!N89,input!$A:$A,May!$B$2)</f>
        <v>0</v>
      </c>
      <c r="T89" s="321">
        <f>COUNTIFS(input!$O:$O,May!$T$67,input!$G:$G,May!N89,input!$A:$A,May!$B$2)</f>
        <v>0</v>
      </c>
      <c r="U89" s="322">
        <f>COUNTIFS(input!$O:$O,May!$U$67,input!$G:$G,May!N89,input!$A:$A,May!$B$2)</f>
        <v>0</v>
      </c>
      <c r="V89" s="322">
        <f>COUNTIFS(input!$O:$O,May!$V$67,input!$G:$G,May!N89,input!$A:$A,May!$B$2)</f>
        <v>0</v>
      </c>
      <c r="W89" s="323">
        <f>COUNTIFS(input!$O:$O,May!$W$67,input!$G:$G,May!N89,input!$A:$A,May!$B$2)</f>
        <v>0</v>
      </c>
      <c r="X89" s="324">
        <f>COUNTIFS(input!$O:$O,May!$X$67,input!$G:$G,May!N89,input!$A:$A,May!$B$2)</f>
        <v>0</v>
      </c>
      <c r="Y89" s="312">
        <f t="shared" si="7"/>
        <v>0</v>
      </c>
      <c r="Z89" s="315" cm="1">
        <f t="array" ref="Z89">_xlfn.IFS(Y89=0,0,Y89&gt;=1,Y89/$Y$113)</f>
        <v>0</v>
      </c>
    </row>
    <row r="90" spans="2:26" ht="92" hidden="1" customHeight="1" x14ac:dyDescent="0.25">
      <c r="B90" s="1030"/>
      <c r="C90" s="1031"/>
      <c r="D90" s="1038"/>
      <c r="E90" s="1038"/>
      <c r="F90" s="1038"/>
      <c r="G90" s="1044"/>
      <c r="H90" s="1044"/>
      <c r="I90" s="1056"/>
      <c r="J90" s="1044"/>
      <c r="K90" s="1044"/>
      <c r="L90" s="1023"/>
      <c r="M90" s="1026"/>
      <c r="N90" s="1065" t="s">
        <v>876</v>
      </c>
      <c r="O90" s="1065"/>
      <c r="P90" s="1066"/>
      <c r="Q90" s="316">
        <f>COUNTIFS(input!$O:$O,May!$Q$67,input!$G:$G,May!N90,input!$A:$A,May!$B$2)</f>
        <v>0</v>
      </c>
      <c r="R90" s="316">
        <f>COUNTIFS(input!$O:$O,May!$R$67,input!$G:$G,May!N90,input!$A:$A,May!$B$2)</f>
        <v>0</v>
      </c>
      <c r="S90" s="316">
        <f>COUNTIFS(input!$O:$O,May!$S$67,input!$G:$G,May!N90,input!$A:$A,May!$B$2)</f>
        <v>0</v>
      </c>
      <c r="T90" s="321">
        <f>COUNTIFS(input!$O:$O,May!$T$67,input!$G:$G,May!N90,input!$A:$A,May!$B$2)</f>
        <v>0</v>
      </c>
      <c r="U90" s="322">
        <f>COUNTIFS(input!$O:$O,May!$U$67,input!$G:$G,May!N90,input!$A:$A,May!$B$2)</f>
        <v>0</v>
      </c>
      <c r="V90" s="322">
        <f>COUNTIFS(input!$O:$O,May!$V$67,input!$G:$G,May!N90,input!$A:$A,May!$B$2)</f>
        <v>0</v>
      </c>
      <c r="W90" s="323">
        <f>COUNTIFS(input!$O:$O,May!$W$67,input!$G:$G,May!N90,input!$A:$A,May!$B$2)</f>
        <v>0</v>
      </c>
      <c r="X90" s="324">
        <f>COUNTIFS(input!$O:$O,May!$X$67,input!$G:$G,May!N90,input!$A:$A,May!$B$2)</f>
        <v>0</v>
      </c>
      <c r="Y90" s="312">
        <f t="shared" si="7"/>
        <v>0</v>
      </c>
      <c r="Z90" s="315" cm="1">
        <f t="array" ref="Z90">_xlfn.IFS(Y90=0,0,Y90&gt;=1,Y90/$Y$113)</f>
        <v>0</v>
      </c>
    </row>
    <row r="91" spans="2:26" ht="92" hidden="1" customHeight="1" x14ac:dyDescent="0.25">
      <c r="B91" s="1030"/>
      <c r="C91" s="1031"/>
      <c r="D91" s="1038"/>
      <c r="E91" s="1038"/>
      <c r="F91" s="1038"/>
      <c r="G91" s="1044"/>
      <c r="H91" s="1044"/>
      <c r="I91" s="1056"/>
      <c r="J91" s="1044"/>
      <c r="K91" s="1044"/>
      <c r="L91" s="1023"/>
      <c r="M91" s="1026"/>
      <c r="N91" s="1065" t="s">
        <v>1492</v>
      </c>
      <c r="O91" s="1065"/>
      <c r="P91" s="1066"/>
      <c r="Q91" s="316">
        <f>COUNTIFS(input!$O:$O,May!$Q$67,input!$G:$G,May!N91,input!$A:$A,May!$B$2)</f>
        <v>0</v>
      </c>
      <c r="R91" s="316">
        <f>COUNTIFS(input!$O:$O,May!$R$67,input!$G:$G,May!N91,input!$A:$A,May!$B$2)</f>
        <v>0</v>
      </c>
      <c r="S91" s="316">
        <f>COUNTIFS(input!$O:$O,May!$S$67,input!$G:$G,May!N91,input!$A:$A,May!$B$2)</f>
        <v>0</v>
      </c>
      <c r="T91" s="321">
        <f>COUNTIFS(input!$O:$O,May!$T$67,input!$G:$G,May!N91,input!$A:$A,May!$B$2)</f>
        <v>0</v>
      </c>
      <c r="U91" s="322">
        <f>COUNTIFS(input!$O:$O,May!$U$67,input!$G:$G,May!N91,input!$A:$A,May!$B$2)</f>
        <v>0</v>
      </c>
      <c r="V91" s="322">
        <f>COUNTIFS(input!$O:$O,May!$V$67,input!$G:$G,May!N91,input!$A:$A,May!$B$2)</f>
        <v>0</v>
      </c>
      <c r="W91" s="323">
        <f>COUNTIFS(input!$O:$O,May!$W$67,input!$G:$G,May!N91,input!$A:$A,May!$B$2)</f>
        <v>0</v>
      </c>
      <c r="X91" s="324">
        <f>COUNTIFS(input!$O:$O,May!$X$67,input!$G:$G,May!N91,input!$A:$A,May!$B$2)</f>
        <v>0</v>
      </c>
      <c r="Y91" s="312">
        <f t="shared" si="7"/>
        <v>0</v>
      </c>
      <c r="Z91" s="315" cm="1">
        <f t="array" ref="Z91">_xlfn.IFS(Y91=0,0,Y91&gt;=1,Y91/$Y$113)</f>
        <v>0</v>
      </c>
    </row>
    <row r="92" spans="2:26" ht="92" customHeight="1" x14ac:dyDescent="0.25">
      <c r="B92" s="1030"/>
      <c r="C92" s="1031"/>
      <c r="D92" s="1038"/>
      <c r="E92" s="1038"/>
      <c r="F92" s="1038"/>
      <c r="G92" s="1044"/>
      <c r="H92" s="1044"/>
      <c r="I92" s="1056"/>
      <c r="J92" s="1044"/>
      <c r="K92" s="1044"/>
      <c r="L92" s="1023"/>
      <c r="M92" s="1026"/>
      <c r="N92" s="1016" t="s">
        <v>1839</v>
      </c>
      <c r="O92" s="1016"/>
      <c r="P92" s="991"/>
      <c r="Q92" s="316">
        <f>COUNTIFS(input!$O:$O,May!$Q$67,input!$G:$G,May!N92,input!$A:$A,May!$B$2)</f>
        <v>0</v>
      </c>
      <c r="R92" s="316">
        <f>COUNTIFS(input!$O:$O,May!$R$67,input!$G:$G,May!N92,input!$A:$A,May!$B$2)</f>
        <v>0</v>
      </c>
      <c r="S92" s="316">
        <f>COUNTIFS(input!$O:$O,May!$S$67,input!$G:$G,May!N92,input!$A:$A,May!$B$2)</f>
        <v>0</v>
      </c>
      <c r="T92" s="321">
        <f>COUNTIFS(input!$O:$O,May!$T$67,input!$G:$G,May!N92,input!$A:$A,May!$B$2)</f>
        <v>0</v>
      </c>
      <c r="U92" s="322">
        <f>COUNTIFS(input!$O:$O,May!$U$67,input!$G:$G,May!N92,input!$A:$A,May!$B$2)</f>
        <v>0</v>
      </c>
      <c r="V92" s="322">
        <f>COUNTIFS(input!$O:$O,May!$V$67,input!$G:$G,May!N92,input!$A:$A,May!$B$2)</f>
        <v>1</v>
      </c>
      <c r="W92" s="323">
        <f>COUNTIFS(input!$O:$O,May!$W$67,input!$G:$G,May!N92,input!$A:$A,May!$B$2)</f>
        <v>0</v>
      </c>
      <c r="X92" s="324">
        <f>COUNTIFS(input!$O:$O,May!$X$67,input!$G:$G,May!N92,input!$A:$A,May!$B$2)</f>
        <v>0</v>
      </c>
      <c r="Y92" s="312">
        <f t="shared" si="7"/>
        <v>1</v>
      </c>
      <c r="Z92" s="315" cm="1">
        <f t="array" ref="Z92">_xlfn.IFS(Y92=0,0,Y92&gt;=1,Y92/$Y$113)</f>
        <v>6.25E-2</v>
      </c>
    </row>
    <row r="93" spans="2:26" ht="92" hidden="1" customHeight="1" x14ac:dyDescent="0.25">
      <c r="B93" s="1030"/>
      <c r="C93" s="1031"/>
      <c r="D93" s="1038"/>
      <c r="E93" s="1038"/>
      <c r="F93" s="1038"/>
      <c r="G93" s="1044"/>
      <c r="H93" s="1044"/>
      <c r="I93" s="1056"/>
      <c r="J93" s="1044"/>
      <c r="K93" s="1044"/>
      <c r="L93" s="1023"/>
      <c r="M93" s="1026"/>
      <c r="N93" s="1065" t="s">
        <v>895</v>
      </c>
      <c r="O93" s="1065"/>
      <c r="P93" s="1066"/>
      <c r="Q93" s="316">
        <f>COUNTIFS(input!$O:$O,May!$Q$67,input!$G:$G,May!N93,input!$A:$A,May!$B$2)</f>
        <v>0</v>
      </c>
      <c r="R93" s="316">
        <f>COUNTIFS(input!$O:$O,May!$R$67,input!$G:$G,May!N93,input!$A:$A,May!$B$2)</f>
        <v>0</v>
      </c>
      <c r="S93" s="316">
        <f>COUNTIFS(input!$O:$O,May!$S$67,input!$G:$G,May!N93,input!$A:$A,May!$B$2)</f>
        <v>0</v>
      </c>
      <c r="T93" s="321">
        <f>COUNTIFS(input!$O:$O,May!$T$67,input!$G:$G,May!N93,input!$A:$A,May!$B$2)</f>
        <v>0</v>
      </c>
      <c r="U93" s="322">
        <f>COUNTIFS(input!$O:$O,May!$U$67,input!$G:$G,May!N93,input!$A:$A,May!$B$2)</f>
        <v>0</v>
      </c>
      <c r="V93" s="322">
        <f>COUNTIFS(input!$O:$O,May!$V$67,input!$G:$G,May!N93,input!$A:$A,May!$B$2)</f>
        <v>0</v>
      </c>
      <c r="W93" s="323">
        <f>COUNTIFS(input!$O:$O,May!$W$67,input!$G:$G,May!N93,input!$A:$A,May!$B$2)</f>
        <v>0</v>
      </c>
      <c r="X93" s="324">
        <f>COUNTIFS(input!$O:$O,May!$X$67,input!$G:$G,May!N93,input!$A:$A,May!$B$2)</f>
        <v>0</v>
      </c>
      <c r="Y93" s="312">
        <f t="shared" si="7"/>
        <v>0</v>
      </c>
      <c r="Z93" s="315" cm="1">
        <f t="array" ref="Z93">_xlfn.IFS(Y93=0,0,Y93&gt;=1,Y93/$Y$113)</f>
        <v>0</v>
      </c>
    </row>
    <row r="94" spans="2:26" ht="92" customHeight="1" x14ac:dyDescent="0.25">
      <c r="B94" s="1030"/>
      <c r="C94" s="1031"/>
      <c r="D94" s="1038"/>
      <c r="E94" s="1038"/>
      <c r="F94" s="1038"/>
      <c r="G94" s="1044"/>
      <c r="H94" s="1044"/>
      <c r="I94" s="1056"/>
      <c r="J94" s="1044"/>
      <c r="K94" s="1044"/>
      <c r="L94" s="1023"/>
      <c r="M94" s="1026"/>
      <c r="N94" s="1153" t="s">
        <v>1767</v>
      </c>
      <c r="O94" s="1153"/>
      <c r="P94" s="1154"/>
      <c r="Q94" s="316">
        <f>COUNTIFS(input!$O:$O,May!$Q$67,input!$G:$G,May!N94,input!$A:$A,May!$B$2)</f>
        <v>0</v>
      </c>
      <c r="R94" s="316">
        <f>COUNTIFS(input!$O:$O,May!$R$67,input!$G:$G,May!N94,input!$A:$A,May!$B$2)</f>
        <v>0</v>
      </c>
      <c r="S94" s="316">
        <f>COUNTIFS(input!$O:$O,May!$S$67,input!$G:$G,May!N94,input!$A:$A,May!$B$2)</f>
        <v>0</v>
      </c>
      <c r="T94" s="321">
        <f>COUNTIFS(input!$O:$O,May!$T$67,input!$G:$G,May!N94,input!$A:$A,May!$B$2)</f>
        <v>0</v>
      </c>
      <c r="U94" s="322">
        <f>COUNTIFS(input!$O:$O,May!$U$67,input!$G:$G,May!N94,input!$A:$A,May!$B$2)</f>
        <v>0</v>
      </c>
      <c r="V94" s="322">
        <f>COUNTIFS(input!$O:$O,May!$V$67,input!$G:$G,May!N94,input!$A:$A,May!$B$2)</f>
        <v>0</v>
      </c>
      <c r="W94" s="323">
        <f>COUNTIFS(input!$O:$O,May!$W$67,input!$G:$G,May!N94,input!$A:$A,May!$B$2)</f>
        <v>0</v>
      </c>
      <c r="X94" s="324">
        <f>COUNTIFS(input!$O:$O,May!$X$67,input!$G:$G,May!N94,input!$A:$A,May!$B$2)</f>
        <v>1</v>
      </c>
      <c r="Y94" s="312">
        <f t="shared" si="7"/>
        <v>1</v>
      </c>
      <c r="Z94" s="315" cm="1">
        <f t="array" ref="Z94">_xlfn.IFS(Y94=0,0,Y94&gt;=1,Y94/$Y$113)</f>
        <v>6.25E-2</v>
      </c>
    </row>
    <row r="95" spans="2:26" ht="92" customHeight="1" x14ac:dyDescent="0.25">
      <c r="B95" s="1109"/>
      <c r="C95" s="1110"/>
      <c r="D95" s="1114"/>
      <c r="E95" s="1114"/>
      <c r="F95" s="1114"/>
      <c r="G95" s="1054"/>
      <c r="H95" s="1054"/>
      <c r="I95" s="1057"/>
      <c r="J95" s="1054"/>
      <c r="K95" s="1054"/>
      <c r="L95" s="417"/>
      <c r="M95" s="1027"/>
      <c r="N95" s="1153" t="s">
        <v>1889</v>
      </c>
      <c r="O95" s="1153"/>
      <c r="P95" s="1154"/>
      <c r="Q95" s="316">
        <f>COUNTIFS(input!$O:$O,May!$Q$67,input!$G:$G,May!N95,input!$A:$A,May!$B$2)</f>
        <v>0</v>
      </c>
      <c r="R95" s="316">
        <f>COUNTIFS(input!$O:$O,May!$R$67,input!$G:$G,May!N95,input!$A:$A,May!$B$2)</f>
        <v>0</v>
      </c>
      <c r="S95" s="316">
        <f>COUNTIFS(input!$O:$O,May!$S$67,input!$G:$G,May!N95,input!$A:$A,May!$B$2)</f>
        <v>0</v>
      </c>
      <c r="T95" s="321">
        <f>COUNTIFS(input!$O:$O,May!$T$67,input!$G:$G,May!N95,input!$A:$A,May!$B$2)</f>
        <v>1</v>
      </c>
      <c r="U95" s="322">
        <f>COUNTIFS(input!$O:$O,May!$U$67,input!$G:$G,May!N95,input!$A:$A,May!$B$2)</f>
        <v>0</v>
      </c>
      <c r="V95" s="322">
        <f>COUNTIFS(input!$O:$O,May!$V$67,input!$G:$G,May!N95,input!$A:$A,May!$B$2)</f>
        <v>0</v>
      </c>
      <c r="W95" s="323">
        <f>COUNTIFS(input!$O:$O,May!$W$67,input!$G:$G,May!N95,input!$A:$A,May!$B$2)</f>
        <v>0</v>
      </c>
      <c r="X95" s="324">
        <f>COUNTIFS(input!$O:$O,May!$X$67,input!$G:$G,May!N95,input!$A:$A,May!$B$2)</f>
        <v>0</v>
      </c>
      <c r="Y95" s="312">
        <f>SUM(Q95:X95)</f>
        <v>1</v>
      </c>
      <c r="Z95" s="315" cm="1">
        <f t="array" ref="Z95">_xlfn.IFS(Y95=0,0,Y95&gt;=1,Y95/$Y$113)</f>
        <v>6.25E-2</v>
      </c>
    </row>
    <row r="96" spans="2:26" ht="92" hidden="1" customHeight="1" x14ac:dyDescent="0.25">
      <c r="B96" s="1028" t="s">
        <v>15</v>
      </c>
      <c r="C96" s="1029"/>
      <c r="D96" s="1037">
        <f>COUNTIFS(input!$O:$O,May!$D$67,input!$K:$K,May!B96,input!$A:$A,May!$B$2)</f>
        <v>0</v>
      </c>
      <c r="E96" s="1037">
        <f>COUNTIFS(input!$O:$O,May!$E$67,input!$K:$K,May!B96,input!$A:$A,May!$B$2)</f>
        <v>0</v>
      </c>
      <c r="F96" s="1037">
        <f>COUNTIFS(input!$O:$O,May!$F$67,input!$K:$K,May!B96,input!$A:$A,May!$B$2)</f>
        <v>0</v>
      </c>
      <c r="G96" s="1043">
        <f>COUNTIFS(input!$O:$O,May!$G$67,input!$K:$K,May!B96,input!$A:$A,May!$B$2)</f>
        <v>3</v>
      </c>
      <c r="H96" s="1043">
        <f>COUNTIFS(input!$O:$O,May!$H$67,input!$K:$K,May!B96,input!$A:$A,May!$B$2)</f>
        <v>0</v>
      </c>
      <c r="I96" s="1055">
        <f>COUNTIFS(input!$O:$O,May!$I$67,input!$K:$K,May!B96,input!$A:$A,May!$B$2)</f>
        <v>0</v>
      </c>
      <c r="J96" s="1043">
        <f>COUNTIFS(input!$O:$O,May!$J$67,input!$K:$K,May!B96,input!$A:$A,May!$B$2)</f>
        <v>0</v>
      </c>
      <c r="K96" s="1043">
        <f>COUNTIFS(input!$O:$O,May!$K$67,input!$K:$K,May!B96,input!$A:$A,May!$B$2)</f>
        <v>1</v>
      </c>
      <c r="L96" s="1022">
        <f>SUM(D96:K111)</f>
        <v>4</v>
      </c>
      <c r="M96" s="1025">
        <f>_xlfn.IFS(L96=0,0,L96&gt;=1,L96/L113)</f>
        <v>0.25</v>
      </c>
      <c r="N96" s="1065" t="s">
        <v>55</v>
      </c>
      <c r="O96" s="1065"/>
      <c r="P96" s="1066"/>
      <c r="Q96" s="316">
        <f>COUNTIFS(input!$O:$O,May!$Q$67,input!$G:$G,May!N96,input!$A:$A,May!$B$2)</f>
        <v>0</v>
      </c>
      <c r="R96" s="316">
        <f>COUNTIFS(input!$O:$O,May!$R$67,input!$G:$G,May!N96,input!$A:$A,May!$B$2)</f>
        <v>0</v>
      </c>
      <c r="S96" s="316">
        <f>COUNTIFS(input!$O:$O,May!$S$67,input!$G:$G,May!N96,input!$A:$A,May!$B$2)</f>
        <v>0</v>
      </c>
      <c r="T96" s="321">
        <f>COUNTIFS(input!$O:$O,May!$T$67,input!$G:$G,May!N96,input!$A:$A,May!$B$2)</f>
        <v>0</v>
      </c>
      <c r="U96" s="322">
        <f>COUNTIFS(input!$O:$O,May!$U$67,input!$G:$G,May!N96,input!$A:$A,May!$B$2)</f>
        <v>0</v>
      </c>
      <c r="V96" s="322">
        <f>COUNTIFS(input!$O:$O,May!$V$67,input!$G:$G,May!N96,input!$A:$A,May!$B$2)</f>
        <v>0</v>
      </c>
      <c r="W96" s="323">
        <f>COUNTIFS(input!$O:$O,May!$W$67,input!$G:$G,May!N96,input!$A:$A,May!$B$2)</f>
        <v>0</v>
      </c>
      <c r="X96" s="324">
        <f>COUNTIFS(input!$O:$O,May!$X$67,input!$G:$G,May!N96,input!$A:$A,May!$B$2)</f>
        <v>0</v>
      </c>
      <c r="Y96" s="312">
        <f t="shared" si="7"/>
        <v>0</v>
      </c>
      <c r="Z96" s="315" cm="1">
        <f t="array" ref="Z96">_xlfn.IFS(Y96=0,0,Y96&gt;=1,Y96/$Y$113)</f>
        <v>0</v>
      </c>
    </row>
    <row r="97" spans="2:26" ht="92" hidden="1" customHeight="1" x14ac:dyDescent="0.25">
      <c r="B97" s="1030"/>
      <c r="C97" s="1031"/>
      <c r="D97" s="1038"/>
      <c r="E97" s="1038"/>
      <c r="F97" s="1038"/>
      <c r="G97" s="1044"/>
      <c r="H97" s="1044"/>
      <c r="I97" s="1056"/>
      <c r="J97" s="1044"/>
      <c r="K97" s="1044"/>
      <c r="L97" s="1023"/>
      <c r="M97" s="1026"/>
      <c r="N97" s="1065" t="s">
        <v>285</v>
      </c>
      <c r="O97" s="1065"/>
      <c r="P97" s="1066"/>
      <c r="Q97" s="316">
        <f>COUNTIFS(input!$O:$O,May!$Q$67,input!$G:$G,May!N97,input!$A:$A,May!$B$2)</f>
        <v>0</v>
      </c>
      <c r="R97" s="316">
        <f>COUNTIFS(input!$O:$O,May!$R$67,input!$G:$G,May!N97,input!$A:$A,May!$B$2)</f>
        <v>0</v>
      </c>
      <c r="S97" s="316">
        <f>COUNTIFS(input!$O:$O,May!$S$67,input!$G:$G,May!N97,input!$A:$A,May!$B$2)</f>
        <v>0</v>
      </c>
      <c r="T97" s="321">
        <f>COUNTIFS(input!$O:$O,May!$T$67,input!$G:$G,May!N97,input!$A:$A,May!$B$2)</f>
        <v>0</v>
      </c>
      <c r="U97" s="322">
        <f>COUNTIFS(input!$O:$O,May!$U$67,input!$G:$G,May!N97,input!$A:$A,May!$B$2)</f>
        <v>0</v>
      </c>
      <c r="V97" s="322">
        <f>COUNTIFS(input!$O:$O,May!$V$67,input!$G:$G,May!N97,input!$A:$A,May!$B$2)</f>
        <v>0</v>
      </c>
      <c r="W97" s="323">
        <f>COUNTIFS(input!$O:$O,May!$W$67,input!$G:$G,May!N97,input!$A:$A,May!$B$2)</f>
        <v>0</v>
      </c>
      <c r="X97" s="324">
        <f>COUNTIFS(input!$O:$O,May!$X$67,input!$G:$G,May!N97,input!$A:$A,May!$B$2)</f>
        <v>0</v>
      </c>
      <c r="Y97" s="312">
        <f t="shared" si="7"/>
        <v>0</v>
      </c>
      <c r="Z97" s="315" cm="1">
        <f t="array" ref="Z97">_xlfn.IFS(Y97=0,0,Y97&gt;=1,Y97/$Y$113)</f>
        <v>0</v>
      </c>
    </row>
    <row r="98" spans="2:26" ht="92" customHeight="1" x14ac:dyDescent="0.25">
      <c r="B98" s="1030"/>
      <c r="C98" s="1031"/>
      <c r="D98" s="1038"/>
      <c r="E98" s="1038"/>
      <c r="F98" s="1038"/>
      <c r="G98" s="1044"/>
      <c r="H98" s="1044"/>
      <c r="I98" s="1056"/>
      <c r="J98" s="1044"/>
      <c r="K98" s="1044"/>
      <c r="L98" s="1023"/>
      <c r="M98" s="1026"/>
      <c r="N98" s="1153" t="s">
        <v>142</v>
      </c>
      <c r="O98" s="1153"/>
      <c r="P98" s="1154"/>
      <c r="Q98" s="316">
        <f>COUNTIFS(input!$O:$O,May!$Q$67,input!$G:$G,May!N98,input!$A:$A,May!$B$2)</f>
        <v>0</v>
      </c>
      <c r="R98" s="316">
        <f>COUNTIFS(input!$O:$O,May!$R$67,input!$G:$G,May!N98,input!$A:$A,May!$B$2)</f>
        <v>1</v>
      </c>
      <c r="S98" s="316">
        <f>COUNTIFS(input!$O:$O,May!$S$67,input!$G:$G,May!N98,input!$A:$A,May!$B$2)</f>
        <v>0</v>
      </c>
      <c r="T98" s="321">
        <f>COUNTIFS(input!$O:$O,May!$T$67,input!$G:$G,May!N98,input!$A:$A,May!$B$2)</f>
        <v>0</v>
      </c>
      <c r="U98" s="322">
        <f>COUNTIFS(input!$O:$O,May!$U$67,input!$G:$G,May!N98,input!$A:$A,May!$B$2)</f>
        <v>0</v>
      </c>
      <c r="V98" s="322">
        <f>COUNTIFS(input!$O:$O,May!$V$67,input!$G:$G,May!N98,input!$A:$A,May!$B$2)</f>
        <v>0</v>
      </c>
      <c r="W98" s="323">
        <f>COUNTIFS(input!$O:$O,May!$W$67,input!$G:$G,May!N98,input!$A:$A,May!$B$2)</f>
        <v>0</v>
      </c>
      <c r="X98" s="324">
        <f>COUNTIFS(input!$O:$O,May!$X$67,input!$G:$G,May!N98,input!$A:$A,May!$B$2)</f>
        <v>0</v>
      </c>
      <c r="Y98" s="312">
        <f t="shared" si="7"/>
        <v>1</v>
      </c>
      <c r="Z98" s="315" cm="1">
        <f t="array" ref="Z98">_xlfn.IFS(Y98=0,0,Y98&gt;=1,Y98/$Y$113)</f>
        <v>6.25E-2</v>
      </c>
    </row>
    <row r="99" spans="2:26" ht="92" hidden="1" customHeight="1" x14ac:dyDescent="0.25">
      <c r="B99" s="1030"/>
      <c r="C99" s="1031"/>
      <c r="D99" s="1038"/>
      <c r="E99" s="1038"/>
      <c r="F99" s="1038"/>
      <c r="G99" s="1044"/>
      <c r="H99" s="1044"/>
      <c r="I99" s="1056"/>
      <c r="J99" s="1044"/>
      <c r="K99" s="1044"/>
      <c r="L99" s="1023"/>
      <c r="M99" s="1026"/>
      <c r="N99" s="1065" t="s">
        <v>778</v>
      </c>
      <c r="O99" s="1065"/>
      <c r="P99" s="1066"/>
      <c r="Q99" s="316">
        <f>COUNTIFS(input!$O:$O,May!$Q$67,input!$G:$G,May!N99,input!$A:$A,May!$B$2)</f>
        <v>0</v>
      </c>
      <c r="R99" s="316">
        <f>COUNTIFS(input!$O:$O,May!$R$67,input!$G:$G,May!N99,input!$A:$A,May!$B$2)</f>
        <v>0</v>
      </c>
      <c r="S99" s="316">
        <f>COUNTIFS(input!$O:$O,May!$S$67,input!$G:$G,May!N99,input!$A:$A,May!$B$2)</f>
        <v>0</v>
      </c>
      <c r="T99" s="321">
        <f>COUNTIFS(input!$O:$O,May!$T$67,input!$G:$G,May!N99,input!$A:$A,May!$B$2)</f>
        <v>0</v>
      </c>
      <c r="U99" s="322">
        <f>COUNTIFS(input!$O:$O,May!$U$67,input!$G:$G,May!N99,input!$A:$A,May!$B$2)</f>
        <v>0</v>
      </c>
      <c r="V99" s="322">
        <f>COUNTIFS(input!$O:$O,May!$V$67,input!$G:$G,May!N99,input!$A:$A,May!$B$2)</f>
        <v>0</v>
      </c>
      <c r="W99" s="323">
        <f>COUNTIFS(input!$O:$O,May!$W$67,input!$G:$G,May!N99,input!$A:$A,May!$B$2)</f>
        <v>0</v>
      </c>
      <c r="X99" s="324">
        <f>COUNTIFS(input!$O:$O,May!$X$67,input!$G:$G,May!N99,input!$A:$A,May!$B$2)</f>
        <v>0</v>
      </c>
      <c r="Y99" s="312">
        <f t="shared" si="7"/>
        <v>0</v>
      </c>
      <c r="Z99" s="315" cm="1">
        <f t="array" ref="Z99">_xlfn.IFS(Y99=0,0,Y99&gt;=1,Y99/$Y$113)</f>
        <v>0</v>
      </c>
    </row>
    <row r="100" spans="2:26" ht="92" hidden="1" customHeight="1" x14ac:dyDescent="0.25">
      <c r="B100" s="1030"/>
      <c r="C100" s="1031"/>
      <c r="D100" s="1038"/>
      <c r="E100" s="1038"/>
      <c r="F100" s="1038"/>
      <c r="G100" s="1044"/>
      <c r="H100" s="1044"/>
      <c r="I100" s="1056"/>
      <c r="J100" s="1044"/>
      <c r="K100" s="1044"/>
      <c r="L100" s="1023"/>
      <c r="M100" s="1026"/>
      <c r="N100" s="1065" t="s">
        <v>1411</v>
      </c>
      <c r="O100" s="1065"/>
      <c r="P100" s="1066"/>
      <c r="Q100" s="316">
        <f>COUNTIFS(input!$O:$O,May!$Q$67,input!$G:$G,May!N100,input!$A:$A,May!$B$2)</f>
        <v>0</v>
      </c>
      <c r="R100" s="316">
        <f>COUNTIFS(input!$O:$O,May!$R$67,input!$G:$G,May!N100,input!$A:$A,May!$B$2)</f>
        <v>0</v>
      </c>
      <c r="S100" s="316">
        <f>COUNTIFS(input!$O:$O,May!$S$67,input!$G:$G,May!N100,input!$A:$A,May!$B$2)</f>
        <v>0</v>
      </c>
      <c r="T100" s="321">
        <f>COUNTIFS(input!$O:$O,May!$T$67,input!$G:$G,May!N100,input!$A:$A,May!$B$2)</f>
        <v>0</v>
      </c>
      <c r="U100" s="322">
        <f>COUNTIFS(input!$O:$O,May!$U$67,input!$G:$G,May!N100,input!$A:$A,May!$B$2)</f>
        <v>0</v>
      </c>
      <c r="V100" s="322">
        <f>COUNTIFS(input!$O:$O,May!$V$67,input!$G:$G,May!N100,input!$A:$A,May!$B$2)</f>
        <v>0</v>
      </c>
      <c r="W100" s="323">
        <f>COUNTIFS(input!$O:$O,May!$W$67,input!$G:$G,May!N100,input!$A:$A,May!$B$2)</f>
        <v>0</v>
      </c>
      <c r="X100" s="324">
        <f>COUNTIFS(input!$O:$O,May!$X$67,input!$G:$G,May!N100,input!$A:$A,May!$B$2)</f>
        <v>0</v>
      </c>
      <c r="Y100" s="312">
        <f t="shared" si="7"/>
        <v>0</v>
      </c>
      <c r="Z100" s="315" cm="1">
        <f t="array" ref="Z100">_xlfn.IFS(Y100=0,0,Y100&gt;=1,Y100/$Y$113)</f>
        <v>0</v>
      </c>
    </row>
    <row r="101" spans="2:26" ht="92" hidden="1" customHeight="1" x14ac:dyDescent="0.25">
      <c r="B101" s="1030"/>
      <c r="C101" s="1031"/>
      <c r="D101" s="1038"/>
      <c r="E101" s="1038"/>
      <c r="F101" s="1038"/>
      <c r="G101" s="1044"/>
      <c r="H101" s="1044"/>
      <c r="I101" s="1056"/>
      <c r="J101" s="1044"/>
      <c r="K101" s="1044"/>
      <c r="L101" s="1023"/>
      <c r="M101" s="1026"/>
      <c r="N101" s="1121" t="s">
        <v>877</v>
      </c>
      <c r="O101" s="1065"/>
      <c r="P101" s="1066"/>
      <c r="Q101" s="316">
        <f>COUNTIFS(input!$O:$O,May!$Q$67,input!$G:$G,May!N101,input!$A:$A,May!$B$2)</f>
        <v>0</v>
      </c>
      <c r="R101" s="316">
        <f>COUNTIFS(input!$O:$O,May!$R$67,input!$G:$G,May!N101,input!$A:$A,May!$B$2)</f>
        <v>0</v>
      </c>
      <c r="S101" s="316">
        <f>COUNTIFS(input!$O:$O,May!$S$67,input!$G:$G,May!N101,input!$A:$A,May!$B$2)</f>
        <v>0</v>
      </c>
      <c r="T101" s="321">
        <f>COUNTIFS(input!$O:$O,May!$T$67,input!$G:$G,May!N101,input!$A:$A,May!$B$2)</f>
        <v>0</v>
      </c>
      <c r="U101" s="322">
        <f>COUNTIFS(input!$O:$O,May!$U$67,input!$G:$G,May!N101,input!$A:$A,May!$B$2)</f>
        <v>0</v>
      </c>
      <c r="V101" s="322">
        <f>COUNTIFS(input!$O:$O,May!$V$67,input!$G:$G,May!N101,input!$A:$A,May!$B$2)</f>
        <v>0</v>
      </c>
      <c r="W101" s="323">
        <f>COUNTIFS(input!$O:$O,May!$W$67,input!$G:$G,May!N101,input!$A:$A,May!$B$2)</f>
        <v>0</v>
      </c>
      <c r="X101" s="324">
        <f>COUNTIFS(input!$O:$O,May!$X$67,input!$G:$G,May!N101,input!$A:$A,May!$B$2)</f>
        <v>0</v>
      </c>
      <c r="Y101" s="312">
        <f t="shared" si="7"/>
        <v>0</v>
      </c>
      <c r="Z101" s="315" cm="1">
        <f t="array" ref="Z101">_xlfn.IFS(Y101=0,0,Y101&gt;=1,Y101/$Y$113)</f>
        <v>0</v>
      </c>
    </row>
    <row r="102" spans="2:26" ht="92" customHeight="1" x14ac:dyDescent="0.25">
      <c r="B102" s="1030"/>
      <c r="C102" s="1031"/>
      <c r="D102" s="1038"/>
      <c r="E102" s="1038"/>
      <c r="F102" s="1038"/>
      <c r="G102" s="1044"/>
      <c r="H102" s="1044"/>
      <c r="I102" s="1056"/>
      <c r="J102" s="1044"/>
      <c r="K102" s="1044"/>
      <c r="L102" s="1023"/>
      <c r="M102" s="1026"/>
      <c r="N102" s="1153" t="s">
        <v>356</v>
      </c>
      <c r="O102" s="1153"/>
      <c r="P102" s="1154"/>
      <c r="Q102" s="316">
        <f>COUNTIFS(input!$O:$O,May!$Q$67,input!$G:$G,May!N102,input!$A:$A,May!$B$2)</f>
        <v>0</v>
      </c>
      <c r="R102" s="316">
        <f>COUNTIFS(input!$O:$O,May!$R$67,input!$G:$G,May!N102,input!$A:$A,May!$B$2)</f>
        <v>0</v>
      </c>
      <c r="S102" s="316">
        <f>COUNTIFS(input!$O:$O,May!$S$67,input!$G:$G,May!N102,input!$A:$A,May!$B$2)</f>
        <v>0</v>
      </c>
      <c r="T102" s="321">
        <f>COUNTIFS(input!$O:$O,May!$T$67,input!$G:$G,May!N102,input!$A:$A,May!$B$2)</f>
        <v>1</v>
      </c>
      <c r="U102" s="322">
        <f>COUNTIFS(input!$O:$O,May!$U$67,input!$G:$G,May!N102,input!$A:$A,May!$B$2)</f>
        <v>0</v>
      </c>
      <c r="V102" s="322">
        <f>COUNTIFS(input!$O:$O,May!$V$67,input!$G:$G,May!N102,input!$A:$A,May!$B$2)</f>
        <v>0</v>
      </c>
      <c r="W102" s="323">
        <f>COUNTIFS(input!$O:$O,May!$W$67,input!$G:$G,May!N102,input!$A:$A,May!$B$2)</f>
        <v>0</v>
      </c>
      <c r="X102" s="324">
        <f>COUNTIFS(input!$O:$O,May!$X$67,input!$G:$G,May!N102,input!$A:$A,May!$B$2)</f>
        <v>0</v>
      </c>
      <c r="Y102" s="312">
        <f t="shared" si="7"/>
        <v>1</v>
      </c>
      <c r="Z102" s="315" cm="1">
        <f t="array" ref="Z102">_xlfn.IFS(Y102=0,0,Y102&gt;=1,Y102/$Y$113)</f>
        <v>6.25E-2</v>
      </c>
    </row>
    <row r="103" spans="2:26" ht="92" hidden="1" customHeight="1" x14ac:dyDescent="0.25">
      <c r="B103" s="1030"/>
      <c r="C103" s="1031"/>
      <c r="D103" s="1038"/>
      <c r="E103" s="1038"/>
      <c r="F103" s="1038"/>
      <c r="G103" s="1044"/>
      <c r="H103" s="1044"/>
      <c r="I103" s="1056"/>
      <c r="J103" s="1044"/>
      <c r="K103" s="1044"/>
      <c r="L103" s="1023"/>
      <c r="M103" s="1026"/>
      <c r="N103" s="1065" t="s">
        <v>760</v>
      </c>
      <c r="O103" s="1065"/>
      <c r="P103" s="1066"/>
      <c r="Q103" s="316">
        <f>COUNTIFS(input!$O:$O,May!$Q$67,input!$G:$G,May!N103,input!$A:$A,May!$B$2)</f>
        <v>0</v>
      </c>
      <c r="R103" s="316">
        <f>COUNTIFS(input!$O:$O,May!$R$67,input!$G:$G,May!N103,input!$A:$A,May!$B$2)</f>
        <v>0</v>
      </c>
      <c r="S103" s="316">
        <f>COUNTIFS(input!$O:$O,May!$S$67,input!$G:$G,May!N103,input!$A:$A,May!$B$2)</f>
        <v>0</v>
      </c>
      <c r="T103" s="321">
        <f>COUNTIFS(input!$O:$O,May!$T$67,input!$G:$G,May!N103,input!$A:$A,May!$B$2)</f>
        <v>0</v>
      </c>
      <c r="U103" s="322">
        <f>COUNTIFS(input!$O:$O,May!$U$67,input!$G:$G,May!N103,input!$A:$A,May!$B$2)</f>
        <v>0</v>
      </c>
      <c r="V103" s="322">
        <f>COUNTIFS(input!$O:$O,May!$V$67,input!$G:$G,May!N103,input!$A:$A,May!$B$2)</f>
        <v>0</v>
      </c>
      <c r="W103" s="323">
        <f>COUNTIFS(input!$O:$O,May!$W$67,input!$G:$G,May!N103,input!$A:$A,May!$B$2)</f>
        <v>0</v>
      </c>
      <c r="X103" s="324">
        <f>COUNTIFS(input!$O:$O,May!$X$67,input!$G:$G,May!N103,input!$A:$A,May!$B$2)</f>
        <v>0</v>
      </c>
      <c r="Y103" s="312">
        <f t="shared" si="7"/>
        <v>0</v>
      </c>
      <c r="Z103" s="315" cm="1">
        <f t="array" ref="Z103">_xlfn.IFS(Y103=0,0,Y103&gt;=1,Y103/$Y$113)</f>
        <v>0</v>
      </c>
    </row>
    <row r="104" spans="2:26" ht="92" hidden="1" customHeight="1" x14ac:dyDescent="0.25">
      <c r="B104" s="1030"/>
      <c r="C104" s="1031"/>
      <c r="D104" s="1038"/>
      <c r="E104" s="1038"/>
      <c r="F104" s="1038"/>
      <c r="G104" s="1044"/>
      <c r="H104" s="1044"/>
      <c r="I104" s="1056"/>
      <c r="J104" s="1044"/>
      <c r="K104" s="1044"/>
      <c r="L104" s="1023"/>
      <c r="M104" s="1026"/>
      <c r="N104" s="1065" t="s">
        <v>414</v>
      </c>
      <c r="O104" s="1065"/>
      <c r="P104" s="1066"/>
      <c r="Q104" s="316">
        <f>COUNTIFS(input!$O:$O,May!$Q$67,input!$G:$G,May!N104,input!$A:$A,May!$B$2)</f>
        <v>0</v>
      </c>
      <c r="R104" s="316">
        <f>COUNTIFS(input!$O:$O,May!$R$67,input!$G:$G,May!N104,input!$A:$A,May!$B$2)</f>
        <v>0</v>
      </c>
      <c r="S104" s="316">
        <f>COUNTIFS(input!$O:$O,May!$S$67,input!$G:$G,May!N104,input!$A:$A,May!$B$2)</f>
        <v>0</v>
      </c>
      <c r="T104" s="321">
        <f>COUNTIFS(input!$O:$O,May!$T$67,input!$G:$G,May!N104,input!$A:$A,May!$B$2)</f>
        <v>0</v>
      </c>
      <c r="U104" s="322">
        <f>COUNTIFS(input!$O:$O,May!$U$67,input!$G:$G,May!N104,input!$A:$A,May!$B$2)</f>
        <v>0</v>
      </c>
      <c r="V104" s="322">
        <f>COUNTIFS(input!$O:$O,May!$V$67,input!$G:$G,May!N104,input!$A:$A,May!$B$2)</f>
        <v>0</v>
      </c>
      <c r="W104" s="323">
        <f>COUNTIFS(input!$O:$O,May!$W$67,input!$G:$G,May!N104,input!$A:$A,May!$B$2)</f>
        <v>0</v>
      </c>
      <c r="X104" s="324">
        <f>COUNTIFS(input!$O:$O,May!$X$67,input!$G:$G,May!N104,input!$A:$A,May!$B$2)</f>
        <v>0</v>
      </c>
      <c r="Y104" s="312">
        <f t="shared" si="7"/>
        <v>0</v>
      </c>
      <c r="Z104" s="315" cm="1">
        <f t="array" ref="Z104">_xlfn.IFS(Y104=0,0,Y104&gt;=1,Y104/$Y$113)</f>
        <v>0</v>
      </c>
    </row>
    <row r="105" spans="2:26" ht="92" customHeight="1" x14ac:dyDescent="0.25">
      <c r="B105" s="1030"/>
      <c r="C105" s="1031"/>
      <c r="D105" s="1038"/>
      <c r="E105" s="1038"/>
      <c r="F105" s="1038"/>
      <c r="G105" s="1044"/>
      <c r="H105" s="1044"/>
      <c r="I105" s="1056"/>
      <c r="J105" s="1044"/>
      <c r="K105" s="1044"/>
      <c r="L105" s="1023"/>
      <c r="M105" s="1026"/>
      <c r="N105" s="1153" t="s">
        <v>23</v>
      </c>
      <c r="O105" s="1153"/>
      <c r="P105" s="1154"/>
      <c r="Q105" s="316">
        <f>COUNTIFS(input!$O:$O,May!$Q$67,input!$G:$G,May!N105,input!$A:$A,May!$B$2)</f>
        <v>0</v>
      </c>
      <c r="R105" s="316">
        <f>COUNTIFS(input!$O:$O,May!$R$67,input!$G:$G,May!N105,input!$A:$A,May!$B$2)</f>
        <v>0</v>
      </c>
      <c r="S105" s="316">
        <f>COUNTIFS(input!$O:$O,May!$S$67,input!$G:$G,May!N105,input!$A:$A,May!$B$2)</f>
        <v>0</v>
      </c>
      <c r="T105" s="321">
        <f>COUNTIFS(input!$O:$O,May!$T$67,input!$G:$G,May!N105,input!$A:$A,May!$B$2)</f>
        <v>4</v>
      </c>
      <c r="U105" s="322">
        <f>COUNTIFS(input!$O:$O,May!$U$67,input!$G:$G,May!N105,input!$A:$A,May!$B$2)</f>
        <v>0</v>
      </c>
      <c r="V105" s="322">
        <f>COUNTIFS(input!$O:$O,May!$V$67,input!$G:$G,May!N105,input!$A:$A,May!$B$2)</f>
        <v>0</v>
      </c>
      <c r="W105" s="323">
        <f>COUNTIFS(input!$O:$O,May!$W$67,input!$G:$G,May!N105,input!$A:$A,May!$B$2)</f>
        <v>0</v>
      </c>
      <c r="X105" s="324">
        <f>COUNTIFS(input!$O:$O,May!$X$67,input!$G:$G,May!N105,input!$A:$A,May!$B$2)</f>
        <v>0</v>
      </c>
      <c r="Y105" s="312">
        <f t="shared" si="7"/>
        <v>4</v>
      </c>
      <c r="Z105" s="315" cm="1">
        <f t="array" ref="Z105">_xlfn.IFS(Y105=0,0,Y105&gt;=1,Y105/$Y$113)</f>
        <v>0.25</v>
      </c>
    </row>
    <row r="106" spans="2:26" ht="92" hidden="1" customHeight="1" x14ac:dyDescent="0.25">
      <c r="B106" s="1030"/>
      <c r="C106" s="1031"/>
      <c r="D106" s="1038"/>
      <c r="E106" s="1038"/>
      <c r="F106" s="1038"/>
      <c r="G106" s="1044"/>
      <c r="H106" s="1044"/>
      <c r="I106" s="1056"/>
      <c r="J106" s="1044"/>
      <c r="K106" s="1044"/>
      <c r="L106" s="1023"/>
      <c r="M106" s="1026"/>
      <c r="N106" s="1065" t="s">
        <v>704</v>
      </c>
      <c r="O106" s="1065"/>
      <c r="P106" s="1066"/>
      <c r="Q106" s="316">
        <f>COUNTIFS(input!$O:$O,May!$Q$67,input!$G:$G,May!N106,input!$A:$A,May!$B$2)</f>
        <v>0</v>
      </c>
      <c r="R106" s="316">
        <f>COUNTIFS(input!$O:$O,May!$R$67,input!$G:$G,May!N106,input!$A:$A,May!$B$2)</f>
        <v>0</v>
      </c>
      <c r="S106" s="316">
        <f>COUNTIFS(input!$O:$O,May!$S$67,input!$G:$G,May!N106,input!$A:$A,May!$B$2)</f>
        <v>0</v>
      </c>
      <c r="T106" s="321">
        <f>COUNTIFS(input!$O:$O,May!$T$67,input!$G:$G,May!N106,input!$A:$A,May!$B$2)</f>
        <v>0</v>
      </c>
      <c r="U106" s="322">
        <f>COUNTIFS(input!$O:$O,May!$U$67,input!$G:$G,May!N106,input!$A:$A,May!$B$2)</f>
        <v>0</v>
      </c>
      <c r="V106" s="322">
        <f>COUNTIFS(input!$O:$O,May!$V$67,input!$G:$G,May!N106,input!$A:$A,May!$B$2)</f>
        <v>0</v>
      </c>
      <c r="W106" s="323">
        <f>COUNTIFS(input!$O:$O,May!$W$67,input!$G:$G,May!N106,input!$A:$A,May!$B$2)</f>
        <v>0</v>
      </c>
      <c r="X106" s="324">
        <f>COUNTIFS(input!$O:$O,May!$X$67,input!$G:$G,May!N106,input!$A:$A,May!$B$2)</f>
        <v>0</v>
      </c>
      <c r="Y106" s="312">
        <f t="shared" si="7"/>
        <v>0</v>
      </c>
      <c r="Z106" s="315" cm="1">
        <f t="array" ref="Z106">_xlfn.IFS(Y106=0,0,Y106&gt;=1,Y106/$Y$113)</f>
        <v>0</v>
      </c>
    </row>
    <row r="107" spans="2:26" ht="92" hidden="1" customHeight="1" x14ac:dyDescent="0.25">
      <c r="B107" s="1030"/>
      <c r="C107" s="1031"/>
      <c r="D107" s="1038"/>
      <c r="E107" s="1038"/>
      <c r="F107" s="1038"/>
      <c r="G107" s="1044"/>
      <c r="H107" s="1044"/>
      <c r="I107" s="1056"/>
      <c r="J107" s="1044"/>
      <c r="K107" s="1044"/>
      <c r="L107" s="1023"/>
      <c r="M107" s="1026"/>
      <c r="N107" s="1065" t="s">
        <v>710</v>
      </c>
      <c r="O107" s="1065"/>
      <c r="P107" s="1066"/>
      <c r="Q107" s="316">
        <f>COUNTIFS(input!$O:$O,May!$Q$67,input!$G:$G,May!N107,input!$A:$A,May!$B$2)</f>
        <v>0</v>
      </c>
      <c r="R107" s="316">
        <f>COUNTIFS(input!$O:$O,May!$R$67,input!$G:$G,May!N107,input!$A:$A,May!$B$2)</f>
        <v>0</v>
      </c>
      <c r="S107" s="316">
        <f>COUNTIFS(input!$O:$O,May!$S$67,input!$G:$G,May!N107,input!$A:$A,May!$B$2)</f>
        <v>0</v>
      </c>
      <c r="T107" s="321">
        <f>COUNTIFS(input!$O:$O,May!$T$67,input!$G:$G,May!N107,input!$A:$A,May!$B$2)</f>
        <v>0</v>
      </c>
      <c r="U107" s="322">
        <f>COUNTIFS(input!$O:$O,May!$U$67,input!$G:$G,May!N107,input!$A:$A,May!$B$2)</f>
        <v>0</v>
      </c>
      <c r="V107" s="322">
        <f>COUNTIFS(input!$O:$O,May!$V$67,input!$G:$G,May!N107,input!$A:$A,May!$B$2)</f>
        <v>0</v>
      </c>
      <c r="W107" s="323">
        <f>COUNTIFS(input!$O:$O,May!$W$67,input!$G:$G,May!N107,input!$A:$A,May!$B$2)</f>
        <v>0</v>
      </c>
      <c r="X107" s="324">
        <f>COUNTIFS(input!$O:$O,May!$X$67,input!$G:$G,May!N107,input!$A:$A,May!$B$2)</f>
        <v>0</v>
      </c>
      <c r="Y107" s="312">
        <f t="shared" si="7"/>
        <v>0</v>
      </c>
      <c r="Z107" s="315" cm="1">
        <f t="array" ref="Z107">_xlfn.IFS(Y107=0,0,Y107&gt;=1,Y107/$Y$113)</f>
        <v>0</v>
      </c>
    </row>
    <row r="108" spans="2:26" ht="92" hidden="1" customHeight="1" x14ac:dyDescent="0.25">
      <c r="B108" s="1030"/>
      <c r="C108" s="1031"/>
      <c r="D108" s="1038"/>
      <c r="E108" s="1038"/>
      <c r="F108" s="1038"/>
      <c r="G108" s="1044"/>
      <c r="H108" s="1044"/>
      <c r="I108" s="1056"/>
      <c r="J108" s="1044"/>
      <c r="K108" s="1044"/>
      <c r="L108" s="1023"/>
      <c r="M108" s="1026"/>
      <c r="N108" s="1065" t="s">
        <v>1407</v>
      </c>
      <c r="O108" s="1065"/>
      <c r="P108" s="1066"/>
      <c r="Q108" s="316">
        <f>COUNTIFS(input!$O:$O,May!$Q$67,input!$G:$G,May!N108,input!$A:$A,May!$B$2)</f>
        <v>0</v>
      </c>
      <c r="R108" s="316">
        <f>COUNTIFS(input!$O:$O,May!$R$67,input!$G:$G,May!N108,input!$A:$A,May!$B$2)</f>
        <v>0</v>
      </c>
      <c r="S108" s="316">
        <f>COUNTIFS(input!$O:$O,May!$S$67,input!$G:$G,May!N108,input!$A:$A,May!$B$2)</f>
        <v>0</v>
      </c>
      <c r="T108" s="321">
        <f>COUNTIFS(input!$O:$O,May!$T$67,input!$G:$G,May!N108,input!$A:$A,May!$B$2)</f>
        <v>0</v>
      </c>
      <c r="U108" s="322">
        <f>COUNTIFS(input!$O:$O,May!$U$67,input!$G:$G,May!N108,input!$A:$A,May!$B$2)</f>
        <v>0</v>
      </c>
      <c r="V108" s="322">
        <f>COUNTIFS(input!$O:$O,May!$V$67,input!$G:$G,May!N108,input!$A:$A,May!$B$2)</f>
        <v>0</v>
      </c>
      <c r="W108" s="323">
        <f>COUNTIFS(input!$O:$O,May!$W$67,input!$G:$G,May!N108,input!$A:$A,May!$B$2)</f>
        <v>0</v>
      </c>
      <c r="X108" s="324">
        <f>COUNTIFS(input!$O:$O,May!$X$67,input!$G:$G,May!N108,input!$A:$A,May!$B$2)</f>
        <v>0</v>
      </c>
      <c r="Y108" s="312">
        <f t="shared" si="7"/>
        <v>0</v>
      </c>
      <c r="Z108" s="315" cm="1">
        <f t="array" ref="Z108">_xlfn.IFS(Y108=0,0,Y108&gt;=1,Y108/$Y$113)</f>
        <v>0</v>
      </c>
    </row>
    <row r="109" spans="2:26" ht="92" hidden="1" customHeight="1" x14ac:dyDescent="0.25">
      <c r="B109" s="1030"/>
      <c r="C109" s="1031"/>
      <c r="D109" s="1038"/>
      <c r="E109" s="1038"/>
      <c r="F109" s="1038"/>
      <c r="G109" s="1044"/>
      <c r="H109" s="1044"/>
      <c r="I109" s="1056"/>
      <c r="J109" s="1044"/>
      <c r="K109" s="1044"/>
      <c r="L109" s="1023"/>
      <c r="M109" s="1026"/>
      <c r="N109" s="1065" t="s">
        <v>779</v>
      </c>
      <c r="O109" s="1065"/>
      <c r="P109" s="1066"/>
      <c r="Q109" s="316">
        <f>COUNTIFS(input!$O:$O,May!$Q$67,input!$G:$G,May!N109,input!$A:$A,May!$B$2)</f>
        <v>0</v>
      </c>
      <c r="R109" s="316">
        <f>COUNTIFS(input!$O:$O,May!$R$67,input!$G:$G,May!N109,input!$A:$A,May!$B$2)</f>
        <v>0</v>
      </c>
      <c r="S109" s="316">
        <f>COUNTIFS(input!$O:$O,May!$S$67,input!$G:$G,May!N109,input!$A:$A,May!$B$2)</f>
        <v>0</v>
      </c>
      <c r="T109" s="321">
        <f>COUNTIFS(input!$O:$O,May!$T$67,input!$G:$G,May!N109,input!$A:$A,May!$B$2)</f>
        <v>0</v>
      </c>
      <c r="U109" s="322">
        <f>COUNTIFS(input!$O:$O,May!$U$67,input!$G:$G,May!N109,input!$A:$A,May!$B$2)</f>
        <v>0</v>
      </c>
      <c r="V109" s="322">
        <f>COUNTIFS(input!$O:$O,May!$V$67,input!$G:$G,May!N109,input!$A:$A,May!$B$2)</f>
        <v>0</v>
      </c>
      <c r="W109" s="323">
        <f>COUNTIFS(input!$O:$O,May!$W$67,input!$G:$G,May!N109,input!$A:$A,May!$B$2)</f>
        <v>0</v>
      </c>
      <c r="X109" s="324">
        <f>COUNTIFS(input!$O:$O,May!$X$67,input!$G:$G,May!N109,input!$A:$A,May!$B$2)</f>
        <v>0</v>
      </c>
      <c r="Y109" s="312">
        <f t="shared" si="7"/>
        <v>0</v>
      </c>
      <c r="Z109" s="315" cm="1">
        <f t="array" ref="Z109">_xlfn.IFS(Y109=0,0,Y109&gt;=1,Y109/$Y$113)</f>
        <v>0</v>
      </c>
    </row>
    <row r="110" spans="2:26" ht="92" hidden="1" customHeight="1" x14ac:dyDescent="0.25">
      <c r="B110" s="1030"/>
      <c r="C110" s="1031"/>
      <c r="D110" s="1038"/>
      <c r="E110" s="1038"/>
      <c r="F110" s="1038"/>
      <c r="G110" s="1044"/>
      <c r="H110" s="1044"/>
      <c r="I110" s="1056"/>
      <c r="J110" s="1044"/>
      <c r="K110" s="1044"/>
      <c r="L110" s="1023"/>
      <c r="M110" s="1026"/>
      <c r="N110" s="1065" t="s">
        <v>1391</v>
      </c>
      <c r="O110" s="1065"/>
      <c r="P110" s="1066"/>
      <c r="Q110" s="316">
        <f>COUNTIFS(input!$O:$O,May!$Q$67,input!$G:$G,May!N110,input!$A:$A,May!$B$2)</f>
        <v>0</v>
      </c>
      <c r="R110" s="316">
        <f>COUNTIFS(input!$O:$O,May!$R$67,input!$G:$G,May!N110,input!$A:$A,May!$B$2)</f>
        <v>0</v>
      </c>
      <c r="S110" s="316">
        <f>COUNTIFS(input!$O:$O,May!$S$67,input!$G:$G,May!N110,input!$A:$A,May!$B$2)</f>
        <v>0</v>
      </c>
      <c r="T110" s="321">
        <f>COUNTIFS(input!$O:$O,May!$T$67,input!$G:$G,May!N110,input!$A:$A,May!$B$2)</f>
        <v>0</v>
      </c>
      <c r="U110" s="322">
        <f>COUNTIFS(input!$O:$O,May!$U$67,input!$G:$G,May!N110,input!$A:$A,May!$B$2)</f>
        <v>0</v>
      </c>
      <c r="V110" s="322">
        <f>COUNTIFS(input!$O:$O,May!$V$67,input!$G:$G,May!N110,input!$A:$A,May!$B$2)</f>
        <v>0</v>
      </c>
      <c r="W110" s="323">
        <f>COUNTIFS(input!$O:$O,May!$W$67,input!$G:$G,May!N110,input!$A:$A,May!$B$2)</f>
        <v>0</v>
      </c>
      <c r="X110" s="324">
        <f>COUNTIFS(input!$O:$O,May!$X$67,input!$G:$G,May!N110,input!$A:$A,May!$B$2)</f>
        <v>0</v>
      </c>
      <c r="Y110" s="312">
        <f t="shared" si="7"/>
        <v>0</v>
      </c>
      <c r="Z110" s="315" cm="1">
        <f t="array" ref="Z110">_xlfn.IFS(Y110=0,0,Y110&gt;=1,Y110/$Y$113)</f>
        <v>0</v>
      </c>
    </row>
    <row r="111" spans="2:26" ht="92" hidden="1" x14ac:dyDescent="0.25">
      <c r="B111" s="1030"/>
      <c r="C111" s="1031"/>
      <c r="D111" s="1038"/>
      <c r="E111" s="1038"/>
      <c r="F111" s="1038"/>
      <c r="G111" s="1044"/>
      <c r="H111" s="1044"/>
      <c r="I111" s="1056"/>
      <c r="J111" s="1044"/>
      <c r="K111" s="1044"/>
      <c r="L111" s="1023"/>
      <c r="M111" s="1026"/>
      <c r="N111" s="1065" t="s">
        <v>181</v>
      </c>
      <c r="O111" s="1065"/>
      <c r="P111" s="1066"/>
      <c r="Q111" s="316">
        <f>COUNTIFS(input!$O:$O,May!$Q$67,input!$G:$G,May!N111,input!$A:$A,May!$B$2)</f>
        <v>0</v>
      </c>
      <c r="R111" s="316">
        <f>COUNTIFS(input!$O:$O,May!$R$67,input!$G:$G,May!N111,input!$A:$A,May!$B$2)</f>
        <v>0</v>
      </c>
      <c r="S111" s="316">
        <f>COUNTIFS(input!$O:$O,May!$S$67,input!$G:$G,May!N111,input!$A:$A,May!$B$2)</f>
        <v>0</v>
      </c>
      <c r="T111" s="321">
        <f>COUNTIFS(input!$O:$O,May!$T$67,input!$G:$G,May!N111,input!$A:$A,May!$B$2)</f>
        <v>0</v>
      </c>
      <c r="U111" s="322">
        <f>COUNTIFS(input!$O:$O,May!$U$67,input!$G:$G,May!N111,input!$A:$A,May!$B$2)</f>
        <v>0</v>
      </c>
      <c r="V111" s="322">
        <f>COUNTIFS(input!$O:$O,May!$V$67,input!$G:$G,May!N111,input!$A:$A,May!$B$2)</f>
        <v>0</v>
      </c>
      <c r="W111" s="323">
        <f>COUNTIFS(input!$O:$O,May!$W$67,input!$G:$G,May!N111,input!$A:$A,May!$B$2)</f>
        <v>0</v>
      </c>
      <c r="X111" s="324">
        <f>COUNTIFS(input!$O:$O,May!$X$67,input!$G:$G,May!N111,input!$A:$A,May!$B$2)</f>
        <v>0</v>
      </c>
      <c r="Y111" s="312">
        <f t="shared" si="7"/>
        <v>0</v>
      </c>
      <c r="Z111" s="315" cm="1">
        <f t="array" ref="Z111">_xlfn.IFS(Y111=0,0,Y111&gt;=1,Y111/$Y$113)</f>
        <v>0</v>
      </c>
    </row>
    <row r="112" spans="2:26" ht="92" x14ac:dyDescent="0.25">
      <c r="B112" s="1032"/>
      <c r="C112" s="1033"/>
      <c r="D112" s="1039"/>
      <c r="E112" s="1039"/>
      <c r="F112" s="1039"/>
      <c r="G112" s="1045"/>
      <c r="H112" s="1045"/>
      <c r="I112" s="1175"/>
      <c r="J112" s="1045"/>
      <c r="K112" s="1045"/>
      <c r="L112" s="1174"/>
      <c r="M112" s="1173"/>
      <c r="N112" s="1153" t="s">
        <v>1828</v>
      </c>
      <c r="O112" s="1153"/>
      <c r="P112" s="1154"/>
      <c r="Q112" s="316">
        <f>COUNTIFS(input!$O:$O,May!$Q$67,input!$G:$G,May!N112,input!$A:$A,May!$B$2)</f>
        <v>0</v>
      </c>
      <c r="R112" s="316">
        <f>COUNTIFS(input!$O:$O,May!$R$67,input!$G:$G,May!N112,input!$A:$A,May!$B$2)</f>
        <v>1</v>
      </c>
      <c r="S112" s="316">
        <f>COUNTIFS(input!$O:$O,May!$S$67,input!$G:$G,May!N112,input!$A:$A,May!$B$2)</f>
        <v>0</v>
      </c>
      <c r="T112" s="321">
        <f>COUNTIFS(input!$O:$O,May!$T$67,input!$G:$G,May!N112,input!$A:$A,May!$B$2)</f>
        <v>0</v>
      </c>
      <c r="U112" s="322">
        <f>COUNTIFS(input!$O:$O,May!$U$67,input!$G:$G,May!N112,input!$A:$A,May!$B$2)</f>
        <v>0</v>
      </c>
      <c r="V112" s="322">
        <f>COUNTIFS(input!$O:$O,May!$V$67,input!$G:$G,May!N112,input!$A:$A,May!$B$2)</f>
        <v>0</v>
      </c>
      <c r="W112" s="323">
        <f>COUNTIFS(input!$O:$O,May!$W$67,input!$G:$G,May!N112,input!$A:$A,May!$B$2)</f>
        <v>0</v>
      </c>
      <c r="X112" s="324">
        <f>COUNTIFS(input!$O:$O,May!$X$67,input!$G:$G,May!N112,input!$A:$A,May!$B$2)</f>
        <v>0</v>
      </c>
      <c r="Y112" s="312">
        <f t="shared" si="7"/>
        <v>1</v>
      </c>
      <c r="Z112" s="315" cm="1">
        <f t="array" ref="Z112">_xlfn.IFS(Y112=0,0,Y112&gt;=1,Y112/$Y$113)</f>
        <v>6.25E-2</v>
      </c>
    </row>
    <row r="113" spans="2:26" ht="90.5" thickBot="1" x14ac:dyDescent="0.3">
      <c r="B113" s="1005" t="s">
        <v>4</v>
      </c>
      <c r="C113" s="984"/>
      <c r="D113" s="340">
        <f t="shared" ref="D113:M113" si="8">SUM(D68:D103)</f>
        <v>0</v>
      </c>
      <c r="E113" s="340">
        <f t="shared" si="8"/>
        <v>3</v>
      </c>
      <c r="F113" s="340">
        <f t="shared" si="8"/>
        <v>0</v>
      </c>
      <c r="G113" s="340">
        <f t="shared" si="8"/>
        <v>10</v>
      </c>
      <c r="H113" s="340">
        <f t="shared" si="8"/>
        <v>0</v>
      </c>
      <c r="I113" s="340">
        <f t="shared" si="8"/>
        <v>2</v>
      </c>
      <c r="J113" s="340">
        <f t="shared" si="8"/>
        <v>0</v>
      </c>
      <c r="K113" s="340">
        <f t="shared" si="8"/>
        <v>1</v>
      </c>
      <c r="L113" s="340">
        <f t="shared" si="8"/>
        <v>16</v>
      </c>
      <c r="M113" s="341">
        <f t="shared" si="8"/>
        <v>1</v>
      </c>
      <c r="N113" s="983" t="s">
        <v>4</v>
      </c>
      <c r="O113" s="983"/>
      <c r="P113" s="984"/>
      <c r="Q113" s="340">
        <f t="shared" ref="Q113:W113" si="9">SUM(Q68:Q103)</f>
        <v>0</v>
      </c>
      <c r="R113" s="340">
        <f t="shared" si="9"/>
        <v>2</v>
      </c>
      <c r="S113" s="340">
        <f t="shared" si="9"/>
        <v>0</v>
      </c>
      <c r="T113" s="340">
        <f t="shared" si="9"/>
        <v>6</v>
      </c>
      <c r="U113" s="340">
        <f t="shared" si="9"/>
        <v>0</v>
      </c>
      <c r="V113" s="340">
        <f t="shared" si="9"/>
        <v>2</v>
      </c>
      <c r="W113" s="340">
        <f t="shared" si="9"/>
        <v>0</v>
      </c>
      <c r="X113" s="340">
        <f>SUM(X68:X111)</f>
        <v>1</v>
      </c>
      <c r="Y113" s="340">
        <f>SUM(Y68:Y112)</f>
        <v>16</v>
      </c>
      <c r="Z113" s="341">
        <f>SUM(Z68:Z112)</f>
        <v>1</v>
      </c>
    </row>
    <row r="114" spans="2:26" ht="270" x14ac:dyDescent="0.25">
      <c r="B114" s="1006" t="s">
        <v>44</v>
      </c>
      <c r="C114" s="1007"/>
      <c r="D114" s="308" t="s">
        <v>6</v>
      </c>
      <c r="E114" s="308" t="s">
        <v>2</v>
      </c>
      <c r="F114" s="308" t="s">
        <v>3</v>
      </c>
      <c r="G114" s="308" t="s">
        <v>1</v>
      </c>
      <c r="H114" s="308" t="s">
        <v>0</v>
      </c>
      <c r="I114" s="308" t="s">
        <v>53</v>
      </c>
      <c r="J114" s="308" t="s">
        <v>12</v>
      </c>
      <c r="K114" s="308" t="s">
        <v>693</v>
      </c>
      <c r="L114" s="308" t="s">
        <v>5</v>
      </c>
      <c r="M114" s="336" t="s">
        <v>40</v>
      </c>
      <c r="N114" s="1008" t="s">
        <v>70</v>
      </c>
      <c r="O114" s="1008"/>
      <c r="P114" s="1007"/>
      <c r="Q114" s="308" t="s">
        <v>6</v>
      </c>
      <c r="R114" s="308" t="s">
        <v>2</v>
      </c>
      <c r="S114" s="308" t="s">
        <v>3</v>
      </c>
      <c r="T114" s="308" t="s">
        <v>1</v>
      </c>
      <c r="U114" s="308" t="s">
        <v>0</v>
      </c>
      <c r="V114" s="308" t="s">
        <v>53</v>
      </c>
      <c r="W114" s="308" t="s">
        <v>12</v>
      </c>
      <c r="X114" s="308" t="s">
        <v>693</v>
      </c>
      <c r="Y114" s="308" t="s">
        <v>5</v>
      </c>
      <c r="Z114" s="309" t="s">
        <v>40</v>
      </c>
    </row>
    <row r="115" spans="2:26" ht="92" x14ac:dyDescent="0.25">
      <c r="B115" s="1121" t="s">
        <v>357</v>
      </c>
      <c r="C115" s="1066"/>
      <c r="D115" s="310">
        <f>COUNTIFS(input!$O:$O,May!$D$114,input!$W:$W,May!B115,input!$A:$A,May!$B$2)</f>
        <v>0</v>
      </c>
      <c r="E115" s="310">
        <f>COUNTIFS(input!$O:$O,May!$E$114,input!$W:$W,May!B115,input!$A:$A,May!$B$2)</f>
        <v>0</v>
      </c>
      <c r="F115" s="310">
        <f>COUNTIFS(input!$O:$O,May!$F$114,input!$W:$W,May!B115,input!$A:$A,May!$B$2)</f>
        <v>0</v>
      </c>
      <c r="G115" s="314">
        <f>COUNTIFS(input!$O:$O,May!$G$114,input!$W:$W,May!B115,input!$A:$A,May!$B$2)</f>
        <v>0</v>
      </c>
      <c r="H115" s="314">
        <f>COUNTIFS(input!$O:$O,May!$H$114,input!$W:$W,May!B115,input!$A:$A,May!$B$2)</f>
        <v>0</v>
      </c>
      <c r="I115" s="314">
        <f>COUNTIFS(input!$O:$O,May!$I$114,input!$W:$W,May!B115,input!$A:$A,May!$B$2)</f>
        <v>0</v>
      </c>
      <c r="J115" s="314">
        <f>COUNTIFS(input!$O:$O,May!$J$114,input!$W:$W,May!B115,input!$A:$A,May!$B$2)</f>
        <v>0</v>
      </c>
      <c r="K115" s="314">
        <f>COUNTIFS(input!$O:$O,May!$K$114,input!$W:$W,May!B115,input!$A:$A,May!$B$2)</f>
        <v>0</v>
      </c>
      <c r="L115" s="312">
        <f>SUM(D115:K115)</f>
        <v>0</v>
      </c>
      <c r="M115" s="313" cm="1">
        <f t="array" ref="M115">_xlfn.IFS(L115=0,0,L115&gt;=1,L115/$L$169)</f>
        <v>0</v>
      </c>
      <c r="N115" s="1009" t="s">
        <v>370</v>
      </c>
      <c r="O115" s="1009"/>
      <c r="P115" s="1010"/>
      <c r="Q115" s="310">
        <f>COUNTIFS(input!$O:$O,May!$Q$114,input!$X:$X,May!N115,input!$A:$A,May!$B$2)</f>
        <v>0</v>
      </c>
      <c r="R115" s="310">
        <f>COUNTIFS(input!$O:$O,May!$R$114,input!$X:$X,May!N115,input!$A:$A,May!$B$2)</f>
        <v>0</v>
      </c>
      <c r="S115" s="310">
        <f>COUNTIFS(input!$O:$O,May!$S$114,input!$X:$X,May!N115,input!$A:$A,May!$B$2)</f>
        <v>0</v>
      </c>
      <c r="T115" s="314">
        <f>COUNTIFS(input!$O:$O,May!$T$114,input!$X:$X,May!N115,input!$A:$A,May!$B$2)</f>
        <v>3</v>
      </c>
      <c r="U115" s="314">
        <f>COUNTIFS(input!$O:$O,May!$U$114,input!$X:$X,May!N115,input!$A:$A,May!$B$2)</f>
        <v>0</v>
      </c>
      <c r="V115" s="342">
        <f>COUNTIFS(input!$O:$O,May!$V$114,input!$X:$X,May!N115,input!$A:$A,May!$B$2)</f>
        <v>0</v>
      </c>
      <c r="W115" s="342">
        <f>COUNTIFS(input!$O:$O,May!$W$114,input!$X:$X,May!N115,input!$A:$A,May!$B$2)</f>
        <v>0</v>
      </c>
      <c r="X115" s="314">
        <f>COUNTIFS(input!$O:$O,May!$X$114,input!$X:$X,May!N115,input!$A:$A,May!$B$2)</f>
        <v>0</v>
      </c>
      <c r="Y115" s="312">
        <f>SUM(Q115:X115)</f>
        <v>3</v>
      </c>
      <c r="Z115" s="315" cm="1">
        <f t="array" ref="Z115">_xlfn.IFS(Y115=0,0,Y115&gt;=1,Y115/$Y$169)</f>
        <v>0.1875</v>
      </c>
    </row>
    <row r="116" spans="2:26" ht="92" hidden="1" x14ac:dyDescent="0.25">
      <c r="B116" s="1121" t="s">
        <v>605</v>
      </c>
      <c r="C116" s="1066"/>
      <c r="D116" s="316">
        <f>COUNTIFS(input!$O:$O,May!$D$114,input!$W:$W,May!B116,input!$A:$A,May!$B$2)</f>
        <v>0</v>
      </c>
      <c r="E116" s="316">
        <f>COUNTIFS(input!$O:$O,May!$E$114,input!$W:$W,May!B116,input!$A:$A,May!$B$2)</f>
        <v>0</v>
      </c>
      <c r="F116" s="316">
        <f>COUNTIFS(input!$O:$O,May!$F$114,input!$W:$W,May!B116,input!$A:$A,May!$B$2)</f>
        <v>0</v>
      </c>
      <c r="G116" s="322">
        <f>COUNTIFS(input!$O:$O,May!$G$114,input!$W:$W,May!B116,input!$A:$A,May!$B$2)</f>
        <v>0</v>
      </c>
      <c r="H116" s="321">
        <f>COUNTIFS(input!$O:$O,May!$H$114,input!$W:$W,May!B116,input!$A:$A,May!$B$2)</f>
        <v>0</v>
      </c>
      <c r="I116" s="321">
        <f>COUNTIFS(input!$O:$O,May!$I$114,input!$W:$W,May!B116,input!$A:$A,May!$B$2)</f>
        <v>0</v>
      </c>
      <c r="J116" s="321">
        <f>COUNTIFS(input!$O:$O,May!$J$114,input!$W:$W,May!B116,input!$A:$A,May!$B$2)</f>
        <v>0</v>
      </c>
      <c r="K116" s="343">
        <f>COUNTIFS(input!$O:$O,May!$K$114,input!$W:$W,May!B116,input!$A:$A,May!$B$2)</f>
        <v>0</v>
      </c>
      <c r="L116" s="312">
        <f>SUM(D116:K116)</f>
        <v>0</v>
      </c>
      <c r="M116" s="320" cm="1">
        <f t="array" ref="M116">_xlfn.IFS(L116=0,0,L116&gt;=1,L116/$L$169)</f>
        <v>0</v>
      </c>
      <c r="N116" s="995" t="s">
        <v>371</v>
      </c>
      <c r="O116" s="996"/>
      <c r="P116" s="997"/>
      <c r="Q116" s="316">
        <f>COUNTIFS(input!$O:$O,May!$Q$114,input!$X:$X,May!N116,input!$A:$A,May!$B$2)</f>
        <v>0</v>
      </c>
      <c r="R116" s="316">
        <f>COUNTIFS(input!$O:$O,May!$R$114,input!$X:$X,May!N116,input!$A:$A,May!$B$2)</f>
        <v>0</v>
      </c>
      <c r="S116" s="316">
        <f>COUNTIFS(input!$O:$O,May!$S$114,input!$X:$X,May!N116,input!$A:$A,May!$B$2)</f>
        <v>0</v>
      </c>
      <c r="T116" s="322">
        <f>COUNTIFS(input!$O:$O,May!$T$114,input!$X:$X,May!N116,input!$A:$A,May!$B$2)</f>
        <v>0</v>
      </c>
      <c r="U116" s="322">
        <f>COUNTIFS(input!$O:$O,May!$U$114,input!$X:$X,May!N116,input!$A:$A,May!$B$2)</f>
        <v>0</v>
      </c>
      <c r="V116" s="323">
        <f>COUNTIFS(input!$O:$O,May!$V$114,input!$X:$X,May!N116,input!$A:$A,May!$B$2)</f>
        <v>0</v>
      </c>
      <c r="W116" s="323">
        <f>COUNTIFS(input!$O:$O,May!$W$114,input!$X:$X,May!N116,input!$A:$A,May!$B$2)</f>
        <v>0</v>
      </c>
      <c r="X116" s="324">
        <f>COUNTIFS(input!$O:$O,May!$X$114,input!$X:$X,May!N116,input!$A:$A,May!$B$2)</f>
        <v>0</v>
      </c>
      <c r="Y116" s="312">
        <f t="shared" ref="Y116:Y168" si="10">SUM(Q116:X116)</f>
        <v>0</v>
      </c>
      <c r="Z116" s="315" cm="1">
        <f t="array" ref="Z116">_xlfn.IFS(Y116=0,0,Y116&gt;=1,Y116/$Y$169)</f>
        <v>0</v>
      </c>
    </row>
    <row r="117" spans="2:26" ht="92" hidden="1" x14ac:dyDescent="0.25">
      <c r="B117" s="1121" t="s">
        <v>359</v>
      </c>
      <c r="C117" s="1066"/>
      <c r="D117" s="316">
        <f>COUNTIFS(input!$O:$O,May!$D$114,input!$W:$W,May!B117,input!$A:$A,May!$B$2)</f>
        <v>0</v>
      </c>
      <c r="E117" s="316">
        <f>COUNTIFS(input!$O:$O,May!$E$114,input!$W:$W,May!B117,input!$A:$A,May!$B$2)</f>
        <v>0</v>
      </c>
      <c r="F117" s="316">
        <f>COUNTIFS(input!$O:$O,May!$F$114,input!$W:$W,May!B117,input!$A:$A,May!$B$2)</f>
        <v>0</v>
      </c>
      <c r="G117" s="322">
        <f>COUNTIFS(input!$O:$O,May!$G$114,input!$W:$W,May!B117,input!$A:$A,May!$B$2)</f>
        <v>0</v>
      </c>
      <c r="H117" s="321">
        <f>COUNTIFS(input!$O:$O,May!$H$114,input!$W:$W,May!B117,input!$A:$A,May!$B$2)</f>
        <v>0</v>
      </c>
      <c r="I117" s="321">
        <f>COUNTIFS(input!$O:$O,May!$I$114,input!$W:$W,May!B117,input!$A:$A,May!$B$2)</f>
        <v>0</v>
      </c>
      <c r="J117" s="321">
        <f>COUNTIFS(input!$O:$O,May!$J$114,input!$W:$W,May!B117,input!$A:$A,May!$B$2)</f>
        <v>0</v>
      </c>
      <c r="K117" s="343">
        <f>COUNTIFS(input!$O:$O,May!$K$114,input!$W:$W,May!B117,input!$A:$A,May!$B$2)</f>
        <v>0</v>
      </c>
      <c r="L117" s="312">
        <f t="shared" ref="L117:L168" si="11">SUM(D117:K117)</f>
        <v>0</v>
      </c>
      <c r="M117" s="320" cm="1">
        <f t="array" ref="M117">_xlfn.IFS(L117=0,0,L117&gt;=1,L117/$L$169)</f>
        <v>0</v>
      </c>
      <c r="N117" s="995" t="s">
        <v>372</v>
      </c>
      <c r="O117" s="996"/>
      <c r="P117" s="997"/>
      <c r="Q117" s="316">
        <f>COUNTIFS(input!$O:$O,May!$Q$114,input!$X:$X,May!N117,input!$A:$A,May!$B$2)</f>
        <v>0</v>
      </c>
      <c r="R117" s="316">
        <f>COUNTIFS(input!$O:$O,May!$R$114,input!$X:$X,May!N117,input!$A:$A,May!$B$2)</f>
        <v>0</v>
      </c>
      <c r="S117" s="316">
        <f>COUNTIFS(input!$O:$O,May!$S$114,input!$X:$X,May!N117,input!$A:$A,May!$B$2)</f>
        <v>0</v>
      </c>
      <c r="T117" s="322">
        <f>COUNTIFS(input!$O:$O,May!$T$114,input!$X:$X,May!N117,input!$A:$A,May!$B$2)</f>
        <v>0</v>
      </c>
      <c r="U117" s="322">
        <f>COUNTIFS(input!$O:$O,May!$U$114,input!$X:$X,May!N117,input!$A:$A,May!$B$2)</f>
        <v>0</v>
      </c>
      <c r="V117" s="323">
        <f>COUNTIFS(input!$O:$O,May!$V$114,input!$X:$X,May!N117,input!$A:$A,May!$B$2)</f>
        <v>0</v>
      </c>
      <c r="W117" s="323">
        <f>COUNTIFS(input!$O:$O,May!$W$114,input!$X:$X,May!N117,input!$A:$A,May!$B$2)</f>
        <v>0</v>
      </c>
      <c r="X117" s="324">
        <f>COUNTIFS(input!$O:$O,May!$X$114,input!$X:$X,May!N117,input!$A:$A,May!$B$2)</f>
        <v>0</v>
      </c>
      <c r="Y117" s="312">
        <f t="shared" si="10"/>
        <v>0</v>
      </c>
      <c r="Z117" s="315" cm="1">
        <f t="array" ref="Z117">_xlfn.IFS(Y117=0,0,Y117&gt;=1,Y117/$Y$169)</f>
        <v>0</v>
      </c>
    </row>
    <row r="118" spans="2:26" ht="92" hidden="1" customHeight="1" x14ac:dyDescent="0.25">
      <c r="B118" s="1121" t="s">
        <v>1542</v>
      </c>
      <c r="C118" s="1066"/>
      <c r="D118" s="316">
        <f>COUNTIFS(input!$O:$O,May!$D$114,input!$W:$W,May!B118,input!$A:$A,May!$B$2)</f>
        <v>0</v>
      </c>
      <c r="E118" s="316">
        <f>COUNTIFS(input!$O:$O,May!$E$114,input!$W:$W,May!B118,input!$A:$A,May!$B$2)</f>
        <v>0</v>
      </c>
      <c r="F118" s="316">
        <f>COUNTIFS(input!$O:$O,May!$F$114,input!$W:$W,May!B118,input!$A:$A,May!$B$2)</f>
        <v>0</v>
      </c>
      <c r="G118" s="322">
        <f>COUNTIFS(input!$O:$O,May!$G$114,input!$W:$W,May!B118,input!$A:$A,May!$B$2)</f>
        <v>0</v>
      </c>
      <c r="H118" s="321">
        <f>COUNTIFS(input!$O:$O,May!$H$114,input!$W:$W,May!B118,input!$A:$A,May!$B$2)</f>
        <v>0</v>
      </c>
      <c r="I118" s="321">
        <f>COUNTIFS(input!$O:$O,May!$I$114,input!$W:$W,May!B118,input!$A:$A,May!$B$2)</f>
        <v>0</v>
      </c>
      <c r="J118" s="321">
        <f>COUNTIFS(input!$O:$O,May!$J$114,input!$W:$W,May!B118,input!$A:$A,May!$B$2)</f>
        <v>0</v>
      </c>
      <c r="K118" s="343">
        <f>COUNTIFS(input!$O:$O,May!$K$114,input!$W:$W,May!B118,input!$A:$A,May!$B$2)</f>
        <v>0</v>
      </c>
      <c r="L118" s="312">
        <f t="shared" si="11"/>
        <v>0</v>
      </c>
      <c r="M118" s="320" cm="1">
        <f t="array" ref="M118">_xlfn.IFS(L118=0,0,L118&gt;=1,L118/$L$169)</f>
        <v>0</v>
      </c>
      <c r="N118" s="995" t="s">
        <v>373</v>
      </c>
      <c r="O118" s="996"/>
      <c r="P118" s="997"/>
      <c r="Q118" s="316">
        <f>COUNTIFS(input!$O:$O,May!$Q$114,input!$X:$X,May!N118,input!$A:$A,May!$B$2)</f>
        <v>0</v>
      </c>
      <c r="R118" s="316">
        <f>COUNTIFS(input!$O:$O,May!$R$114,input!$X:$X,May!N118,input!$A:$A,May!$B$2)</f>
        <v>0</v>
      </c>
      <c r="S118" s="316">
        <f>COUNTIFS(input!$O:$O,May!$S$114,input!$X:$X,May!N118,input!$A:$A,May!$B$2)</f>
        <v>0</v>
      </c>
      <c r="T118" s="322">
        <f>COUNTIFS(input!$O:$O,May!$T$114,input!$X:$X,May!N118,input!$A:$A,May!$B$2)</f>
        <v>0</v>
      </c>
      <c r="U118" s="322">
        <f>COUNTIFS(input!$O:$O,May!$U$114,input!$X:$X,May!N118,input!$A:$A,May!$B$2)</f>
        <v>0</v>
      </c>
      <c r="V118" s="323">
        <f>COUNTIFS(input!$O:$O,May!$V$114,input!$X:$X,May!N118,input!$A:$A,May!$B$2)</f>
        <v>0</v>
      </c>
      <c r="W118" s="323">
        <f>COUNTIFS(input!$O:$O,May!$W$114,input!$X:$X,May!N118,input!$A:$A,May!$B$2)</f>
        <v>0</v>
      </c>
      <c r="X118" s="324">
        <f>COUNTIFS(input!$O:$O,May!$X$114,input!$X:$X,May!N118,input!$A:$A,May!$B$2)</f>
        <v>0</v>
      </c>
      <c r="Y118" s="312">
        <f t="shared" si="10"/>
        <v>0</v>
      </c>
      <c r="Z118" s="315" cm="1">
        <f t="array" ref="Z118">_xlfn.IFS(Y118=0,0,Y118&gt;=1,Y118/$Y$169)</f>
        <v>0</v>
      </c>
    </row>
    <row r="119" spans="2:26" ht="92" customHeight="1" x14ac:dyDescent="0.25">
      <c r="B119" s="1121" t="s">
        <v>648</v>
      </c>
      <c r="C119" s="1066"/>
      <c r="D119" s="316">
        <f>COUNTIFS(input!$O:$O,May!$D$114,input!$W:$W,May!B119,input!$A:$A,May!$B$2)</f>
        <v>0</v>
      </c>
      <c r="E119" s="316">
        <f>COUNTIFS(input!$O:$O,May!$E$114,input!$W:$W,May!B119,input!$A:$A,May!$B$2)</f>
        <v>0</v>
      </c>
      <c r="F119" s="316">
        <f>COUNTIFS(input!$O:$O,May!$F$114,input!$W:$W,May!B119,input!$A:$A,May!$B$2)</f>
        <v>0</v>
      </c>
      <c r="G119" s="322">
        <f>COUNTIFS(input!$O:$O,May!$G$114,input!$W:$W,May!B119,input!$A:$A,May!$B$2)</f>
        <v>0</v>
      </c>
      <c r="H119" s="321">
        <f>COUNTIFS(input!$O:$O,May!$H$114,input!$W:$W,May!B119,input!$A:$A,May!$B$2)</f>
        <v>0</v>
      </c>
      <c r="I119" s="321">
        <f>COUNTIFS(input!$O:$O,May!$I$114,input!$W:$W,May!B119,input!$A:$A,May!$B$2)</f>
        <v>0</v>
      </c>
      <c r="J119" s="321">
        <f>COUNTIFS(input!$O:$O,May!$J$114,input!$W:$W,May!B119,input!$A:$A,May!$B$2)</f>
        <v>0</v>
      </c>
      <c r="K119" s="343">
        <f>COUNTIFS(input!$O:$O,May!$K$114,input!$W:$W,May!B119,input!$A:$A,May!$B$2)</f>
        <v>0</v>
      </c>
      <c r="L119" s="312">
        <f t="shared" si="11"/>
        <v>0</v>
      </c>
      <c r="M119" s="320" cm="1">
        <f t="array" ref="M119">_xlfn.IFS(L119=0,0,L119&gt;=1,L119/$L$169)</f>
        <v>0</v>
      </c>
      <c r="N119" s="992" t="s">
        <v>374</v>
      </c>
      <c r="O119" s="993"/>
      <c r="P119" s="994"/>
      <c r="Q119" s="316">
        <f>COUNTIFS(input!$O:$O,May!$Q$114,input!$X:$X,May!N119,input!$A:$A,May!$B$2)</f>
        <v>0</v>
      </c>
      <c r="R119" s="316">
        <f>COUNTIFS(input!$O:$O,May!$R$114,input!$X:$X,May!N119,input!$A:$A,May!$B$2)</f>
        <v>0</v>
      </c>
      <c r="S119" s="316">
        <f>COUNTIFS(input!$O:$O,May!$S$114,input!$X:$X,May!N119,input!$A:$A,May!$B$2)</f>
        <v>0</v>
      </c>
      <c r="T119" s="322">
        <f>COUNTIFS(input!$O:$O,May!$T$114,input!$X:$X,May!N119,input!$A:$A,May!$B$2)</f>
        <v>1</v>
      </c>
      <c r="U119" s="322">
        <f>COUNTIFS(input!$O:$O,May!$U$114,input!$X:$X,May!N119,input!$A:$A,May!$B$2)</f>
        <v>0</v>
      </c>
      <c r="V119" s="323">
        <f>COUNTIFS(input!$O:$O,May!$V$114,input!$X:$X,May!N119,input!$A:$A,May!$B$2)</f>
        <v>0</v>
      </c>
      <c r="W119" s="323">
        <f>COUNTIFS(input!$O:$O,May!$W$114,input!$X:$X,May!N119,input!$A:$A,May!$B$2)</f>
        <v>0</v>
      </c>
      <c r="X119" s="324">
        <f>COUNTIFS(input!$O:$O,May!$X$114,input!$X:$X,May!N119,input!$A:$A,May!$B$2)</f>
        <v>0</v>
      </c>
      <c r="Y119" s="312">
        <f t="shared" si="10"/>
        <v>1</v>
      </c>
      <c r="Z119" s="315" cm="1">
        <f t="array" ref="Z119">_xlfn.IFS(Y119=0,0,Y119&gt;=1,Y119/$Y$169)</f>
        <v>6.25E-2</v>
      </c>
    </row>
    <row r="120" spans="2:26" ht="92" hidden="1" customHeight="1" x14ac:dyDescent="0.25">
      <c r="B120" s="1121" t="s">
        <v>827</v>
      </c>
      <c r="C120" s="1066"/>
      <c r="D120" s="316">
        <f>COUNTIFS(input!$O:$O,May!$D$114,input!$W:$W,May!B120,input!$A:$A,May!$B$2)</f>
        <v>0</v>
      </c>
      <c r="E120" s="316">
        <f>COUNTIFS(input!$O:$O,May!$E$114,input!$W:$W,May!B120,input!$A:$A,May!$B$2)</f>
        <v>0</v>
      </c>
      <c r="F120" s="316">
        <f>COUNTIFS(input!$O:$O,May!$F$114,input!$W:$W,May!B120,input!$A:$A,May!$B$2)</f>
        <v>0</v>
      </c>
      <c r="G120" s="322">
        <f>COUNTIFS(input!$O:$O,May!$G$114,input!$W:$W,May!B120,input!$A:$A,May!$B$2)</f>
        <v>0</v>
      </c>
      <c r="H120" s="321">
        <f>COUNTIFS(input!$O:$O,May!$H$114,input!$W:$W,May!B120,input!$A:$A,May!$B$2)</f>
        <v>0</v>
      </c>
      <c r="I120" s="321">
        <f>COUNTIFS(input!$O:$O,May!$I$114,input!$W:$W,May!B120,input!$A:$A,May!$B$2)</f>
        <v>0</v>
      </c>
      <c r="J120" s="321">
        <f>COUNTIFS(input!$O:$O,May!$J$114,input!$W:$W,May!B120,input!$A:$A,May!$B$2)</f>
        <v>0</v>
      </c>
      <c r="K120" s="343">
        <f>COUNTIFS(input!$O:$O,May!$K$114,input!$W:$W,May!B120,input!$A:$A,May!$B$2)</f>
        <v>0</v>
      </c>
      <c r="L120" s="312">
        <f t="shared" si="11"/>
        <v>0</v>
      </c>
      <c r="M120" s="320" cm="1">
        <f t="array" ref="M120">_xlfn.IFS(L120=0,0,L120&gt;=1,L120/$L$169)</f>
        <v>0</v>
      </c>
      <c r="N120" s="995" t="s">
        <v>375</v>
      </c>
      <c r="O120" s="996"/>
      <c r="P120" s="997"/>
      <c r="Q120" s="316">
        <f>COUNTIFS(input!$O:$O,May!$Q$114,input!$X:$X,May!N120,input!$A:$A,May!$B$2)</f>
        <v>0</v>
      </c>
      <c r="R120" s="316">
        <f>COUNTIFS(input!$O:$O,May!$R$114,input!$X:$X,May!N120,input!$A:$A,May!$B$2)</f>
        <v>0</v>
      </c>
      <c r="S120" s="316">
        <f>COUNTIFS(input!$O:$O,May!$S$114,input!$X:$X,May!N120,input!$A:$A,May!$B$2)</f>
        <v>0</v>
      </c>
      <c r="T120" s="322">
        <f>COUNTIFS(input!$O:$O,May!$T$114,input!$X:$X,May!N120,input!$A:$A,May!$B$2)</f>
        <v>0</v>
      </c>
      <c r="U120" s="322">
        <f>COUNTIFS(input!$O:$O,May!$U$114,input!$X:$X,May!N120,input!$A:$A,May!$B$2)</f>
        <v>0</v>
      </c>
      <c r="V120" s="323">
        <f>COUNTIFS(input!$O:$O,May!$V$114,input!$X:$X,May!N120,input!$A:$A,May!$B$2)</f>
        <v>0</v>
      </c>
      <c r="W120" s="323">
        <f>COUNTIFS(input!$O:$O,May!$W$114,input!$X:$X,May!N120,input!$A:$A,May!$B$2)</f>
        <v>0</v>
      </c>
      <c r="X120" s="324">
        <f>COUNTIFS(input!$O:$O,May!$X$114,input!$X:$X,May!N120,input!$A:$A,May!$B$2)</f>
        <v>0</v>
      </c>
      <c r="Y120" s="312">
        <f t="shared" si="10"/>
        <v>0</v>
      </c>
      <c r="Z120" s="315" cm="1">
        <f t="array" ref="Z120">_xlfn.IFS(Y120=0,0,Y120&gt;=1,Y120/$Y$169)</f>
        <v>0</v>
      </c>
    </row>
    <row r="121" spans="2:26" ht="92" customHeight="1" x14ac:dyDescent="0.25">
      <c r="B121" s="990" t="s">
        <v>1834</v>
      </c>
      <c r="C121" s="991"/>
      <c r="D121" s="316">
        <f>COUNTIFS(input!$O:$O,May!$D$114,input!$W:$W,May!B121,input!$A:$A,May!$B$2)</f>
        <v>0</v>
      </c>
      <c r="E121" s="316">
        <f>COUNTIFS(input!$O:$O,May!$E$114,input!$W:$W,May!B121,input!$A:$A,May!$B$2)</f>
        <v>0</v>
      </c>
      <c r="F121" s="316">
        <f>COUNTIFS(input!$O:$O,May!$F$114,input!$W:$W,May!B121,input!$A:$A,May!$B$2)</f>
        <v>0</v>
      </c>
      <c r="G121" s="322">
        <f>COUNTIFS(input!$O:$O,May!$G$114,input!$W:$W,May!B121,input!$A:$A,May!$B$2)</f>
        <v>1</v>
      </c>
      <c r="H121" s="321">
        <f>COUNTIFS(input!$O:$O,May!$H$114,input!$W:$W,May!B121,input!$A:$A,May!$B$2)</f>
        <v>0</v>
      </c>
      <c r="I121" s="321">
        <f>COUNTIFS(input!$O:$O,May!$I$114,input!$W:$W,May!B121,input!$A:$A,May!$B$2)</f>
        <v>0</v>
      </c>
      <c r="J121" s="321">
        <f>COUNTIFS(input!$O:$O,May!$J$114,input!$W:$W,May!B121,input!$A:$A,May!$B$2)</f>
        <v>0</v>
      </c>
      <c r="K121" s="343">
        <f>COUNTIFS(input!$O:$O,May!$K$114,input!$W:$W,May!B121,input!$A:$A,May!$B$2)</f>
        <v>0</v>
      </c>
      <c r="L121" s="312">
        <f>SUM(D121:K121)</f>
        <v>1</v>
      </c>
      <c r="M121" s="320" cm="1">
        <f t="array" ref="M121">_xlfn.IFS(L121=0,0,L121&gt;=1,L121/$L$169)</f>
        <v>6.25E-2</v>
      </c>
      <c r="N121" s="992" t="s">
        <v>376</v>
      </c>
      <c r="O121" s="993"/>
      <c r="P121" s="994"/>
      <c r="Q121" s="316">
        <f>COUNTIFS(input!$O:$O,May!$Q$114,input!$X:$X,May!N121,input!$A:$A,May!$B$2)</f>
        <v>0</v>
      </c>
      <c r="R121" s="316">
        <f>COUNTIFS(input!$O:$O,May!$R$114,input!$X:$X,May!N121,input!$A:$A,May!$B$2)</f>
        <v>1</v>
      </c>
      <c r="S121" s="316">
        <f>COUNTIFS(input!$O:$O,May!$S$114,input!$X:$X,May!N121,input!$A:$A,May!$B$2)</f>
        <v>0</v>
      </c>
      <c r="T121" s="322">
        <f>COUNTIFS(input!$O:$O,May!$T$114,input!$X:$X,May!N121,input!$A:$A,May!$B$2)</f>
        <v>0</v>
      </c>
      <c r="U121" s="322">
        <f>COUNTIFS(input!$O:$O,May!$U$114,input!$X:$X,May!N121,input!$A:$A,May!$B$2)</f>
        <v>0</v>
      </c>
      <c r="V121" s="323">
        <f>COUNTIFS(input!$O:$O,May!$V$114,input!$X:$X,May!N121,input!$A:$A,May!$B$2)</f>
        <v>0</v>
      </c>
      <c r="W121" s="323">
        <f>COUNTIFS(input!$O:$O,May!$W$114,input!$X:$X,May!N121,input!$A:$A,May!$B$2)</f>
        <v>0</v>
      </c>
      <c r="X121" s="324">
        <f>COUNTIFS(input!$O:$O,May!$X$114,input!$X:$X,May!N121,input!$A:$A,May!$B$2)</f>
        <v>0</v>
      </c>
      <c r="Y121" s="312">
        <f>SUM(Q121:X121)</f>
        <v>1</v>
      </c>
      <c r="Z121" s="315" cm="1">
        <f t="array" ref="Z121">_xlfn.IFS(Y121=0,0,Y121&gt;=1,Y121/$Y$169)</f>
        <v>6.25E-2</v>
      </c>
    </row>
    <row r="122" spans="2:26" ht="92" hidden="1" customHeight="1" x14ac:dyDescent="0.25">
      <c r="B122" s="1121" t="s">
        <v>358</v>
      </c>
      <c r="C122" s="1066"/>
      <c r="D122" s="316">
        <f>COUNTIFS(input!$O:$O,May!$D$114,input!$W:$W,May!B122,input!$A:$A,May!$B$2)</f>
        <v>0</v>
      </c>
      <c r="E122" s="316">
        <f>COUNTIFS(input!$O:$O,May!$E$114,input!$W:$W,May!B122,input!$A:$A,May!$B$2)</f>
        <v>0</v>
      </c>
      <c r="F122" s="316">
        <f>COUNTIFS(input!$O:$O,May!$F$114,input!$W:$W,May!B122,input!$A:$A,May!$B$2)</f>
        <v>0</v>
      </c>
      <c r="G122" s="322">
        <f>COUNTIFS(input!$O:$O,May!$G$114,input!$W:$W,May!B122,input!$A:$A,May!$B$2)</f>
        <v>0</v>
      </c>
      <c r="H122" s="321">
        <f>COUNTIFS(input!$O:$O,May!$H$114,input!$W:$W,May!B122,input!$A:$A,May!$B$2)</f>
        <v>0</v>
      </c>
      <c r="I122" s="321">
        <f>COUNTIFS(input!$O:$O,May!$I$114,input!$W:$W,May!B122,input!$A:$A,May!$B$2)</f>
        <v>0</v>
      </c>
      <c r="J122" s="321">
        <f>COUNTIFS(input!$O:$O,May!$J$114,input!$W:$W,May!B122,input!$A:$A,May!$B$2)</f>
        <v>0</v>
      </c>
      <c r="K122" s="343">
        <f>COUNTIFS(input!$O:$O,May!$K$114,input!$W:$W,May!B122,input!$A:$A,May!$B$2)</f>
        <v>0</v>
      </c>
      <c r="L122" s="312">
        <f t="shared" si="11"/>
        <v>0</v>
      </c>
      <c r="M122" s="320" cm="1">
        <f t="array" ref="M122">_xlfn.IFS(L122=0,0,L122&gt;=1,L122/$L$169)</f>
        <v>0</v>
      </c>
      <c r="N122" s="995" t="s">
        <v>378</v>
      </c>
      <c r="O122" s="996"/>
      <c r="P122" s="997"/>
      <c r="Q122" s="316">
        <f>COUNTIFS(input!$O:$O,May!$Q$114,input!$X:$X,May!N122,input!$A:$A,May!$B$2)</f>
        <v>0</v>
      </c>
      <c r="R122" s="316">
        <f>COUNTIFS(input!$O:$O,May!$R$114,input!$X:$X,May!N122,input!$A:$A,May!$B$2)</f>
        <v>0</v>
      </c>
      <c r="S122" s="316">
        <f>COUNTIFS(input!$O:$O,May!$S$114,input!$X:$X,May!N122,input!$A:$A,May!$B$2)</f>
        <v>0</v>
      </c>
      <c r="T122" s="322">
        <f>COUNTIFS(input!$O:$O,May!$T$114,input!$X:$X,May!N122,input!$A:$A,May!$B$2)</f>
        <v>0</v>
      </c>
      <c r="U122" s="322">
        <f>COUNTIFS(input!$O:$O,May!$U$114,input!$X:$X,May!N122,input!$A:$A,May!$B$2)</f>
        <v>0</v>
      </c>
      <c r="V122" s="323">
        <f>COUNTIFS(input!$O:$O,May!$V$114,input!$X:$X,May!N122,input!$A:$A,May!$B$2)</f>
        <v>0</v>
      </c>
      <c r="W122" s="323">
        <f>COUNTIFS(input!$O:$O,May!$W$114,input!$X:$X,May!N122,input!$A:$A,May!$B$2)</f>
        <v>0</v>
      </c>
      <c r="X122" s="324">
        <f>COUNTIFS(input!$O:$O,May!$X$114,input!$X:$X,May!N122,input!$A:$A,May!$B$2)</f>
        <v>0</v>
      </c>
      <c r="Y122" s="312">
        <f t="shared" si="10"/>
        <v>0</v>
      </c>
      <c r="Z122" s="315" cm="1">
        <f t="array" ref="Z122">_xlfn.IFS(Y122=0,0,Y122&gt;=1,Y122/$Y$169)</f>
        <v>0</v>
      </c>
    </row>
    <row r="123" spans="2:26" ht="92" hidden="1" customHeight="1" x14ac:dyDescent="0.25">
      <c r="B123" s="1122" t="s">
        <v>360</v>
      </c>
      <c r="C123" s="997"/>
      <c r="D123" s="316">
        <f>COUNTIFS(input!$O:$O,May!$D$114,input!$W:$W,May!B123,input!$A:$A,May!$B$2)</f>
        <v>0</v>
      </c>
      <c r="E123" s="316">
        <f>COUNTIFS(input!$O:$O,May!$E$114,input!$W:$W,May!B123,input!$A:$A,May!$B$2)</f>
        <v>0</v>
      </c>
      <c r="F123" s="316">
        <f>COUNTIFS(input!$O:$O,May!$F$114,input!$W:$W,May!B123,input!$A:$A,May!$B$2)</f>
        <v>0</v>
      </c>
      <c r="G123" s="322">
        <f>COUNTIFS(input!$O:$O,May!$G$114,input!$W:$W,May!B123,input!$A:$A,May!$B$2)</f>
        <v>0</v>
      </c>
      <c r="H123" s="321">
        <f>COUNTIFS(input!$O:$O,May!$H$114,input!$W:$W,May!B123,input!$A:$A,May!$B$2)</f>
        <v>0</v>
      </c>
      <c r="I123" s="321">
        <f>COUNTIFS(input!$O:$O,May!$I$114,input!$W:$W,May!B123,input!$A:$A,May!$B$2)</f>
        <v>0</v>
      </c>
      <c r="J123" s="321">
        <f>COUNTIFS(input!$O:$O,May!$J$114,input!$W:$W,May!B123,input!$A:$A,May!$B$2)</f>
        <v>0</v>
      </c>
      <c r="K123" s="343">
        <f>COUNTIFS(input!$O:$O,May!$K$114,input!$W:$W,May!B123,input!$A:$A,May!$B$2)</f>
        <v>0</v>
      </c>
      <c r="L123" s="312">
        <f t="shared" si="11"/>
        <v>0</v>
      </c>
      <c r="M123" s="320" cm="1">
        <f t="array" ref="M123">_xlfn.IFS(L123=0,0,L123&gt;=1,L123/$L$169)</f>
        <v>0</v>
      </c>
      <c r="N123" s="995" t="s">
        <v>379</v>
      </c>
      <c r="O123" s="996"/>
      <c r="P123" s="997"/>
      <c r="Q123" s="316">
        <f>COUNTIFS(input!$O:$O,May!$Q$114,input!$X:$X,May!N123,input!$A:$A,May!$B$2)</f>
        <v>0</v>
      </c>
      <c r="R123" s="316">
        <f>COUNTIFS(input!$O:$O,May!$R$114,input!$X:$X,May!N123,input!$A:$A,May!$B$2)</f>
        <v>0</v>
      </c>
      <c r="S123" s="316">
        <f>COUNTIFS(input!$O:$O,May!$S$114,input!$X:$X,May!N123,input!$A:$A,May!$B$2)</f>
        <v>0</v>
      </c>
      <c r="T123" s="322">
        <f>COUNTIFS(input!$O:$O,May!$T$114,input!$X:$X,May!N123,input!$A:$A,May!$B$2)</f>
        <v>0</v>
      </c>
      <c r="U123" s="322">
        <f>COUNTIFS(input!$O:$O,May!$U$114,input!$X:$X,May!N123,input!$A:$A,May!$B$2)</f>
        <v>0</v>
      </c>
      <c r="V123" s="323">
        <f>COUNTIFS(input!$O:$O,May!$V$114,input!$X:$X,May!N123,input!$A:$A,May!$B$2)</f>
        <v>0</v>
      </c>
      <c r="W123" s="323">
        <f>COUNTIFS(input!$O:$O,May!$W$114,input!$X:$X,May!N123,input!$A:$A,May!$B$2)</f>
        <v>0</v>
      </c>
      <c r="X123" s="324">
        <f>COUNTIFS(input!$O:$O,May!$X$114,input!$X:$X,May!N123,input!$A:$A,May!$B$2)</f>
        <v>0</v>
      </c>
      <c r="Y123" s="312">
        <f t="shared" si="10"/>
        <v>0</v>
      </c>
      <c r="Z123" s="315" cm="1">
        <f t="array" ref="Z123">_xlfn.IFS(Y123=0,0,Y123&gt;=1,Y123/$Y$169)</f>
        <v>0</v>
      </c>
    </row>
    <row r="124" spans="2:26" ht="92" hidden="1" customHeight="1" x14ac:dyDescent="0.25">
      <c r="B124" s="1122" t="s">
        <v>600</v>
      </c>
      <c r="C124" s="997"/>
      <c r="D124" s="316">
        <f>COUNTIFS(input!$O:$O,May!$D$114,input!$W:$W,May!B124,input!$A:$A,May!$B$2)</f>
        <v>0</v>
      </c>
      <c r="E124" s="316">
        <f>COUNTIFS(input!$O:$O,May!$E$114,input!$W:$W,May!B124,input!$A:$A,May!$B$2)</f>
        <v>0</v>
      </c>
      <c r="F124" s="316">
        <f>COUNTIFS(input!$O:$O,May!$F$114,input!$W:$W,May!B124,input!$A:$A,May!$B$2)</f>
        <v>0</v>
      </c>
      <c r="G124" s="322">
        <f>COUNTIFS(input!$O:$O,May!$G$114,input!$W:$W,May!B124,input!$A:$A,May!$B$2)</f>
        <v>0</v>
      </c>
      <c r="H124" s="321">
        <f>COUNTIFS(input!$O:$O,May!$H$114,input!$W:$W,May!B124,input!$A:$A,May!$B$2)</f>
        <v>0</v>
      </c>
      <c r="I124" s="321">
        <f>COUNTIFS(input!$O:$O,May!$I$114,input!$W:$W,May!B124,input!$A:$A,May!$B$2)</f>
        <v>0</v>
      </c>
      <c r="J124" s="321">
        <f>COUNTIFS(input!$O:$O,May!$J$114,input!$W:$W,May!B124,input!$A:$A,May!$B$2)</f>
        <v>0</v>
      </c>
      <c r="K124" s="343">
        <f>COUNTIFS(input!$O:$O,May!$K$114,input!$W:$W,May!B124,input!$A:$A,May!$B$2)</f>
        <v>0</v>
      </c>
      <c r="L124" s="312">
        <f t="shared" si="11"/>
        <v>0</v>
      </c>
      <c r="M124" s="320" cm="1">
        <f t="array" ref="M124">_xlfn.IFS(L124=0,0,L124&gt;=1,L124/$L$169)</f>
        <v>0</v>
      </c>
      <c r="N124" s="995" t="s">
        <v>606</v>
      </c>
      <c r="O124" s="996"/>
      <c r="P124" s="997"/>
      <c r="Q124" s="316">
        <f>COUNTIFS(input!$O:$O,May!$Q$114,input!$X:$X,May!N124,input!$A:$A,May!$B$2)</f>
        <v>0</v>
      </c>
      <c r="R124" s="316">
        <f>COUNTIFS(input!$O:$O,May!$R$114,input!$X:$X,May!N124,input!$A:$A,May!$B$2)</f>
        <v>0</v>
      </c>
      <c r="S124" s="316">
        <f>COUNTIFS(input!$O:$O,May!$S$114,input!$X:$X,May!N124,input!$A:$A,May!$B$2)</f>
        <v>0</v>
      </c>
      <c r="T124" s="322">
        <f>COUNTIFS(input!$O:$O,May!$T$114,input!$X:$X,May!N124,input!$A:$A,May!$B$2)</f>
        <v>0</v>
      </c>
      <c r="U124" s="322">
        <f>COUNTIFS(input!$O:$O,May!$U$114,input!$X:$X,May!N124,input!$A:$A,May!$B$2)</f>
        <v>0</v>
      </c>
      <c r="V124" s="323">
        <f>COUNTIFS(input!$O:$O,May!$V$114,input!$X:$X,May!N124,input!$A:$A,May!$B$2)</f>
        <v>0</v>
      </c>
      <c r="W124" s="323">
        <f>COUNTIFS(input!$O:$O,May!$W$114,input!$X:$X,May!N124,input!$A:$A,May!$B$2)</f>
        <v>0</v>
      </c>
      <c r="X124" s="324">
        <f>COUNTIFS(input!$O:$O,May!$X$114,input!$X:$X,May!N124,input!$A:$A,May!$B$2)</f>
        <v>0</v>
      </c>
      <c r="Y124" s="312">
        <f t="shared" si="10"/>
        <v>0</v>
      </c>
      <c r="Z124" s="315" cm="1">
        <f t="array" ref="Z124">_xlfn.IFS(Y124=0,0,Y124&gt;=1,Y124/$Y$169)</f>
        <v>0</v>
      </c>
    </row>
    <row r="125" spans="2:26" ht="92" hidden="1" customHeight="1" x14ac:dyDescent="0.25">
      <c r="B125" s="1122" t="s">
        <v>561</v>
      </c>
      <c r="C125" s="997"/>
      <c r="D125" s="316">
        <f>COUNTIFS(input!$O:$O,May!$D$114,input!$W:$W,May!B125,input!$A:$A,May!$B$2)</f>
        <v>0</v>
      </c>
      <c r="E125" s="316">
        <f>COUNTIFS(input!$O:$O,May!$E$114,input!$W:$W,May!B125,input!$A:$A,May!$B$2)</f>
        <v>0</v>
      </c>
      <c r="F125" s="316">
        <f>COUNTIFS(input!$O:$O,May!$F$114,input!$W:$W,May!B125,input!$A:$A,May!$B$2)</f>
        <v>0</v>
      </c>
      <c r="G125" s="322">
        <f>COUNTIFS(input!$O:$O,May!$G$114,input!$W:$W,May!B125,input!$A:$A,May!$B$2)</f>
        <v>0</v>
      </c>
      <c r="H125" s="321">
        <f>COUNTIFS(input!$O:$O,May!$H$114,input!$W:$W,May!B125,input!$A:$A,May!$B$2)</f>
        <v>0</v>
      </c>
      <c r="I125" s="321">
        <f>COUNTIFS(input!$O:$O,May!$I$114,input!$W:$W,May!B125,input!$A:$A,May!$B$2)</f>
        <v>0</v>
      </c>
      <c r="J125" s="321">
        <f>COUNTIFS(input!$O:$O,May!$J$114,input!$W:$W,May!B125,input!$A:$A,May!$B$2)</f>
        <v>0</v>
      </c>
      <c r="K125" s="343">
        <f>COUNTIFS(input!$O:$O,May!$K$114,input!$W:$W,May!B125,input!$A:$A,May!$B$2)</f>
        <v>0</v>
      </c>
      <c r="L125" s="312">
        <f t="shared" si="11"/>
        <v>0</v>
      </c>
      <c r="M125" s="320" cm="1">
        <f t="array" ref="M125">_xlfn.IFS(L125=0,0,L125&gt;=1,L125/$L$169)</f>
        <v>0</v>
      </c>
      <c r="N125" s="995" t="s">
        <v>380</v>
      </c>
      <c r="O125" s="996"/>
      <c r="P125" s="997"/>
      <c r="Q125" s="316">
        <f>COUNTIFS(input!$O:$O,May!$Q$114,input!$X:$X,May!N125,input!$A:$A,May!$B$2)</f>
        <v>0</v>
      </c>
      <c r="R125" s="316">
        <f>COUNTIFS(input!$O:$O,May!$R$114,input!$X:$X,May!N125,input!$A:$A,May!$B$2)</f>
        <v>0</v>
      </c>
      <c r="S125" s="316">
        <f>COUNTIFS(input!$O:$O,May!$S$114,input!$X:$X,May!N125,input!$A:$A,May!$B$2)</f>
        <v>0</v>
      </c>
      <c r="T125" s="322">
        <f>COUNTIFS(input!$O:$O,May!$T$114,input!$X:$X,May!N125,input!$A:$A,May!$B$2)</f>
        <v>0</v>
      </c>
      <c r="U125" s="322">
        <f>COUNTIFS(input!$O:$O,May!$U$114,input!$X:$X,May!N125,input!$A:$A,May!$B$2)</f>
        <v>0</v>
      </c>
      <c r="V125" s="323">
        <f>COUNTIFS(input!$O:$O,May!$V$114,input!$X:$X,May!N125,input!$A:$A,May!$B$2)</f>
        <v>0</v>
      </c>
      <c r="W125" s="323">
        <f>COUNTIFS(input!$O:$O,May!$W$114,input!$X:$X,May!N125,input!$A:$A,May!$B$2)</f>
        <v>0</v>
      </c>
      <c r="X125" s="324">
        <f>COUNTIFS(input!$O:$O,May!$X$114,input!$X:$X,May!N125,input!$A:$A,May!$B$2)</f>
        <v>0</v>
      </c>
      <c r="Y125" s="312">
        <f t="shared" si="10"/>
        <v>0</v>
      </c>
      <c r="Z125" s="315" cm="1">
        <f t="array" ref="Z125">_xlfn.IFS(Y125=0,0,Y125&gt;=1,Y125/$Y$169)</f>
        <v>0</v>
      </c>
    </row>
    <row r="126" spans="2:26" ht="92" customHeight="1" x14ac:dyDescent="0.25">
      <c r="B126" s="998" t="s">
        <v>1837</v>
      </c>
      <c r="C126" s="994"/>
      <c r="D126" s="316">
        <f>COUNTIFS(input!$O:$O,May!$D$114,input!$W:$W,May!B126,input!$A:$A,May!$B$2)</f>
        <v>0</v>
      </c>
      <c r="E126" s="316">
        <f>COUNTIFS(input!$O:$O,May!$E$114,input!$W:$W,May!B126,input!$A:$A,May!$B$2)</f>
        <v>0</v>
      </c>
      <c r="F126" s="316">
        <f>COUNTIFS(input!$O:$O,May!$F$114,input!$W:$W,May!B126,input!$A:$A,May!$B$2)</f>
        <v>0</v>
      </c>
      <c r="G126" s="322">
        <f>COUNTIFS(input!$O:$O,May!$G$114,input!$W:$W,May!B126,input!$A:$A,May!$B$2)</f>
        <v>1</v>
      </c>
      <c r="H126" s="321">
        <f>COUNTIFS(input!$O:$O,May!$H$114,input!$W:$W,May!B126,input!$A:$A,May!$B$2)</f>
        <v>0</v>
      </c>
      <c r="I126" s="321">
        <f>COUNTIFS(input!$O:$O,May!$I$114,input!$W:$W,May!B126,input!$A:$A,May!$B$2)</f>
        <v>0</v>
      </c>
      <c r="J126" s="321">
        <f>COUNTIFS(input!$O:$O,May!$J$114,input!$W:$W,May!B126,input!$A:$A,May!$B$2)</f>
        <v>0</v>
      </c>
      <c r="K126" s="343">
        <f>COUNTIFS(input!$O:$O,May!$K$114,input!$W:$W,May!B126,input!$A:$A,May!$B$2)</f>
        <v>0</v>
      </c>
      <c r="L126" s="312">
        <f>SUM(D126:K126)</f>
        <v>1</v>
      </c>
      <c r="M126" s="320" cm="1">
        <f t="array" ref="M126">_xlfn.IFS(L126=0,0,L126&gt;=1,L126/$L$169)</f>
        <v>6.25E-2</v>
      </c>
      <c r="N126" s="992" t="s">
        <v>381</v>
      </c>
      <c r="O126" s="993"/>
      <c r="P126" s="994"/>
      <c r="Q126" s="316">
        <f>COUNTIFS(input!$O:$O,May!$Q$114,input!$X:$X,May!N126,input!$A:$A,May!$B$2)</f>
        <v>0</v>
      </c>
      <c r="R126" s="316">
        <f>COUNTIFS(input!$O:$O,May!$R$114,input!$X:$X,May!N126,input!$A:$A,May!$B$2)</f>
        <v>0</v>
      </c>
      <c r="S126" s="316">
        <f>COUNTIFS(input!$O:$O,May!$S$114,input!$X:$X,May!N126,input!$A:$A,May!$B$2)</f>
        <v>0</v>
      </c>
      <c r="T126" s="322">
        <f>COUNTIFS(input!$O:$O,May!$T$114,input!$X:$X,May!N126,input!$A:$A,May!$B$2)</f>
        <v>0</v>
      </c>
      <c r="U126" s="322">
        <f>COUNTIFS(input!$O:$O,May!$U$114,input!$X:$X,May!N126,input!$A:$A,May!$B$2)</f>
        <v>0</v>
      </c>
      <c r="V126" s="323">
        <f>COUNTIFS(input!$O:$O,May!$V$114,input!$X:$X,May!N126,input!$A:$A,May!$B$2)</f>
        <v>1</v>
      </c>
      <c r="W126" s="323">
        <f>COUNTIFS(input!$O:$O,May!$W$114,input!$X:$X,May!N126,input!$A:$A,May!$B$2)</f>
        <v>0</v>
      </c>
      <c r="X126" s="324">
        <f>COUNTIFS(input!$O:$O,May!$X$114,input!$X:$X,May!N126,input!$A:$A,May!$B$2)</f>
        <v>0</v>
      </c>
      <c r="Y126" s="312">
        <f>SUM(Q126:X126)</f>
        <v>1</v>
      </c>
      <c r="Z126" s="315" cm="1">
        <f t="array" ref="Z126">_xlfn.IFS(Y126=0,0,Y126&gt;=1,Y126/$Y$169)</f>
        <v>6.25E-2</v>
      </c>
    </row>
    <row r="127" spans="2:26" ht="92" customHeight="1" x14ac:dyDescent="0.25">
      <c r="B127" s="998" t="s">
        <v>601</v>
      </c>
      <c r="C127" s="994"/>
      <c r="D127" s="316">
        <f>COUNTIFS(input!$O:$O,May!$D$114,input!$W:$W,May!B127,input!$A:$A,May!$B$2)</f>
        <v>0</v>
      </c>
      <c r="E127" s="316">
        <f>COUNTIFS(input!$O:$O,May!$E$114,input!$W:$W,May!B127,input!$A:$A,May!$B$2)</f>
        <v>0</v>
      </c>
      <c r="F127" s="316">
        <f>COUNTIFS(input!$O:$O,May!$F$114,input!$W:$W,May!B127,input!$A:$A,May!$B$2)</f>
        <v>0</v>
      </c>
      <c r="G127" s="322">
        <f>COUNTIFS(input!$O:$O,May!$G$114,input!$W:$W,May!B127,input!$A:$A,May!$B$2)</f>
        <v>2</v>
      </c>
      <c r="H127" s="321">
        <f>COUNTIFS(input!$O:$O,May!$H$114,input!$W:$W,May!B127,input!$A:$A,May!$B$2)</f>
        <v>0</v>
      </c>
      <c r="I127" s="321">
        <f>COUNTIFS(input!$O:$O,May!$I$114,input!$W:$W,May!B127,input!$A:$A,May!$B$2)</f>
        <v>0</v>
      </c>
      <c r="J127" s="321">
        <f>COUNTIFS(input!$O:$O,May!$J$114,input!$W:$W,May!B127,input!$A:$A,May!$B$2)</f>
        <v>0</v>
      </c>
      <c r="K127" s="343">
        <f>COUNTIFS(input!$O:$O,May!$K$114,input!$W:$W,May!B127,input!$A:$A,May!$B$2)</f>
        <v>0</v>
      </c>
      <c r="L127" s="312">
        <f t="shared" si="11"/>
        <v>2</v>
      </c>
      <c r="M127" s="320" cm="1">
        <f t="array" ref="M127">_xlfn.IFS(L127=0,0,L127&gt;=1,L127/$L$169)</f>
        <v>0.125</v>
      </c>
      <c r="N127" s="992" t="s">
        <v>1842</v>
      </c>
      <c r="O127" s="993"/>
      <c r="P127" s="994"/>
      <c r="Q127" s="316">
        <f>COUNTIFS(input!$O:$O,May!$Q$114,input!$X:$X,May!N127,input!$A:$A,May!$B$2)</f>
        <v>0</v>
      </c>
      <c r="R127" s="316">
        <f>COUNTIFS(input!$O:$O,May!$R$114,input!$X:$X,May!N127,input!$A:$A,May!$B$2)</f>
        <v>0</v>
      </c>
      <c r="S127" s="316">
        <f>COUNTIFS(input!$O:$O,May!$S$114,input!$X:$X,May!N127,input!$A:$A,May!$B$2)</f>
        <v>0</v>
      </c>
      <c r="T127" s="322">
        <f>COUNTIFS(input!$O:$O,May!$T$114,input!$X:$X,May!N127,input!$A:$A,May!$B$2)</f>
        <v>2</v>
      </c>
      <c r="U127" s="322">
        <f>COUNTIFS(input!$O:$O,May!$U$114,input!$X:$X,May!N127,input!$A:$A,May!$B$2)</f>
        <v>0</v>
      </c>
      <c r="V127" s="323">
        <f>COUNTIFS(input!$O:$O,May!$V$114,input!$X:$X,May!N127,input!$A:$A,May!$B$2)</f>
        <v>0</v>
      </c>
      <c r="W127" s="323">
        <f>COUNTIFS(input!$O:$O,May!$W$114,input!$X:$X,May!N127,input!$A:$A,May!$B$2)</f>
        <v>0</v>
      </c>
      <c r="X127" s="324">
        <f>COUNTIFS(input!$O:$O,May!$X$114,input!$X:$X,May!N127,input!$A:$A,May!$B$2)</f>
        <v>0</v>
      </c>
      <c r="Y127" s="312">
        <f t="shared" si="10"/>
        <v>2</v>
      </c>
      <c r="Z127" s="315" cm="1">
        <f t="array" ref="Z127">_xlfn.IFS(Y127=0,0,Y127&gt;=1,Y127/$Y$169)</f>
        <v>0.125</v>
      </c>
    </row>
    <row r="128" spans="2:26" ht="92" customHeight="1" x14ac:dyDescent="0.25">
      <c r="B128" s="1122" t="s">
        <v>645</v>
      </c>
      <c r="C128" s="997"/>
      <c r="D128" s="316">
        <f>COUNTIFS(input!$O:$O,May!$D$114,input!$W:$W,May!B128,input!$A:$A,May!$B$2)</f>
        <v>0</v>
      </c>
      <c r="E128" s="316">
        <f>COUNTIFS(input!$O:$O,May!$E$114,input!$W:$W,May!B128,input!$A:$A,May!$B$2)</f>
        <v>0</v>
      </c>
      <c r="F128" s="316">
        <f>COUNTIFS(input!$O:$O,May!$F$114,input!$W:$W,May!B128,input!$A:$A,May!$B$2)</f>
        <v>0</v>
      </c>
      <c r="G128" s="322">
        <f>COUNTIFS(input!$O:$O,May!$G$114,input!$W:$W,May!B128,input!$A:$A,May!$B$2)</f>
        <v>0</v>
      </c>
      <c r="H128" s="321">
        <f>COUNTIFS(input!$O:$O,May!$H$114,input!$W:$W,May!B128,input!$A:$A,May!$B$2)</f>
        <v>0</v>
      </c>
      <c r="I128" s="321">
        <f>COUNTIFS(input!$O:$O,May!$I$114,input!$W:$W,May!B128,input!$A:$A,May!$B$2)</f>
        <v>0</v>
      </c>
      <c r="J128" s="321">
        <f>COUNTIFS(input!$O:$O,May!$J$114,input!$W:$W,May!B128,input!$A:$A,May!$B$2)</f>
        <v>0</v>
      </c>
      <c r="K128" s="343">
        <f>COUNTIFS(input!$O:$O,May!$K$114,input!$W:$W,May!B128,input!$A:$A,May!$B$2)</f>
        <v>0</v>
      </c>
      <c r="L128" s="312">
        <f t="shared" si="11"/>
        <v>0</v>
      </c>
      <c r="M128" s="320" cm="1">
        <f t="array" ref="M128">_xlfn.IFS(L128=0,0,L128&gt;=1,L128/$L$169)</f>
        <v>0</v>
      </c>
      <c r="N128" s="992" t="s">
        <v>1843</v>
      </c>
      <c r="O128" s="993"/>
      <c r="P128" s="994"/>
      <c r="Q128" s="316">
        <f>COUNTIFS(input!$O:$O,May!$Q$114,input!$X:$X,May!N128,input!$A:$A,May!$B$2)</f>
        <v>0</v>
      </c>
      <c r="R128" s="316">
        <f>COUNTIFS(input!$O:$O,May!$R$114,input!$X:$X,May!N128,input!$A:$A,May!$B$2)</f>
        <v>0</v>
      </c>
      <c r="S128" s="316">
        <f>COUNTIFS(input!$O:$O,May!$S$114,input!$X:$X,May!N128,input!$A:$A,May!$B$2)</f>
        <v>0</v>
      </c>
      <c r="T128" s="322">
        <f>COUNTIFS(input!$O:$O,May!$T$114,input!$X:$X,May!N128,input!$A:$A,May!$B$2)</f>
        <v>0</v>
      </c>
      <c r="U128" s="322">
        <f>COUNTIFS(input!$O:$O,May!$U$114,input!$X:$X,May!N128,input!$A:$A,May!$B$2)</f>
        <v>0</v>
      </c>
      <c r="V128" s="323">
        <f>COUNTIFS(input!$O:$O,May!$V$114,input!$X:$X,May!N128,input!$A:$A,May!$B$2)</f>
        <v>1</v>
      </c>
      <c r="W128" s="323">
        <f>COUNTIFS(input!$O:$O,May!$W$114,input!$X:$X,May!N128,input!$A:$A,May!$B$2)</f>
        <v>0</v>
      </c>
      <c r="X128" s="324">
        <f>COUNTIFS(input!$O:$O,May!$X$114,input!$X:$X,May!N128,input!$A:$A,May!$B$2)</f>
        <v>0</v>
      </c>
      <c r="Y128" s="312">
        <f t="shared" si="10"/>
        <v>1</v>
      </c>
      <c r="Z128" s="315" cm="1">
        <f t="array" ref="Z128">_xlfn.IFS(Y128=0,0,Y128&gt;=1,Y128/$Y$169)</f>
        <v>6.25E-2</v>
      </c>
    </row>
    <row r="129" spans="2:26" ht="92" hidden="1" customHeight="1" x14ac:dyDescent="0.25">
      <c r="B129" s="1122" t="s">
        <v>829</v>
      </c>
      <c r="C129" s="997"/>
      <c r="D129" s="316">
        <f>COUNTIFS(input!$O:$O,May!$D$114,input!$W:$W,May!B129,input!$A:$A,May!$B$2)</f>
        <v>0</v>
      </c>
      <c r="E129" s="316">
        <f>COUNTIFS(input!$O:$O,May!$E$114,input!$W:$W,May!B129,input!$A:$A,May!$B$2)</f>
        <v>0</v>
      </c>
      <c r="F129" s="316">
        <f>COUNTIFS(input!$O:$O,May!$F$114,input!$W:$W,May!B129,input!$A:$A,May!$B$2)</f>
        <v>0</v>
      </c>
      <c r="G129" s="322">
        <f>COUNTIFS(input!$O:$O,May!$G$114,input!$W:$W,May!B129,input!$A:$A,May!$B$2)</f>
        <v>0</v>
      </c>
      <c r="H129" s="321">
        <f>COUNTIFS(input!$O:$O,May!$H$114,input!$W:$W,May!B129,input!$A:$A,May!$B$2)</f>
        <v>0</v>
      </c>
      <c r="I129" s="321">
        <f>COUNTIFS(input!$O:$O,May!$I$114,input!$W:$W,May!B129,input!$A:$A,May!$B$2)</f>
        <v>0</v>
      </c>
      <c r="J129" s="321">
        <f>COUNTIFS(input!$O:$O,May!$J$114,input!$W:$W,May!B129,input!$A:$A,May!$B$2)</f>
        <v>0</v>
      </c>
      <c r="K129" s="343">
        <f>COUNTIFS(input!$O:$O,May!$K$114,input!$W:$W,May!B129,input!$A:$A,May!$B$2)</f>
        <v>0</v>
      </c>
      <c r="L129" s="312">
        <f t="shared" si="11"/>
        <v>0</v>
      </c>
      <c r="M129" s="320" cm="1">
        <f t="array" ref="M129">_xlfn.IFS(L129=0,0,L129&gt;=1,L129/$L$169)</f>
        <v>0</v>
      </c>
      <c r="N129" s="995" t="s">
        <v>72</v>
      </c>
      <c r="O129" s="996"/>
      <c r="P129" s="997"/>
      <c r="Q129" s="316">
        <f>COUNTIFS(input!$O:$O,May!$Q$114,input!$X:$X,May!N129,input!$A:$A,May!$B$2)</f>
        <v>0</v>
      </c>
      <c r="R129" s="316">
        <f>COUNTIFS(input!$O:$O,May!$R$114,input!$X:$X,May!N129,input!$A:$A,May!$B$2)</f>
        <v>0</v>
      </c>
      <c r="S129" s="316">
        <f>COUNTIFS(input!$O:$O,May!$S$114,input!$X:$X,May!N129,input!$A:$A,May!$B$2)</f>
        <v>0</v>
      </c>
      <c r="T129" s="322">
        <f>COUNTIFS(input!$O:$O,May!$T$114,input!$X:$X,May!N129,input!$A:$A,May!$B$2)</f>
        <v>0</v>
      </c>
      <c r="U129" s="322">
        <f>COUNTIFS(input!$O:$O,May!$U$114,input!$X:$X,May!N129,input!$A:$A,May!$B$2)</f>
        <v>0</v>
      </c>
      <c r="V129" s="323">
        <f>COUNTIFS(input!$O:$O,May!$V$114,input!$X:$X,May!N129,input!$A:$A,May!$B$2)</f>
        <v>0</v>
      </c>
      <c r="W129" s="323">
        <f>COUNTIFS(input!$O:$O,May!$W$114,input!$X:$X,May!N129,input!$A:$A,May!$B$2)</f>
        <v>0</v>
      </c>
      <c r="X129" s="324">
        <f>COUNTIFS(input!$O:$O,May!$X$114,input!$X:$X,May!N129,input!$A:$A,May!$B$2)</f>
        <v>0</v>
      </c>
      <c r="Y129" s="312">
        <f t="shared" si="10"/>
        <v>0</v>
      </c>
      <c r="Z129" s="315" cm="1">
        <f t="array" ref="Z129">_xlfn.IFS(Y129=0,0,Y129&gt;=1,Y129/$Y$169)</f>
        <v>0</v>
      </c>
    </row>
    <row r="130" spans="2:26" ht="92" customHeight="1" x14ac:dyDescent="0.25">
      <c r="B130" s="1122" t="s">
        <v>604</v>
      </c>
      <c r="C130" s="997"/>
      <c r="D130" s="316">
        <f>COUNTIFS(input!$O:$O,May!$D$114,input!$W:$W,May!B130,input!$A:$A,May!$B$2)</f>
        <v>0</v>
      </c>
      <c r="E130" s="316">
        <f>COUNTIFS(input!$O:$O,May!$E$114,input!$W:$W,May!B130,input!$A:$A,May!$B$2)</f>
        <v>0</v>
      </c>
      <c r="F130" s="316">
        <f>COUNTIFS(input!$O:$O,May!$F$114,input!$W:$W,May!B130,input!$A:$A,May!$B$2)</f>
        <v>0</v>
      </c>
      <c r="G130" s="322">
        <f>COUNTIFS(input!$O:$O,May!$G$114,input!$W:$W,May!B130,input!$A:$A,May!$B$2)</f>
        <v>0</v>
      </c>
      <c r="H130" s="321">
        <f>COUNTIFS(input!$O:$O,May!$H$114,input!$W:$W,May!B130,input!$A:$A,May!$B$2)</f>
        <v>0</v>
      </c>
      <c r="I130" s="321">
        <f>COUNTIFS(input!$O:$O,May!$I$114,input!$W:$W,May!B130,input!$A:$A,May!$B$2)</f>
        <v>0</v>
      </c>
      <c r="J130" s="321">
        <f>COUNTIFS(input!$O:$O,May!$J$114,input!$W:$W,May!B130,input!$A:$A,May!$B$2)</f>
        <v>0</v>
      </c>
      <c r="K130" s="343">
        <f>COUNTIFS(input!$O:$O,May!$K$114,input!$W:$W,May!B130,input!$A:$A,May!$B$2)</f>
        <v>0</v>
      </c>
      <c r="L130" s="312">
        <f t="shared" si="11"/>
        <v>0</v>
      </c>
      <c r="M130" s="320" cm="1">
        <f t="array" ref="M130">_xlfn.IFS(L130=0,0,L130&gt;=1,L130/$L$169)</f>
        <v>0</v>
      </c>
      <c r="N130" s="992" t="s">
        <v>73</v>
      </c>
      <c r="O130" s="993"/>
      <c r="P130" s="994"/>
      <c r="Q130" s="316">
        <f>COUNTIFS(input!$O:$O,May!$Q$114,input!$X:$X,May!N130,input!$A:$A,May!$B$2)</f>
        <v>0</v>
      </c>
      <c r="R130" s="316">
        <f>COUNTIFS(input!$O:$O,May!$R$114,input!$X:$X,May!N130,input!$A:$A,May!$B$2)</f>
        <v>0</v>
      </c>
      <c r="S130" s="316">
        <f>COUNTIFS(input!$O:$O,May!$S$114,input!$X:$X,May!N130,input!$A:$A,May!$B$2)</f>
        <v>0</v>
      </c>
      <c r="T130" s="322">
        <f>COUNTIFS(input!$O:$O,May!$T$114,input!$X:$X,May!N130,input!$A:$A,May!$B$2)</f>
        <v>1</v>
      </c>
      <c r="U130" s="322">
        <f>COUNTIFS(input!$O:$O,May!$U$114,input!$X:$X,May!N130,input!$A:$A,May!$B$2)</f>
        <v>0</v>
      </c>
      <c r="V130" s="323">
        <f>COUNTIFS(input!$O:$O,May!$V$114,input!$X:$X,May!N130,input!$A:$A,May!$B$2)</f>
        <v>0</v>
      </c>
      <c r="W130" s="323">
        <f>COUNTIFS(input!$O:$O,May!$W$114,input!$X:$X,May!N130,input!$A:$A,May!$B$2)</f>
        <v>0</v>
      </c>
      <c r="X130" s="324">
        <f>COUNTIFS(input!$O:$O,May!$X$114,input!$X:$X,May!N130,input!$A:$A,May!$B$2)</f>
        <v>0</v>
      </c>
      <c r="Y130" s="312">
        <f t="shared" si="10"/>
        <v>1</v>
      </c>
      <c r="Z130" s="315" cm="1">
        <f t="array" ref="Z130">_xlfn.IFS(Y130=0,0,Y130&gt;=1,Y130/$Y$169)</f>
        <v>6.25E-2</v>
      </c>
    </row>
    <row r="131" spans="2:26" ht="92" hidden="1" customHeight="1" x14ac:dyDescent="0.25">
      <c r="B131" s="1122" t="s">
        <v>1541</v>
      </c>
      <c r="C131" s="997"/>
      <c r="D131" s="316">
        <f>COUNTIFS(input!$O:$O,May!$D$114,input!$W:$W,May!B131,input!$A:$A,May!$B$2)</f>
        <v>0</v>
      </c>
      <c r="E131" s="316">
        <f>COUNTIFS(input!$O:$O,May!$E$114,input!$W:$W,May!B131,input!$A:$A,May!$B$2)</f>
        <v>0</v>
      </c>
      <c r="F131" s="316">
        <f>COUNTIFS(input!$O:$O,May!$F$114,input!$W:$W,May!B131,input!$A:$A,May!$B$2)</f>
        <v>0</v>
      </c>
      <c r="G131" s="322">
        <f>COUNTIFS(input!$O:$O,May!$G$114,input!$W:$W,May!B131,input!$A:$A,May!$B$2)</f>
        <v>0</v>
      </c>
      <c r="H131" s="321">
        <f>COUNTIFS(input!$O:$O,May!$H$114,input!$W:$W,May!B131,input!$A:$A,May!$B$2)</f>
        <v>0</v>
      </c>
      <c r="I131" s="321">
        <f>COUNTIFS(input!$O:$O,May!$I$114,input!$W:$W,May!B131,input!$A:$A,May!$B$2)</f>
        <v>0</v>
      </c>
      <c r="J131" s="321">
        <f>COUNTIFS(input!$O:$O,May!$J$114,input!$W:$W,May!B131,input!$A:$A,May!$B$2)</f>
        <v>0</v>
      </c>
      <c r="K131" s="343">
        <f>COUNTIFS(input!$O:$O,May!$K$114,input!$W:$W,May!B131,input!$A:$A,May!$B$2)</f>
        <v>0</v>
      </c>
      <c r="L131" s="312">
        <f t="shared" si="11"/>
        <v>0</v>
      </c>
      <c r="M131" s="320" cm="1">
        <f t="array" ref="M131">_xlfn.IFS(L131=0,0,L131&gt;=1,L131/$L$169)</f>
        <v>0</v>
      </c>
      <c r="N131" s="995" t="s">
        <v>744</v>
      </c>
      <c r="O131" s="996"/>
      <c r="P131" s="997"/>
      <c r="Q131" s="316">
        <f>COUNTIFS(input!$O:$O,May!$Q$114,input!$X:$X,May!N131,input!$A:$A,May!$B$2)</f>
        <v>0</v>
      </c>
      <c r="R131" s="316">
        <f>COUNTIFS(input!$O:$O,May!$R$114,input!$X:$X,May!N131,input!$A:$A,May!$B$2)</f>
        <v>0</v>
      </c>
      <c r="S131" s="316">
        <f>COUNTIFS(input!$O:$O,May!$S$114,input!$X:$X,May!N131,input!$A:$A,May!$B$2)</f>
        <v>0</v>
      </c>
      <c r="T131" s="322">
        <f>COUNTIFS(input!$O:$O,May!$T$114,input!$X:$X,May!N131,input!$A:$A,May!$B$2)</f>
        <v>0</v>
      </c>
      <c r="U131" s="322">
        <f>COUNTIFS(input!$O:$O,May!$U$114,input!$X:$X,May!N131,input!$A:$A,May!$B$2)</f>
        <v>0</v>
      </c>
      <c r="V131" s="323">
        <f>COUNTIFS(input!$O:$O,May!$V$114,input!$X:$X,May!N131,input!$A:$A,May!$B$2)</f>
        <v>0</v>
      </c>
      <c r="W131" s="323">
        <f>COUNTIFS(input!$O:$O,May!$W$114,input!$X:$X,May!N131,input!$A:$A,May!$B$2)</f>
        <v>0</v>
      </c>
      <c r="X131" s="324">
        <f>COUNTIFS(input!$O:$O,May!$X$114,input!$X:$X,May!N131,input!$A:$A,May!$B$2)</f>
        <v>0</v>
      </c>
      <c r="Y131" s="312">
        <f t="shared" si="10"/>
        <v>0</v>
      </c>
      <c r="Z131" s="315" cm="1">
        <f t="array" ref="Z131">_xlfn.IFS(Y131=0,0,Y131&gt;=1,Y131/$Y$169)</f>
        <v>0</v>
      </c>
    </row>
    <row r="132" spans="2:26" ht="92" customHeight="1" x14ac:dyDescent="0.25">
      <c r="B132" s="1122" t="s">
        <v>646</v>
      </c>
      <c r="C132" s="997"/>
      <c r="D132" s="316">
        <f>COUNTIFS(input!$O:$O,May!$D$114,input!$W:$W,May!B132,input!$A:$A,May!$B$2)</f>
        <v>0</v>
      </c>
      <c r="E132" s="316">
        <f>COUNTIFS(input!$O:$O,May!$E$114,input!$W:$W,May!B132,input!$A:$A,May!$B$2)</f>
        <v>0</v>
      </c>
      <c r="F132" s="316">
        <f>COUNTIFS(input!$O:$O,May!$F$114,input!$W:$W,May!B132,input!$A:$A,May!$B$2)</f>
        <v>0</v>
      </c>
      <c r="G132" s="322">
        <f>COUNTIFS(input!$O:$O,May!$G$114,input!$W:$W,May!B132,input!$A:$A,May!$B$2)</f>
        <v>0</v>
      </c>
      <c r="H132" s="321">
        <f>COUNTIFS(input!$O:$O,May!$H$114,input!$W:$W,May!B132,input!$A:$A,May!$B$2)</f>
        <v>0</v>
      </c>
      <c r="I132" s="321">
        <f>COUNTIFS(input!$O:$O,May!$I$114,input!$W:$W,May!B132,input!$A:$A,May!$B$2)</f>
        <v>0</v>
      </c>
      <c r="J132" s="321">
        <f>COUNTIFS(input!$O:$O,May!$J$114,input!$W:$W,May!B132,input!$A:$A,May!$B$2)</f>
        <v>0</v>
      </c>
      <c r="K132" s="343">
        <f>COUNTIFS(input!$O:$O,May!$K$114,input!$W:$W,May!B132,input!$A:$A,May!$B$2)</f>
        <v>0</v>
      </c>
      <c r="L132" s="312">
        <f t="shared" si="11"/>
        <v>0</v>
      </c>
      <c r="M132" s="320" cm="1">
        <f t="array" ref="M132">_xlfn.IFS(L132=0,0,L132&gt;=1,L132/$L$169)</f>
        <v>0</v>
      </c>
      <c r="N132" s="992" t="s">
        <v>444</v>
      </c>
      <c r="O132" s="993"/>
      <c r="P132" s="994"/>
      <c r="Q132" s="316">
        <f>COUNTIFS(input!$O:$O,May!$Q$114,input!$X:$X,May!N132,input!$A:$A,May!$B$2)</f>
        <v>0</v>
      </c>
      <c r="R132" s="316">
        <f>COUNTIFS(input!$O:$O,May!$R$114,input!$X:$X,May!N132,input!$A:$A,May!$B$2)</f>
        <v>0</v>
      </c>
      <c r="S132" s="316">
        <f>COUNTIFS(input!$O:$O,May!$S$114,input!$X:$X,May!N132,input!$A:$A,May!$B$2)</f>
        <v>0</v>
      </c>
      <c r="T132" s="322">
        <f>COUNTIFS(input!$O:$O,May!$T$114,input!$X:$X,May!N132,input!$A:$A,May!$B$2)</f>
        <v>1</v>
      </c>
      <c r="U132" s="322">
        <f>COUNTIFS(input!$O:$O,May!$U$114,input!$X:$X,May!N132,input!$A:$A,May!$B$2)</f>
        <v>0</v>
      </c>
      <c r="V132" s="323">
        <f>COUNTIFS(input!$O:$O,May!$V$114,input!$X:$X,May!N132,input!$A:$A,May!$B$2)</f>
        <v>0</v>
      </c>
      <c r="W132" s="323">
        <f>COUNTIFS(input!$O:$O,May!$W$114,input!$X:$X,May!N132,input!$A:$A,May!$B$2)</f>
        <v>0</v>
      </c>
      <c r="X132" s="324">
        <f>COUNTIFS(input!$O:$O,May!$X$114,input!$X:$X,May!N132,input!$A:$A,May!$B$2)</f>
        <v>0</v>
      </c>
      <c r="Y132" s="312">
        <f t="shared" si="10"/>
        <v>1</v>
      </c>
      <c r="Z132" s="315" cm="1">
        <f t="array" ref="Z132">_xlfn.IFS(Y132=0,0,Y132&gt;=1,Y132/$Y$169)</f>
        <v>6.25E-2</v>
      </c>
    </row>
    <row r="133" spans="2:26" ht="92" customHeight="1" x14ac:dyDescent="0.25">
      <c r="B133" s="998" t="s">
        <v>1840</v>
      </c>
      <c r="C133" s="994"/>
      <c r="D133" s="316">
        <f>COUNTIFS(input!$O:$O,May!$D$114,input!$W:$W,May!B133,input!$A:$A,May!$B$2)</f>
        <v>0</v>
      </c>
      <c r="E133" s="316">
        <f>COUNTIFS(input!$O:$O,May!$E$114,input!$W:$W,May!B133,input!$A:$A,May!$B$2)</f>
        <v>1</v>
      </c>
      <c r="F133" s="316">
        <f>COUNTIFS(input!$O:$O,May!$F$114,input!$W:$W,May!B133,input!$A:$A,May!$B$2)</f>
        <v>0</v>
      </c>
      <c r="G133" s="322">
        <f>COUNTIFS(input!$O:$O,May!$G$114,input!$W:$W,May!B133,input!$A:$A,May!$B$2)</f>
        <v>0</v>
      </c>
      <c r="H133" s="321">
        <f>COUNTIFS(input!$O:$O,May!$H$114,input!$W:$W,May!B133,input!$A:$A,May!$B$2)</f>
        <v>0</v>
      </c>
      <c r="I133" s="321">
        <f>COUNTIFS(input!$O:$O,May!$I$114,input!$W:$W,May!B133,input!$A:$A,May!$B$2)</f>
        <v>0</v>
      </c>
      <c r="J133" s="321">
        <f>COUNTIFS(input!$O:$O,May!$J$114,input!$W:$W,May!B133,input!$A:$A,May!$B$2)</f>
        <v>0</v>
      </c>
      <c r="K133" s="343">
        <f>COUNTIFS(input!$O:$O,May!$K$114,input!$W:$W,May!B133,input!$A:$A,May!$B$2)</f>
        <v>0</v>
      </c>
      <c r="L133" s="312">
        <f>SUM(D133:K133)</f>
        <v>1</v>
      </c>
      <c r="M133" s="320" cm="1">
        <f t="array" ref="M133">_xlfn.IFS(L133=0,0,L133&gt;=1,L133/$L$169)</f>
        <v>6.25E-2</v>
      </c>
      <c r="N133" s="992" t="s">
        <v>507</v>
      </c>
      <c r="O133" s="993"/>
      <c r="P133" s="994"/>
      <c r="Q133" s="316">
        <f>COUNTIFS(input!$O:$O,May!$Q$114,input!$X:$X,May!N133,input!$A:$A,May!$B$2)</f>
        <v>0</v>
      </c>
      <c r="R133" s="316">
        <f>COUNTIFS(input!$O:$O,May!$R$114,input!$X:$X,May!N133,input!$A:$A,May!$B$2)</f>
        <v>1</v>
      </c>
      <c r="S133" s="316">
        <f>COUNTIFS(input!$O:$O,May!$S$114,input!$X:$X,May!N133,input!$A:$A,May!$B$2)</f>
        <v>0</v>
      </c>
      <c r="T133" s="322">
        <f>COUNTIFS(input!$O:$O,May!$T$114,input!$X:$X,May!N133,input!$A:$A,May!$B$2)</f>
        <v>0</v>
      </c>
      <c r="U133" s="322">
        <f>COUNTIFS(input!$O:$O,May!$U$114,input!$X:$X,May!N133,input!$A:$A,May!$B$2)</f>
        <v>0</v>
      </c>
      <c r="V133" s="323">
        <f>COUNTIFS(input!$O:$O,May!$V$114,input!$X:$X,May!N133,input!$A:$A,May!$B$2)</f>
        <v>0</v>
      </c>
      <c r="W133" s="323">
        <f>COUNTIFS(input!$O:$O,May!$W$114,input!$X:$X,May!N133,input!$A:$A,May!$B$2)</f>
        <v>0</v>
      </c>
      <c r="X133" s="324">
        <f>COUNTIFS(input!$O:$O,May!$X$114,input!$X:$X,May!N133,input!$A:$A,May!$B$2)</f>
        <v>0</v>
      </c>
      <c r="Y133" s="312">
        <f>SUM(Q133:X133)</f>
        <v>1</v>
      </c>
      <c r="Z133" s="315" cm="1">
        <f t="array" ref="Z133">_xlfn.IFS(Y133=0,0,Y133&gt;=1,Y133/$Y$169)</f>
        <v>6.25E-2</v>
      </c>
    </row>
    <row r="134" spans="2:26" ht="92" hidden="1" customHeight="1" x14ac:dyDescent="0.25">
      <c r="B134" s="1122" t="s">
        <v>366</v>
      </c>
      <c r="C134" s="997"/>
      <c r="D134" s="316">
        <f>COUNTIFS(input!$O:$O,May!$D$114,input!$W:$W,May!B134,input!$A:$A,May!$B$2)</f>
        <v>0</v>
      </c>
      <c r="E134" s="316">
        <f>COUNTIFS(input!$O:$O,May!$E$114,input!$W:$W,May!B134,input!$A:$A,May!$B$2)</f>
        <v>0</v>
      </c>
      <c r="F134" s="316">
        <f>COUNTIFS(input!$O:$O,May!$F$114,input!$W:$W,May!B134,input!$A:$A,May!$B$2)</f>
        <v>0</v>
      </c>
      <c r="G134" s="322">
        <f>COUNTIFS(input!$O:$O,May!$G$114,input!$W:$W,May!B134,input!$A:$A,May!$B$2)</f>
        <v>0</v>
      </c>
      <c r="H134" s="321">
        <f>COUNTIFS(input!$O:$O,May!$H$114,input!$W:$W,May!B134,input!$A:$A,May!$B$2)</f>
        <v>0</v>
      </c>
      <c r="I134" s="321">
        <f>COUNTIFS(input!$O:$O,May!$I$114,input!$W:$W,May!B134,input!$A:$A,May!$B$2)</f>
        <v>0</v>
      </c>
      <c r="J134" s="321">
        <f>COUNTIFS(input!$O:$O,May!$J$114,input!$W:$W,May!B134,input!$A:$A,May!$B$2)</f>
        <v>0</v>
      </c>
      <c r="K134" s="343">
        <f>COUNTIFS(input!$O:$O,May!$K$114,input!$W:$W,May!B134,input!$A:$A,May!$B$2)</f>
        <v>0</v>
      </c>
      <c r="L134" s="312">
        <f t="shared" si="11"/>
        <v>0</v>
      </c>
      <c r="M134" s="320" cm="1">
        <f t="array" ref="M134">_xlfn.IFS(L134=0,0,L134&gt;=1,L134/$L$169)</f>
        <v>0</v>
      </c>
      <c r="N134" s="995" t="s">
        <v>75</v>
      </c>
      <c r="O134" s="996"/>
      <c r="P134" s="997"/>
      <c r="Q134" s="316">
        <f>COUNTIFS(input!$O:$O,May!$Q$114,input!$X:$X,May!N134,input!$A:$A,May!$B$2)</f>
        <v>0</v>
      </c>
      <c r="R134" s="316">
        <f>COUNTIFS(input!$O:$O,May!$R$114,input!$X:$X,May!N134,input!$A:$A,May!$B$2)</f>
        <v>0</v>
      </c>
      <c r="S134" s="316">
        <f>COUNTIFS(input!$O:$O,May!$S$114,input!$X:$X,May!N134,input!$A:$A,May!$B$2)</f>
        <v>0</v>
      </c>
      <c r="T134" s="322">
        <f>COUNTIFS(input!$O:$O,May!$T$114,input!$X:$X,May!N134,input!$A:$A,May!$B$2)</f>
        <v>0</v>
      </c>
      <c r="U134" s="322">
        <f>COUNTIFS(input!$O:$O,May!$U$114,input!$X:$X,May!N134,input!$A:$A,May!$B$2)</f>
        <v>0</v>
      </c>
      <c r="V134" s="323">
        <f>COUNTIFS(input!$O:$O,May!$V$114,input!$X:$X,May!N134,input!$A:$A,May!$B$2)</f>
        <v>0</v>
      </c>
      <c r="W134" s="323">
        <f>COUNTIFS(input!$O:$O,May!$W$114,input!$X:$X,May!N134,input!$A:$A,May!$B$2)</f>
        <v>0</v>
      </c>
      <c r="X134" s="324">
        <f>COUNTIFS(input!$O:$O,May!$X$114,input!$X:$X,May!N134,input!$A:$A,May!$B$2)</f>
        <v>0</v>
      </c>
      <c r="Y134" s="312">
        <f t="shared" si="10"/>
        <v>0</v>
      </c>
      <c r="Z134" s="315" cm="1">
        <f t="array" ref="Z134">_xlfn.IFS(Y134=0,0,Y134&gt;=1,Y134/$Y$169)</f>
        <v>0</v>
      </c>
    </row>
    <row r="135" spans="2:26" ht="92" hidden="1" customHeight="1" x14ac:dyDescent="0.25">
      <c r="B135" s="1122" t="s">
        <v>1539</v>
      </c>
      <c r="C135" s="997"/>
      <c r="D135" s="316">
        <f>COUNTIFS(input!$O:$O,May!$D$114,input!$W:$W,May!B135,input!$A:$A,May!$B$2)</f>
        <v>0</v>
      </c>
      <c r="E135" s="316">
        <f>COUNTIFS(input!$O:$O,May!$E$114,input!$W:$W,May!B135,input!$A:$A,May!$B$2)</f>
        <v>0</v>
      </c>
      <c r="F135" s="316">
        <f>COUNTIFS(input!$O:$O,May!$F$114,input!$W:$W,May!B135,input!$A:$A,May!$B$2)</f>
        <v>0</v>
      </c>
      <c r="G135" s="322">
        <f>COUNTIFS(input!$O:$O,May!$G$114,input!$W:$W,May!B135,input!$A:$A,May!$B$2)</f>
        <v>0</v>
      </c>
      <c r="H135" s="321">
        <f>COUNTIFS(input!$O:$O,May!$H$114,input!$W:$W,May!B135,input!$A:$A,May!$B$2)</f>
        <v>0</v>
      </c>
      <c r="I135" s="321">
        <f>COUNTIFS(input!$O:$O,May!$I$114,input!$W:$W,May!B135,input!$A:$A,May!$B$2)</f>
        <v>0</v>
      </c>
      <c r="J135" s="321">
        <f>COUNTIFS(input!$O:$O,May!$J$114,input!$W:$W,May!B135,input!$A:$A,May!$B$2)</f>
        <v>0</v>
      </c>
      <c r="K135" s="343">
        <f>COUNTIFS(input!$O:$O,May!$K$114,input!$W:$W,May!B135,input!$A:$A,May!$B$2)</f>
        <v>0</v>
      </c>
      <c r="L135" s="312">
        <f t="shared" si="11"/>
        <v>0</v>
      </c>
      <c r="M135" s="320" cm="1">
        <f t="array" ref="M135">_xlfn.IFS(L135=0,0,L135&gt;=1,L135/$L$169)</f>
        <v>0</v>
      </c>
      <c r="N135" s="995" t="s">
        <v>76</v>
      </c>
      <c r="O135" s="996"/>
      <c r="P135" s="997"/>
      <c r="Q135" s="316">
        <f>COUNTIFS(input!$O:$O,May!$Q$114,input!$X:$X,May!N135,input!$A:$A,May!$B$2)</f>
        <v>0</v>
      </c>
      <c r="R135" s="316">
        <f>COUNTIFS(input!$O:$O,May!$R$114,input!$X:$X,May!N135,input!$A:$A,May!$B$2)</f>
        <v>0</v>
      </c>
      <c r="S135" s="316">
        <f>COUNTIFS(input!$O:$O,May!$S$114,input!$X:$X,May!N135,input!$A:$A,May!$B$2)</f>
        <v>0</v>
      </c>
      <c r="T135" s="322">
        <f>COUNTIFS(input!$O:$O,May!$T$114,input!$X:$X,May!N135,input!$A:$A,May!$B$2)</f>
        <v>0</v>
      </c>
      <c r="U135" s="322">
        <f>COUNTIFS(input!$O:$O,May!$U$114,input!$X:$X,May!N135,input!$A:$A,May!$B$2)</f>
        <v>0</v>
      </c>
      <c r="V135" s="323">
        <f>COUNTIFS(input!$O:$O,May!$V$114,input!$X:$X,May!N135,input!$A:$A,May!$B$2)</f>
        <v>0</v>
      </c>
      <c r="W135" s="323">
        <f>COUNTIFS(input!$O:$O,May!$W$114,input!$X:$X,May!N135,input!$A:$A,May!$B$2)</f>
        <v>0</v>
      </c>
      <c r="X135" s="324">
        <f>COUNTIFS(input!$O:$O,May!$X$114,input!$X:$X,May!N135,input!$A:$A,May!$B$2)</f>
        <v>0</v>
      </c>
      <c r="Y135" s="312">
        <f t="shared" si="10"/>
        <v>0</v>
      </c>
      <c r="Z135" s="315" cm="1">
        <f t="array" ref="Z135">_xlfn.IFS(Y135=0,0,Y135&gt;=1,Y135/$Y$169)</f>
        <v>0</v>
      </c>
    </row>
    <row r="136" spans="2:26" ht="92" hidden="1" customHeight="1" x14ac:dyDescent="0.25">
      <c r="B136" s="1122" t="s">
        <v>498</v>
      </c>
      <c r="C136" s="997"/>
      <c r="D136" s="316">
        <f>COUNTIFS(input!$O:$O,May!$D$114,input!$W:$W,May!B136,input!$A:$A,May!$B$2)</f>
        <v>0</v>
      </c>
      <c r="E136" s="316">
        <f>COUNTIFS(input!$O:$O,May!$E$114,input!$W:$W,May!B136,input!$A:$A,May!$B$2)</f>
        <v>0</v>
      </c>
      <c r="F136" s="316">
        <f>COUNTIFS(input!$O:$O,May!$F$114,input!$W:$W,May!B136,input!$A:$A,May!$B$2)</f>
        <v>0</v>
      </c>
      <c r="G136" s="322">
        <f>COUNTIFS(input!$O:$O,May!$G$114,input!$W:$W,May!B136,input!$A:$A,May!$B$2)</f>
        <v>0</v>
      </c>
      <c r="H136" s="321">
        <f>COUNTIFS(input!$O:$O,May!$H$114,input!$W:$W,May!B136,input!$A:$A,May!$B$2)</f>
        <v>0</v>
      </c>
      <c r="I136" s="321">
        <f>COUNTIFS(input!$O:$O,May!$I$114,input!$W:$W,May!B136,input!$A:$A,May!$B$2)</f>
        <v>0</v>
      </c>
      <c r="J136" s="321">
        <f>COUNTIFS(input!$O:$O,May!$J$114,input!$W:$W,May!B136,input!$A:$A,May!$B$2)</f>
        <v>0</v>
      </c>
      <c r="K136" s="343">
        <f>COUNTIFS(input!$O:$O,May!$K$114,input!$W:$W,May!B136,input!$A:$A,May!$B$2)</f>
        <v>0</v>
      </c>
      <c r="L136" s="312">
        <f t="shared" si="11"/>
        <v>0</v>
      </c>
      <c r="M136" s="320" cm="1">
        <f t="array" ref="M136">_xlfn.IFS(L136=0,0,L136&gt;=1,L136/$L$169)</f>
        <v>0</v>
      </c>
      <c r="N136" s="995" t="s">
        <v>77</v>
      </c>
      <c r="O136" s="996"/>
      <c r="P136" s="997"/>
      <c r="Q136" s="316">
        <f>COUNTIFS(input!$O:$O,May!$Q$114,input!$X:$X,May!N136,input!$A:$A,May!$B$2)</f>
        <v>0</v>
      </c>
      <c r="R136" s="316">
        <f>COUNTIFS(input!$O:$O,May!$R$114,input!$X:$X,May!N136,input!$A:$A,May!$B$2)</f>
        <v>0</v>
      </c>
      <c r="S136" s="316">
        <f>COUNTIFS(input!$O:$O,May!$S$114,input!$X:$X,May!N136,input!$A:$A,May!$B$2)</f>
        <v>0</v>
      </c>
      <c r="T136" s="322">
        <f>COUNTIFS(input!$O:$O,May!$T$114,input!$X:$X,May!N136,input!$A:$A,May!$B$2)</f>
        <v>0</v>
      </c>
      <c r="U136" s="322">
        <f>COUNTIFS(input!$O:$O,May!$U$114,input!$X:$X,May!N136,input!$A:$A,May!$B$2)</f>
        <v>0</v>
      </c>
      <c r="V136" s="323">
        <f>COUNTIFS(input!$O:$O,May!$V$114,input!$X:$X,May!N136,input!$A:$A,May!$B$2)</f>
        <v>0</v>
      </c>
      <c r="W136" s="323">
        <f>COUNTIFS(input!$O:$O,May!$W$114,input!$X:$X,May!N136,input!$A:$A,May!$B$2)</f>
        <v>0</v>
      </c>
      <c r="X136" s="324">
        <f>COUNTIFS(input!$O:$O,May!$X$114,input!$X:$X,May!N136,input!$A:$A,May!$B$2)</f>
        <v>0</v>
      </c>
      <c r="Y136" s="312">
        <f t="shared" si="10"/>
        <v>0</v>
      </c>
      <c r="Z136" s="315" cm="1">
        <f t="array" ref="Z136">_xlfn.IFS(Y136=0,0,Y136&gt;=1,Y136/$Y$169)</f>
        <v>0</v>
      </c>
    </row>
    <row r="137" spans="2:26" ht="92" hidden="1" customHeight="1" x14ac:dyDescent="0.25">
      <c r="B137" s="1122" t="s">
        <v>864</v>
      </c>
      <c r="C137" s="997"/>
      <c r="D137" s="316">
        <f>COUNTIFS(input!$O:$O,May!$D$114,input!$W:$W,May!B137,input!$A:$A,May!$B$2)</f>
        <v>0</v>
      </c>
      <c r="E137" s="316">
        <f>COUNTIFS(input!$O:$O,May!$E$114,input!$W:$W,May!B137,input!$A:$A,May!$B$2)</f>
        <v>0</v>
      </c>
      <c r="F137" s="316">
        <f>COUNTIFS(input!$O:$O,May!$F$114,input!$W:$W,May!B137,input!$A:$A,May!$B$2)</f>
        <v>0</v>
      </c>
      <c r="G137" s="322">
        <f>COUNTIFS(input!$O:$O,May!$G$114,input!$W:$W,May!B137,input!$A:$A,May!$B$2)</f>
        <v>0</v>
      </c>
      <c r="H137" s="321">
        <f>COUNTIFS(input!$O:$O,May!$H$114,input!$W:$W,May!B137,input!$A:$A,May!$B$2)</f>
        <v>0</v>
      </c>
      <c r="I137" s="321">
        <f>COUNTIFS(input!$O:$O,May!$I$114,input!$W:$W,May!B137,input!$A:$A,May!$B$2)</f>
        <v>0</v>
      </c>
      <c r="J137" s="321">
        <f>COUNTIFS(input!$O:$O,May!$J$114,input!$W:$W,May!B137,input!$A:$A,May!$B$2)</f>
        <v>0</v>
      </c>
      <c r="K137" s="343">
        <f>COUNTIFS(input!$O:$O,May!$K$114,input!$W:$W,May!B137,input!$A:$A,May!$B$2)</f>
        <v>0</v>
      </c>
      <c r="L137" s="312">
        <f t="shared" si="11"/>
        <v>0</v>
      </c>
      <c r="M137" s="320" cm="1">
        <f t="array" ref="M137">_xlfn.IFS(L137=0,0,L137&gt;=1,L137/$L$169)</f>
        <v>0</v>
      </c>
      <c r="N137" s="995" t="s">
        <v>78</v>
      </c>
      <c r="O137" s="996"/>
      <c r="P137" s="997"/>
      <c r="Q137" s="316">
        <f>COUNTIFS(input!$O:$O,May!$Q$114,input!$X:$X,May!N137,input!$A:$A,May!$B$2)</f>
        <v>0</v>
      </c>
      <c r="R137" s="316">
        <f>COUNTIFS(input!$O:$O,May!$R$114,input!$X:$X,May!N137,input!$A:$A,May!$B$2)</f>
        <v>0</v>
      </c>
      <c r="S137" s="316">
        <f>COUNTIFS(input!$O:$O,May!$S$114,input!$X:$X,May!N137,input!$A:$A,May!$B$2)</f>
        <v>0</v>
      </c>
      <c r="T137" s="322">
        <f>COUNTIFS(input!$O:$O,May!$T$114,input!$X:$X,May!N137,input!$A:$A,May!$B$2)</f>
        <v>0</v>
      </c>
      <c r="U137" s="322">
        <f>COUNTIFS(input!$O:$O,May!$U$114,input!$X:$X,May!N137,input!$A:$A,May!$B$2)</f>
        <v>0</v>
      </c>
      <c r="V137" s="323">
        <f>COUNTIFS(input!$O:$O,May!$V$114,input!$X:$X,May!N137,input!$A:$A,May!$B$2)</f>
        <v>0</v>
      </c>
      <c r="W137" s="323">
        <f>COUNTIFS(input!$O:$O,May!$W$114,input!$X:$X,May!N137,input!$A:$A,May!$B$2)</f>
        <v>0</v>
      </c>
      <c r="X137" s="324">
        <f>COUNTIFS(input!$O:$O,May!$X$114,input!$X:$X,May!N137,input!$A:$A,May!$B$2)</f>
        <v>0</v>
      </c>
      <c r="Y137" s="312">
        <f t="shared" si="10"/>
        <v>0</v>
      </c>
      <c r="Z137" s="315" cm="1">
        <f t="array" ref="Z137">_xlfn.IFS(Y137=0,0,Y137&gt;=1,Y137/$Y$169)</f>
        <v>0</v>
      </c>
    </row>
    <row r="138" spans="2:26" ht="92" customHeight="1" x14ac:dyDescent="0.25">
      <c r="B138" s="1122" t="s">
        <v>489</v>
      </c>
      <c r="C138" s="997"/>
      <c r="D138" s="316">
        <f>COUNTIFS(input!$O:$O,May!$D$114,input!$W:$W,May!B138,input!$A:$A,May!$B$2)</f>
        <v>0</v>
      </c>
      <c r="E138" s="316">
        <f>COUNTIFS(input!$O:$O,May!$E$114,input!$W:$W,May!B138,input!$A:$A,May!$B$2)</f>
        <v>0</v>
      </c>
      <c r="F138" s="316">
        <f>COUNTIFS(input!$O:$O,May!$F$114,input!$W:$W,May!B138,input!$A:$A,May!$B$2)</f>
        <v>0</v>
      </c>
      <c r="G138" s="322">
        <f>COUNTIFS(input!$O:$O,May!$G$114,input!$W:$W,May!B138,input!$A:$A,May!$B$2)</f>
        <v>0</v>
      </c>
      <c r="H138" s="321">
        <f>COUNTIFS(input!$O:$O,May!$H$114,input!$W:$W,May!B138,input!$A:$A,May!$B$2)</f>
        <v>0</v>
      </c>
      <c r="I138" s="321">
        <f>COUNTIFS(input!$O:$O,May!$I$114,input!$W:$W,May!B138,input!$A:$A,May!$B$2)</f>
        <v>0</v>
      </c>
      <c r="J138" s="321">
        <f>COUNTIFS(input!$O:$O,May!$J$114,input!$W:$W,May!B138,input!$A:$A,May!$B$2)</f>
        <v>0</v>
      </c>
      <c r="K138" s="343">
        <f>COUNTIFS(input!$O:$O,May!$K$114,input!$W:$W,May!B138,input!$A:$A,May!$B$2)</f>
        <v>0</v>
      </c>
      <c r="L138" s="312">
        <f t="shared" si="11"/>
        <v>0</v>
      </c>
      <c r="M138" s="320" cm="1">
        <f t="array" ref="M138">_xlfn.IFS(L138=0,0,L138&gt;=1,L138/$L$169)</f>
        <v>0</v>
      </c>
      <c r="N138" s="992" t="s">
        <v>764</v>
      </c>
      <c r="O138" s="993"/>
      <c r="P138" s="994"/>
      <c r="Q138" s="316">
        <f>COUNTIFS(input!$O:$O,May!$Q$114,input!$X:$X,May!N138,input!$A:$A,May!$B$2)</f>
        <v>0</v>
      </c>
      <c r="R138" s="316">
        <f>COUNTIFS(input!$O:$O,May!$R$114,input!$X:$X,May!N138,input!$A:$A,May!$B$2)</f>
        <v>1</v>
      </c>
      <c r="S138" s="316">
        <f>COUNTIFS(input!$O:$O,May!$S$114,input!$X:$X,May!N138,input!$A:$A,May!$B$2)</f>
        <v>0</v>
      </c>
      <c r="T138" s="322">
        <f>COUNTIFS(input!$O:$O,May!$T$114,input!$X:$X,May!N138,input!$A:$A,May!$B$2)</f>
        <v>1</v>
      </c>
      <c r="U138" s="322">
        <f>COUNTIFS(input!$O:$O,May!$U$114,input!$X:$X,May!N138,input!$A:$A,May!$B$2)</f>
        <v>0</v>
      </c>
      <c r="V138" s="323">
        <f>COUNTIFS(input!$O:$O,May!$V$114,input!$X:$X,May!N138,input!$A:$A,May!$B$2)</f>
        <v>0</v>
      </c>
      <c r="W138" s="323">
        <f>COUNTIFS(input!$O:$O,May!$W$114,input!$X:$X,May!N138,input!$A:$A,May!$B$2)</f>
        <v>0</v>
      </c>
      <c r="X138" s="324">
        <f>COUNTIFS(input!$O:$O,May!$X$114,input!$X:$X,May!N138,input!$A:$A,May!$B$2)</f>
        <v>0</v>
      </c>
      <c r="Y138" s="312">
        <f t="shared" si="10"/>
        <v>2</v>
      </c>
      <c r="Z138" s="315" cm="1">
        <f t="array" ref="Z138">_xlfn.IFS(Y138=0,0,Y138&gt;=1,Y138/$Y$169)</f>
        <v>0.125</v>
      </c>
    </row>
    <row r="139" spans="2:26" ht="92" hidden="1" customHeight="1" x14ac:dyDescent="0.25">
      <c r="B139" s="1121" t="s">
        <v>466</v>
      </c>
      <c r="C139" s="1066"/>
      <c r="D139" s="316">
        <f>COUNTIFS(input!$O:$O,May!$D$114,input!$W:$W,May!B139,input!$A:$A,May!$B$2)</f>
        <v>0</v>
      </c>
      <c r="E139" s="316">
        <f>COUNTIFS(input!$O:$O,May!$E$114,input!$W:$W,May!B139,input!$A:$A,May!$B$2)</f>
        <v>0</v>
      </c>
      <c r="F139" s="316">
        <f>COUNTIFS(input!$O:$O,May!$F$114,input!$W:$W,May!B139,input!$A:$A,May!$B$2)</f>
        <v>0</v>
      </c>
      <c r="G139" s="322">
        <f>COUNTIFS(input!$O:$O,May!$G$114,input!$W:$W,May!B139,input!$A:$A,May!$B$2)</f>
        <v>0</v>
      </c>
      <c r="H139" s="321">
        <f>COUNTIFS(input!$O:$O,May!$H$114,input!$W:$W,May!B139,input!$A:$A,May!$B$2)</f>
        <v>0</v>
      </c>
      <c r="I139" s="321">
        <f>COUNTIFS(input!$O:$O,May!$I$114,input!$W:$W,May!B139,input!$A:$A,May!$B$2)</f>
        <v>0</v>
      </c>
      <c r="J139" s="321">
        <f>COUNTIFS(input!$O:$O,May!$J$114,input!$W:$W,May!B139,input!$A:$A,May!$B$2)</f>
        <v>0</v>
      </c>
      <c r="K139" s="343">
        <f>COUNTIFS(input!$O:$O,May!$K$114,input!$W:$W,May!B139,input!$A:$A,May!$B$2)</f>
        <v>0</v>
      </c>
      <c r="L139" s="312">
        <f t="shared" si="11"/>
        <v>0</v>
      </c>
      <c r="M139" s="320" cm="1">
        <f t="array" ref="M139">_xlfn.IFS(L139=0,0,L139&gt;=1,L139/$L$169)</f>
        <v>0</v>
      </c>
      <c r="N139" s="995" t="s">
        <v>390</v>
      </c>
      <c r="O139" s="996"/>
      <c r="P139" s="997"/>
      <c r="Q139" s="316">
        <f>COUNTIFS(input!$O:$O,May!$Q$114,input!$X:$X,May!N139,input!$A:$A,May!$B$2)</f>
        <v>0</v>
      </c>
      <c r="R139" s="316">
        <f>COUNTIFS(input!$O:$O,May!$R$114,input!$X:$X,May!N139,input!$A:$A,May!$B$2)</f>
        <v>0</v>
      </c>
      <c r="S139" s="316">
        <f>COUNTIFS(input!$O:$O,May!$S$114,input!$X:$X,May!N139,input!$A:$A,May!$B$2)</f>
        <v>0</v>
      </c>
      <c r="T139" s="322">
        <f>COUNTIFS(input!$O:$O,May!$T$114,input!$X:$X,May!N139,input!$A:$A,May!$B$2)</f>
        <v>0</v>
      </c>
      <c r="U139" s="322">
        <f>COUNTIFS(input!$O:$O,May!$U$114,input!$X:$X,May!N139,input!$A:$A,May!$B$2)</f>
        <v>0</v>
      </c>
      <c r="V139" s="323">
        <f>COUNTIFS(input!$O:$O,May!$V$114,input!$X:$X,May!N139,input!$A:$A,May!$B$2)</f>
        <v>0</v>
      </c>
      <c r="W139" s="323">
        <f>COUNTIFS(input!$O:$O,May!$W$114,input!$X:$X,May!N139,input!$A:$A,May!$B$2)</f>
        <v>0</v>
      </c>
      <c r="X139" s="324">
        <f>COUNTIFS(input!$O:$O,May!$X$114,input!$X:$X,May!N139,input!$A:$A,May!$B$2)</f>
        <v>0</v>
      </c>
      <c r="Y139" s="312">
        <f t="shared" si="10"/>
        <v>0</v>
      </c>
      <c r="Z139" s="315" cm="1">
        <f t="array" ref="Z139">_xlfn.IFS(Y139=0,0,Y139&gt;=1,Y139/$Y$169)</f>
        <v>0</v>
      </c>
    </row>
    <row r="140" spans="2:26" ht="92" hidden="1" customHeight="1" x14ac:dyDescent="0.25">
      <c r="B140" s="1121" t="s">
        <v>458</v>
      </c>
      <c r="C140" s="1066"/>
      <c r="D140" s="316">
        <f>COUNTIFS(input!$O:$O,May!$D$114,input!$W:$W,May!B140,input!$A:$A,May!$B$2)</f>
        <v>0</v>
      </c>
      <c r="E140" s="316">
        <f>COUNTIFS(input!$O:$O,May!$E$114,input!$W:$W,May!B140,input!$A:$A,May!$B$2)</f>
        <v>0</v>
      </c>
      <c r="F140" s="316">
        <f>COUNTIFS(input!$O:$O,May!$F$114,input!$W:$W,May!B140,input!$A:$A,May!$B$2)</f>
        <v>0</v>
      </c>
      <c r="G140" s="322">
        <f>COUNTIFS(input!$O:$O,May!$G$114,input!$W:$W,May!B140,input!$A:$A,May!$B$2)</f>
        <v>0</v>
      </c>
      <c r="H140" s="321">
        <f>COUNTIFS(input!$O:$O,May!$H$114,input!$W:$W,May!B140,input!$A:$A,May!$B$2)</f>
        <v>0</v>
      </c>
      <c r="I140" s="321">
        <f>COUNTIFS(input!$O:$O,May!$I$114,input!$W:$W,May!B140,input!$A:$A,May!$B$2)</f>
        <v>0</v>
      </c>
      <c r="J140" s="321">
        <f>COUNTIFS(input!$O:$O,May!$J$114,input!$W:$W,May!B140,input!$A:$A,May!$B$2)</f>
        <v>0</v>
      </c>
      <c r="K140" s="343">
        <f>COUNTIFS(input!$O:$O,May!$K$114,input!$W:$W,May!B140,input!$A:$A,May!$B$2)</f>
        <v>0</v>
      </c>
      <c r="L140" s="312">
        <f t="shared" si="11"/>
        <v>0</v>
      </c>
      <c r="M140" s="320" cm="1">
        <f t="array" ref="M140">_xlfn.IFS(L140=0,0,L140&gt;=1,L140/$L$169)</f>
        <v>0</v>
      </c>
      <c r="N140" s="995" t="s">
        <v>177</v>
      </c>
      <c r="O140" s="996"/>
      <c r="P140" s="997"/>
      <c r="Q140" s="316">
        <f>COUNTIFS(input!$O:$O,May!$Q$114,input!$X:$X,May!N140,input!$A:$A,May!$B$2)</f>
        <v>0</v>
      </c>
      <c r="R140" s="316">
        <f>COUNTIFS(input!$O:$O,May!$R$114,input!$X:$X,May!N140,input!$A:$A,May!$B$2)</f>
        <v>0</v>
      </c>
      <c r="S140" s="316">
        <f>COUNTIFS(input!$O:$O,May!$S$114,input!$X:$X,May!N140,input!$A:$A,May!$B$2)</f>
        <v>0</v>
      </c>
      <c r="T140" s="322">
        <f>COUNTIFS(input!$O:$O,May!$T$114,input!$X:$X,May!N140,input!$A:$A,May!$B$2)</f>
        <v>0</v>
      </c>
      <c r="U140" s="322">
        <f>COUNTIFS(input!$O:$O,May!$U$114,input!$X:$X,May!N140,input!$A:$A,May!$B$2)</f>
        <v>0</v>
      </c>
      <c r="V140" s="323">
        <f>COUNTIFS(input!$O:$O,May!$V$114,input!$X:$X,May!N140,input!$A:$A,May!$B$2)</f>
        <v>0</v>
      </c>
      <c r="W140" s="323">
        <f>COUNTIFS(input!$O:$O,May!$W$114,input!$X:$X,May!N140,input!$A:$A,May!$B$2)</f>
        <v>0</v>
      </c>
      <c r="X140" s="324">
        <f>COUNTIFS(input!$O:$O,May!$X$114,input!$X:$X,May!N140,input!$A:$A,May!$B$2)</f>
        <v>0</v>
      </c>
      <c r="Y140" s="312">
        <f t="shared" si="10"/>
        <v>0</v>
      </c>
      <c r="Z140" s="315" cm="1">
        <f t="array" ref="Z140">_xlfn.IFS(Y140=0,0,Y140&gt;=1,Y140/$Y$169)</f>
        <v>0</v>
      </c>
    </row>
    <row r="141" spans="2:26" ht="92" hidden="1" customHeight="1" x14ac:dyDescent="0.25">
      <c r="B141" s="1121" t="s">
        <v>647</v>
      </c>
      <c r="C141" s="1066"/>
      <c r="D141" s="316">
        <f>COUNTIFS(input!$O:$O,May!$D$114,input!$W:$W,May!B141,input!$A:$A,May!$B$2)</f>
        <v>0</v>
      </c>
      <c r="E141" s="316">
        <f>COUNTIFS(input!$O:$O,May!$E$114,input!$W:$W,May!B141,input!$A:$A,May!$B$2)</f>
        <v>0</v>
      </c>
      <c r="F141" s="316">
        <f>COUNTIFS(input!$O:$O,May!$F$114,input!$W:$W,May!B141,input!$A:$A,May!$B$2)</f>
        <v>0</v>
      </c>
      <c r="G141" s="322">
        <f>COUNTIFS(input!$O:$O,May!$G$114,input!$W:$W,May!B141,input!$A:$A,May!$B$2)</f>
        <v>0</v>
      </c>
      <c r="H141" s="321">
        <f>COUNTIFS(input!$O:$O,May!$H$114,input!$W:$W,May!B141,input!$A:$A,May!$B$2)</f>
        <v>0</v>
      </c>
      <c r="I141" s="321">
        <f>COUNTIFS(input!$O:$O,May!$I$114,input!$W:$W,May!B141,input!$A:$A,May!$B$2)</f>
        <v>0</v>
      </c>
      <c r="J141" s="321">
        <f>COUNTIFS(input!$O:$O,May!$J$114,input!$W:$W,May!B141,input!$A:$A,May!$B$2)</f>
        <v>0</v>
      </c>
      <c r="K141" s="343">
        <f>COUNTIFS(input!$O:$O,May!$K$114,input!$W:$W,May!B141,input!$A:$A,May!$B$2)</f>
        <v>0</v>
      </c>
      <c r="L141" s="312">
        <f t="shared" si="11"/>
        <v>0</v>
      </c>
      <c r="M141" s="320" cm="1">
        <f t="array" ref="M141">_xlfn.IFS(L141=0,0,L141&gt;=1,L141/$L$169)</f>
        <v>0</v>
      </c>
      <c r="N141" s="995" t="s">
        <v>1740</v>
      </c>
      <c r="O141" s="996"/>
      <c r="P141" s="997"/>
      <c r="Q141" s="316">
        <f>COUNTIFS(input!$O:$O,May!$Q$114,input!$X:$X,May!N141,input!$A:$A,May!$B$2)</f>
        <v>0</v>
      </c>
      <c r="R141" s="316">
        <f>COUNTIFS(input!$O:$O,May!$R$114,input!$X:$X,May!N141,input!$A:$A,May!$B$2)</f>
        <v>0</v>
      </c>
      <c r="S141" s="316">
        <f>COUNTIFS(input!$O:$O,May!$S$114,input!$X:$X,May!N141,input!$A:$A,May!$B$2)</f>
        <v>0</v>
      </c>
      <c r="T141" s="322">
        <f>COUNTIFS(input!$O:$O,May!$T$114,input!$X:$X,May!N141,input!$A:$A,May!$B$2)</f>
        <v>0</v>
      </c>
      <c r="U141" s="322">
        <f>COUNTIFS(input!$O:$O,May!$U$114,input!$X:$X,May!N141,input!$A:$A,May!$B$2)</f>
        <v>0</v>
      </c>
      <c r="V141" s="323">
        <f>COUNTIFS(input!$O:$O,May!$V$114,input!$X:$X,May!N141,input!$A:$A,May!$B$2)</f>
        <v>0</v>
      </c>
      <c r="W141" s="323">
        <f>COUNTIFS(input!$O:$O,May!$W$114,input!$X:$X,May!N141,input!$A:$A,May!$B$2)</f>
        <v>0</v>
      </c>
      <c r="X141" s="324">
        <f>COUNTIFS(input!$O:$O,May!$X$114,input!$X:$X,May!N141,input!$A:$A,May!$B$2)</f>
        <v>0</v>
      </c>
      <c r="Y141" s="312">
        <f t="shared" si="10"/>
        <v>0</v>
      </c>
      <c r="Z141" s="315" cm="1">
        <f t="array" ref="Z141">_xlfn.IFS(Y141=0,0,Y141&gt;=1,Y141/$Y$169)</f>
        <v>0</v>
      </c>
    </row>
    <row r="142" spans="2:26" ht="92" customHeight="1" x14ac:dyDescent="0.25">
      <c r="B142" s="1122" t="s">
        <v>826</v>
      </c>
      <c r="C142" s="997"/>
      <c r="D142" s="316">
        <f>COUNTIFS(input!$O:$O,May!$D$114,input!$W:$W,May!B142,input!$A:$A,May!$B$2)</f>
        <v>0</v>
      </c>
      <c r="E142" s="316">
        <f>COUNTIFS(input!$O:$O,May!$E$114,input!$W:$W,May!B142,input!$A:$A,May!$B$2)</f>
        <v>0</v>
      </c>
      <c r="F142" s="316">
        <f>COUNTIFS(input!$O:$O,May!$F$114,input!$W:$W,May!B142,input!$A:$A,May!$B$2)</f>
        <v>0</v>
      </c>
      <c r="G142" s="322">
        <f>COUNTIFS(input!$O:$O,May!$G$114,input!$W:$W,May!B142,input!$A:$A,May!$B$2)</f>
        <v>0</v>
      </c>
      <c r="H142" s="321">
        <f>COUNTIFS(input!$O:$O,May!$H$114,input!$W:$W,May!B142,input!$A:$A,May!$B$2)</f>
        <v>0</v>
      </c>
      <c r="I142" s="321">
        <f>COUNTIFS(input!$O:$O,May!$I$114,input!$W:$W,May!B142,input!$A:$A,May!$B$2)</f>
        <v>0</v>
      </c>
      <c r="J142" s="321">
        <f>COUNTIFS(input!$O:$O,May!$J$114,input!$W:$W,May!B142,input!$A:$A,May!$B$2)</f>
        <v>0</v>
      </c>
      <c r="K142" s="343">
        <f>COUNTIFS(input!$O:$O,May!$K$114,input!$W:$W,May!B142,input!$A:$A,May!$B$2)</f>
        <v>0</v>
      </c>
      <c r="L142" s="312">
        <f t="shared" si="11"/>
        <v>0</v>
      </c>
      <c r="M142" s="320" cm="1">
        <f t="array" ref="M142">_xlfn.IFS(L142=0,0,L142&gt;=1,L142/$L$169)</f>
        <v>0</v>
      </c>
      <c r="N142" s="992" t="s">
        <v>1741</v>
      </c>
      <c r="O142" s="993"/>
      <c r="P142" s="994"/>
      <c r="Q142" s="316">
        <f>COUNTIFS(input!$O:$O,May!$Q$114,input!$X:$X,May!N142,input!$A:$A,May!$B$2)</f>
        <v>0</v>
      </c>
      <c r="R142" s="316">
        <f>COUNTIFS(input!$O:$O,May!$R$114,input!$X:$X,May!N142,input!$A:$A,May!$B$2)</f>
        <v>0</v>
      </c>
      <c r="S142" s="316">
        <f>COUNTIFS(input!$O:$O,May!$S$114,input!$X:$X,May!N142,input!$A:$A,May!$B$2)</f>
        <v>0</v>
      </c>
      <c r="T142" s="322">
        <f>COUNTIFS(input!$O:$O,May!$T$114,input!$X:$X,May!N142,input!$A:$A,May!$B$2)</f>
        <v>1</v>
      </c>
      <c r="U142" s="322">
        <f>COUNTIFS(input!$O:$O,May!$U$114,input!$X:$X,May!N142,input!$A:$A,May!$B$2)</f>
        <v>0</v>
      </c>
      <c r="V142" s="323">
        <f>COUNTIFS(input!$O:$O,May!$V$114,input!$X:$X,May!N142,input!$A:$A,May!$B$2)</f>
        <v>0</v>
      </c>
      <c r="W142" s="323">
        <f>COUNTIFS(input!$O:$O,May!$W$114,input!$X:$X,May!N142,input!$A:$A,May!$B$2)</f>
        <v>0</v>
      </c>
      <c r="X142" s="324">
        <f>COUNTIFS(input!$O:$O,May!$X$114,input!$X:$X,May!N142,input!$A:$A,May!$B$2)</f>
        <v>0</v>
      </c>
      <c r="Y142" s="312">
        <f t="shared" si="10"/>
        <v>1</v>
      </c>
      <c r="Z142" s="315" cm="1">
        <f t="array" ref="Z142">_xlfn.IFS(Y142=0,0,Y142&gt;=1,Y142/$Y$169)</f>
        <v>6.25E-2</v>
      </c>
    </row>
    <row r="143" spans="2:26" ht="92" hidden="1" customHeight="1" x14ac:dyDescent="0.25">
      <c r="B143" s="1122" t="s">
        <v>1537</v>
      </c>
      <c r="C143" s="997"/>
      <c r="D143" s="316">
        <f>COUNTIFS(input!$O:$O,May!$D$114,input!$W:$W,May!B143,input!$A:$A,May!$B$2)</f>
        <v>0</v>
      </c>
      <c r="E143" s="316">
        <f>COUNTIFS(input!$O:$O,May!$E$114,input!$W:$W,May!B143,input!$A:$A,May!$B$2)</f>
        <v>0</v>
      </c>
      <c r="F143" s="316">
        <f>COUNTIFS(input!$O:$O,May!$F$114,input!$W:$W,May!B143,input!$A:$A,May!$B$2)</f>
        <v>0</v>
      </c>
      <c r="G143" s="322">
        <f>COUNTIFS(input!$O:$O,May!$G$114,input!$W:$W,May!B143,input!$A:$A,May!$B$2)</f>
        <v>0</v>
      </c>
      <c r="H143" s="321">
        <f>COUNTIFS(input!$O:$O,May!$H$114,input!$W:$W,May!B143,input!$A:$A,May!$B$2)</f>
        <v>0</v>
      </c>
      <c r="I143" s="321">
        <f>COUNTIFS(input!$O:$O,May!$I$114,input!$W:$W,May!B143,input!$A:$A,May!$B$2)</f>
        <v>0</v>
      </c>
      <c r="J143" s="321">
        <f>COUNTIFS(input!$O:$O,May!$J$114,input!$W:$W,May!B143,input!$A:$A,May!$B$2)</f>
        <v>0</v>
      </c>
      <c r="K143" s="343">
        <f>COUNTIFS(input!$O:$O,May!$K$114,input!$W:$W,May!B143,input!$A:$A,May!$B$2)</f>
        <v>0</v>
      </c>
      <c r="L143" s="312">
        <f t="shared" si="11"/>
        <v>0</v>
      </c>
      <c r="M143" s="320" cm="1">
        <f t="array" ref="M143">_xlfn.IFS(L143=0,0,L143&gt;=1,L143/$L$169)</f>
        <v>0</v>
      </c>
      <c r="N143" s="995" t="s">
        <v>481</v>
      </c>
      <c r="O143" s="996"/>
      <c r="P143" s="997"/>
      <c r="Q143" s="316">
        <f>COUNTIFS(input!$O:$O,May!$Q$114,input!$X:$X,May!N143,input!$A:$A,May!$B$2)</f>
        <v>0</v>
      </c>
      <c r="R143" s="316">
        <f>COUNTIFS(input!$O:$O,May!$R$114,input!$X:$X,May!N143,input!$A:$A,May!$B$2)</f>
        <v>0</v>
      </c>
      <c r="S143" s="316">
        <f>COUNTIFS(input!$O:$O,May!$S$114,input!$X:$X,May!N143,input!$A:$A,May!$B$2)</f>
        <v>0</v>
      </c>
      <c r="T143" s="322">
        <f>COUNTIFS(input!$O:$O,May!$T$114,input!$X:$X,May!N143,input!$A:$A,May!$B$2)</f>
        <v>0</v>
      </c>
      <c r="U143" s="322">
        <f>COUNTIFS(input!$O:$O,May!$U$114,input!$X:$X,May!N143,input!$A:$A,May!$B$2)</f>
        <v>0</v>
      </c>
      <c r="V143" s="323">
        <f>COUNTIFS(input!$O:$O,May!$V$114,input!$X:$X,May!N143,input!$A:$A,May!$B$2)</f>
        <v>0</v>
      </c>
      <c r="W143" s="323">
        <f>COUNTIFS(input!$O:$O,May!$W$114,input!$X:$X,May!N143,input!$A:$A,May!$B$2)</f>
        <v>0</v>
      </c>
      <c r="X143" s="324">
        <f>COUNTIFS(input!$O:$O,May!$X$114,input!$X:$X,May!N143,input!$A:$A,May!$B$2)</f>
        <v>0</v>
      </c>
      <c r="Y143" s="312">
        <f t="shared" si="10"/>
        <v>0</v>
      </c>
      <c r="Z143" s="315" cm="1">
        <f t="array" ref="Z143">_xlfn.IFS(Y143=0,0,Y143&gt;=1,Y143/$Y$169)</f>
        <v>0</v>
      </c>
    </row>
    <row r="144" spans="2:26" ht="92" hidden="1" customHeight="1" x14ac:dyDescent="0.25">
      <c r="B144" s="1121" t="s">
        <v>603</v>
      </c>
      <c r="C144" s="1066"/>
      <c r="D144" s="316">
        <f>COUNTIFS(input!$O:$O,May!$D$114,input!$W:$W,May!B144,input!$A:$A,May!$B$2)</f>
        <v>0</v>
      </c>
      <c r="E144" s="316">
        <f>COUNTIFS(input!$O:$O,May!$E$114,input!$W:$W,May!B144,input!$A:$A,May!$B$2)</f>
        <v>0</v>
      </c>
      <c r="F144" s="316">
        <f>COUNTIFS(input!$O:$O,May!$F$114,input!$W:$W,May!B144,input!$A:$A,May!$B$2)</f>
        <v>0</v>
      </c>
      <c r="G144" s="322">
        <f>COUNTIFS(input!$O:$O,May!$G$114,input!$W:$W,May!B144,input!$A:$A,May!$B$2)</f>
        <v>0</v>
      </c>
      <c r="H144" s="321">
        <f>COUNTIFS(input!$O:$O,May!$H$114,input!$W:$W,May!B144,input!$A:$A,May!$B$2)</f>
        <v>0</v>
      </c>
      <c r="I144" s="321">
        <f>COUNTIFS(input!$O:$O,May!$I$114,input!$W:$W,May!B144,input!$A:$A,May!$B$2)</f>
        <v>0</v>
      </c>
      <c r="J144" s="321">
        <f>COUNTIFS(input!$O:$O,May!$J$114,input!$W:$W,May!B144,input!$A:$A,May!$B$2)</f>
        <v>0</v>
      </c>
      <c r="K144" s="343">
        <f>COUNTIFS(input!$O:$O,May!$K$114,input!$W:$W,May!B144,input!$A:$A,May!$B$2)</f>
        <v>0</v>
      </c>
      <c r="L144" s="312">
        <f t="shared" si="11"/>
        <v>0</v>
      </c>
      <c r="M144" s="320" cm="1">
        <f t="array" ref="M144">_xlfn.IFS(L144=0,0,L144&gt;=1,L144/$L$169)</f>
        <v>0</v>
      </c>
      <c r="N144" s="995" t="s">
        <v>467</v>
      </c>
      <c r="O144" s="996"/>
      <c r="P144" s="997"/>
      <c r="Q144" s="316">
        <f>COUNTIFS(input!$O:$O,May!$Q$114,input!$X:$X,May!N144,input!$A:$A,May!$B$2)</f>
        <v>0</v>
      </c>
      <c r="R144" s="316">
        <f>COUNTIFS(input!$O:$O,May!$R$114,input!$X:$X,May!N144,input!$A:$A,May!$B$2)</f>
        <v>0</v>
      </c>
      <c r="S144" s="316">
        <f>COUNTIFS(input!$O:$O,May!$S$114,input!$X:$X,May!N144,input!$A:$A,May!$B$2)</f>
        <v>0</v>
      </c>
      <c r="T144" s="322">
        <f>COUNTIFS(input!$O:$O,May!$T$114,input!$X:$X,May!N144,input!$A:$A,May!$B$2)</f>
        <v>0</v>
      </c>
      <c r="U144" s="322">
        <f>COUNTIFS(input!$O:$O,May!$U$114,input!$X:$X,May!N144,input!$A:$A,May!$B$2)</f>
        <v>0</v>
      </c>
      <c r="V144" s="323">
        <f>COUNTIFS(input!$O:$O,May!$V$114,input!$X:$X,May!N144,input!$A:$A,May!$B$2)</f>
        <v>0</v>
      </c>
      <c r="W144" s="323">
        <f>COUNTIFS(input!$O:$O,May!$W$114,input!$X:$X,May!N144,input!$A:$A,May!$B$2)</f>
        <v>0</v>
      </c>
      <c r="X144" s="324">
        <f>COUNTIFS(input!$O:$O,May!$X$114,input!$X:$X,May!N144,input!$A:$A,May!$B$2)</f>
        <v>0</v>
      </c>
      <c r="Y144" s="312">
        <f t="shared" si="10"/>
        <v>0</v>
      </c>
      <c r="Z144" s="315" cm="1">
        <f t="array" ref="Z144">_xlfn.IFS(Y144=0,0,Y144&gt;=1,Y144/$Y$169)</f>
        <v>0</v>
      </c>
    </row>
    <row r="145" spans="2:26" ht="92" hidden="1" customHeight="1" x14ac:dyDescent="0.25">
      <c r="B145" s="1122" t="s">
        <v>828</v>
      </c>
      <c r="C145" s="997"/>
      <c r="D145" s="316">
        <f>COUNTIFS(input!$O:$O,May!$D$114,input!$W:$W,May!B145,input!$A:$A,May!$B$2)</f>
        <v>0</v>
      </c>
      <c r="E145" s="316">
        <f>COUNTIFS(input!$O:$O,May!$E$114,input!$W:$W,May!B145,input!$A:$A,May!$B$2)</f>
        <v>0</v>
      </c>
      <c r="F145" s="316">
        <f>COUNTIFS(input!$O:$O,May!$F$114,input!$W:$W,May!B145,input!$A:$A,May!$B$2)</f>
        <v>0</v>
      </c>
      <c r="G145" s="322">
        <f>COUNTIFS(input!$O:$O,May!$G$114,input!$W:$W,May!B145,input!$A:$A,May!$B$2)</f>
        <v>0</v>
      </c>
      <c r="H145" s="321">
        <f>COUNTIFS(input!$O:$O,May!$H$114,input!$W:$W,May!B145,input!$A:$A,May!$B$2)</f>
        <v>0</v>
      </c>
      <c r="I145" s="321">
        <f>COUNTIFS(input!$O:$O,May!$I$114,input!$W:$W,May!B145,input!$A:$A,May!$B$2)</f>
        <v>0</v>
      </c>
      <c r="J145" s="321">
        <f>COUNTIFS(input!$O:$O,May!$J$114,input!$W:$W,May!B145,input!$A:$A,May!$B$2)</f>
        <v>0</v>
      </c>
      <c r="K145" s="343">
        <f>COUNTIFS(input!$O:$O,May!$K$114,input!$W:$W,May!B145,input!$A:$A,May!$B$2)</f>
        <v>0</v>
      </c>
      <c r="L145" s="312">
        <f t="shared" si="11"/>
        <v>0</v>
      </c>
      <c r="M145" s="320" cm="1">
        <f t="array" ref="M145">_xlfn.IFS(L145=0,0,L145&gt;=1,L145/$L$169)</f>
        <v>0</v>
      </c>
      <c r="N145" s="995" t="s">
        <v>188</v>
      </c>
      <c r="O145" s="996"/>
      <c r="P145" s="997"/>
      <c r="Q145" s="316">
        <f>COUNTIFS(input!$O:$O,May!$Q$114,input!$X:$X,May!N145,input!$A:$A,May!$B$2)</f>
        <v>0</v>
      </c>
      <c r="R145" s="316">
        <f>COUNTIFS(input!$O:$O,May!$R$114,input!$X:$X,May!N145,input!$A:$A,May!$B$2)</f>
        <v>0</v>
      </c>
      <c r="S145" s="316">
        <f>COUNTIFS(input!$O:$O,May!$S$114,input!$X:$X,May!N145,input!$A:$A,May!$B$2)</f>
        <v>0</v>
      </c>
      <c r="T145" s="322">
        <f>COUNTIFS(input!$O:$O,May!$T$114,input!$X:$X,May!N145,input!$A:$A,May!$B$2)</f>
        <v>0</v>
      </c>
      <c r="U145" s="322">
        <f>COUNTIFS(input!$O:$O,May!$U$114,input!$X:$X,May!N145,input!$A:$A,May!$B$2)</f>
        <v>0</v>
      </c>
      <c r="V145" s="323">
        <f>COUNTIFS(input!$O:$O,May!$V$114,input!$X:$X,May!N145,input!$A:$A,May!$B$2)</f>
        <v>0</v>
      </c>
      <c r="W145" s="323">
        <f>COUNTIFS(input!$O:$O,May!$W$114,input!$X:$X,May!N145,input!$A:$A,May!$B$2)</f>
        <v>0</v>
      </c>
      <c r="X145" s="324">
        <f>COUNTIFS(input!$O:$O,May!$X$114,input!$X:$X,May!N145,input!$A:$A,May!$B$2)</f>
        <v>0</v>
      </c>
      <c r="Y145" s="312">
        <f t="shared" si="10"/>
        <v>0</v>
      </c>
      <c r="Z145" s="315" cm="1">
        <f t="array" ref="Z145">_xlfn.IFS(Y145=0,0,Y145&gt;=1,Y145/$Y$169)</f>
        <v>0</v>
      </c>
    </row>
    <row r="146" spans="2:26" ht="92" x14ac:dyDescent="0.25">
      <c r="B146" s="998" t="s">
        <v>1543</v>
      </c>
      <c r="C146" s="994"/>
      <c r="D146" s="316">
        <f>COUNTIFS(input!$O:$O,May!$D$114,input!$W:$W,May!B146,input!$A:$A,May!$B$2)</f>
        <v>0</v>
      </c>
      <c r="E146" s="316">
        <f>COUNTIFS(input!$O:$O,May!$E$114,input!$W:$W,May!B146,input!$A:$A,May!$B$2)</f>
        <v>0</v>
      </c>
      <c r="F146" s="316">
        <f>COUNTIFS(input!$O:$O,May!$F$114,input!$W:$W,May!B146,input!$A:$A,May!$B$2)</f>
        <v>0</v>
      </c>
      <c r="G146" s="322">
        <f>COUNTIFS(input!$O:$O,May!$G$114,input!$W:$W,May!B146,input!$A:$A,May!$B$2)</f>
        <v>0</v>
      </c>
      <c r="H146" s="321">
        <f>COUNTIFS(input!$O:$O,May!$H$114,input!$W:$W,May!B146,input!$A:$A,May!$B$2)</f>
        <v>0</v>
      </c>
      <c r="I146" s="321">
        <f>COUNTIFS(input!$O:$O,May!$I$114,input!$W:$W,May!B146,input!$A:$A,May!$B$2)</f>
        <v>1</v>
      </c>
      <c r="J146" s="321">
        <f>COUNTIFS(input!$O:$O,May!$J$114,input!$W:$W,May!B146,input!$A:$A,May!$B$2)</f>
        <v>0</v>
      </c>
      <c r="K146" s="343">
        <f>COUNTIFS(input!$O:$O,May!$K$114,input!$W:$W,May!B146,input!$A:$A,May!$B$2)</f>
        <v>0</v>
      </c>
      <c r="L146" s="312">
        <f t="shared" si="11"/>
        <v>1</v>
      </c>
      <c r="M146" s="320" cm="1">
        <f t="array" ref="M146">_xlfn.IFS(L146=0,0,L146&gt;=1,L146/$L$169)</f>
        <v>6.25E-2</v>
      </c>
      <c r="N146" s="995"/>
      <c r="O146" s="996"/>
      <c r="P146" s="997"/>
      <c r="Q146" s="316">
        <f>COUNTIFS(input!$O:$O,May!$Q$114,input!$X:$X,May!N146,input!$A:$A,May!$B$2)</f>
        <v>0</v>
      </c>
      <c r="R146" s="316">
        <f>COUNTIFS(input!$O:$O,May!$R$114,input!$X:$X,May!N146,input!$A:$A,May!$B$2)</f>
        <v>0</v>
      </c>
      <c r="S146" s="316">
        <f>COUNTIFS(input!$O:$O,May!$S$114,input!$X:$X,May!N146,input!$A:$A,May!$B$2)</f>
        <v>0</v>
      </c>
      <c r="T146" s="322">
        <f>COUNTIFS(input!$O:$O,May!$T$114,input!$X:$X,May!N146,input!$A:$A,May!$B$2)</f>
        <v>0</v>
      </c>
      <c r="U146" s="322">
        <f>COUNTIFS(input!$O:$O,May!$U$114,input!$X:$X,May!N146,input!$A:$A,May!$B$2)</f>
        <v>0</v>
      </c>
      <c r="V146" s="323">
        <f>COUNTIFS(input!$O:$O,May!$V$114,input!$X:$X,May!N146,input!$A:$A,May!$B$2)</f>
        <v>0</v>
      </c>
      <c r="W146" s="323">
        <f>COUNTIFS(input!$O:$O,May!$W$114,input!$X:$X,May!N146,input!$A:$A,May!$B$2)</f>
        <v>0</v>
      </c>
      <c r="X146" s="324">
        <f>COUNTIFS(input!$O:$O,May!$X$114,input!$X:$X,May!N146,input!$A:$A,May!$B$2)</f>
        <v>0</v>
      </c>
      <c r="Y146" s="312">
        <f t="shared" si="10"/>
        <v>0</v>
      </c>
      <c r="Z146" s="315" cm="1">
        <f t="array" ref="Z146">_xlfn.IFS(Y146=0,0,Y146&gt;=1,Y146/$Y$169)</f>
        <v>0</v>
      </c>
    </row>
    <row r="147" spans="2:26" ht="92" hidden="1" x14ac:dyDescent="0.25">
      <c r="B147" s="1122" t="s">
        <v>1540</v>
      </c>
      <c r="C147" s="997"/>
      <c r="D147" s="316">
        <f>COUNTIFS(input!$O:$O,May!$D$114,input!$W:$W,May!B147,input!$A:$A,May!$B$2)</f>
        <v>0</v>
      </c>
      <c r="E147" s="316">
        <f>COUNTIFS(input!$O:$O,May!$E$114,input!$W:$W,May!B147,input!$A:$A,May!$B$2)</f>
        <v>0</v>
      </c>
      <c r="F147" s="316">
        <f>COUNTIFS(input!$O:$O,May!$F$114,input!$W:$W,May!B147,input!$A:$A,May!$B$2)</f>
        <v>0</v>
      </c>
      <c r="G147" s="322">
        <f>COUNTIFS(input!$O:$O,May!$G$114,input!$W:$W,May!B147,input!$A:$A,May!$B$2)</f>
        <v>0</v>
      </c>
      <c r="H147" s="321">
        <f>COUNTIFS(input!$O:$O,May!$H$114,input!$W:$W,May!B147,input!$A:$A,May!$B$2)</f>
        <v>0</v>
      </c>
      <c r="I147" s="321">
        <f>COUNTIFS(input!$O:$O,May!$I$114,input!$W:$W,May!B147,input!$A:$A,May!$B$2)</f>
        <v>0</v>
      </c>
      <c r="J147" s="321">
        <f>COUNTIFS(input!$O:$O,May!$J$114,input!$W:$W,May!B147,input!$A:$A,May!$B$2)</f>
        <v>0</v>
      </c>
      <c r="K147" s="343">
        <f>COUNTIFS(input!$O:$O,May!$K$114,input!$W:$W,May!B147,input!$A:$A,May!$B$2)</f>
        <v>0</v>
      </c>
      <c r="L147" s="312">
        <f t="shared" si="11"/>
        <v>0</v>
      </c>
      <c r="M147" s="320" cm="1">
        <f t="array" ref="M147">_xlfn.IFS(L147=0,0,L147&gt;=1,L147/$L$169)</f>
        <v>0</v>
      </c>
      <c r="N147" s="382"/>
      <c r="O147" s="383"/>
      <c r="P147" s="384"/>
      <c r="Q147" s="316">
        <f>COUNTIFS(input!$O:$O,May!$Q$114,input!$X:$X,May!N147,input!$A:$A,May!$B$2)</f>
        <v>0</v>
      </c>
      <c r="R147" s="316">
        <f>COUNTIFS(input!$O:$O,May!$R$114,input!$X:$X,May!N147,input!$A:$A,May!$B$2)</f>
        <v>0</v>
      </c>
      <c r="S147" s="316">
        <f>COUNTIFS(input!$O:$O,May!$S$114,input!$X:$X,May!N147,input!$A:$A,May!$B$2)</f>
        <v>0</v>
      </c>
      <c r="T147" s="322">
        <f>COUNTIFS(input!$O:$O,May!$T$114,input!$X:$X,May!N147,input!$A:$A,May!$B$2)</f>
        <v>0</v>
      </c>
      <c r="U147" s="322">
        <f>COUNTIFS(input!$O:$O,May!$U$114,input!$X:$X,May!N147,input!$A:$A,May!$B$2)</f>
        <v>0</v>
      </c>
      <c r="V147" s="323">
        <f>COUNTIFS(input!$O:$O,May!$V$114,input!$X:$X,May!N147,input!$A:$A,May!$B$2)</f>
        <v>0</v>
      </c>
      <c r="W147" s="323">
        <f>COUNTIFS(input!$O:$O,May!$W$114,input!$X:$X,May!N147,input!$A:$A,May!$B$2)</f>
        <v>0</v>
      </c>
      <c r="X147" s="324">
        <f>COUNTIFS(input!$O:$O,May!$X$114,input!$X:$X,May!N147,input!$A:$A,May!$B$2)</f>
        <v>0</v>
      </c>
      <c r="Y147" s="312">
        <f t="shared" si="10"/>
        <v>0</v>
      </c>
      <c r="Z147" s="315" cm="1">
        <f t="array" ref="Z147">_xlfn.IFS(Y147=0,0,Y147&gt;=1,Y147/$Y$169)</f>
        <v>0</v>
      </c>
    </row>
    <row r="148" spans="2:26" ht="92" hidden="1" x14ac:dyDescent="0.25">
      <c r="B148" s="1122" t="s">
        <v>1538</v>
      </c>
      <c r="C148" s="997"/>
      <c r="D148" s="316">
        <f>COUNTIFS(input!$O:$O,May!$D$114,input!$W:$W,May!B148,input!$A:$A,May!$B$2)</f>
        <v>0</v>
      </c>
      <c r="E148" s="316">
        <f>COUNTIFS(input!$O:$O,May!$E$114,input!$W:$W,May!B148,input!$A:$A,May!$B$2)</f>
        <v>0</v>
      </c>
      <c r="F148" s="316">
        <f>COUNTIFS(input!$O:$O,May!$F$114,input!$W:$W,May!B148,input!$A:$A,May!$B$2)</f>
        <v>0</v>
      </c>
      <c r="G148" s="322">
        <f>COUNTIFS(input!$O:$O,May!$G$114,input!$W:$W,May!B148,input!$A:$A,May!$B$2)</f>
        <v>0</v>
      </c>
      <c r="H148" s="321">
        <f>COUNTIFS(input!$O:$O,May!$H$114,input!$W:$W,May!B148,input!$A:$A,May!$B$2)</f>
        <v>0</v>
      </c>
      <c r="I148" s="321">
        <f>COUNTIFS(input!$O:$O,May!$I$114,input!$W:$W,May!B148,input!$A:$A,May!$B$2)</f>
        <v>0</v>
      </c>
      <c r="J148" s="321">
        <f>COUNTIFS(input!$O:$O,May!$J$114,input!$W:$W,May!B148,input!$A:$A,May!$B$2)</f>
        <v>0</v>
      </c>
      <c r="K148" s="343">
        <f>COUNTIFS(input!$O:$O,May!$K$114,input!$W:$W,May!B148,input!$A:$A,May!$B$2)</f>
        <v>0</v>
      </c>
      <c r="L148" s="312">
        <f t="shared" si="11"/>
        <v>0</v>
      </c>
      <c r="M148" s="320" cm="1">
        <f t="array" ref="M148">_xlfn.IFS(L148=0,0,L148&gt;=1,L148/$L$169)</f>
        <v>0</v>
      </c>
      <c r="N148" s="382"/>
      <c r="O148" s="383"/>
      <c r="P148" s="384"/>
      <c r="Q148" s="316">
        <f>COUNTIFS(input!$O:$O,May!$Q$114,input!$X:$X,May!N148,input!$A:$A,May!$B$2)</f>
        <v>0</v>
      </c>
      <c r="R148" s="316">
        <f>COUNTIFS(input!$O:$O,May!$R$114,input!$X:$X,May!N148,input!$A:$A,May!$B$2)</f>
        <v>0</v>
      </c>
      <c r="S148" s="316">
        <f>COUNTIFS(input!$O:$O,May!$S$114,input!$X:$X,May!N148,input!$A:$A,May!$B$2)</f>
        <v>0</v>
      </c>
      <c r="T148" s="322">
        <f>COUNTIFS(input!$O:$O,May!$T$114,input!$X:$X,May!N148,input!$A:$A,May!$B$2)</f>
        <v>0</v>
      </c>
      <c r="U148" s="322">
        <f>COUNTIFS(input!$O:$O,May!$U$114,input!$X:$X,May!N148,input!$A:$A,May!$B$2)</f>
        <v>0</v>
      </c>
      <c r="V148" s="323">
        <f>COUNTIFS(input!$O:$O,May!$V$114,input!$X:$X,May!N148,input!$A:$A,May!$B$2)</f>
        <v>0</v>
      </c>
      <c r="W148" s="323">
        <f>COUNTIFS(input!$O:$O,May!$W$114,input!$X:$X,May!N148,input!$A:$A,May!$B$2)</f>
        <v>0</v>
      </c>
      <c r="X148" s="324">
        <f>COUNTIFS(input!$O:$O,May!$X$114,input!$X:$X,May!N148,input!$A:$A,May!$B$2)</f>
        <v>0</v>
      </c>
      <c r="Y148" s="312">
        <f t="shared" si="10"/>
        <v>0</v>
      </c>
      <c r="Z148" s="315" cm="1">
        <f t="array" ref="Z148">_xlfn.IFS(Y148=0,0,Y148&gt;=1,Y148/$Y$169)</f>
        <v>0</v>
      </c>
    </row>
    <row r="149" spans="2:26" ht="92" hidden="1" x14ac:dyDescent="0.25">
      <c r="B149" s="1121" t="s">
        <v>666</v>
      </c>
      <c r="C149" s="1066"/>
      <c r="D149" s="316">
        <f>COUNTIFS(input!$O:$O,May!$D$114,input!$W:$W,May!B149,input!$A:$A,May!$B$2)</f>
        <v>0</v>
      </c>
      <c r="E149" s="316">
        <f>COUNTIFS(input!$O:$O,May!$E$114,input!$W:$W,May!B149,input!$A:$A,May!$B$2)</f>
        <v>0</v>
      </c>
      <c r="F149" s="316">
        <f>COUNTIFS(input!$O:$O,May!$F$114,input!$W:$W,May!B149,input!$A:$A,May!$B$2)</f>
        <v>0</v>
      </c>
      <c r="G149" s="322">
        <f>COUNTIFS(input!$O:$O,May!$G$114,input!$W:$W,May!B149,input!$A:$A,May!$B$2)</f>
        <v>0</v>
      </c>
      <c r="H149" s="321">
        <f>COUNTIFS(input!$O:$O,May!$H$114,input!$W:$W,May!B149,input!$A:$A,May!$B$2)</f>
        <v>0</v>
      </c>
      <c r="I149" s="321">
        <f>COUNTIFS(input!$O:$O,May!$I$114,input!$W:$W,May!B149,input!$A:$A,May!$B$2)</f>
        <v>0</v>
      </c>
      <c r="J149" s="321">
        <f>COUNTIFS(input!$O:$O,May!$J$114,input!$W:$W,May!B149,input!$A:$A,May!$B$2)</f>
        <v>0</v>
      </c>
      <c r="K149" s="343">
        <f>COUNTIFS(input!$O:$O,May!$K$114,input!$W:$W,May!B149,input!$A:$A,May!$B$2)</f>
        <v>0</v>
      </c>
      <c r="L149" s="312">
        <f t="shared" si="11"/>
        <v>0</v>
      </c>
      <c r="M149" s="320" cm="1">
        <f t="array" ref="M149">_xlfn.IFS(L149=0,0,L149&gt;=1,L149/$L$169)</f>
        <v>0</v>
      </c>
      <c r="N149" s="992"/>
      <c r="O149" s="993"/>
      <c r="P149" s="994"/>
      <c r="Q149" s="316">
        <f>COUNTIFS(input!$O:$O,May!$Q$114,input!$X:$X,May!N149,input!$A:$A,May!$B$2)</f>
        <v>0</v>
      </c>
      <c r="R149" s="316">
        <f>COUNTIFS(input!$O:$O,May!$R$114,input!$X:$X,May!N149,input!$A:$A,May!$B$2)</f>
        <v>0</v>
      </c>
      <c r="S149" s="316">
        <f>COUNTIFS(input!$O:$O,May!$S$114,input!$X:$X,May!N149,input!$A:$A,May!$B$2)</f>
        <v>0</v>
      </c>
      <c r="T149" s="322">
        <f>COUNTIFS(input!$O:$O,May!$T$114,input!$X:$X,May!N149,input!$A:$A,May!$B$2)</f>
        <v>0</v>
      </c>
      <c r="U149" s="322">
        <f>COUNTIFS(input!$O:$O,May!$U$114,input!$X:$X,May!N149,input!$A:$A,May!$B$2)</f>
        <v>0</v>
      </c>
      <c r="V149" s="323">
        <f>COUNTIFS(input!$O:$O,May!$V$114,input!$X:$X,May!N149,input!$A:$A,May!$B$2)</f>
        <v>0</v>
      </c>
      <c r="W149" s="323">
        <f>COUNTIFS(input!$O:$O,May!$W$114,input!$X:$X,May!N149,input!$A:$A,May!$B$2)</f>
        <v>0</v>
      </c>
      <c r="X149" s="324">
        <f>COUNTIFS(input!$O:$O,May!$X$114,input!$X:$X,May!N149,input!$A:$A,May!$B$2)</f>
        <v>0</v>
      </c>
      <c r="Y149" s="312">
        <f t="shared" si="10"/>
        <v>0</v>
      </c>
      <c r="Z149" s="315" cm="1">
        <f t="array" ref="Z149">_xlfn.IFS(Y149=0,0,Y149&gt;=1,Y149/$Y$169)</f>
        <v>0</v>
      </c>
    </row>
    <row r="150" spans="2:26" ht="92" hidden="1" x14ac:dyDescent="0.25">
      <c r="B150" s="1121" t="s">
        <v>765</v>
      </c>
      <c r="C150" s="1066"/>
      <c r="D150" s="316">
        <f>COUNTIFS(input!$O:$O,May!$D$114,input!$W:$W,May!B150,input!$A:$A,May!$B$2)</f>
        <v>0</v>
      </c>
      <c r="E150" s="316">
        <f>COUNTIFS(input!$O:$O,May!$E$114,input!$W:$W,May!B150,input!$A:$A,May!$B$2)</f>
        <v>0</v>
      </c>
      <c r="F150" s="316">
        <f>COUNTIFS(input!$O:$O,May!$F$114,input!$W:$W,May!B150,input!$A:$A,May!$B$2)</f>
        <v>0</v>
      </c>
      <c r="G150" s="322">
        <f>COUNTIFS(input!$O:$O,May!$G$114,input!$W:$W,May!B150,input!$A:$A,May!$B$2)</f>
        <v>0</v>
      </c>
      <c r="H150" s="321">
        <f>COUNTIFS(input!$O:$O,May!$H$114,input!$W:$W,May!B150,input!$A:$A,May!$B$2)</f>
        <v>0</v>
      </c>
      <c r="I150" s="321">
        <f>COUNTIFS(input!$O:$O,May!$I$114,input!$W:$W,May!B150,input!$A:$A,May!$B$2)</f>
        <v>0</v>
      </c>
      <c r="J150" s="321">
        <f>COUNTIFS(input!$O:$O,May!$J$114,input!$W:$W,May!B150,input!$A:$A,May!$B$2)</f>
        <v>0</v>
      </c>
      <c r="K150" s="343">
        <f>COUNTIFS(input!$O:$O,May!$K$114,input!$W:$W,May!B150,input!$A:$A,May!$B$2)</f>
        <v>0</v>
      </c>
      <c r="L150" s="312">
        <f t="shared" si="11"/>
        <v>0</v>
      </c>
      <c r="M150" s="320" cm="1">
        <f t="array" ref="M150">_xlfn.IFS(L150=0,0,L150&gt;=1,L150/$L$169)</f>
        <v>0</v>
      </c>
      <c r="N150" s="992"/>
      <c r="O150" s="993"/>
      <c r="P150" s="994"/>
      <c r="Q150" s="316">
        <f>COUNTIFS(input!$O:$O,May!$Q$114,input!$X:$X,May!N150,input!$A:$A,May!$B$2)</f>
        <v>0</v>
      </c>
      <c r="R150" s="316">
        <f>COUNTIFS(input!$O:$O,May!$R$114,input!$X:$X,May!N150,input!$A:$A,May!$B$2)</f>
        <v>0</v>
      </c>
      <c r="S150" s="316">
        <f>COUNTIFS(input!$O:$O,May!$S$114,input!$X:$X,May!N150,input!$A:$A,May!$B$2)</f>
        <v>0</v>
      </c>
      <c r="T150" s="322">
        <f>COUNTIFS(input!$O:$O,May!$T$114,input!$X:$X,May!N150,input!$A:$A,May!$B$2)</f>
        <v>0</v>
      </c>
      <c r="U150" s="322">
        <f>COUNTIFS(input!$O:$O,May!$U$114,input!$X:$X,May!N150,input!$A:$A,May!$B$2)</f>
        <v>0</v>
      </c>
      <c r="V150" s="323">
        <f>COUNTIFS(input!$O:$O,May!$V$114,input!$X:$X,May!N150,input!$A:$A,May!$B$2)</f>
        <v>0</v>
      </c>
      <c r="W150" s="323">
        <f>COUNTIFS(input!$O:$O,May!$W$114,input!$X:$X,May!N150,input!$A:$A,May!$B$2)</f>
        <v>0</v>
      </c>
      <c r="X150" s="324">
        <f>COUNTIFS(input!$O:$O,May!$X$114,input!$X:$X,May!N150,input!$A:$A,May!$B$2)</f>
        <v>0</v>
      </c>
      <c r="Y150" s="312">
        <f t="shared" si="10"/>
        <v>0</v>
      </c>
      <c r="Z150" s="315" cm="1">
        <f t="array" ref="Z150">_xlfn.IFS(Y150=0,0,Y150&gt;=1,Y150/$Y$169)</f>
        <v>0</v>
      </c>
    </row>
    <row r="151" spans="2:26" ht="92" x14ac:dyDescent="0.25">
      <c r="B151" s="990" t="s">
        <v>1787</v>
      </c>
      <c r="C151" s="991"/>
      <c r="D151" s="316">
        <f>COUNTIFS(input!$O:$O,May!$D$114,input!$W:$W,May!B151,input!$A:$A,May!$B$2)</f>
        <v>0</v>
      </c>
      <c r="E151" s="316">
        <f>COUNTIFS(input!$O:$O,May!$E$114,input!$W:$W,May!B151,input!$A:$A,May!$B$2)</f>
        <v>0</v>
      </c>
      <c r="F151" s="316">
        <f>COUNTIFS(input!$O:$O,May!$F$114,input!$W:$W,May!B151,input!$A:$A,May!$B$2)</f>
        <v>0</v>
      </c>
      <c r="G151" s="322">
        <f>COUNTIFS(input!$O:$O,May!$G$114,input!$W:$W,May!B151,input!$A:$A,May!$B$2)</f>
        <v>2</v>
      </c>
      <c r="H151" s="321">
        <f>COUNTIFS(input!$O:$O,May!$H$114,input!$W:$W,May!B151,input!$A:$A,May!$B$2)</f>
        <v>0</v>
      </c>
      <c r="I151" s="321">
        <f>COUNTIFS(input!$O:$O,May!$I$114,input!$W:$W,May!B151,input!$A:$A,May!$B$2)</f>
        <v>0</v>
      </c>
      <c r="J151" s="321">
        <f>COUNTIFS(input!$O:$O,May!$J$114,input!$W:$W,May!B151,input!$A:$A,May!$B$2)</f>
        <v>0</v>
      </c>
      <c r="K151" s="343">
        <f>COUNTIFS(input!$O:$O,May!$K$114,input!$W:$W,May!B151,input!$A:$A,May!$B$2)</f>
        <v>0</v>
      </c>
      <c r="L151" s="312">
        <f>SUM(D151:K151)</f>
        <v>2</v>
      </c>
      <c r="M151" s="320" cm="1">
        <f t="array" ref="M151">_xlfn.IFS(L151=0,0,L151&gt;=1,L151/$L$169)</f>
        <v>0.125</v>
      </c>
      <c r="N151" s="992" t="s">
        <v>1544</v>
      </c>
      <c r="O151" s="993"/>
      <c r="P151" s="994"/>
      <c r="Q151" s="316">
        <f>COUNTIFS(input!$O:$O,May!$Q$114,input!$X:$X,May!N151,input!$A:$A,May!$B$2)</f>
        <v>0</v>
      </c>
      <c r="R151" s="316">
        <f>COUNTIFS(input!$O:$O,May!$R$114,input!$X:$X,May!N151,input!$A:$A,May!$B$2)</f>
        <v>0</v>
      </c>
      <c r="S151" s="316">
        <f>COUNTIFS(input!$O:$O,May!$S$114,input!$X:$X,May!N151,input!$A:$A,May!$B$2)</f>
        <v>0</v>
      </c>
      <c r="T151" s="322">
        <f>COUNTIFS(input!$O:$O,May!$T$114,input!$X:$X,May!N151,input!$A:$A,May!$B$2)</f>
        <v>0</v>
      </c>
      <c r="U151" s="322">
        <f>COUNTIFS(input!$O:$O,May!$U$114,input!$X:$X,May!N151,input!$A:$A,May!$B$2)</f>
        <v>0</v>
      </c>
      <c r="V151" s="323">
        <f>COUNTIFS(input!$O:$O,May!$V$114,input!$X:$X,May!N151,input!$A:$A,May!$B$2)</f>
        <v>0</v>
      </c>
      <c r="W151" s="323">
        <f>COUNTIFS(input!$O:$O,May!$W$114,input!$X:$X,May!N151,input!$A:$A,May!$B$2)</f>
        <v>0</v>
      </c>
      <c r="X151" s="324">
        <f>COUNTIFS(input!$O:$O,May!$X$114,input!$X:$X,May!N151,input!$A:$A,May!$B$2)</f>
        <v>0</v>
      </c>
      <c r="Y151" s="312">
        <f>SUM(Q151:X151)</f>
        <v>0</v>
      </c>
      <c r="Z151" s="315" cm="1">
        <f t="array" ref="Z151">_xlfn.IFS(Y151=0,0,Y151&gt;=1,Y151/$Y$169)</f>
        <v>0</v>
      </c>
    </row>
    <row r="152" spans="2:26" ht="92" hidden="1" x14ac:dyDescent="0.25">
      <c r="B152" s="1121" t="s">
        <v>1560</v>
      </c>
      <c r="C152" s="1066"/>
      <c r="D152" s="316">
        <f>COUNTIFS(input!$O:$O,May!$D$114,input!$W:$W,May!B152,input!$A:$A,May!$B$2)</f>
        <v>0</v>
      </c>
      <c r="E152" s="316">
        <f>COUNTIFS(input!$O:$O,May!$E$114,input!$W:$W,May!B152,input!$A:$A,May!$B$2)</f>
        <v>0</v>
      </c>
      <c r="F152" s="316">
        <f>COUNTIFS(input!$O:$O,May!$F$114,input!$W:$W,May!B152,input!$A:$A,May!$B$2)</f>
        <v>0</v>
      </c>
      <c r="G152" s="322">
        <f>COUNTIFS(input!$O:$O,May!$G$114,input!$W:$W,May!B152,input!$A:$A,May!$B$2)</f>
        <v>0</v>
      </c>
      <c r="H152" s="321">
        <f>COUNTIFS(input!$O:$O,May!$H$114,input!$W:$W,May!B152,input!$A:$A,May!$B$2)</f>
        <v>0</v>
      </c>
      <c r="I152" s="321">
        <f>COUNTIFS(input!$O:$O,May!$I$114,input!$W:$W,May!B152,input!$A:$A,May!$B$2)</f>
        <v>0</v>
      </c>
      <c r="J152" s="321">
        <f>COUNTIFS(input!$O:$O,May!$J$114,input!$W:$W,May!B152,input!$A:$A,May!$B$2)</f>
        <v>0</v>
      </c>
      <c r="K152" s="343">
        <f>COUNTIFS(input!$O:$O,May!$K$114,input!$W:$W,May!B152,input!$A:$A,May!$B$2)</f>
        <v>0</v>
      </c>
      <c r="L152" s="312">
        <f t="shared" si="11"/>
        <v>0</v>
      </c>
      <c r="M152" s="320" cm="1">
        <f t="array" ref="M152">_xlfn.IFS(L152=0,0,L152&gt;=1,L152/$L$169)</f>
        <v>0</v>
      </c>
      <c r="N152" s="385"/>
      <c r="O152" s="386"/>
      <c r="P152" s="387"/>
      <c r="Q152" s="316">
        <f>COUNTIFS(input!$O:$O,May!$Q$114,input!$X:$X,May!N152,input!$A:$A,May!$B$2)</f>
        <v>0</v>
      </c>
      <c r="R152" s="316">
        <f>COUNTIFS(input!$O:$O,May!$R$114,input!$X:$X,May!N152,input!$A:$A,May!$B$2)</f>
        <v>0</v>
      </c>
      <c r="S152" s="316">
        <f>COUNTIFS(input!$O:$O,May!$S$114,input!$X:$X,May!N152,input!$A:$A,May!$B$2)</f>
        <v>0</v>
      </c>
      <c r="T152" s="322">
        <f>COUNTIFS(input!$O:$O,May!$T$114,input!$X:$X,May!N152,input!$A:$A,May!$B$2)</f>
        <v>0</v>
      </c>
      <c r="U152" s="322">
        <f>COUNTIFS(input!$O:$O,May!$U$114,input!$X:$X,May!N152,input!$A:$A,May!$B$2)</f>
        <v>0</v>
      </c>
      <c r="V152" s="323">
        <f>COUNTIFS(input!$O:$O,May!$V$114,input!$X:$X,May!N152,input!$A:$A,May!$B$2)</f>
        <v>0</v>
      </c>
      <c r="W152" s="323">
        <f>COUNTIFS(input!$O:$O,May!$W$114,input!$X:$X,May!N152,input!$A:$A,May!$B$2)</f>
        <v>0</v>
      </c>
      <c r="X152" s="324">
        <f>COUNTIFS(input!$O:$O,May!$X$114,input!$X:$X,May!N152,input!$A:$A,May!$B$2)</f>
        <v>0</v>
      </c>
      <c r="Y152" s="312">
        <f t="shared" si="10"/>
        <v>0</v>
      </c>
      <c r="Z152" s="315" cm="1">
        <f t="array" ref="Z152">_xlfn.IFS(Y152=0,0,Y152&gt;=1,Y152/$Y$169)</f>
        <v>0</v>
      </c>
    </row>
    <row r="153" spans="2:26" ht="92" x14ac:dyDescent="0.25">
      <c r="B153" s="990" t="s">
        <v>1838</v>
      </c>
      <c r="C153" s="991"/>
      <c r="D153" s="316">
        <f>COUNTIFS(input!$O:$O,May!$D$114,input!$W:$W,May!B153,input!$A:$A,May!$B$2)</f>
        <v>0</v>
      </c>
      <c r="E153" s="316">
        <f>COUNTIFS(input!$O:$O,May!$E$114,input!$W:$W,May!B153,input!$A:$A,May!$B$2)</f>
        <v>1</v>
      </c>
      <c r="F153" s="316">
        <f>COUNTIFS(input!$O:$O,May!$F$114,input!$W:$W,May!B153,input!$A:$A,May!$B$2)</f>
        <v>0</v>
      </c>
      <c r="G153" s="322">
        <f>COUNTIFS(input!$O:$O,May!$G$114,input!$W:$W,May!B153,input!$A:$A,May!$B$2)</f>
        <v>0</v>
      </c>
      <c r="H153" s="321">
        <f>COUNTIFS(input!$O:$O,May!$H$114,input!$W:$W,May!B153,input!$A:$A,May!$B$2)</f>
        <v>0</v>
      </c>
      <c r="I153" s="321">
        <f>COUNTIFS(input!$O:$O,May!$I$114,input!$W:$W,May!B153,input!$A:$A,May!$B$2)</f>
        <v>0</v>
      </c>
      <c r="J153" s="321">
        <f>COUNTIFS(input!$O:$O,May!$J$114,input!$W:$W,May!B153,input!$A:$A,May!$B$2)</f>
        <v>0</v>
      </c>
      <c r="K153" s="343">
        <f>COUNTIFS(input!$O:$O,May!$K$114,input!$W:$W,May!B153,input!$A:$A,May!$B$2)</f>
        <v>0</v>
      </c>
      <c r="L153" s="312">
        <f>SUM(D153:K153)</f>
        <v>1</v>
      </c>
      <c r="M153" s="320" cm="1">
        <f t="array" ref="M153">_xlfn.IFS(L153=0,0,L153&gt;=1,L153/$L$169)</f>
        <v>6.25E-2</v>
      </c>
      <c r="N153" s="385"/>
      <c r="O153" s="386"/>
      <c r="P153" s="387"/>
      <c r="Q153" s="316">
        <f>COUNTIFS(input!$O:$O,May!$Q$114,input!$X:$X,May!N153,input!$A:$A,May!$B$2)</f>
        <v>0</v>
      </c>
      <c r="R153" s="316">
        <f>COUNTIFS(input!$O:$O,May!$R$114,input!$X:$X,May!N153,input!$A:$A,May!$B$2)</f>
        <v>0</v>
      </c>
      <c r="S153" s="316">
        <f>COUNTIFS(input!$O:$O,May!$S$114,input!$X:$X,May!N153,input!$A:$A,May!$B$2)</f>
        <v>0</v>
      </c>
      <c r="T153" s="322">
        <f>COUNTIFS(input!$O:$O,May!$T$114,input!$X:$X,May!N153,input!$A:$A,May!$B$2)</f>
        <v>0</v>
      </c>
      <c r="U153" s="322">
        <f>COUNTIFS(input!$O:$O,May!$U$114,input!$X:$X,May!N153,input!$A:$A,May!$B$2)</f>
        <v>0</v>
      </c>
      <c r="V153" s="323">
        <f>COUNTIFS(input!$O:$O,May!$V$114,input!$X:$X,May!N153,input!$A:$A,May!$B$2)</f>
        <v>0</v>
      </c>
      <c r="W153" s="323">
        <f>COUNTIFS(input!$O:$O,May!$W$114,input!$X:$X,May!N153,input!$A:$A,May!$B$2)</f>
        <v>0</v>
      </c>
      <c r="X153" s="324">
        <f>COUNTIFS(input!$O:$O,May!$X$114,input!$X:$X,May!N153,input!$A:$A,May!$B$2)</f>
        <v>0</v>
      </c>
      <c r="Y153" s="312">
        <f>SUM(Q153:X153)</f>
        <v>0</v>
      </c>
      <c r="Z153" s="315" cm="1">
        <f t="array" ref="Z153">_xlfn.IFS(Y153=0,0,Y153&gt;=1,Y153/$Y$169)</f>
        <v>0</v>
      </c>
    </row>
    <row r="154" spans="2:26" ht="92" hidden="1" x14ac:dyDescent="0.25">
      <c r="B154" s="1121" t="s">
        <v>1561</v>
      </c>
      <c r="C154" s="1066"/>
      <c r="D154" s="316">
        <f>COUNTIFS(input!$O:$O,May!$D$114,input!$W:$W,May!B154,input!$A:$A,May!$B$2)</f>
        <v>0</v>
      </c>
      <c r="E154" s="316">
        <f>COUNTIFS(input!$O:$O,May!$E$114,input!$W:$W,May!B154,input!$A:$A,May!$B$2)</f>
        <v>0</v>
      </c>
      <c r="F154" s="316">
        <f>COUNTIFS(input!$O:$O,May!$F$114,input!$W:$W,May!B154,input!$A:$A,May!$B$2)</f>
        <v>0</v>
      </c>
      <c r="G154" s="322">
        <f>COUNTIFS(input!$O:$O,May!$G$114,input!$W:$W,May!B154,input!$A:$A,May!$B$2)</f>
        <v>0</v>
      </c>
      <c r="H154" s="321">
        <f>COUNTIFS(input!$O:$O,May!$H$114,input!$W:$W,May!B154,input!$A:$A,May!$B$2)</f>
        <v>0</v>
      </c>
      <c r="I154" s="321">
        <f>COUNTIFS(input!$O:$O,May!$I$114,input!$W:$W,May!B154,input!$A:$A,May!$B$2)</f>
        <v>0</v>
      </c>
      <c r="J154" s="321">
        <f>COUNTIFS(input!$O:$O,May!$J$114,input!$W:$W,May!B154,input!$A:$A,May!$B$2)</f>
        <v>0</v>
      </c>
      <c r="K154" s="343">
        <f>COUNTIFS(input!$O:$O,May!$K$114,input!$W:$W,May!B154,input!$A:$A,May!$B$2)</f>
        <v>0</v>
      </c>
      <c r="L154" s="312">
        <f t="shared" si="11"/>
        <v>0</v>
      </c>
      <c r="M154" s="320" cm="1">
        <f t="array" ref="M154">_xlfn.IFS(L154=0,0,L154&gt;=1,L154/$L$169)</f>
        <v>0</v>
      </c>
      <c r="N154" s="385"/>
      <c r="O154" s="386"/>
      <c r="P154" s="387"/>
      <c r="Q154" s="316">
        <f>COUNTIFS(input!$O:$O,May!$Q$114,input!$X:$X,May!N154,input!$A:$A,May!$B$2)</f>
        <v>0</v>
      </c>
      <c r="R154" s="316">
        <f>COUNTIFS(input!$O:$O,May!$R$114,input!$X:$X,May!N154,input!$A:$A,May!$B$2)</f>
        <v>0</v>
      </c>
      <c r="S154" s="316">
        <f>COUNTIFS(input!$O:$O,May!$S$114,input!$X:$X,May!N154,input!$A:$A,May!$B$2)</f>
        <v>0</v>
      </c>
      <c r="T154" s="322">
        <f>COUNTIFS(input!$O:$O,May!$T$114,input!$X:$X,May!N154,input!$A:$A,May!$B$2)</f>
        <v>0</v>
      </c>
      <c r="U154" s="322">
        <f>COUNTIFS(input!$O:$O,May!$U$114,input!$X:$X,May!N154,input!$A:$A,May!$B$2)</f>
        <v>0</v>
      </c>
      <c r="V154" s="323">
        <f>COUNTIFS(input!$O:$O,May!$V$114,input!$X:$X,May!N154,input!$A:$A,May!$B$2)</f>
        <v>0</v>
      </c>
      <c r="W154" s="323">
        <f>COUNTIFS(input!$O:$O,May!$W$114,input!$X:$X,May!N154,input!$A:$A,May!$B$2)</f>
        <v>0</v>
      </c>
      <c r="X154" s="324">
        <f>COUNTIFS(input!$O:$O,May!$X$114,input!$X:$X,May!N154,input!$A:$A,May!$B$2)</f>
        <v>0</v>
      </c>
      <c r="Y154" s="312">
        <f t="shared" si="10"/>
        <v>0</v>
      </c>
      <c r="Z154" s="315" cm="1">
        <f t="array" ref="Z154">_xlfn.IFS(Y154=0,0,Y154&gt;=1,Y154/$Y$169)</f>
        <v>0</v>
      </c>
    </row>
    <row r="155" spans="2:26" ht="92" x14ac:dyDescent="0.25">
      <c r="B155" s="990" t="s">
        <v>1797</v>
      </c>
      <c r="C155" s="991"/>
      <c r="D155" s="316">
        <f>COUNTIFS(input!$O:$O,May!$D$114,input!$W:$W,May!B155,input!$A:$A,May!$B$2)</f>
        <v>0</v>
      </c>
      <c r="E155" s="316">
        <f>COUNTIFS(input!$O:$O,May!$E$114,input!$W:$W,May!B155,input!$A:$A,May!$B$2)</f>
        <v>1</v>
      </c>
      <c r="F155" s="316">
        <f>COUNTIFS(input!$O:$O,May!$F$114,input!$W:$W,May!B155,input!$A:$A,May!$B$2)</f>
        <v>0</v>
      </c>
      <c r="G155" s="322">
        <f>COUNTIFS(input!$O:$O,May!$G$114,input!$W:$W,May!B155,input!$A:$A,May!$B$2)</f>
        <v>0</v>
      </c>
      <c r="H155" s="321">
        <f>COUNTIFS(input!$O:$O,May!$H$114,input!$W:$W,May!B155,input!$A:$A,May!$B$2)</f>
        <v>0</v>
      </c>
      <c r="I155" s="321">
        <f>COUNTIFS(input!$O:$O,May!$I$114,input!$W:$W,May!B155,input!$A:$A,May!$B$2)</f>
        <v>0</v>
      </c>
      <c r="J155" s="321">
        <f>COUNTIFS(input!$O:$O,May!$J$114,input!$W:$W,May!B155,input!$A:$A,May!$B$2)</f>
        <v>0</v>
      </c>
      <c r="K155" s="343">
        <f>COUNTIFS(input!$O:$O,May!$K$114,input!$W:$W,May!B155,input!$A:$A,May!$B$2)</f>
        <v>0</v>
      </c>
      <c r="L155" s="312">
        <f>SUM(D155:K155)</f>
        <v>1</v>
      </c>
      <c r="M155" s="320" cm="1">
        <f t="array" ref="M155">_xlfn.IFS(L155=0,0,L155&gt;=1,L155/$L$169)</f>
        <v>6.25E-2</v>
      </c>
      <c r="N155" s="385"/>
      <c r="O155" s="386"/>
      <c r="P155" s="387"/>
      <c r="Q155" s="316">
        <f>COUNTIFS(input!$O:$O,May!$Q$114,input!$X:$X,May!N155,input!$A:$A,May!$B$2)</f>
        <v>0</v>
      </c>
      <c r="R155" s="316">
        <f>COUNTIFS(input!$O:$O,May!$R$114,input!$X:$X,May!N155,input!$A:$A,May!$B$2)</f>
        <v>0</v>
      </c>
      <c r="S155" s="316">
        <f>COUNTIFS(input!$O:$O,May!$S$114,input!$X:$X,May!N155,input!$A:$A,May!$B$2)</f>
        <v>0</v>
      </c>
      <c r="T155" s="322">
        <f>COUNTIFS(input!$O:$O,May!$T$114,input!$X:$X,May!N155,input!$A:$A,May!$B$2)</f>
        <v>0</v>
      </c>
      <c r="U155" s="322">
        <f>COUNTIFS(input!$O:$O,May!$U$114,input!$X:$X,May!N155,input!$A:$A,May!$B$2)</f>
        <v>0</v>
      </c>
      <c r="V155" s="323">
        <f>COUNTIFS(input!$O:$O,May!$V$114,input!$X:$X,May!N155,input!$A:$A,May!$B$2)</f>
        <v>0</v>
      </c>
      <c r="W155" s="323">
        <f>COUNTIFS(input!$O:$O,May!$W$114,input!$X:$X,May!N155,input!$A:$A,May!$B$2)</f>
        <v>0</v>
      </c>
      <c r="X155" s="324">
        <f>COUNTIFS(input!$O:$O,May!$X$114,input!$X:$X,May!N155,input!$A:$A,May!$B$2)</f>
        <v>0</v>
      </c>
      <c r="Y155" s="312">
        <f>SUM(Q155:X155)</f>
        <v>0</v>
      </c>
      <c r="Z155" s="315" cm="1">
        <f t="array" ref="Z155">_xlfn.IFS(Y155=0,0,Y155&gt;=1,Y155/$Y$169)</f>
        <v>0</v>
      </c>
    </row>
    <row r="156" spans="2:26" ht="92" hidden="1" x14ac:dyDescent="0.25">
      <c r="B156" s="1122" t="s">
        <v>862</v>
      </c>
      <c r="C156" s="997"/>
      <c r="D156" s="316">
        <f>COUNTIFS(input!$O:$O,May!$D$114,input!$W:$W,May!B156,input!$A:$A,May!$B$2)</f>
        <v>0</v>
      </c>
      <c r="E156" s="316">
        <f>COUNTIFS(input!$O:$O,May!$E$114,input!$W:$W,May!B156,input!$A:$A,May!$B$2)</f>
        <v>0</v>
      </c>
      <c r="F156" s="316">
        <f>COUNTIFS(input!$O:$O,May!$F$114,input!$W:$W,May!B156,input!$A:$A,May!$B$2)</f>
        <v>0</v>
      </c>
      <c r="G156" s="322">
        <f>COUNTIFS(input!$O:$O,May!$G$114,input!$W:$W,May!B156,input!$A:$A,May!$B$2)</f>
        <v>0</v>
      </c>
      <c r="H156" s="321">
        <f>COUNTIFS(input!$O:$O,May!$H$114,input!$W:$W,May!B156,input!$A:$A,May!$B$2)</f>
        <v>0</v>
      </c>
      <c r="I156" s="321">
        <f>COUNTIFS(input!$O:$O,May!$I$114,input!$W:$W,May!B156,input!$A:$A,May!$B$2)</f>
        <v>0</v>
      </c>
      <c r="J156" s="321">
        <f>COUNTIFS(input!$O:$O,May!$J$114,input!$W:$W,May!B156,input!$A:$A,May!$B$2)</f>
        <v>0</v>
      </c>
      <c r="K156" s="343">
        <f>COUNTIFS(input!$O:$O,May!$K$114,input!$W:$W,May!B156,input!$A:$A,May!$B$2)</f>
        <v>0</v>
      </c>
      <c r="L156" s="312">
        <f t="shared" si="11"/>
        <v>0</v>
      </c>
      <c r="M156" s="320" cm="1">
        <f t="array" ref="M156">_xlfn.IFS(L156=0,0,L156&gt;=1,L156/$L$169)</f>
        <v>0</v>
      </c>
      <c r="N156" s="992"/>
      <c r="O156" s="993"/>
      <c r="P156" s="994"/>
      <c r="Q156" s="316">
        <f>COUNTIFS(input!$O:$O,May!$Q$114,input!$X:$X,May!N156,input!$A:$A,May!$B$2)</f>
        <v>0</v>
      </c>
      <c r="R156" s="316">
        <f>COUNTIFS(input!$O:$O,May!$R$114,input!$X:$X,May!N156,input!$A:$A,May!$B$2)</f>
        <v>0</v>
      </c>
      <c r="S156" s="316">
        <f>COUNTIFS(input!$O:$O,May!$S$114,input!$X:$X,May!N156,input!$A:$A,May!$B$2)</f>
        <v>0</v>
      </c>
      <c r="T156" s="322">
        <f>COUNTIFS(input!$O:$O,May!$T$114,input!$X:$X,May!N156,input!$A:$A,May!$B$2)</f>
        <v>0</v>
      </c>
      <c r="U156" s="322">
        <f>COUNTIFS(input!$O:$O,May!$U$114,input!$X:$X,May!N156,input!$A:$A,May!$B$2)</f>
        <v>0</v>
      </c>
      <c r="V156" s="323">
        <f>COUNTIFS(input!$O:$O,May!$V$114,input!$X:$X,May!N156,input!$A:$A,May!$B$2)</f>
        <v>0</v>
      </c>
      <c r="W156" s="323">
        <f>COUNTIFS(input!$O:$O,May!$W$114,input!$X:$X,May!N156,input!$A:$A,May!$B$2)</f>
        <v>0</v>
      </c>
      <c r="X156" s="324">
        <f>COUNTIFS(input!$O:$O,May!$X$114,input!$X:$X,May!N156,input!$A:$A,May!$B$2)</f>
        <v>0</v>
      </c>
      <c r="Y156" s="312">
        <f t="shared" si="10"/>
        <v>0</v>
      </c>
      <c r="Z156" s="315" cm="1">
        <f t="array" ref="Z156">_xlfn.IFS(Y156=0,0,Y156&gt;=1,Y156/$Y$169)</f>
        <v>0</v>
      </c>
    </row>
    <row r="157" spans="2:26" ht="92" hidden="1" x14ac:dyDescent="0.25">
      <c r="B157" s="1122" t="s">
        <v>859</v>
      </c>
      <c r="C157" s="997"/>
      <c r="D157" s="316">
        <f>COUNTIFS(input!$O:$O,May!$D$114,input!$W:$W,May!B157,input!$A:$A,May!$B$2)</f>
        <v>0</v>
      </c>
      <c r="E157" s="316">
        <f>COUNTIFS(input!$O:$O,May!$E$114,input!$W:$W,May!B157,input!$A:$A,May!$B$2)</f>
        <v>0</v>
      </c>
      <c r="F157" s="316">
        <f>COUNTIFS(input!$O:$O,May!$F$114,input!$W:$W,May!B157,input!$A:$A,May!$B$2)</f>
        <v>0</v>
      </c>
      <c r="G157" s="322">
        <f>COUNTIFS(input!$O:$O,May!$G$114,input!$W:$W,May!B157,input!$A:$A,May!$B$2)</f>
        <v>0</v>
      </c>
      <c r="H157" s="321">
        <f>COUNTIFS(input!$O:$O,May!$H$114,input!$W:$W,May!B157,input!$A:$A,May!$B$2)</f>
        <v>0</v>
      </c>
      <c r="I157" s="321">
        <f>COUNTIFS(input!$O:$O,May!$I$114,input!$W:$W,May!B157,input!$A:$A,May!$B$2)</f>
        <v>0</v>
      </c>
      <c r="J157" s="321">
        <f>COUNTIFS(input!$O:$O,May!$J$114,input!$W:$W,May!B157,input!$A:$A,May!$B$2)</f>
        <v>0</v>
      </c>
      <c r="K157" s="343">
        <f>COUNTIFS(input!$O:$O,May!$K$114,input!$W:$W,May!B157,input!$A:$A,May!$B$2)</f>
        <v>0</v>
      </c>
      <c r="L157" s="312">
        <f t="shared" si="11"/>
        <v>0</v>
      </c>
      <c r="M157" s="320" cm="1">
        <f t="array" ref="M157">_xlfn.IFS(L157=0,0,L157&gt;=1,L157/$L$169)</f>
        <v>0</v>
      </c>
      <c r="N157" s="992"/>
      <c r="O157" s="993"/>
      <c r="P157" s="994"/>
      <c r="Q157" s="316">
        <f>COUNTIFS(input!$O:$O,May!$Q$114,input!$X:$X,May!N157,input!$A:$A,May!$B$2)</f>
        <v>0</v>
      </c>
      <c r="R157" s="316">
        <f>COUNTIFS(input!$O:$O,May!$R$114,input!$X:$X,May!N157,input!$A:$A,May!$B$2)</f>
        <v>0</v>
      </c>
      <c r="S157" s="316">
        <f>COUNTIFS(input!$O:$O,May!$S$114,input!$X:$X,May!N157,input!$A:$A,May!$B$2)</f>
        <v>0</v>
      </c>
      <c r="T157" s="322">
        <f>COUNTIFS(input!$O:$O,May!$T$114,input!$X:$X,May!N157,input!$A:$A,May!$B$2)</f>
        <v>0</v>
      </c>
      <c r="U157" s="322">
        <f>COUNTIFS(input!$O:$O,May!$U$114,input!$X:$X,May!N157,input!$A:$A,May!$B$2)</f>
        <v>0</v>
      </c>
      <c r="V157" s="323">
        <f>COUNTIFS(input!$O:$O,May!$V$114,input!$X:$X,May!N157,input!$A:$A,May!$B$2)</f>
        <v>0</v>
      </c>
      <c r="W157" s="323">
        <f>COUNTIFS(input!$O:$O,May!$W$114,input!$X:$X,May!N157,input!$A:$A,May!$B$2)</f>
        <v>0</v>
      </c>
      <c r="X157" s="324">
        <f>COUNTIFS(input!$O:$O,May!$X$114,input!$X:$X,May!N157,input!$A:$A,May!$B$2)</f>
        <v>0</v>
      </c>
      <c r="Y157" s="312">
        <f t="shared" si="10"/>
        <v>0</v>
      </c>
      <c r="Z157" s="315" cm="1">
        <f t="array" ref="Z157">_xlfn.IFS(Y157=0,0,Y157&gt;=1,Y157/$Y$169)</f>
        <v>0</v>
      </c>
    </row>
    <row r="158" spans="2:26" ht="92" hidden="1" x14ac:dyDescent="0.25">
      <c r="B158" s="1121" t="s">
        <v>825</v>
      </c>
      <c r="C158" s="1066"/>
      <c r="D158" s="316">
        <f>COUNTIFS(input!$O:$O,May!$D$114,input!$W:$W,May!B158,input!$A:$A,May!$B$2)</f>
        <v>0</v>
      </c>
      <c r="E158" s="316">
        <f>COUNTIFS(input!$O:$O,May!$E$114,input!$W:$W,May!B158,input!$A:$A,May!$B$2)</f>
        <v>0</v>
      </c>
      <c r="F158" s="316">
        <f>COUNTIFS(input!$O:$O,May!$F$114,input!$W:$W,May!B158,input!$A:$A,May!$B$2)</f>
        <v>0</v>
      </c>
      <c r="G158" s="322">
        <f>COUNTIFS(input!$O:$O,May!$G$114,input!$W:$W,May!B158,input!$A:$A,May!$B$2)</f>
        <v>0</v>
      </c>
      <c r="H158" s="321">
        <f>COUNTIFS(input!$O:$O,May!$H$114,input!$W:$W,May!B158,input!$A:$A,May!$B$2)</f>
        <v>0</v>
      </c>
      <c r="I158" s="321">
        <f>COUNTIFS(input!$O:$O,May!$I$114,input!$W:$W,May!B158,input!$A:$A,May!$B$2)</f>
        <v>0</v>
      </c>
      <c r="J158" s="321">
        <f>COUNTIFS(input!$O:$O,May!$J$114,input!$W:$W,May!B158,input!$A:$A,May!$B$2)</f>
        <v>0</v>
      </c>
      <c r="K158" s="343">
        <f>COUNTIFS(input!$O:$O,May!$K$114,input!$W:$W,May!B158,input!$A:$A,May!$B$2)</f>
        <v>0</v>
      </c>
      <c r="L158" s="312">
        <f t="shared" si="11"/>
        <v>0</v>
      </c>
      <c r="M158" s="320" cm="1">
        <f t="array" ref="M158">_xlfn.IFS(L158=0,0,L158&gt;=1,L158/$L$169)</f>
        <v>0</v>
      </c>
      <c r="N158" s="995"/>
      <c r="O158" s="996"/>
      <c r="P158" s="997"/>
      <c r="Q158" s="316">
        <f>COUNTIFS(input!$O:$O,May!$Q$114,input!$X:$X,May!N158,input!$A:$A,May!$B$2)</f>
        <v>0</v>
      </c>
      <c r="R158" s="316">
        <f>COUNTIFS(input!$O:$O,May!$R$114,input!$X:$X,May!N158,input!$A:$A,May!$B$2)</f>
        <v>0</v>
      </c>
      <c r="S158" s="316">
        <f>COUNTIFS(input!$O:$O,May!$S$114,input!$X:$X,May!N158,input!$A:$A,May!$B$2)</f>
        <v>0</v>
      </c>
      <c r="T158" s="322">
        <f>COUNTIFS(input!$O:$O,May!$T$114,input!$X:$X,May!N158,input!$A:$A,May!$B$2)</f>
        <v>0</v>
      </c>
      <c r="U158" s="322">
        <f>COUNTIFS(input!$O:$O,May!$U$114,input!$X:$X,May!N158,input!$A:$A,May!$B$2)</f>
        <v>0</v>
      </c>
      <c r="V158" s="323">
        <f>COUNTIFS(input!$O:$O,May!$V$114,input!$X:$X,May!N158,input!$A:$A,May!$B$2)</f>
        <v>0</v>
      </c>
      <c r="W158" s="323">
        <f>COUNTIFS(input!$O:$O,May!$W$114,input!$X:$X,May!N158,input!$A:$A,May!$B$2)</f>
        <v>0</v>
      </c>
      <c r="X158" s="324">
        <f>COUNTIFS(input!$O:$O,May!$X$114,input!$X:$X,May!N158,input!$A:$A,May!$B$2)</f>
        <v>0</v>
      </c>
      <c r="Y158" s="312">
        <f t="shared" si="10"/>
        <v>0</v>
      </c>
      <c r="Z158" s="315" cm="1">
        <f t="array" ref="Z158">_xlfn.IFS(Y158=0,0,Y158&gt;=1,Y158/$Y$169)</f>
        <v>0</v>
      </c>
    </row>
    <row r="159" spans="2:26" ht="92" hidden="1" x14ac:dyDescent="0.25">
      <c r="B159" s="1121" t="s">
        <v>889</v>
      </c>
      <c r="C159" s="1066"/>
      <c r="D159" s="316">
        <f>COUNTIFS(input!$O:$O,May!$D$114,input!$W:$W,May!B159,input!$A:$A,May!$B$2)</f>
        <v>0</v>
      </c>
      <c r="E159" s="316">
        <f>COUNTIFS(input!$O:$O,May!$E$114,input!$W:$W,May!B159,input!$A:$A,May!$B$2)</f>
        <v>0</v>
      </c>
      <c r="F159" s="316">
        <f>COUNTIFS(input!$O:$O,May!$F$114,input!$W:$W,May!B159,input!$A:$A,May!$B$2)</f>
        <v>0</v>
      </c>
      <c r="G159" s="322">
        <f>COUNTIFS(input!$O:$O,May!$G$114,input!$W:$W,May!B159,input!$A:$A,May!$B$2)</f>
        <v>0</v>
      </c>
      <c r="H159" s="321">
        <f>COUNTIFS(input!$O:$O,May!$H$114,input!$W:$W,May!B159,input!$A:$A,May!$B$2)</f>
        <v>0</v>
      </c>
      <c r="I159" s="321">
        <f>COUNTIFS(input!$O:$O,May!$I$114,input!$W:$W,May!B159,input!$A:$A,May!$B$2)</f>
        <v>0</v>
      </c>
      <c r="J159" s="321">
        <f>COUNTIFS(input!$O:$O,May!$J$114,input!$W:$W,May!B159,input!$A:$A,May!$B$2)</f>
        <v>0</v>
      </c>
      <c r="K159" s="343">
        <f>COUNTIFS(input!$O:$O,May!$K$114,input!$W:$W,May!B159,input!$A:$A,May!$B$2)</f>
        <v>0</v>
      </c>
      <c r="L159" s="312">
        <f t="shared" si="11"/>
        <v>0</v>
      </c>
      <c r="M159" s="320" cm="1">
        <f t="array" ref="M159">_xlfn.IFS(L159=0,0,L159&gt;=1,L159/$L$169)</f>
        <v>0</v>
      </c>
      <c r="N159" s="995"/>
      <c r="O159" s="996"/>
      <c r="P159" s="997"/>
      <c r="Q159" s="316">
        <f>COUNTIFS(input!$O:$O,May!$Q$114,input!$X:$X,May!N159,input!$A:$A,May!$B$2)</f>
        <v>0</v>
      </c>
      <c r="R159" s="316">
        <f>COUNTIFS(input!$O:$O,May!$R$114,input!$X:$X,May!N159,input!$A:$A,May!$B$2)</f>
        <v>0</v>
      </c>
      <c r="S159" s="316">
        <f>COUNTIFS(input!$O:$O,May!$S$114,input!$X:$X,May!N159,input!$A:$A,May!$B$2)</f>
        <v>0</v>
      </c>
      <c r="T159" s="322">
        <f>COUNTIFS(input!$O:$O,May!$T$114,input!$X:$X,May!N159,input!$A:$A,May!$B$2)</f>
        <v>0</v>
      </c>
      <c r="U159" s="322">
        <f>COUNTIFS(input!$O:$O,May!$U$114,input!$X:$X,May!N159,input!$A:$A,May!$B$2)</f>
        <v>0</v>
      </c>
      <c r="V159" s="323">
        <f>COUNTIFS(input!$O:$O,May!$V$114,input!$X:$X,May!N159,input!$A:$A,May!$B$2)</f>
        <v>0</v>
      </c>
      <c r="W159" s="323">
        <f>COUNTIFS(input!$O:$O,May!$W$114,input!$X:$X,May!N159,input!$A:$A,May!$B$2)</f>
        <v>0</v>
      </c>
      <c r="X159" s="324">
        <f>COUNTIFS(input!$O:$O,May!$X$114,input!$X:$X,May!N159,input!$A:$A,May!$B$2)</f>
        <v>0</v>
      </c>
      <c r="Y159" s="312">
        <f t="shared" si="10"/>
        <v>0</v>
      </c>
      <c r="Z159" s="315" cm="1">
        <f t="array" ref="Z159">_xlfn.IFS(Y159=0,0,Y159&gt;=1,Y159/$Y$169)</f>
        <v>0</v>
      </c>
    </row>
    <row r="160" spans="2:26" ht="92" x14ac:dyDescent="0.25">
      <c r="B160" s="990" t="s">
        <v>1841</v>
      </c>
      <c r="C160" s="991"/>
      <c r="D160" s="316">
        <f>COUNTIFS(input!$O:$O,May!$D$114,input!$W:$W,May!B160,input!$A:$A,May!$B$2)</f>
        <v>0</v>
      </c>
      <c r="E160" s="316">
        <f>COUNTIFS(input!$O:$O,May!$E$114,input!$W:$W,May!B160,input!$A:$A,May!$B$2)</f>
        <v>0</v>
      </c>
      <c r="F160" s="316">
        <f>COUNTIFS(input!$O:$O,May!$F$114,input!$W:$W,May!B160,input!$A:$A,May!$B$2)</f>
        <v>0</v>
      </c>
      <c r="G160" s="322">
        <f>COUNTIFS(input!$O:$O,May!$G$114,input!$W:$W,May!B160,input!$A:$A,May!$B$2)</f>
        <v>1</v>
      </c>
      <c r="H160" s="321">
        <f>COUNTIFS(input!$O:$O,May!$H$114,input!$W:$W,May!B160,input!$A:$A,May!$B$2)</f>
        <v>0</v>
      </c>
      <c r="I160" s="321">
        <f>COUNTIFS(input!$O:$O,May!$I$114,input!$W:$W,May!B160,input!$A:$A,May!$B$2)</f>
        <v>0</v>
      </c>
      <c r="J160" s="321">
        <f>COUNTIFS(input!$O:$O,May!$J$114,input!$W:$W,May!B160,input!$A:$A,May!$B$2)</f>
        <v>0</v>
      </c>
      <c r="K160" s="343">
        <f>COUNTIFS(input!$O:$O,May!$K$114,input!$W:$W,May!B160,input!$A:$A,May!$B$2)</f>
        <v>0</v>
      </c>
      <c r="L160" s="312">
        <f>SUM(D160:K160)</f>
        <v>1</v>
      </c>
      <c r="M160" s="320" cm="1">
        <f t="array" ref="M160">_xlfn.IFS(L160=0,0,L160&gt;=1,L160/$L$169)</f>
        <v>6.25E-2</v>
      </c>
      <c r="N160" s="995"/>
      <c r="O160" s="996"/>
      <c r="P160" s="997"/>
      <c r="Q160" s="316">
        <f>COUNTIFS(input!$O:$O,May!$Q$114,input!$X:$X,May!N160,input!$A:$A,May!$B$2)</f>
        <v>0</v>
      </c>
      <c r="R160" s="316">
        <f>COUNTIFS(input!$O:$O,May!$R$114,input!$X:$X,May!N160,input!$A:$A,May!$B$2)</f>
        <v>0</v>
      </c>
      <c r="S160" s="316">
        <f>COUNTIFS(input!$O:$O,May!$S$114,input!$X:$X,May!N160,input!$A:$A,May!$B$2)</f>
        <v>0</v>
      </c>
      <c r="T160" s="322">
        <f>COUNTIFS(input!$O:$O,May!$T$114,input!$X:$X,May!N160,input!$A:$A,May!$B$2)</f>
        <v>0</v>
      </c>
      <c r="U160" s="322">
        <f>COUNTIFS(input!$O:$O,May!$U$114,input!$X:$X,May!N160,input!$A:$A,May!$B$2)</f>
        <v>0</v>
      </c>
      <c r="V160" s="323">
        <f>COUNTIFS(input!$O:$O,May!$V$114,input!$X:$X,May!N160,input!$A:$A,May!$B$2)</f>
        <v>0</v>
      </c>
      <c r="W160" s="323">
        <f>COUNTIFS(input!$O:$O,May!$W$114,input!$X:$X,May!N160,input!$A:$A,May!$B$2)</f>
        <v>0</v>
      </c>
      <c r="X160" s="324">
        <f>COUNTIFS(input!$O:$O,May!$X$114,input!$X:$X,May!N160,input!$A:$A,May!$B$2)</f>
        <v>0</v>
      </c>
      <c r="Y160" s="312">
        <f>SUM(Q160:X160)</f>
        <v>0</v>
      </c>
      <c r="Z160" s="315" cm="1">
        <f t="array" ref="Z160">_xlfn.IFS(Y160=0,0,Y160&gt;=1,Y160/$Y$169)</f>
        <v>0</v>
      </c>
    </row>
    <row r="161" spans="2:52" ht="92" hidden="1" x14ac:dyDescent="0.25">
      <c r="B161" s="1122" t="s">
        <v>863</v>
      </c>
      <c r="C161" s="997"/>
      <c r="D161" s="316">
        <f>COUNTIFS(input!$O:$O,May!$D$114,input!$W:$W,May!B161,input!$A:$A,May!$B$2)</f>
        <v>0</v>
      </c>
      <c r="E161" s="316">
        <f>COUNTIFS(input!$O:$O,May!$E$114,input!$W:$W,May!B161,input!$A:$A,May!$B$2)</f>
        <v>0</v>
      </c>
      <c r="F161" s="316">
        <f>COUNTIFS(input!$O:$O,May!$F$114,input!$W:$W,May!B161,input!$A:$A,May!$B$2)</f>
        <v>0</v>
      </c>
      <c r="G161" s="322">
        <f>COUNTIFS(input!$O:$O,May!$G$114,input!$W:$W,May!B161,input!$A:$A,May!$B$2)</f>
        <v>0</v>
      </c>
      <c r="H161" s="321">
        <f>COUNTIFS(input!$O:$O,May!$H$114,input!$W:$W,May!B161,input!$A:$A,May!$B$2)</f>
        <v>0</v>
      </c>
      <c r="I161" s="321">
        <f>COUNTIFS(input!$O:$O,May!$I$114,input!$W:$W,May!B161,input!$A:$A,May!$B$2)</f>
        <v>0</v>
      </c>
      <c r="J161" s="321">
        <f>COUNTIFS(input!$O:$O,May!$J$114,input!$W:$W,May!B161,input!$A:$A,May!$B$2)</f>
        <v>0</v>
      </c>
      <c r="K161" s="343">
        <f>COUNTIFS(input!$O:$O,May!$K$114,input!$W:$W,May!B161,input!$A:$A,May!$B$2)</f>
        <v>0</v>
      </c>
      <c r="L161" s="312">
        <f t="shared" si="11"/>
        <v>0</v>
      </c>
      <c r="M161" s="320" cm="1">
        <f t="array" ref="M161">_xlfn.IFS(L161=0,0,L161&gt;=1,L161/$L$169)</f>
        <v>0</v>
      </c>
      <c r="N161" s="995"/>
      <c r="O161" s="996"/>
      <c r="P161" s="997"/>
      <c r="Q161" s="316">
        <f>COUNTIFS(input!$O:$O,May!$Q$114,input!$X:$X,May!N161,input!$A:$A,May!$B$2)</f>
        <v>0</v>
      </c>
      <c r="R161" s="316">
        <f>COUNTIFS(input!$O:$O,May!$R$114,input!$X:$X,May!N161,input!$A:$A,May!$B$2)</f>
        <v>0</v>
      </c>
      <c r="S161" s="316">
        <f>COUNTIFS(input!$O:$O,May!$S$114,input!$X:$X,May!N161,input!$A:$A,May!$B$2)</f>
        <v>0</v>
      </c>
      <c r="T161" s="322">
        <f>COUNTIFS(input!$O:$O,May!$T$114,input!$X:$X,May!N161,input!$A:$A,May!$B$2)</f>
        <v>0</v>
      </c>
      <c r="U161" s="322">
        <f>COUNTIFS(input!$O:$O,May!$U$114,input!$X:$X,May!N161,input!$A:$A,May!$B$2)</f>
        <v>0</v>
      </c>
      <c r="V161" s="323">
        <f>COUNTIFS(input!$O:$O,May!$V$114,input!$X:$X,May!N161,input!$A:$A,May!$B$2)</f>
        <v>0</v>
      </c>
      <c r="W161" s="323">
        <f>COUNTIFS(input!$O:$O,May!$W$114,input!$X:$X,May!N161,input!$A:$A,May!$B$2)</f>
        <v>0</v>
      </c>
      <c r="X161" s="324">
        <f>COUNTIFS(input!$O:$O,May!$X$114,input!$X:$X,May!N161,input!$A:$A,May!$B$2)</f>
        <v>0</v>
      </c>
      <c r="Y161" s="312">
        <f t="shared" si="10"/>
        <v>0</v>
      </c>
      <c r="Z161" s="315" cm="1">
        <f t="array" ref="Z161">_xlfn.IFS(Y161=0,0,Y161&gt;=1,Y161/$Y$169)</f>
        <v>0</v>
      </c>
    </row>
    <row r="162" spans="2:52" ht="92" x14ac:dyDescent="0.25">
      <c r="B162" s="998" t="s">
        <v>1760</v>
      </c>
      <c r="C162" s="994"/>
      <c r="D162" s="316">
        <f>COUNTIFS(input!$O:$O,May!$D$114,input!$W:$W,May!B162,input!$A:$A,May!$B$2)</f>
        <v>0</v>
      </c>
      <c r="E162" s="316">
        <f>COUNTIFS(input!$O:$O,May!$E$114,input!$W:$W,May!B162,input!$A:$A,May!$B$2)</f>
        <v>0</v>
      </c>
      <c r="F162" s="316">
        <f>COUNTIFS(input!$O:$O,May!$F$114,input!$W:$W,May!B162,input!$A:$A,May!$B$2)</f>
        <v>0</v>
      </c>
      <c r="G162" s="322">
        <f>COUNTIFS(input!$O:$O,May!$G$114,input!$W:$W,May!B162,input!$A:$A,May!$B$2)</f>
        <v>1</v>
      </c>
      <c r="H162" s="321">
        <f>COUNTIFS(input!$O:$O,May!$H$114,input!$W:$W,May!B162,input!$A:$A,May!$B$2)</f>
        <v>0</v>
      </c>
      <c r="I162" s="321">
        <f>COUNTIFS(input!$O:$O,May!$I$114,input!$W:$W,May!B162,input!$A:$A,May!$B$2)</f>
        <v>0</v>
      </c>
      <c r="J162" s="321">
        <f>COUNTIFS(input!$O:$O,May!$J$114,input!$W:$W,May!B162,input!$A:$A,May!$B$2)</f>
        <v>0</v>
      </c>
      <c r="K162" s="343">
        <f>COUNTIFS(input!$O:$O,May!$K$114,input!$W:$W,May!B162,input!$A:$A,May!$B$2)</f>
        <v>0</v>
      </c>
      <c r="L162" s="312">
        <f>SUM(D162:K162)</f>
        <v>1</v>
      </c>
      <c r="M162" s="320" cm="1">
        <f t="array" ref="M162">_xlfn.IFS(L162=0,0,L162&gt;=1,L162/$L$169)</f>
        <v>6.25E-2</v>
      </c>
      <c r="N162" s="995"/>
      <c r="O162" s="996"/>
      <c r="P162" s="997"/>
      <c r="Q162" s="316">
        <f>COUNTIFS(input!$O:$O,May!$Q$114,input!$X:$X,May!N162,input!$A:$A,May!$B$2)</f>
        <v>0</v>
      </c>
      <c r="R162" s="316">
        <f>COUNTIFS(input!$O:$O,May!$R$114,input!$X:$X,May!N162,input!$A:$A,May!$B$2)</f>
        <v>0</v>
      </c>
      <c r="S162" s="316">
        <f>COUNTIFS(input!$O:$O,May!$S$114,input!$X:$X,May!N162,input!$A:$A,May!$B$2)</f>
        <v>0</v>
      </c>
      <c r="T162" s="322">
        <f>COUNTIFS(input!$O:$O,May!$T$114,input!$X:$X,May!N162,input!$A:$A,May!$B$2)</f>
        <v>0</v>
      </c>
      <c r="U162" s="322">
        <f>COUNTIFS(input!$O:$O,May!$U$114,input!$X:$X,May!N162,input!$A:$A,May!$B$2)</f>
        <v>0</v>
      </c>
      <c r="V162" s="323">
        <f>COUNTIFS(input!$O:$O,May!$V$114,input!$X:$X,May!N162,input!$A:$A,May!$B$2)</f>
        <v>0</v>
      </c>
      <c r="W162" s="323">
        <f>COUNTIFS(input!$O:$O,May!$W$114,input!$X:$X,May!N162,input!$A:$A,May!$B$2)</f>
        <v>0</v>
      </c>
      <c r="X162" s="324">
        <f>COUNTIFS(input!$O:$O,May!$X$114,input!$X:$X,May!N162,input!$A:$A,May!$B$2)</f>
        <v>0</v>
      </c>
      <c r="Y162" s="312">
        <f>SUM(Q162:X162)</f>
        <v>0</v>
      </c>
      <c r="Z162" s="315" cm="1">
        <f t="array" ref="Z162">_xlfn.IFS(Y162=0,0,Y162&gt;=1,Y162/$Y$169)</f>
        <v>0</v>
      </c>
    </row>
    <row r="163" spans="2:52" ht="92" x14ac:dyDescent="0.25">
      <c r="B163" s="998" t="s">
        <v>1894</v>
      </c>
      <c r="C163" s="994"/>
      <c r="D163" s="316">
        <f>COUNTIFS(input!$O:$O,May!$D$114,input!$W:$W,May!B163,input!$A:$A,May!$B$2)</f>
        <v>0</v>
      </c>
      <c r="E163" s="316">
        <f>COUNTIFS(input!$O:$O,May!$E$114,input!$W:$W,May!B163,input!$A:$A,May!$B$2)</f>
        <v>0</v>
      </c>
      <c r="F163" s="316">
        <f>COUNTIFS(input!$O:$O,May!$F$114,input!$W:$W,May!B163,input!$A:$A,May!$B$2)</f>
        <v>0</v>
      </c>
      <c r="G163" s="322">
        <f>COUNTIFS(input!$O:$O,May!$G$114,input!$W:$W,May!B163,input!$A:$A,May!$B$2)</f>
        <v>1</v>
      </c>
      <c r="H163" s="321">
        <f>COUNTIFS(input!$O:$O,May!$H$114,input!$W:$W,May!B163,input!$A:$A,May!$B$2)</f>
        <v>0</v>
      </c>
      <c r="I163" s="321">
        <f>COUNTIFS(input!$O:$O,May!$I$114,input!$W:$W,May!B163,input!$A:$A,May!$B$2)</f>
        <v>0</v>
      </c>
      <c r="J163" s="321">
        <f>COUNTIFS(input!$O:$O,May!$J$114,input!$W:$W,May!B163,input!$A:$A,May!$B$2)</f>
        <v>0</v>
      </c>
      <c r="K163" s="343">
        <f>COUNTIFS(input!$O:$O,May!$K$114,input!$W:$W,May!B163,input!$A:$A,May!$B$2)</f>
        <v>0</v>
      </c>
      <c r="L163" s="312">
        <f>SUM(D163:K163)</f>
        <v>1</v>
      </c>
      <c r="M163" s="320" cm="1">
        <f t="array" ref="M163">_xlfn.IFS(L163=0,0,L163&gt;=1,L163/$L$169)</f>
        <v>6.25E-2</v>
      </c>
      <c r="N163" s="995"/>
      <c r="O163" s="996"/>
      <c r="P163" s="997"/>
      <c r="Q163" s="316">
        <f>COUNTIFS(input!$O:$O,May!$Q$114,input!$X:$X,May!N163,input!$A:$A,May!$B$2)</f>
        <v>0</v>
      </c>
      <c r="R163" s="316">
        <f>COUNTIFS(input!$O:$O,May!$R$114,input!$X:$X,May!N163,input!$A:$A,May!$B$2)</f>
        <v>0</v>
      </c>
      <c r="S163" s="316">
        <f>COUNTIFS(input!$O:$O,May!$S$114,input!$X:$X,May!N163,input!$A:$A,May!$B$2)</f>
        <v>0</v>
      </c>
      <c r="T163" s="322">
        <f>COUNTIFS(input!$O:$O,May!$T$114,input!$X:$X,May!N163,input!$A:$A,May!$B$2)</f>
        <v>0</v>
      </c>
      <c r="U163" s="322">
        <f>COUNTIFS(input!$O:$O,May!$U$114,input!$X:$X,May!N163,input!$A:$A,May!$B$2)</f>
        <v>0</v>
      </c>
      <c r="V163" s="323">
        <f>COUNTIFS(input!$O:$O,May!$V$114,input!$X:$X,May!N163,input!$A:$A,May!$B$2)</f>
        <v>0</v>
      </c>
      <c r="W163" s="323">
        <f>COUNTIFS(input!$O:$O,May!$W$114,input!$X:$X,May!N163,input!$A:$A,May!$B$2)</f>
        <v>0</v>
      </c>
      <c r="X163" s="324">
        <f>COUNTIFS(input!$O:$O,May!$X$114,input!$X:$X,May!N163,input!$A:$A,May!$B$2)</f>
        <v>0</v>
      </c>
      <c r="Y163" s="312">
        <f>SUM(Q163:X163)</f>
        <v>0</v>
      </c>
      <c r="Z163" s="315" cm="1">
        <f t="array" ref="Z163">_xlfn.IFS(Y163=0,0,Y163&gt;=1,Y163/$Y$169)</f>
        <v>0</v>
      </c>
    </row>
    <row r="164" spans="2:52" ht="92" x14ac:dyDescent="0.25">
      <c r="B164" s="998" t="s">
        <v>1780</v>
      </c>
      <c r="C164" s="994"/>
      <c r="D164" s="316">
        <f>COUNTIFS(input!$O:$O,May!$D$114,input!$W:$W,May!B164,input!$A:$A,May!$B$2)</f>
        <v>0</v>
      </c>
      <c r="E164" s="316">
        <f>COUNTIFS(input!$O:$O,May!$E$114,input!$W:$W,May!B164,input!$A:$A,May!$B$2)</f>
        <v>0</v>
      </c>
      <c r="F164" s="316">
        <f>COUNTIFS(input!$O:$O,May!$F$114,input!$W:$W,May!B164,input!$A:$A,May!$B$2)</f>
        <v>0</v>
      </c>
      <c r="G164" s="322">
        <f>COUNTIFS(input!$O:$O,May!$G$114,input!$W:$W,May!B164,input!$A:$A,May!$B$2)</f>
        <v>0</v>
      </c>
      <c r="H164" s="321">
        <f>COUNTIFS(input!$O:$O,May!$H$114,input!$W:$W,May!B164,input!$A:$A,May!$B$2)</f>
        <v>0</v>
      </c>
      <c r="I164" s="321">
        <f>COUNTIFS(input!$O:$O,May!$I$114,input!$W:$W,May!B164,input!$A:$A,May!$B$2)</f>
        <v>1</v>
      </c>
      <c r="J164" s="321">
        <f>COUNTIFS(input!$O:$O,May!$J$114,input!$W:$W,May!B164,input!$A:$A,May!$B$2)</f>
        <v>0</v>
      </c>
      <c r="K164" s="343">
        <f>COUNTIFS(input!$O:$O,May!$K$114,input!$W:$W,May!B164,input!$A:$A,May!$B$2)</f>
        <v>0</v>
      </c>
      <c r="L164" s="312">
        <f>SUM(D164:K164)</f>
        <v>1</v>
      </c>
      <c r="M164" s="320" cm="1">
        <f t="array" ref="M164">_xlfn.IFS(L164=0,0,L164&gt;=1,L164/$L$169)</f>
        <v>6.25E-2</v>
      </c>
      <c r="N164" s="995"/>
      <c r="O164" s="996"/>
      <c r="P164" s="997"/>
      <c r="Q164" s="316">
        <f>COUNTIFS(input!$O:$O,May!$Q$114,input!$X:$X,May!N164,input!$A:$A,May!$B$2)</f>
        <v>0</v>
      </c>
      <c r="R164" s="316">
        <f>COUNTIFS(input!$O:$O,May!$R$114,input!$X:$X,May!N164,input!$A:$A,May!$B$2)</f>
        <v>0</v>
      </c>
      <c r="S164" s="316">
        <f>COUNTIFS(input!$O:$O,May!$S$114,input!$X:$X,May!N164,input!$A:$A,May!$B$2)</f>
        <v>0</v>
      </c>
      <c r="T164" s="322">
        <f>COUNTIFS(input!$O:$O,May!$T$114,input!$X:$X,May!N164,input!$A:$A,May!$B$2)</f>
        <v>0</v>
      </c>
      <c r="U164" s="322">
        <f>COUNTIFS(input!$O:$O,May!$U$114,input!$X:$X,May!N164,input!$A:$A,May!$B$2)</f>
        <v>0</v>
      </c>
      <c r="V164" s="323">
        <f>COUNTIFS(input!$O:$O,May!$V$114,input!$X:$X,May!N164,input!$A:$A,May!$B$2)</f>
        <v>0</v>
      </c>
      <c r="W164" s="323">
        <f>COUNTIFS(input!$O:$O,May!$W$114,input!$X:$X,May!N164,input!$A:$A,May!$B$2)</f>
        <v>0</v>
      </c>
      <c r="X164" s="324">
        <f>COUNTIFS(input!$O:$O,May!$X$114,input!$X:$X,May!N164,input!$A:$A,May!$B$2)</f>
        <v>0</v>
      </c>
      <c r="Y164" s="312">
        <f>SUM(Q164:X164)</f>
        <v>0</v>
      </c>
      <c r="Z164" s="315" cm="1">
        <f t="array" ref="Z164">_xlfn.IFS(Y164=0,0,Y164&gt;=1,Y164/$Y$169)</f>
        <v>0</v>
      </c>
    </row>
    <row r="165" spans="2:52" ht="92" x14ac:dyDescent="0.25">
      <c r="B165" s="998" t="s">
        <v>1836</v>
      </c>
      <c r="C165" s="994"/>
      <c r="D165" s="316">
        <f>COUNTIFS(input!$O:$O,May!$D$114,input!$W:$W,May!B165,input!$A:$A,May!$B$2)</f>
        <v>0</v>
      </c>
      <c r="E165" s="316">
        <f>COUNTIFS(input!$O:$O,May!$E$114,input!$W:$W,May!B165,input!$A:$A,May!$B$2)</f>
        <v>0</v>
      </c>
      <c r="F165" s="316">
        <f>COUNTIFS(input!$O:$O,May!$F$114,input!$W:$W,May!B165,input!$A:$A,May!$B$2)</f>
        <v>0</v>
      </c>
      <c r="G165" s="322">
        <f>COUNTIFS(input!$O:$O,May!$G$114,input!$W:$W,May!B165,input!$A:$A,May!$B$2)</f>
        <v>1</v>
      </c>
      <c r="H165" s="321">
        <f>COUNTIFS(input!$O:$O,May!$H$114,input!$W:$W,May!B165,input!$A:$A,May!$B$2)</f>
        <v>0</v>
      </c>
      <c r="I165" s="321">
        <f>COUNTIFS(input!$O:$O,May!$I$114,input!$W:$W,May!B165,input!$A:$A,May!$B$2)</f>
        <v>0</v>
      </c>
      <c r="J165" s="321">
        <f>COUNTIFS(input!$O:$O,May!$J$114,input!$W:$W,May!B165,input!$A:$A,May!$B$2)</f>
        <v>0</v>
      </c>
      <c r="K165" s="343">
        <f>COUNTIFS(input!$O:$O,May!$K$114,input!$W:$W,May!B165,input!$A:$A,May!$B$2)</f>
        <v>0</v>
      </c>
      <c r="L165" s="312">
        <f>SUM(D165:K165)</f>
        <v>1</v>
      </c>
      <c r="M165" s="320" cm="1">
        <f t="array" ref="M165">_xlfn.IFS(L165=0,0,L165&gt;=1,L165/$L$169)</f>
        <v>6.25E-2</v>
      </c>
      <c r="N165" s="995"/>
      <c r="O165" s="996"/>
      <c r="P165" s="997"/>
      <c r="Q165" s="316">
        <f>COUNTIFS(input!$O:$O,May!$Q$114,input!$X:$X,May!N165,input!$A:$A,May!$B$2)</f>
        <v>0</v>
      </c>
      <c r="R165" s="316">
        <f>COUNTIFS(input!$O:$O,May!$R$114,input!$X:$X,May!N165,input!$A:$A,May!$B$2)</f>
        <v>0</v>
      </c>
      <c r="S165" s="316">
        <f>COUNTIFS(input!$O:$O,May!$S$114,input!$X:$X,May!N165,input!$A:$A,May!$B$2)</f>
        <v>0</v>
      </c>
      <c r="T165" s="322">
        <f>COUNTIFS(input!$O:$O,May!$T$114,input!$X:$X,May!N165,input!$A:$A,May!$B$2)</f>
        <v>0</v>
      </c>
      <c r="U165" s="322">
        <f>COUNTIFS(input!$O:$O,May!$U$114,input!$X:$X,May!N165,input!$A:$A,May!$B$2)</f>
        <v>0</v>
      </c>
      <c r="V165" s="323">
        <f>COUNTIFS(input!$O:$O,May!$V$114,input!$X:$X,May!N165,input!$A:$A,May!$B$2)</f>
        <v>0</v>
      </c>
      <c r="W165" s="323">
        <f>COUNTIFS(input!$O:$O,May!$W$114,input!$X:$X,May!N165,input!$A:$A,May!$B$2)</f>
        <v>0</v>
      </c>
      <c r="X165" s="324">
        <f>COUNTIFS(input!$O:$O,May!$X$114,input!$X:$X,May!N165,input!$A:$A,May!$B$2)</f>
        <v>0</v>
      </c>
      <c r="Y165" s="312">
        <f>SUM(Q165:X165)</f>
        <v>0</v>
      </c>
      <c r="Z165" s="315" cm="1">
        <f t="array" ref="Z165">_xlfn.IFS(Y165=0,0,Y165&gt;=1,Y165/$Y$169)</f>
        <v>0</v>
      </c>
    </row>
    <row r="166" spans="2:52" ht="92" hidden="1" x14ac:dyDescent="0.25">
      <c r="B166" s="1121" t="s">
        <v>361</v>
      </c>
      <c r="C166" s="1066"/>
      <c r="D166" s="316">
        <f>COUNTIFS(input!$O:$O,May!$D$114,input!$W:$W,May!B166,input!$A:$A,May!$B$2)</f>
        <v>0</v>
      </c>
      <c r="E166" s="316">
        <f>COUNTIFS(input!$O:$O,May!$E$114,input!$W:$W,May!B166,input!$A:$A,May!$B$2)</f>
        <v>0</v>
      </c>
      <c r="F166" s="316">
        <f>COUNTIFS(input!$O:$O,May!$F$114,input!$W:$W,May!B166,input!$A:$A,May!$B$2)</f>
        <v>0</v>
      </c>
      <c r="G166" s="322">
        <f>COUNTIFS(input!$O:$O,May!$G$114,input!$W:$W,May!B166,input!$A:$A,May!$B$2)</f>
        <v>0</v>
      </c>
      <c r="H166" s="321">
        <f>COUNTIFS(input!$O:$O,May!$H$114,input!$W:$W,May!B166,input!$A:$A,May!$B$2)</f>
        <v>0</v>
      </c>
      <c r="I166" s="321">
        <f>COUNTIFS(input!$O:$O,May!$I$114,input!$W:$W,May!B166,input!$A:$A,May!$B$2)</f>
        <v>0</v>
      </c>
      <c r="J166" s="321">
        <f>COUNTIFS(input!$O:$O,May!$J$114,input!$W:$W,May!B166,input!$A:$A,May!$B$2)</f>
        <v>0</v>
      </c>
      <c r="K166" s="343">
        <f>COUNTIFS(input!$O:$O,May!$K$114,input!$W:$W,May!B166,input!$A:$A,May!$B$2)</f>
        <v>0</v>
      </c>
      <c r="L166" s="312">
        <f t="shared" si="11"/>
        <v>0</v>
      </c>
      <c r="M166" s="320" cm="1">
        <f t="array" ref="M166">_xlfn.IFS(L166=0,0,L166&gt;=1,L166/$L$169)</f>
        <v>0</v>
      </c>
      <c r="N166" s="382"/>
      <c r="O166" s="383"/>
      <c r="P166" s="384"/>
      <c r="Q166" s="316">
        <f>COUNTIFS(input!$O:$O,May!$Q$114,input!$X:$X,May!N166,input!$A:$A,May!$B$2)</f>
        <v>0</v>
      </c>
      <c r="R166" s="316">
        <f>COUNTIFS(input!$O:$O,May!$R$114,input!$X:$X,May!N166,input!$A:$A,May!$B$2)</f>
        <v>0</v>
      </c>
      <c r="S166" s="316">
        <f>COUNTIFS(input!$O:$O,May!$S$114,input!$X:$X,May!N166,input!$A:$A,May!$B$2)</f>
        <v>0</v>
      </c>
      <c r="T166" s="322">
        <f>COUNTIFS(input!$O:$O,May!$T$114,input!$X:$X,May!N166,input!$A:$A,May!$B$2)</f>
        <v>0</v>
      </c>
      <c r="U166" s="322">
        <f>COUNTIFS(input!$O:$O,May!$U$114,input!$X:$X,May!N166,input!$A:$A,May!$B$2)</f>
        <v>0</v>
      </c>
      <c r="V166" s="323">
        <f>COUNTIFS(input!$O:$O,May!$V$114,input!$X:$X,May!N166,input!$A:$A,May!$B$2)</f>
        <v>0</v>
      </c>
      <c r="W166" s="323">
        <f>COUNTIFS(input!$O:$O,May!$W$114,input!$X:$X,May!N166,input!$A:$A,May!$B$2)</f>
        <v>0</v>
      </c>
      <c r="X166" s="324">
        <f>COUNTIFS(input!$O:$O,May!$X$114,input!$X:$X,May!N166,input!$A:$A,May!$B$2)</f>
        <v>0</v>
      </c>
      <c r="Y166" s="312">
        <f t="shared" si="10"/>
        <v>0</v>
      </c>
      <c r="Z166" s="315" cm="1">
        <f t="array" ref="Z166">_xlfn.IFS(Y166=0,0,Y166&gt;=1,Y166/$Y$169)</f>
        <v>0</v>
      </c>
    </row>
    <row r="167" spans="2:52" ht="92" hidden="1" x14ac:dyDescent="0.25">
      <c r="B167" s="1121" t="s">
        <v>188</v>
      </c>
      <c r="C167" s="1066"/>
      <c r="D167" s="316">
        <f>COUNTIFS(input!$O:$O,May!$D$114,input!$W:$W,May!B167,input!$A:$A,May!$B$2)</f>
        <v>0</v>
      </c>
      <c r="E167" s="316">
        <f>COUNTIFS(input!$O:$O,May!$E$114,input!$W:$W,May!B167,input!$A:$A,May!$B$2)</f>
        <v>0</v>
      </c>
      <c r="F167" s="316">
        <f>COUNTIFS(input!$O:$O,May!$F$114,input!$W:$W,May!B167,input!$A:$A,May!$B$2)</f>
        <v>0</v>
      </c>
      <c r="G167" s="322">
        <f>COUNTIFS(input!$O:$O,May!$G$114,input!$W:$W,May!B167,input!$A:$A,May!$B$2)</f>
        <v>0</v>
      </c>
      <c r="H167" s="321">
        <f>COUNTIFS(input!$O:$O,May!$H$114,input!$W:$W,May!B167,input!$A:$A,May!$B$2)</f>
        <v>0</v>
      </c>
      <c r="I167" s="321">
        <f>COUNTIFS(input!$O:$O,May!$I$114,input!$W:$W,May!B167,input!$A:$A,May!$B$2)</f>
        <v>0</v>
      </c>
      <c r="J167" s="321">
        <f>COUNTIFS(input!$O:$O,May!$J$114,input!$W:$W,May!B167,input!$A:$A,May!$B$2)</f>
        <v>0</v>
      </c>
      <c r="K167" s="343">
        <f>COUNTIFS(input!$O:$O,May!$K$114,input!$W:$W,May!B167,input!$A:$A,May!$B$2)</f>
        <v>0</v>
      </c>
      <c r="L167" s="312">
        <f t="shared" si="11"/>
        <v>0</v>
      </c>
      <c r="M167" s="320" cm="1">
        <f t="array" ref="M167">_xlfn.IFS(L167=0,0,L167&gt;=1,L167/$L$169)</f>
        <v>0</v>
      </c>
      <c r="N167" s="995"/>
      <c r="O167" s="996"/>
      <c r="P167" s="997"/>
      <c r="Q167" s="316">
        <f>COUNTIFS(input!$O:$O,May!$Q$114,input!$X:$X,May!N167,input!$A:$A,May!$B$2)</f>
        <v>0</v>
      </c>
      <c r="R167" s="316">
        <f>COUNTIFS(input!$O:$O,May!$R$114,input!$X:$X,May!N167,input!$A:$A,May!$B$2)</f>
        <v>0</v>
      </c>
      <c r="S167" s="316">
        <f>COUNTIFS(input!$O:$O,May!$S$114,input!$X:$X,May!N167,input!$A:$A,May!$B$2)</f>
        <v>0</v>
      </c>
      <c r="T167" s="322">
        <f>COUNTIFS(input!$O:$O,May!$T$114,input!$X:$X,May!N167,input!$A:$A,May!$B$2)</f>
        <v>0</v>
      </c>
      <c r="U167" s="322">
        <f>COUNTIFS(input!$O:$O,May!$U$114,input!$X:$X,May!N167,input!$A:$A,May!$B$2)</f>
        <v>0</v>
      </c>
      <c r="V167" s="323">
        <f>COUNTIFS(input!$O:$O,May!$V$114,input!$X:$X,May!N167,input!$A:$A,May!$B$2)</f>
        <v>0</v>
      </c>
      <c r="W167" s="323">
        <f>COUNTIFS(input!$O:$O,May!$W$114,input!$X:$X,May!N167,input!$A:$A,May!$B$2)</f>
        <v>0</v>
      </c>
      <c r="X167" s="324">
        <f>COUNTIFS(input!$O:$O,May!$X$114,input!$X:$X,May!N167,input!$A:$A,May!$B$2)</f>
        <v>0</v>
      </c>
      <c r="Y167" s="312">
        <f t="shared" si="10"/>
        <v>0</v>
      </c>
      <c r="Z167" s="315" cm="1">
        <f t="array" ref="Z167">_xlfn.IFS(Y167=0,0,Y167&gt;=1,Y167/$Y$169)</f>
        <v>0</v>
      </c>
    </row>
    <row r="168" spans="2:52" ht="92" x14ac:dyDescent="0.25">
      <c r="B168" s="999" t="s">
        <v>57</v>
      </c>
      <c r="C168" s="1000"/>
      <c r="D168" s="316">
        <f>COUNTIFS(input!$O:$O,May!$D$114,input!$W:$W,May!B168,input!$A:$A,May!$B$2)</f>
        <v>0</v>
      </c>
      <c r="E168" s="316">
        <f>COUNTIFS(input!$O:$O,May!$E$114,input!$W:$W,May!B168,input!$A:$A,May!$B$2)</f>
        <v>0</v>
      </c>
      <c r="F168" s="316">
        <f>COUNTIFS(input!$O:$O,May!$F$114,input!$W:$W,May!B168,input!$A:$A,May!$B$2)</f>
        <v>0</v>
      </c>
      <c r="G168" s="322">
        <f>COUNTIFS(input!$O:$O,May!$G$114,input!$W:$W,May!B168,input!$A:$A,May!$B$2)</f>
        <v>0</v>
      </c>
      <c r="H168" s="321">
        <f>COUNTIFS(input!$O:$O,May!$H$114,input!$W:$W,May!B168,input!$A:$A,May!$B$2)</f>
        <v>0</v>
      </c>
      <c r="I168" s="321">
        <f>COUNTIFS(input!$O:$O,May!$I$114,input!$W:$W,May!B168,input!$A:$A,May!$B$2)</f>
        <v>0</v>
      </c>
      <c r="J168" s="321">
        <f>COUNTIFS(input!$O:$O,May!$J$114,input!$W:$W,May!B168,input!$A:$A,May!$B$2)</f>
        <v>0</v>
      </c>
      <c r="K168" s="343">
        <f>COUNTIFS(input!$O:$O,May!$K$114,input!$W:$W,May!B168,input!$A:$A,May!$B$2)</f>
        <v>1</v>
      </c>
      <c r="L168" s="312">
        <f t="shared" si="11"/>
        <v>1</v>
      </c>
      <c r="M168" s="344" cm="1">
        <f t="array" ref="M168">_xlfn.IFS(L168=0,0,L168&gt;=1,L168/$L$169)</f>
        <v>6.25E-2</v>
      </c>
      <c r="N168" s="1001" t="s">
        <v>706</v>
      </c>
      <c r="O168" s="1002"/>
      <c r="P168" s="1003"/>
      <c r="Q168" s="316">
        <f>COUNTIFS(input!$O:$O,May!$Q$114,input!$X:$X,May!N168,input!$A:$A,May!$B$2)</f>
        <v>0</v>
      </c>
      <c r="R168" s="316">
        <f>COUNTIFS(input!$O:$O,May!$R$114,input!$X:$X,May!N168,input!$A:$A,May!$B$2)</f>
        <v>0</v>
      </c>
      <c r="S168" s="316">
        <f>COUNTIFS(input!$O:$O,May!$S$114,input!$X:$X,May!N168,input!$A:$A,May!$B$2)</f>
        <v>0</v>
      </c>
      <c r="T168" s="322">
        <f>COUNTIFS(input!$O:$O,May!$T$114,input!$X:$X,May!N168,input!$A:$A,May!$B$2)</f>
        <v>0</v>
      </c>
      <c r="U168" s="322">
        <f>COUNTIFS(input!$O:$O,May!$U$114,input!$X:$X,May!N168,input!$A:$A,May!$B$2)</f>
        <v>0</v>
      </c>
      <c r="V168" s="323">
        <f>COUNTIFS(input!$O:$O,May!$V$114,input!$X:$X,May!N168,input!$A:$A,May!$B$2)</f>
        <v>0</v>
      </c>
      <c r="W168" s="323">
        <f>COUNTIFS(input!$O:$O,May!$W$114,input!$X:$X,May!N168,input!$A:$A,May!$B$2)</f>
        <v>0</v>
      </c>
      <c r="X168" s="324">
        <f>COUNTIFS(input!$O:$O,May!$X$114,input!$X:$X,May!N168,input!$A:$A,May!$B$2)</f>
        <v>1</v>
      </c>
      <c r="Y168" s="312">
        <f t="shared" si="10"/>
        <v>1</v>
      </c>
      <c r="Z168" s="315" cm="1">
        <f t="array" ref="Z168">_xlfn.IFS(Y168=0,0,Y168&gt;=1,Y168/$Y$169)</f>
        <v>6.25E-2</v>
      </c>
    </row>
    <row r="169" spans="2:52" ht="90.5" thickBot="1" x14ac:dyDescent="0.3">
      <c r="B169" s="981" t="s">
        <v>4</v>
      </c>
      <c r="C169" s="982"/>
      <c r="D169" s="340">
        <f>SUM(D115:D168)</f>
        <v>0</v>
      </c>
      <c r="E169" s="340">
        <f t="shared" ref="E169:K169" si="12">SUM(E115:E168)</f>
        <v>3</v>
      </c>
      <c r="F169" s="340">
        <f t="shared" si="12"/>
        <v>0</v>
      </c>
      <c r="G169" s="340">
        <f t="shared" si="12"/>
        <v>10</v>
      </c>
      <c r="H169" s="340">
        <f t="shared" si="12"/>
        <v>0</v>
      </c>
      <c r="I169" s="340">
        <f t="shared" si="12"/>
        <v>2</v>
      </c>
      <c r="J169" s="340">
        <f t="shared" si="12"/>
        <v>0</v>
      </c>
      <c r="K169" s="340">
        <f t="shared" si="12"/>
        <v>1</v>
      </c>
      <c r="L169" s="340">
        <f>SUM(L115:L168)</f>
        <v>16</v>
      </c>
      <c r="M169" s="347">
        <f>SUM(M115:M168)</f>
        <v>1</v>
      </c>
      <c r="N169" s="983" t="s">
        <v>4</v>
      </c>
      <c r="O169" s="983"/>
      <c r="P169" s="984"/>
      <c r="Q169" s="348">
        <f>SUM(Q115:Q168)</f>
        <v>0</v>
      </c>
      <c r="R169" s="348">
        <f t="shared" ref="R169:X169" si="13">SUM(R115:R168)</f>
        <v>3</v>
      </c>
      <c r="S169" s="348">
        <f t="shared" si="13"/>
        <v>0</v>
      </c>
      <c r="T169" s="348">
        <f t="shared" si="13"/>
        <v>10</v>
      </c>
      <c r="U169" s="348">
        <f t="shared" si="13"/>
        <v>0</v>
      </c>
      <c r="V169" s="348">
        <f t="shared" si="13"/>
        <v>2</v>
      </c>
      <c r="W169" s="348">
        <f t="shared" si="13"/>
        <v>0</v>
      </c>
      <c r="X169" s="348">
        <f t="shared" si="13"/>
        <v>1</v>
      </c>
      <c r="Y169" s="340">
        <f>SUM(Y115:Y168)</f>
        <v>16</v>
      </c>
      <c r="Z169" s="349">
        <f>SUM(Z115:Z168)</f>
        <v>1</v>
      </c>
    </row>
    <row r="170" spans="2:52" s="133" customFormat="1" ht="90.5" customHeight="1" thickBot="1" x14ac:dyDescent="0.3">
      <c r="B170" s="985"/>
      <c r="C170" s="986"/>
      <c r="D170" s="987" t="s">
        <v>16</v>
      </c>
      <c r="E170" s="988"/>
      <c r="F170" s="988"/>
      <c r="G170" s="988"/>
      <c r="H170" s="988"/>
      <c r="I170" s="988"/>
      <c r="J170" s="988"/>
      <c r="K170" s="988"/>
      <c r="L170" s="988"/>
      <c r="M170" s="989"/>
      <c r="N170" s="987" t="s">
        <v>182</v>
      </c>
      <c r="O170" s="988"/>
      <c r="P170" s="988"/>
      <c r="Q170" s="988"/>
      <c r="R170" s="988"/>
      <c r="S170" s="988"/>
      <c r="T170" s="988"/>
      <c r="U170" s="988"/>
      <c r="V170" s="988"/>
      <c r="W170" s="988"/>
      <c r="X170" s="988"/>
      <c r="Y170" s="988"/>
      <c r="Z170" s="989"/>
    </row>
    <row r="171" spans="2:52" s="130" customFormat="1" ht="187.5" customHeight="1" x14ac:dyDescent="0.25">
      <c r="B171" s="975" t="str">
        <f>'Description of Incidents'!A219</f>
        <v>LUMADAO, JUNE MARK S.</v>
      </c>
      <c r="C171" s="976"/>
      <c r="D171" s="965" t="s">
        <v>1746</v>
      </c>
      <c r="E171" s="966"/>
      <c r="F171" s="966"/>
      <c r="G171" s="966"/>
      <c r="H171" s="966"/>
      <c r="I171" s="966"/>
      <c r="J171" s="966"/>
      <c r="K171" s="966"/>
      <c r="L171" s="966"/>
      <c r="M171" s="967"/>
      <c r="N171" s="965" t="s">
        <v>1902</v>
      </c>
      <c r="O171" s="966"/>
      <c r="P171" s="966"/>
      <c r="Q171" s="966"/>
      <c r="R171" s="966"/>
      <c r="S171" s="966"/>
      <c r="T171" s="966"/>
      <c r="U171" s="966"/>
      <c r="V171" s="966"/>
      <c r="W171" s="966"/>
      <c r="X171" s="966"/>
      <c r="Y171" s="966"/>
      <c r="Z171" s="967"/>
    </row>
    <row r="172" spans="2:52" s="130" customFormat="1" ht="187.5" customHeight="1" x14ac:dyDescent="0.25">
      <c r="B172" s="977" t="str">
        <f>'Description of Incidents'!A220</f>
        <v>FAC</v>
      </c>
      <c r="C172" s="978"/>
      <c r="D172" s="968"/>
      <c r="E172" s="969"/>
      <c r="F172" s="969"/>
      <c r="G172" s="969"/>
      <c r="H172" s="969"/>
      <c r="I172" s="969"/>
      <c r="J172" s="969"/>
      <c r="K172" s="969"/>
      <c r="L172" s="969"/>
      <c r="M172" s="970"/>
      <c r="N172" s="968"/>
      <c r="O172" s="969"/>
      <c r="P172" s="969"/>
      <c r="Q172" s="969"/>
      <c r="R172" s="969"/>
      <c r="S172" s="969"/>
      <c r="T172" s="969"/>
      <c r="U172" s="969"/>
      <c r="V172" s="969"/>
      <c r="W172" s="969"/>
      <c r="X172" s="969"/>
      <c r="Y172" s="969"/>
      <c r="Z172" s="970"/>
      <c r="AC172" s="131"/>
    </row>
    <row r="173" spans="2:52" s="130" customFormat="1" ht="187.5" customHeight="1" thickBot="1" x14ac:dyDescent="0.3">
      <c r="B173" s="979" t="str">
        <f>'Description of Incidents'!A221</f>
        <v>Golf Course Road</v>
      </c>
      <c r="C173" s="980"/>
      <c r="D173" s="971"/>
      <c r="E173" s="972"/>
      <c r="F173" s="972"/>
      <c r="G173" s="972"/>
      <c r="H173" s="972"/>
      <c r="I173" s="972"/>
      <c r="J173" s="972"/>
      <c r="K173" s="972"/>
      <c r="L173" s="972"/>
      <c r="M173" s="973"/>
      <c r="N173" s="971"/>
      <c r="O173" s="972"/>
      <c r="P173" s="972"/>
      <c r="Q173" s="972"/>
      <c r="R173" s="972"/>
      <c r="S173" s="972"/>
      <c r="T173" s="972"/>
      <c r="U173" s="972"/>
      <c r="V173" s="972"/>
      <c r="W173" s="972"/>
      <c r="X173" s="972"/>
      <c r="Y173" s="972"/>
      <c r="Z173" s="973"/>
    </row>
    <row r="174" spans="2:52" s="130" customFormat="1" ht="407.5" customHeight="1" x14ac:dyDescent="0.25">
      <c r="B174" s="952" t="str">
        <f>'Description of Incidents'!A222</f>
        <v>SACPA, JEROUS CAD-AN</v>
      </c>
      <c r="C174" s="953"/>
      <c r="D174" s="956" t="s">
        <v>1770</v>
      </c>
      <c r="E174" s="957"/>
      <c r="F174" s="957"/>
      <c r="G174" s="957"/>
      <c r="H174" s="957"/>
      <c r="I174" s="957"/>
      <c r="J174" s="957"/>
      <c r="K174" s="957"/>
      <c r="L174" s="957"/>
      <c r="M174" s="958"/>
      <c r="N174" s="1155" t="s">
        <v>1913</v>
      </c>
      <c r="O174" s="1156"/>
      <c r="P174" s="1156"/>
      <c r="Q174" s="1156"/>
      <c r="R174" s="1156"/>
      <c r="S174" s="1156"/>
      <c r="T174" s="1156"/>
      <c r="U174" s="1156"/>
      <c r="V174" s="1156"/>
      <c r="W174" s="1156"/>
      <c r="X174" s="1156"/>
      <c r="Y174" s="1156"/>
      <c r="Z174" s="1157"/>
    </row>
    <row r="175" spans="2:52" s="130" customFormat="1" ht="407.5" customHeight="1" x14ac:dyDescent="0.25">
      <c r="B175" s="948" t="str">
        <f>'Description of Incidents'!A223</f>
        <v>LTA-NF</v>
      </c>
      <c r="C175" s="954"/>
      <c r="D175" s="959"/>
      <c r="E175" s="960"/>
      <c r="F175" s="960"/>
      <c r="G175" s="960"/>
      <c r="H175" s="960"/>
      <c r="I175" s="960"/>
      <c r="J175" s="960"/>
      <c r="K175" s="960"/>
      <c r="L175" s="960"/>
      <c r="M175" s="961"/>
      <c r="N175" s="1158"/>
      <c r="O175" s="1159"/>
      <c r="P175" s="1159"/>
      <c r="Q175" s="1159"/>
      <c r="R175" s="1159"/>
      <c r="S175" s="1159"/>
      <c r="T175" s="1159"/>
      <c r="U175" s="1159"/>
      <c r="V175" s="1159"/>
      <c r="W175" s="1159"/>
      <c r="X175" s="1159"/>
      <c r="Y175" s="1159"/>
      <c r="Z175" s="1160"/>
      <c r="AC175" s="131"/>
      <c r="AZ175" s="131"/>
    </row>
    <row r="176" spans="2:52" s="130" customFormat="1" ht="407.5" customHeight="1" thickBot="1" x14ac:dyDescent="0.3">
      <c r="B176" s="950" t="str">
        <f>'Description of Incidents'!A224</f>
        <v>Mill Crushing Conveyor 5A</v>
      </c>
      <c r="C176" s="955"/>
      <c r="D176" s="962"/>
      <c r="E176" s="963"/>
      <c r="F176" s="963"/>
      <c r="G176" s="963"/>
      <c r="H176" s="963"/>
      <c r="I176" s="963"/>
      <c r="J176" s="963"/>
      <c r="K176" s="963"/>
      <c r="L176" s="963"/>
      <c r="M176" s="964"/>
      <c r="N176" s="1161"/>
      <c r="O176" s="1162"/>
      <c r="P176" s="1162"/>
      <c r="Q176" s="1162"/>
      <c r="R176" s="1162"/>
      <c r="S176" s="1162"/>
      <c r="T176" s="1162"/>
      <c r="U176" s="1162"/>
      <c r="V176" s="1162"/>
      <c r="W176" s="1162"/>
      <c r="X176" s="1162"/>
      <c r="Y176" s="1162"/>
      <c r="Z176" s="1163"/>
    </row>
    <row r="177" spans="2:52" s="130" customFormat="1" ht="267.5" customHeight="1" x14ac:dyDescent="0.25">
      <c r="B177" s="922" t="str">
        <f>'Description of Incidents'!A225</f>
        <v>BAUTISTA, LEO V. II</v>
      </c>
      <c r="C177" s="923"/>
      <c r="D177" s="965" t="s">
        <v>1771</v>
      </c>
      <c r="E177" s="966"/>
      <c r="F177" s="966"/>
      <c r="G177" s="966"/>
      <c r="H177" s="966"/>
      <c r="I177" s="966"/>
      <c r="J177" s="966"/>
      <c r="K177" s="966"/>
      <c r="L177" s="966"/>
      <c r="M177" s="967"/>
      <c r="N177" s="965" t="s">
        <v>1903</v>
      </c>
      <c r="O177" s="966"/>
      <c r="P177" s="966"/>
      <c r="Q177" s="966"/>
      <c r="R177" s="966"/>
      <c r="S177" s="966"/>
      <c r="T177" s="966"/>
      <c r="U177" s="966"/>
      <c r="V177" s="966"/>
      <c r="W177" s="966"/>
      <c r="X177" s="966"/>
      <c r="Y177" s="966"/>
      <c r="Z177" s="967"/>
    </row>
    <row r="178" spans="2:52" s="130" customFormat="1" ht="267.5" customHeight="1" x14ac:dyDescent="0.25">
      <c r="B178" s="933" t="str">
        <f>'Description of Incidents'!A226</f>
        <v>FAC</v>
      </c>
      <c r="C178" s="934"/>
      <c r="D178" s="968"/>
      <c r="E178" s="969"/>
      <c r="F178" s="969"/>
      <c r="G178" s="969"/>
      <c r="H178" s="969"/>
      <c r="I178" s="969"/>
      <c r="J178" s="969"/>
      <c r="K178" s="969"/>
      <c r="L178" s="969"/>
      <c r="M178" s="970"/>
      <c r="N178" s="968"/>
      <c r="O178" s="969"/>
      <c r="P178" s="969"/>
      <c r="Q178" s="969"/>
      <c r="R178" s="969"/>
      <c r="S178" s="969"/>
      <c r="T178" s="969"/>
      <c r="U178" s="969"/>
      <c r="V178" s="969"/>
      <c r="W178" s="969"/>
      <c r="X178" s="969"/>
      <c r="Y178" s="969"/>
      <c r="Z178" s="970"/>
      <c r="AC178" s="131"/>
    </row>
    <row r="179" spans="2:52" s="130" customFormat="1" ht="267.5" customHeight="1" thickBot="1" x14ac:dyDescent="0.3">
      <c r="B179" s="935" t="str">
        <f>'Description of Incidents'!A227</f>
        <v>Machine Shop</v>
      </c>
      <c r="C179" s="936"/>
      <c r="D179" s="971"/>
      <c r="E179" s="972"/>
      <c r="F179" s="972"/>
      <c r="G179" s="972"/>
      <c r="H179" s="972"/>
      <c r="I179" s="972"/>
      <c r="J179" s="972"/>
      <c r="K179" s="972"/>
      <c r="L179" s="972"/>
      <c r="M179" s="973"/>
      <c r="N179" s="971"/>
      <c r="O179" s="972"/>
      <c r="P179" s="972"/>
      <c r="Q179" s="972"/>
      <c r="R179" s="972"/>
      <c r="S179" s="972"/>
      <c r="T179" s="972"/>
      <c r="U179" s="972"/>
      <c r="V179" s="972"/>
      <c r="W179" s="972"/>
      <c r="X179" s="972"/>
      <c r="Y179" s="972"/>
      <c r="Z179" s="973"/>
    </row>
    <row r="180" spans="2:52" s="130" customFormat="1" ht="177.5" customHeight="1" x14ac:dyDescent="0.25">
      <c r="B180" s="952" t="str">
        <f>'Description of Incidents'!A228</f>
        <v>FOREST FIRE</v>
      </c>
      <c r="C180" s="953"/>
      <c r="D180" s="956" t="s">
        <v>1772</v>
      </c>
      <c r="E180" s="957"/>
      <c r="F180" s="957"/>
      <c r="G180" s="957"/>
      <c r="H180" s="957"/>
      <c r="I180" s="957"/>
      <c r="J180" s="957"/>
      <c r="K180" s="957"/>
      <c r="L180" s="957"/>
      <c r="M180" s="958"/>
      <c r="N180" s="956" t="s">
        <v>1912</v>
      </c>
      <c r="O180" s="957"/>
      <c r="P180" s="957"/>
      <c r="Q180" s="957"/>
      <c r="R180" s="957"/>
      <c r="S180" s="957"/>
      <c r="T180" s="957"/>
      <c r="U180" s="957"/>
      <c r="V180" s="957"/>
      <c r="W180" s="957"/>
      <c r="X180" s="957"/>
      <c r="Y180" s="957"/>
      <c r="Z180" s="958"/>
    </row>
    <row r="181" spans="2:52" s="130" customFormat="1" ht="177.5" customHeight="1" x14ac:dyDescent="0.25">
      <c r="B181" s="948" t="str">
        <f>'Description of Incidents'!A229</f>
        <v>EI</v>
      </c>
      <c r="C181" s="954"/>
      <c r="D181" s="959"/>
      <c r="E181" s="960"/>
      <c r="F181" s="960"/>
      <c r="G181" s="960"/>
      <c r="H181" s="960"/>
      <c r="I181" s="960"/>
      <c r="J181" s="960"/>
      <c r="K181" s="960"/>
      <c r="L181" s="960"/>
      <c r="M181" s="961"/>
      <c r="N181" s="959"/>
      <c r="O181" s="960"/>
      <c r="P181" s="960"/>
      <c r="Q181" s="960"/>
      <c r="R181" s="960"/>
      <c r="S181" s="960"/>
      <c r="T181" s="960"/>
      <c r="U181" s="960"/>
      <c r="V181" s="960"/>
      <c r="W181" s="960"/>
      <c r="X181" s="960"/>
      <c r="Y181" s="960"/>
      <c r="Z181" s="961"/>
      <c r="AC181" s="131"/>
      <c r="AZ181" s="131"/>
    </row>
    <row r="182" spans="2:52" s="130" customFormat="1" ht="177.5" customHeight="1" thickBot="1" x14ac:dyDescent="0.3">
      <c r="B182" s="950" t="str">
        <f>'Description of Incidents'!A230</f>
        <v>Pukitan, Below Tamayo residence</v>
      </c>
      <c r="C182" s="955"/>
      <c r="D182" s="962"/>
      <c r="E182" s="963"/>
      <c r="F182" s="963"/>
      <c r="G182" s="963"/>
      <c r="H182" s="963"/>
      <c r="I182" s="963"/>
      <c r="J182" s="963"/>
      <c r="K182" s="963"/>
      <c r="L182" s="963"/>
      <c r="M182" s="964"/>
      <c r="N182" s="962"/>
      <c r="O182" s="963"/>
      <c r="P182" s="963"/>
      <c r="Q182" s="963"/>
      <c r="R182" s="963"/>
      <c r="S182" s="963"/>
      <c r="T182" s="963"/>
      <c r="U182" s="963"/>
      <c r="V182" s="963"/>
      <c r="W182" s="963"/>
      <c r="X182" s="963"/>
      <c r="Y182" s="963"/>
      <c r="Z182" s="964"/>
    </row>
    <row r="183" spans="2:52" s="130" customFormat="1" ht="222.5" customHeight="1" x14ac:dyDescent="0.25">
      <c r="B183" s="922" t="str">
        <f>'Description of Incidents'!A231</f>
        <v>REX KEVIN B. DAO-AS</v>
      </c>
      <c r="C183" s="923"/>
      <c r="D183" s="965" t="s">
        <v>1833</v>
      </c>
      <c r="E183" s="966"/>
      <c r="F183" s="966"/>
      <c r="G183" s="966"/>
      <c r="H183" s="966"/>
      <c r="I183" s="966"/>
      <c r="J183" s="966"/>
      <c r="K183" s="966"/>
      <c r="L183" s="966"/>
      <c r="M183" s="967"/>
      <c r="N183" s="965" t="s">
        <v>1908</v>
      </c>
      <c r="O183" s="966"/>
      <c r="P183" s="966"/>
      <c r="Q183" s="966"/>
      <c r="R183" s="966"/>
      <c r="S183" s="966"/>
      <c r="T183" s="966"/>
      <c r="U183" s="966"/>
      <c r="V183" s="966"/>
      <c r="W183" s="966"/>
      <c r="X183" s="966"/>
      <c r="Y183" s="966"/>
      <c r="Z183" s="967"/>
    </row>
    <row r="184" spans="2:52" s="130" customFormat="1" ht="222.5" customHeight="1" x14ac:dyDescent="0.25">
      <c r="B184" s="933" t="str">
        <f>'Description of Incidents'!A232</f>
        <v>OI</v>
      </c>
      <c r="C184" s="934"/>
      <c r="D184" s="968"/>
      <c r="E184" s="969"/>
      <c r="F184" s="969"/>
      <c r="G184" s="969"/>
      <c r="H184" s="969"/>
      <c r="I184" s="969"/>
      <c r="J184" s="969"/>
      <c r="K184" s="969"/>
      <c r="L184" s="969"/>
      <c r="M184" s="970"/>
      <c r="N184" s="968"/>
      <c r="O184" s="969"/>
      <c r="P184" s="969"/>
      <c r="Q184" s="969"/>
      <c r="R184" s="969"/>
      <c r="S184" s="969"/>
      <c r="T184" s="969"/>
      <c r="U184" s="969"/>
      <c r="V184" s="969"/>
      <c r="W184" s="969"/>
      <c r="X184" s="969"/>
      <c r="Y184" s="969"/>
      <c r="Z184" s="970"/>
      <c r="AC184" s="131"/>
    </row>
    <row r="185" spans="2:52" s="130" customFormat="1" ht="222.5" customHeight="1" thickBot="1" x14ac:dyDescent="0.3">
      <c r="B185" s="935" t="str">
        <f>'Description of Incidents'!A233</f>
        <v>Bontoc Roadway</v>
      </c>
      <c r="C185" s="936"/>
      <c r="D185" s="971"/>
      <c r="E185" s="972"/>
      <c r="F185" s="972"/>
      <c r="G185" s="972"/>
      <c r="H185" s="972"/>
      <c r="I185" s="972"/>
      <c r="J185" s="972"/>
      <c r="K185" s="972"/>
      <c r="L185" s="972"/>
      <c r="M185" s="973"/>
      <c r="N185" s="971"/>
      <c r="O185" s="972"/>
      <c r="P185" s="972"/>
      <c r="Q185" s="972"/>
      <c r="R185" s="972"/>
      <c r="S185" s="972"/>
      <c r="T185" s="972"/>
      <c r="U185" s="972"/>
      <c r="V185" s="972"/>
      <c r="W185" s="972"/>
      <c r="X185" s="972"/>
      <c r="Y185" s="972"/>
      <c r="Z185" s="973"/>
    </row>
    <row r="186" spans="2:52" s="130" customFormat="1" ht="197.5" customHeight="1" x14ac:dyDescent="0.25">
      <c r="B186" s="952" t="str">
        <f>'Description of Incidents'!A234</f>
        <v>CATBAGAN, NARRY D.</v>
      </c>
      <c r="C186" s="953"/>
      <c r="D186" s="939" t="s">
        <v>1795</v>
      </c>
      <c r="E186" s="940"/>
      <c r="F186" s="940"/>
      <c r="G186" s="940"/>
      <c r="H186" s="940"/>
      <c r="I186" s="940"/>
      <c r="J186" s="940"/>
      <c r="K186" s="940"/>
      <c r="L186" s="940"/>
      <c r="M186" s="941"/>
      <c r="N186" s="939" t="s">
        <v>1909</v>
      </c>
      <c r="O186" s="940"/>
      <c r="P186" s="940"/>
      <c r="Q186" s="940"/>
      <c r="R186" s="940"/>
      <c r="S186" s="940"/>
      <c r="T186" s="940"/>
      <c r="U186" s="940"/>
      <c r="V186" s="940"/>
      <c r="W186" s="940"/>
      <c r="X186" s="940"/>
      <c r="Y186" s="940"/>
      <c r="Z186" s="941"/>
    </row>
    <row r="187" spans="2:52" s="130" customFormat="1" ht="197.5" customHeight="1" x14ac:dyDescent="0.25">
      <c r="B187" s="948" t="str">
        <f>'Description of Incidents'!A235</f>
        <v>FAC</v>
      </c>
      <c r="C187" s="954"/>
      <c r="D187" s="942"/>
      <c r="E187" s="943"/>
      <c r="F187" s="943"/>
      <c r="G187" s="943"/>
      <c r="H187" s="943"/>
      <c r="I187" s="943"/>
      <c r="J187" s="943"/>
      <c r="K187" s="943"/>
      <c r="L187" s="943"/>
      <c r="M187" s="944"/>
      <c r="N187" s="942"/>
      <c r="O187" s="943"/>
      <c r="P187" s="943"/>
      <c r="Q187" s="943"/>
      <c r="R187" s="943"/>
      <c r="S187" s="943"/>
      <c r="T187" s="943"/>
      <c r="U187" s="943"/>
      <c r="V187" s="943"/>
      <c r="W187" s="943"/>
      <c r="X187" s="943"/>
      <c r="Y187" s="943"/>
      <c r="Z187" s="944"/>
      <c r="AC187" s="131"/>
      <c r="AZ187" s="131"/>
    </row>
    <row r="188" spans="2:52" s="130" customFormat="1" ht="197.5" customHeight="1" thickBot="1" x14ac:dyDescent="0.3">
      <c r="B188" s="950" t="str">
        <f>'Description of Incidents'!A236</f>
        <v>Barren pump area</v>
      </c>
      <c r="C188" s="955"/>
      <c r="D188" s="942"/>
      <c r="E188" s="943"/>
      <c r="F188" s="943"/>
      <c r="G188" s="943"/>
      <c r="H188" s="943"/>
      <c r="I188" s="943"/>
      <c r="J188" s="943"/>
      <c r="K188" s="943"/>
      <c r="L188" s="943"/>
      <c r="M188" s="944"/>
      <c r="N188" s="942"/>
      <c r="O188" s="943"/>
      <c r="P188" s="943"/>
      <c r="Q188" s="943"/>
      <c r="R188" s="943"/>
      <c r="S188" s="943"/>
      <c r="T188" s="943"/>
      <c r="U188" s="943"/>
      <c r="V188" s="943"/>
      <c r="W188" s="943"/>
      <c r="X188" s="943"/>
      <c r="Y188" s="943"/>
      <c r="Z188" s="944"/>
    </row>
    <row r="189" spans="2:52" s="130" customFormat="1" ht="197.5" customHeight="1" x14ac:dyDescent="0.25">
      <c r="B189" s="975" t="str">
        <f>'Description of Incidents'!A237</f>
        <v>GISGISWANG, RUEL R.</v>
      </c>
      <c r="C189" s="976"/>
      <c r="D189" s="942"/>
      <c r="E189" s="943"/>
      <c r="F189" s="943"/>
      <c r="G189" s="943"/>
      <c r="H189" s="943"/>
      <c r="I189" s="943"/>
      <c r="J189" s="943"/>
      <c r="K189" s="943"/>
      <c r="L189" s="943"/>
      <c r="M189" s="944"/>
      <c r="N189" s="942"/>
      <c r="O189" s="943"/>
      <c r="P189" s="943"/>
      <c r="Q189" s="943"/>
      <c r="R189" s="943"/>
      <c r="S189" s="943"/>
      <c r="T189" s="943"/>
      <c r="U189" s="943"/>
      <c r="V189" s="943"/>
      <c r="W189" s="943"/>
      <c r="X189" s="943"/>
      <c r="Y189" s="943"/>
      <c r="Z189" s="944"/>
    </row>
    <row r="190" spans="2:52" s="130" customFormat="1" ht="197.5" customHeight="1" x14ac:dyDescent="0.25">
      <c r="B190" s="977" t="str">
        <f>'Description of Incidents'!A238</f>
        <v>FAC</v>
      </c>
      <c r="C190" s="978"/>
      <c r="D190" s="942"/>
      <c r="E190" s="943"/>
      <c r="F190" s="943"/>
      <c r="G190" s="943"/>
      <c r="H190" s="943"/>
      <c r="I190" s="943"/>
      <c r="J190" s="943"/>
      <c r="K190" s="943"/>
      <c r="L190" s="943"/>
      <c r="M190" s="944"/>
      <c r="N190" s="942"/>
      <c r="O190" s="943"/>
      <c r="P190" s="943"/>
      <c r="Q190" s="943"/>
      <c r="R190" s="943"/>
      <c r="S190" s="943"/>
      <c r="T190" s="943"/>
      <c r="U190" s="943"/>
      <c r="V190" s="943"/>
      <c r="W190" s="943"/>
      <c r="X190" s="943"/>
      <c r="Y190" s="943"/>
      <c r="Z190" s="944"/>
      <c r="AC190" s="131"/>
    </row>
    <row r="191" spans="2:52" s="130" customFormat="1" ht="197.5" customHeight="1" thickBot="1" x14ac:dyDescent="0.3">
      <c r="B191" s="979" t="str">
        <f>'Description of Incidents'!A239</f>
        <v>Barren pump area</v>
      </c>
      <c r="C191" s="980"/>
      <c r="D191" s="945"/>
      <c r="E191" s="946"/>
      <c r="F191" s="946"/>
      <c r="G191" s="946"/>
      <c r="H191" s="946"/>
      <c r="I191" s="946"/>
      <c r="J191" s="946"/>
      <c r="K191" s="946"/>
      <c r="L191" s="946"/>
      <c r="M191" s="947"/>
      <c r="N191" s="945"/>
      <c r="O191" s="946"/>
      <c r="P191" s="946"/>
      <c r="Q191" s="946"/>
      <c r="R191" s="946"/>
      <c r="S191" s="946"/>
      <c r="T191" s="946"/>
      <c r="U191" s="946"/>
      <c r="V191" s="946"/>
      <c r="W191" s="946"/>
      <c r="X191" s="946"/>
      <c r="Y191" s="946"/>
      <c r="Z191" s="947"/>
    </row>
    <row r="192" spans="2:52" s="130" customFormat="1" ht="307.5" customHeight="1" x14ac:dyDescent="0.25">
      <c r="B192" s="937" t="str">
        <f>'Description of Incidents'!A240</f>
        <v>BADOL, EUSEBIO G.</v>
      </c>
      <c r="C192" s="938"/>
      <c r="D192" s="956" t="s">
        <v>1820</v>
      </c>
      <c r="E192" s="957"/>
      <c r="F192" s="957"/>
      <c r="G192" s="957"/>
      <c r="H192" s="957"/>
      <c r="I192" s="957"/>
      <c r="J192" s="957"/>
      <c r="K192" s="957"/>
      <c r="L192" s="957"/>
      <c r="M192" s="958"/>
      <c r="N192" s="956" t="s">
        <v>1852</v>
      </c>
      <c r="O192" s="957"/>
      <c r="P192" s="957"/>
      <c r="Q192" s="957"/>
      <c r="R192" s="957"/>
      <c r="S192" s="957"/>
      <c r="T192" s="957"/>
      <c r="U192" s="957"/>
      <c r="V192" s="957"/>
      <c r="W192" s="957"/>
      <c r="X192" s="957"/>
      <c r="Y192" s="957"/>
      <c r="Z192" s="958"/>
    </row>
    <row r="193" spans="2:52" s="130" customFormat="1" ht="307.5" customHeight="1" x14ac:dyDescent="0.25">
      <c r="B193" s="948" t="str">
        <f>'Description of Incidents'!A241</f>
        <v>FAC</v>
      </c>
      <c r="C193" s="949"/>
      <c r="D193" s="959"/>
      <c r="E193" s="960"/>
      <c r="F193" s="960"/>
      <c r="G193" s="960"/>
      <c r="H193" s="960"/>
      <c r="I193" s="960"/>
      <c r="J193" s="960"/>
      <c r="K193" s="960"/>
      <c r="L193" s="960"/>
      <c r="M193" s="961"/>
      <c r="N193" s="959"/>
      <c r="O193" s="960"/>
      <c r="P193" s="960"/>
      <c r="Q193" s="960"/>
      <c r="R193" s="960"/>
      <c r="S193" s="960"/>
      <c r="T193" s="960"/>
      <c r="U193" s="960"/>
      <c r="V193" s="960"/>
      <c r="W193" s="960"/>
      <c r="X193" s="960"/>
      <c r="Y193" s="960"/>
      <c r="Z193" s="961"/>
      <c r="AC193" s="131"/>
      <c r="AZ193" s="131"/>
    </row>
    <row r="194" spans="2:52" s="130" customFormat="1" ht="307.5" customHeight="1" thickBot="1" x14ac:dyDescent="0.3">
      <c r="B194" s="950" t="str">
        <f>'Description of Incidents'!A242</f>
        <v>Carmen Mainline</v>
      </c>
      <c r="C194" s="951"/>
      <c r="D194" s="962"/>
      <c r="E194" s="963"/>
      <c r="F194" s="963"/>
      <c r="G194" s="963"/>
      <c r="H194" s="963"/>
      <c r="I194" s="963"/>
      <c r="J194" s="963"/>
      <c r="K194" s="963"/>
      <c r="L194" s="963"/>
      <c r="M194" s="964"/>
      <c r="N194" s="962"/>
      <c r="O194" s="963"/>
      <c r="P194" s="963"/>
      <c r="Q194" s="963"/>
      <c r="R194" s="963"/>
      <c r="S194" s="963"/>
      <c r="T194" s="963"/>
      <c r="U194" s="963"/>
      <c r="V194" s="963"/>
      <c r="W194" s="963"/>
      <c r="X194" s="963"/>
      <c r="Y194" s="963"/>
      <c r="Z194" s="964"/>
    </row>
    <row r="195" spans="2:52" s="130" customFormat="1" ht="327.5" customHeight="1" x14ac:dyDescent="0.25">
      <c r="B195" s="974" t="str">
        <f>'Description of Incidents'!A243</f>
        <v>OSSOG, ANDRE MARK A.</v>
      </c>
      <c r="C195" s="923"/>
      <c r="D195" s="965" t="s">
        <v>1821</v>
      </c>
      <c r="E195" s="966"/>
      <c r="F195" s="966"/>
      <c r="G195" s="966"/>
      <c r="H195" s="966"/>
      <c r="I195" s="966"/>
      <c r="J195" s="966"/>
      <c r="K195" s="966"/>
      <c r="L195" s="966"/>
      <c r="M195" s="967"/>
      <c r="N195" s="965" t="s">
        <v>1859</v>
      </c>
      <c r="O195" s="966"/>
      <c r="P195" s="966"/>
      <c r="Q195" s="966"/>
      <c r="R195" s="966"/>
      <c r="S195" s="966"/>
      <c r="T195" s="966"/>
      <c r="U195" s="966"/>
      <c r="V195" s="966"/>
      <c r="W195" s="966"/>
      <c r="X195" s="966"/>
      <c r="Y195" s="966"/>
      <c r="Z195" s="967"/>
    </row>
    <row r="196" spans="2:52" s="130" customFormat="1" ht="327.5" customHeight="1" x14ac:dyDescent="0.25">
      <c r="B196" s="933" t="str">
        <f>'Description of Incidents'!A244</f>
        <v>FAC</v>
      </c>
      <c r="C196" s="934"/>
      <c r="D196" s="968"/>
      <c r="E196" s="969"/>
      <c r="F196" s="969"/>
      <c r="G196" s="969"/>
      <c r="H196" s="969"/>
      <c r="I196" s="969"/>
      <c r="J196" s="969"/>
      <c r="K196" s="969"/>
      <c r="L196" s="969"/>
      <c r="M196" s="970"/>
      <c r="N196" s="968"/>
      <c r="O196" s="969"/>
      <c r="P196" s="969"/>
      <c r="Q196" s="969"/>
      <c r="R196" s="969"/>
      <c r="S196" s="969"/>
      <c r="T196" s="969"/>
      <c r="U196" s="969"/>
      <c r="V196" s="969"/>
      <c r="W196" s="969"/>
      <c r="X196" s="969"/>
      <c r="Y196" s="969"/>
      <c r="Z196" s="970"/>
      <c r="AC196" s="131"/>
    </row>
    <row r="197" spans="2:52" s="130" customFormat="1" ht="327.5" customHeight="1" thickBot="1" x14ac:dyDescent="0.3">
      <c r="B197" s="935" t="str">
        <f>'Description of Incidents'!A245</f>
        <v>1150 Shaft Station</v>
      </c>
      <c r="C197" s="936"/>
      <c r="D197" s="971"/>
      <c r="E197" s="972"/>
      <c r="F197" s="972"/>
      <c r="G197" s="972"/>
      <c r="H197" s="972"/>
      <c r="I197" s="972"/>
      <c r="J197" s="972"/>
      <c r="K197" s="972"/>
      <c r="L197" s="972"/>
      <c r="M197" s="973"/>
      <c r="N197" s="971"/>
      <c r="O197" s="972"/>
      <c r="P197" s="972"/>
      <c r="Q197" s="972"/>
      <c r="R197" s="972"/>
      <c r="S197" s="972"/>
      <c r="T197" s="972"/>
      <c r="U197" s="972"/>
      <c r="V197" s="972"/>
      <c r="W197" s="972"/>
      <c r="X197" s="972"/>
      <c r="Y197" s="972"/>
      <c r="Z197" s="973"/>
    </row>
    <row r="198" spans="2:52" s="130" customFormat="1" ht="297.5" customHeight="1" x14ac:dyDescent="0.25">
      <c r="B198" s="937" t="str">
        <f>'Description of Incidents'!A246</f>
        <v>GUMAAD, EDMUND T.</v>
      </c>
      <c r="C198" s="938"/>
      <c r="D198" s="956" t="s">
        <v>1822</v>
      </c>
      <c r="E198" s="957"/>
      <c r="F198" s="957"/>
      <c r="G198" s="957"/>
      <c r="H198" s="957"/>
      <c r="I198" s="957"/>
      <c r="J198" s="957"/>
      <c r="K198" s="957"/>
      <c r="L198" s="957"/>
      <c r="M198" s="958"/>
      <c r="N198" s="956" t="s">
        <v>1868</v>
      </c>
      <c r="O198" s="957"/>
      <c r="P198" s="957"/>
      <c r="Q198" s="957"/>
      <c r="R198" s="957"/>
      <c r="S198" s="957"/>
      <c r="T198" s="957"/>
      <c r="U198" s="957"/>
      <c r="V198" s="957"/>
      <c r="W198" s="957"/>
      <c r="X198" s="957"/>
      <c r="Y198" s="957"/>
      <c r="Z198" s="958"/>
    </row>
    <row r="199" spans="2:52" s="130" customFormat="1" ht="297.5" customHeight="1" x14ac:dyDescent="0.25">
      <c r="B199" s="948" t="str">
        <f>'Description of Incidents'!A247</f>
        <v>FAC</v>
      </c>
      <c r="C199" s="949"/>
      <c r="D199" s="959"/>
      <c r="E199" s="960"/>
      <c r="F199" s="960"/>
      <c r="G199" s="960"/>
      <c r="H199" s="960"/>
      <c r="I199" s="960"/>
      <c r="J199" s="960"/>
      <c r="K199" s="960"/>
      <c r="L199" s="960"/>
      <c r="M199" s="961"/>
      <c r="N199" s="959"/>
      <c r="O199" s="960"/>
      <c r="P199" s="960"/>
      <c r="Q199" s="960"/>
      <c r="R199" s="960"/>
      <c r="S199" s="960"/>
      <c r="T199" s="960"/>
      <c r="U199" s="960"/>
      <c r="V199" s="960"/>
      <c r="W199" s="960"/>
      <c r="X199" s="960"/>
      <c r="Y199" s="960"/>
      <c r="Z199" s="961"/>
      <c r="AC199" s="131"/>
      <c r="AZ199" s="131"/>
    </row>
    <row r="200" spans="2:52" s="130" customFormat="1" ht="297.5" customHeight="1" thickBot="1" x14ac:dyDescent="0.3">
      <c r="B200" s="950" t="str">
        <f>'Description of Incidents'!A248</f>
        <v>1081 A32N, Sect. 4, Teresa</v>
      </c>
      <c r="C200" s="951"/>
      <c r="D200" s="962"/>
      <c r="E200" s="963"/>
      <c r="F200" s="963"/>
      <c r="G200" s="963"/>
      <c r="H200" s="963"/>
      <c r="I200" s="963"/>
      <c r="J200" s="963"/>
      <c r="K200" s="963"/>
      <c r="L200" s="963"/>
      <c r="M200" s="964"/>
      <c r="N200" s="962"/>
      <c r="O200" s="963"/>
      <c r="P200" s="963"/>
      <c r="Q200" s="963"/>
      <c r="R200" s="963"/>
      <c r="S200" s="963"/>
      <c r="T200" s="963"/>
      <c r="U200" s="963"/>
      <c r="V200" s="963"/>
      <c r="W200" s="963"/>
      <c r="X200" s="963"/>
      <c r="Y200" s="963"/>
      <c r="Z200" s="964"/>
    </row>
    <row r="201" spans="2:52" s="130" customFormat="1" ht="292.5" customHeight="1" x14ac:dyDescent="0.25">
      <c r="B201" s="922" t="str">
        <f>'Description of Incidents'!A249</f>
        <v>REFUGIA, JOHN PAULINE M.</v>
      </c>
      <c r="C201" s="923"/>
      <c r="D201" s="965" t="s">
        <v>1823</v>
      </c>
      <c r="E201" s="966"/>
      <c r="F201" s="966"/>
      <c r="G201" s="966"/>
      <c r="H201" s="966"/>
      <c r="I201" s="966"/>
      <c r="J201" s="966"/>
      <c r="K201" s="966"/>
      <c r="L201" s="966"/>
      <c r="M201" s="967"/>
      <c r="N201" s="924" t="s">
        <v>1874</v>
      </c>
      <c r="O201" s="925"/>
      <c r="P201" s="925"/>
      <c r="Q201" s="925"/>
      <c r="R201" s="925"/>
      <c r="S201" s="925"/>
      <c r="T201" s="925"/>
      <c r="U201" s="925"/>
      <c r="V201" s="925"/>
      <c r="W201" s="925"/>
      <c r="X201" s="925"/>
      <c r="Y201" s="925"/>
      <c r="Z201" s="926"/>
    </row>
    <row r="202" spans="2:52" s="130" customFormat="1" ht="292.5" customHeight="1" x14ac:dyDescent="0.25">
      <c r="B202" s="933" t="str">
        <f>'Description of Incidents'!A250</f>
        <v>LTA-NF</v>
      </c>
      <c r="C202" s="934"/>
      <c r="D202" s="968"/>
      <c r="E202" s="969"/>
      <c r="F202" s="969"/>
      <c r="G202" s="969"/>
      <c r="H202" s="969"/>
      <c r="I202" s="969"/>
      <c r="J202" s="969"/>
      <c r="K202" s="969"/>
      <c r="L202" s="969"/>
      <c r="M202" s="970"/>
      <c r="N202" s="927"/>
      <c r="O202" s="928"/>
      <c r="P202" s="928"/>
      <c r="Q202" s="928"/>
      <c r="R202" s="928"/>
      <c r="S202" s="928"/>
      <c r="T202" s="928"/>
      <c r="U202" s="928"/>
      <c r="V202" s="928"/>
      <c r="W202" s="928"/>
      <c r="X202" s="928"/>
      <c r="Y202" s="928"/>
      <c r="Z202" s="929"/>
      <c r="AC202" s="131"/>
    </row>
    <row r="203" spans="2:52" s="130" customFormat="1" ht="292.5" customHeight="1" thickBot="1" x14ac:dyDescent="0.3">
      <c r="B203" s="935" t="str">
        <f>'Description of Incidents'!A251</f>
        <v>249 Repair Bay</v>
      </c>
      <c r="C203" s="936"/>
      <c r="D203" s="971"/>
      <c r="E203" s="972"/>
      <c r="F203" s="972"/>
      <c r="G203" s="972"/>
      <c r="H203" s="972"/>
      <c r="I203" s="972"/>
      <c r="J203" s="972"/>
      <c r="K203" s="972"/>
      <c r="L203" s="972"/>
      <c r="M203" s="973"/>
      <c r="N203" s="930"/>
      <c r="O203" s="931"/>
      <c r="P203" s="931"/>
      <c r="Q203" s="931"/>
      <c r="R203" s="931"/>
      <c r="S203" s="931"/>
      <c r="T203" s="931"/>
      <c r="U203" s="931"/>
      <c r="V203" s="931"/>
      <c r="W203" s="931"/>
      <c r="X203" s="931"/>
      <c r="Y203" s="931"/>
      <c r="Z203" s="932"/>
    </row>
    <row r="204" spans="2:52" s="130" customFormat="1" ht="277.5" customHeight="1" x14ac:dyDescent="0.25">
      <c r="B204" s="952" t="str">
        <f>'Description of Incidents'!A252</f>
        <v>SORIANO W. PALAT</v>
      </c>
      <c r="C204" s="953"/>
      <c r="D204" s="956" t="s">
        <v>1824</v>
      </c>
      <c r="E204" s="957"/>
      <c r="F204" s="957"/>
      <c r="G204" s="957"/>
      <c r="H204" s="957"/>
      <c r="I204" s="957"/>
      <c r="J204" s="957"/>
      <c r="K204" s="957"/>
      <c r="L204" s="957"/>
      <c r="M204" s="958"/>
      <c r="N204" s="956" t="s">
        <v>1878</v>
      </c>
      <c r="O204" s="957"/>
      <c r="P204" s="957"/>
      <c r="Q204" s="957"/>
      <c r="R204" s="957"/>
      <c r="S204" s="957"/>
      <c r="T204" s="957"/>
      <c r="U204" s="957"/>
      <c r="V204" s="957"/>
      <c r="W204" s="957"/>
      <c r="X204" s="957"/>
      <c r="Y204" s="957"/>
      <c r="Z204" s="958"/>
    </row>
    <row r="205" spans="2:52" s="130" customFormat="1" ht="277.5" customHeight="1" x14ac:dyDescent="0.25">
      <c r="B205" s="948" t="str">
        <f>'Description of Incidents'!A253</f>
        <v>OI</v>
      </c>
      <c r="C205" s="954"/>
      <c r="D205" s="959"/>
      <c r="E205" s="960"/>
      <c r="F205" s="960"/>
      <c r="G205" s="960"/>
      <c r="H205" s="960"/>
      <c r="I205" s="960"/>
      <c r="J205" s="960"/>
      <c r="K205" s="960"/>
      <c r="L205" s="960"/>
      <c r="M205" s="961"/>
      <c r="N205" s="959"/>
      <c r="O205" s="960"/>
      <c r="P205" s="960"/>
      <c r="Q205" s="960"/>
      <c r="R205" s="960"/>
      <c r="S205" s="960"/>
      <c r="T205" s="960"/>
      <c r="U205" s="960"/>
      <c r="V205" s="960"/>
      <c r="W205" s="960"/>
      <c r="X205" s="960"/>
      <c r="Y205" s="960"/>
      <c r="Z205" s="961"/>
      <c r="AC205" s="131"/>
      <c r="AZ205" s="131"/>
    </row>
    <row r="206" spans="2:52" s="130" customFormat="1" ht="277.5" customHeight="1" thickBot="1" x14ac:dyDescent="0.3">
      <c r="B206" s="950" t="str">
        <f>'Description of Incidents'!A254</f>
        <v>Carmen Mainline</v>
      </c>
      <c r="C206" s="955"/>
      <c r="D206" s="962"/>
      <c r="E206" s="963"/>
      <c r="F206" s="963"/>
      <c r="G206" s="963"/>
      <c r="H206" s="963"/>
      <c r="I206" s="963"/>
      <c r="J206" s="963"/>
      <c r="K206" s="963"/>
      <c r="L206" s="963"/>
      <c r="M206" s="964"/>
      <c r="N206" s="962"/>
      <c r="O206" s="963"/>
      <c r="P206" s="963"/>
      <c r="Q206" s="963"/>
      <c r="R206" s="963"/>
      <c r="S206" s="963"/>
      <c r="T206" s="963"/>
      <c r="U206" s="963"/>
      <c r="V206" s="963"/>
      <c r="W206" s="963"/>
      <c r="X206" s="963"/>
      <c r="Y206" s="963"/>
      <c r="Z206" s="964"/>
    </row>
    <row r="207" spans="2:52" s="130" customFormat="1" ht="267.5" customHeight="1" x14ac:dyDescent="0.25">
      <c r="B207" s="922" t="str">
        <f>'Description of Incidents'!A255</f>
        <v>RAUL S. GALDOC</v>
      </c>
      <c r="C207" s="923"/>
      <c r="D207" s="965" t="s">
        <v>1825</v>
      </c>
      <c r="E207" s="966"/>
      <c r="F207" s="966"/>
      <c r="G207" s="966"/>
      <c r="H207" s="966"/>
      <c r="I207" s="966"/>
      <c r="J207" s="966"/>
      <c r="K207" s="966"/>
      <c r="L207" s="966"/>
      <c r="M207" s="967"/>
      <c r="N207" s="924" t="s">
        <v>1911</v>
      </c>
      <c r="O207" s="925"/>
      <c r="P207" s="925"/>
      <c r="Q207" s="925"/>
      <c r="R207" s="925"/>
      <c r="S207" s="925"/>
      <c r="T207" s="925"/>
      <c r="U207" s="925"/>
      <c r="V207" s="925"/>
      <c r="W207" s="925"/>
      <c r="X207" s="925"/>
      <c r="Y207" s="925"/>
      <c r="Z207" s="926"/>
    </row>
    <row r="208" spans="2:52" s="130" customFormat="1" ht="267.5" customHeight="1" x14ac:dyDescent="0.25">
      <c r="B208" s="933" t="str">
        <f>'Description of Incidents'!A256</f>
        <v>FAC</v>
      </c>
      <c r="C208" s="934"/>
      <c r="D208" s="968"/>
      <c r="E208" s="969"/>
      <c r="F208" s="969"/>
      <c r="G208" s="969"/>
      <c r="H208" s="969"/>
      <c r="I208" s="969"/>
      <c r="J208" s="969"/>
      <c r="K208" s="969"/>
      <c r="L208" s="969"/>
      <c r="M208" s="970"/>
      <c r="N208" s="927"/>
      <c r="O208" s="928"/>
      <c r="P208" s="928"/>
      <c r="Q208" s="928"/>
      <c r="R208" s="928"/>
      <c r="S208" s="928"/>
      <c r="T208" s="928"/>
      <c r="U208" s="928"/>
      <c r="V208" s="928"/>
      <c r="W208" s="928"/>
      <c r="X208" s="928"/>
      <c r="Y208" s="928"/>
      <c r="Z208" s="929"/>
      <c r="AC208" s="131"/>
    </row>
    <row r="209" spans="2:52" s="130" customFormat="1" ht="267.5" customHeight="1" thickBot="1" x14ac:dyDescent="0.3">
      <c r="B209" s="935" t="str">
        <f>'Description of Incidents'!A257</f>
        <v>2490 8M1</v>
      </c>
      <c r="C209" s="936"/>
      <c r="D209" s="971"/>
      <c r="E209" s="972"/>
      <c r="F209" s="972"/>
      <c r="G209" s="972"/>
      <c r="H209" s="972"/>
      <c r="I209" s="972"/>
      <c r="J209" s="972"/>
      <c r="K209" s="972"/>
      <c r="L209" s="972"/>
      <c r="M209" s="973"/>
      <c r="N209" s="930"/>
      <c r="O209" s="931"/>
      <c r="P209" s="931"/>
      <c r="Q209" s="931"/>
      <c r="R209" s="931"/>
      <c r="S209" s="931"/>
      <c r="T209" s="931"/>
      <c r="U209" s="931"/>
      <c r="V209" s="931"/>
      <c r="W209" s="931"/>
      <c r="X209" s="931"/>
      <c r="Y209" s="931"/>
      <c r="Z209" s="932"/>
    </row>
    <row r="210" spans="2:52" s="130" customFormat="1" ht="262.5" customHeight="1" x14ac:dyDescent="0.25">
      <c r="B210" s="937" t="str">
        <f>'Description of Incidents'!A258</f>
        <v>JORDAN JAMES W. BAGUISTA</v>
      </c>
      <c r="C210" s="938"/>
      <c r="D210" s="939" t="s">
        <v>1826</v>
      </c>
      <c r="E210" s="940"/>
      <c r="F210" s="940"/>
      <c r="G210" s="940"/>
      <c r="H210" s="940"/>
      <c r="I210" s="940"/>
      <c r="J210" s="940"/>
      <c r="K210" s="940"/>
      <c r="L210" s="940"/>
      <c r="M210" s="941"/>
      <c r="N210" s="956" t="s">
        <v>1882</v>
      </c>
      <c r="O210" s="957"/>
      <c r="P210" s="957"/>
      <c r="Q210" s="957"/>
      <c r="R210" s="957"/>
      <c r="S210" s="957"/>
      <c r="T210" s="957"/>
      <c r="U210" s="957"/>
      <c r="V210" s="957"/>
      <c r="W210" s="957"/>
      <c r="X210" s="957"/>
      <c r="Y210" s="957"/>
      <c r="Z210" s="958"/>
    </row>
    <row r="211" spans="2:52" s="130" customFormat="1" ht="262.5" customHeight="1" x14ac:dyDescent="0.25">
      <c r="B211" s="948" t="str">
        <f>'Description of Incidents'!A259</f>
        <v>FAC</v>
      </c>
      <c r="C211" s="949"/>
      <c r="D211" s="942"/>
      <c r="E211" s="943"/>
      <c r="F211" s="943"/>
      <c r="G211" s="943"/>
      <c r="H211" s="943"/>
      <c r="I211" s="943"/>
      <c r="J211" s="943"/>
      <c r="K211" s="943"/>
      <c r="L211" s="943"/>
      <c r="M211" s="944"/>
      <c r="N211" s="959"/>
      <c r="O211" s="960"/>
      <c r="P211" s="960"/>
      <c r="Q211" s="960"/>
      <c r="R211" s="960"/>
      <c r="S211" s="960"/>
      <c r="T211" s="960"/>
      <c r="U211" s="960"/>
      <c r="V211" s="960"/>
      <c r="W211" s="960"/>
      <c r="X211" s="960"/>
      <c r="Y211" s="960"/>
      <c r="Z211" s="961"/>
      <c r="AC211" s="131"/>
      <c r="AZ211" s="131"/>
    </row>
    <row r="212" spans="2:52" s="130" customFormat="1" ht="262.5" customHeight="1" thickBot="1" x14ac:dyDescent="0.3">
      <c r="B212" s="950" t="str">
        <f>'Description of Incidents'!A260</f>
        <v>2490 8M1</v>
      </c>
      <c r="C212" s="951"/>
      <c r="D212" s="945"/>
      <c r="E212" s="946"/>
      <c r="F212" s="946"/>
      <c r="G212" s="946"/>
      <c r="H212" s="946"/>
      <c r="I212" s="946"/>
      <c r="J212" s="946"/>
      <c r="K212" s="946"/>
      <c r="L212" s="946"/>
      <c r="M212" s="947"/>
      <c r="N212" s="962"/>
      <c r="O212" s="963"/>
      <c r="P212" s="963"/>
      <c r="Q212" s="963"/>
      <c r="R212" s="963"/>
      <c r="S212" s="963"/>
      <c r="T212" s="963"/>
      <c r="U212" s="963"/>
      <c r="V212" s="963"/>
      <c r="W212" s="963"/>
      <c r="X212" s="963"/>
      <c r="Y212" s="963"/>
      <c r="Z212" s="964"/>
    </row>
    <row r="213" spans="2:52" s="130" customFormat="1" ht="407.5" customHeight="1" x14ac:dyDescent="0.25">
      <c r="B213" s="922" t="str">
        <f>'Description of Incidents'!A261</f>
        <v>SUNI, RONALD S.</v>
      </c>
      <c r="C213" s="923"/>
      <c r="D213" s="1164" t="s">
        <v>1832</v>
      </c>
      <c r="E213" s="1165"/>
      <c r="F213" s="1165"/>
      <c r="G213" s="1165"/>
      <c r="H213" s="1165"/>
      <c r="I213" s="1165"/>
      <c r="J213" s="1165"/>
      <c r="K213" s="1165"/>
      <c r="L213" s="1165"/>
      <c r="M213" s="1166"/>
      <c r="N213" s="924" t="s">
        <v>1910</v>
      </c>
      <c r="O213" s="925"/>
      <c r="P213" s="925"/>
      <c r="Q213" s="925"/>
      <c r="R213" s="925"/>
      <c r="S213" s="925"/>
      <c r="T213" s="925"/>
      <c r="U213" s="925"/>
      <c r="V213" s="925"/>
      <c r="W213" s="925"/>
      <c r="X213" s="925"/>
      <c r="Y213" s="925"/>
      <c r="Z213" s="926"/>
    </row>
    <row r="214" spans="2:52" s="130" customFormat="1" ht="407.5" customHeight="1" x14ac:dyDescent="0.25">
      <c r="B214" s="933" t="str">
        <f>'Description of Incidents'!A262</f>
        <v>LTA-NF</v>
      </c>
      <c r="C214" s="934"/>
      <c r="D214" s="1167"/>
      <c r="E214" s="1168"/>
      <c r="F214" s="1168"/>
      <c r="G214" s="1168"/>
      <c r="H214" s="1168"/>
      <c r="I214" s="1168"/>
      <c r="J214" s="1168"/>
      <c r="K214" s="1168"/>
      <c r="L214" s="1168"/>
      <c r="M214" s="1169"/>
      <c r="N214" s="927"/>
      <c r="O214" s="928"/>
      <c r="P214" s="928"/>
      <c r="Q214" s="928"/>
      <c r="R214" s="928"/>
      <c r="S214" s="928"/>
      <c r="T214" s="928"/>
      <c r="U214" s="928"/>
      <c r="V214" s="928"/>
      <c r="W214" s="928"/>
      <c r="X214" s="928"/>
      <c r="Y214" s="928"/>
      <c r="Z214" s="929"/>
      <c r="AC214" s="131"/>
    </row>
    <row r="215" spans="2:52" s="130" customFormat="1" ht="409.6" customHeight="1" thickBot="1" x14ac:dyDescent="0.3">
      <c r="B215" s="935" t="str">
        <f>'Description of Incidents'!A263</f>
        <v>Upper Tram Slusher Bin</v>
      </c>
      <c r="C215" s="936"/>
      <c r="D215" s="1170"/>
      <c r="E215" s="1171"/>
      <c r="F215" s="1171"/>
      <c r="G215" s="1171"/>
      <c r="H215" s="1171"/>
      <c r="I215" s="1171"/>
      <c r="J215" s="1171"/>
      <c r="K215" s="1171"/>
      <c r="L215" s="1171"/>
      <c r="M215" s="1172"/>
      <c r="N215" s="930"/>
      <c r="O215" s="931"/>
      <c r="P215" s="931"/>
      <c r="Q215" s="931"/>
      <c r="R215" s="931"/>
      <c r="S215" s="931"/>
      <c r="T215" s="931"/>
      <c r="U215" s="931"/>
      <c r="V215" s="931"/>
      <c r="W215" s="931"/>
      <c r="X215" s="931"/>
      <c r="Y215" s="931"/>
      <c r="Z215" s="932"/>
    </row>
    <row r="216" spans="2:52" s="130" customFormat="1" ht="175.5" customHeight="1" x14ac:dyDescent="0.25">
      <c r="B216" s="952" t="str">
        <f>'Description of Incidents'!A264</f>
        <v>RUFINO, ALVIN</v>
      </c>
      <c r="C216" s="953"/>
      <c r="D216" s="939" t="s">
        <v>1900</v>
      </c>
      <c r="E216" s="940"/>
      <c r="F216" s="940"/>
      <c r="G216" s="940"/>
      <c r="H216" s="940"/>
      <c r="I216" s="940"/>
      <c r="J216" s="940"/>
      <c r="K216" s="940"/>
      <c r="L216" s="940"/>
      <c r="M216" s="941"/>
      <c r="N216" s="956" t="s">
        <v>1901</v>
      </c>
      <c r="O216" s="957"/>
      <c r="P216" s="957"/>
      <c r="Q216" s="957"/>
      <c r="R216" s="957"/>
      <c r="S216" s="957"/>
      <c r="T216" s="957"/>
      <c r="U216" s="957"/>
      <c r="V216" s="957"/>
      <c r="W216" s="957"/>
      <c r="X216" s="957"/>
      <c r="Y216" s="957"/>
      <c r="Z216" s="958"/>
    </row>
    <row r="217" spans="2:52" s="130" customFormat="1" ht="175.5" customHeight="1" x14ac:dyDescent="0.25">
      <c r="B217" s="948" t="str">
        <f>'Description of Incidents'!A265</f>
        <v>FAC</v>
      </c>
      <c r="C217" s="954"/>
      <c r="D217" s="942"/>
      <c r="E217" s="943"/>
      <c r="F217" s="943"/>
      <c r="G217" s="943"/>
      <c r="H217" s="943"/>
      <c r="I217" s="943"/>
      <c r="J217" s="943"/>
      <c r="K217" s="943"/>
      <c r="L217" s="943"/>
      <c r="M217" s="944"/>
      <c r="N217" s="959"/>
      <c r="O217" s="960"/>
      <c r="P217" s="960"/>
      <c r="Q217" s="960"/>
      <c r="R217" s="960"/>
      <c r="S217" s="960"/>
      <c r="T217" s="960"/>
      <c r="U217" s="960"/>
      <c r="V217" s="960"/>
      <c r="W217" s="960"/>
      <c r="X217" s="960"/>
      <c r="Y217" s="960"/>
      <c r="Z217" s="961"/>
      <c r="AC217" s="131"/>
      <c r="AZ217" s="131"/>
    </row>
    <row r="218" spans="2:52" s="130" customFormat="1" ht="175.5" customHeight="1" thickBot="1" x14ac:dyDescent="0.3">
      <c r="B218" s="950" t="str">
        <f>'Description of Incidents'!A266</f>
        <v>Guiwe, Poblacion Mankayan</v>
      </c>
      <c r="C218" s="955"/>
      <c r="D218" s="945"/>
      <c r="E218" s="946"/>
      <c r="F218" s="946"/>
      <c r="G218" s="946"/>
      <c r="H218" s="946"/>
      <c r="I218" s="946"/>
      <c r="J218" s="946"/>
      <c r="K218" s="946"/>
      <c r="L218" s="946"/>
      <c r="M218" s="947"/>
      <c r="N218" s="962"/>
      <c r="O218" s="963"/>
      <c r="P218" s="963"/>
      <c r="Q218" s="963"/>
      <c r="R218" s="963"/>
      <c r="S218" s="963"/>
      <c r="T218" s="963"/>
      <c r="U218" s="963"/>
      <c r="V218" s="963"/>
      <c r="W218" s="963"/>
      <c r="X218" s="963"/>
      <c r="Y218" s="963"/>
      <c r="Z218" s="964"/>
    </row>
    <row r="219" spans="2:52" s="130" customFormat="1" ht="87.5" x14ac:dyDescent="0.25">
      <c r="B219" s="922"/>
      <c r="C219" s="923"/>
      <c r="D219" s="924"/>
      <c r="E219" s="925"/>
      <c r="F219" s="925"/>
      <c r="G219" s="925"/>
      <c r="H219" s="925"/>
      <c r="I219" s="925"/>
      <c r="J219" s="925"/>
      <c r="K219" s="925"/>
      <c r="L219" s="925"/>
      <c r="M219" s="926"/>
      <c r="N219" s="924"/>
      <c r="O219" s="925"/>
      <c r="P219" s="925"/>
      <c r="Q219" s="925"/>
      <c r="R219" s="925"/>
      <c r="S219" s="925"/>
      <c r="T219" s="925"/>
      <c r="U219" s="925"/>
      <c r="V219" s="925"/>
      <c r="W219" s="925"/>
      <c r="X219" s="925"/>
      <c r="Y219" s="925"/>
      <c r="Z219" s="926"/>
    </row>
    <row r="220" spans="2:52" s="130" customFormat="1" ht="89.5" x14ac:dyDescent="0.25">
      <c r="B220" s="933"/>
      <c r="C220" s="934"/>
      <c r="D220" s="927"/>
      <c r="E220" s="928"/>
      <c r="F220" s="928"/>
      <c r="G220" s="928"/>
      <c r="H220" s="928"/>
      <c r="I220" s="928"/>
      <c r="J220" s="928"/>
      <c r="K220" s="928"/>
      <c r="L220" s="928"/>
      <c r="M220" s="929"/>
      <c r="N220" s="927"/>
      <c r="O220" s="928"/>
      <c r="P220" s="928"/>
      <c r="Q220" s="928"/>
      <c r="R220" s="928"/>
      <c r="S220" s="928"/>
      <c r="T220" s="928"/>
      <c r="U220" s="928"/>
      <c r="V220" s="928"/>
      <c r="W220" s="928"/>
      <c r="X220" s="928"/>
      <c r="Y220" s="928"/>
      <c r="Z220" s="929"/>
      <c r="AC220" s="131"/>
    </row>
    <row r="221" spans="2:52" s="130" customFormat="1" ht="90" thickBot="1" x14ac:dyDescent="0.3">
      <c r="B221" s="935"/>
      <c r="C221" s="936"/>
      <c r="D221" s="930"/>
      <c r="E221" s="931"/>
      <c r="F221" s="931"/>
      <c r="G221" s="931"/>
      <c r="H221" s="931"/>
      <c r="I221" s="931"/>
      <c r="J221" s="931"/>
      <c r="K221" s="931"/>
      <c r="L221" s="931"/>
      <c r="M221" s="932"/>
      <c r="N221" s="930"/>
      <c r="O221" s="931"/>
      <c r="P221" s="931"/>
      <c r="Q221" s="931"/>
      <c r="R221" s="931"/>
      <c r="S221" s="931"/>
      <c r="T221" s="931"/>
      <c r="U221" s="931"/>
      <c r="V221" s="931"/>
      <c r="W221" s="931"/>
      <c r="X221" s="931"/>
      <c r="Y221" s="931"/>
      <c r="Z221" s="932"/>
    </row>
    <row r="222" spans="2:52" s="130" customFormat="1" ht="87.5" x14ac:dyDescent="0.25">
      <c r="B222" s="1115"/>
      <c r="C222" s="1116"/>
      <c r="D222" s="939"/>
      <c r="E222" s="940"/>
      <c r="F222" s="940"/>
      <c r="G222" s="940"/>
      <c r="H222" s="940"/>
      <c r="I222" s="940"/>
      <c r="J222" s="940"/>
      <c r="K222" s="940"/>
      <c r="L222" s="940"/>
      <c r="M222" s="941"/>
      <c r="N222" s="939"/>
      <c r="O222" s="940"/>
      <c r="P222" s="940"/>
      <c r="Q222" s="940"/>
      <c r="R222" s="940"/>
      <c r="S222" s="940"/>
      <c r="T222" s="940"/>
      <c r="U222" s="940"/>
      <c r="V222" s="940"/>
      <c r="W222" s="940"/>
      <c r="X222" s="940"/>
      <c r="Y222" s="940"/>
      <c r="Z222" s="941"/>
    </row>
    <row r="223" spans="2:52" s="130" customFormat="1" ht="89.5" x14ac:dyDescent="0.25">
      <c r="B223" s="1117"/>
      <c r="C223" s="1118"/>
      <c r="D223" s="942"/>
      <c r="E223" s="943"/>
      <c r="F223" s="943"/>
      <c r="G223" s="943"/>
      <c r="H223" s="943"/>
      <c r="I223" s="943"/>
      <c r="J223" s="943"/>
      <c r="K223" s="943"/>
      <c r="L223" s="943"/>
      <c r="M223" s="944"/>
      <c r="N223" s="942"/>
      <c r="O223" s="943"/>
      <c r="P223" s="943"/>
      <c r="Q223" s="943"/>
      <c r="R223" s="943"/>
      <c r="S223" s="943"/>
      <c r="T223" s="943"/>
      <c r="U223" s="943"/>
      <c r="V223" s="943"/>
      <c r="W223" s="943"/>
      <c r="X223" s="943"/>
      <c r="Y223" s="943"/>
      <c r="Z223" s="944"/>
      <c r="AC223" s="131"/>
    </row>
    <row r="224" spans="2:52" s="130" customFormat="1" ht="90" thickBot="1" x14ac:dyDescent="0.3">
      <c r="B224" s="1119"/>
      <c r="C224" s="1120"/>
      <c r="D224" s="945"/>
      <c r="E224" s="946"/>
      <c r="F224" s="946"/>
      <c r="G224" s="946"/>
      <c r="H224" s="946"/>
      <c r="I224" s="946"/>
      <c r="J224" s="946"/>
      <c r="K224" s="946"/>
      <c r="L224" s="946"/>
      <c r="M224" s="947"/>
      <c r="N224" s="945"/>
      <c r="O224" s="946"/>
      <c r="P224" s="946"/>
      <c r="Q224" s="946"/>
      <c r="R224" s="946"/>
      <c r="S224" s="946"/>
      <c r="T224" s="946"/>
      <c r="U224" s="946"/>
      <c r="V224" s="946"/>
      <c r="W224" s="946"/>
      <c r="X224" s="946"/>
      <c r="Y224" s="946"/>
      <c r="Z224" s="947"/>
    </row>
    <row r="225" spans="2:29" s="130" customFormat="1" ht="87.5" x14ac:dyDescent="0.25">
      <c r="B225" s="975"/>
      <c r="C225" s="976"/>
      <c r="D225" s="924"/>
      <c r="E225" s="925"/>
      <c r="F225" s="925"/>
      <c r="G225" s="925"/>
      <c r="H225" s="925"/>
      <c r="I225" s="925"/>
      <c r="J225" s="925"/>
      <c r="K225" s="925"/>
      <c r="L225" s="925"/>
      <c r="M225" s="926"/>
      <c r="N225" s="924"/>
      <c r="O225" s="925"/>
      <c r="P225" s="925"/>
      <c r="Q225" s="925"/>
      <c r="R225" s="925"/>
      <c r="S225" s="925"/>
      <c r="T225" s="925"/>
      <c r="U225" s="925"/>
      <c r="V225" s="925"/>
      <c r="W225" s="925"/>
      <c r="X225" s="925"/>
      <c r="Y225" s="925"/>
      <c r="Z225" s="926"/>
    </row>
    <row r="226" spans="2:29" s="130" customFormat="1" ht="89.5" x14ac:dyDescent="0.25">
      <c r="B226" s="977"/>
      <c r="C226" s="978"/>
      <c r="D226" s="927"/>
      <c r="E226" s="928"/>
      <c r="F226" s="928"/>
      <c r="G226" s="928"/>
      <c r="H226" s="928"/>
      <c r="I226" s="928"/>
      <c r="J226" s="928"/>
      <c r="K226" s="928"/>
      <c r="L226" s="928"/>
      <c r="M226" s="929"/>
      <c r="N226" s="927"/>
      <c r="O226" s="928"/>
      <c r="P226" s="928"/>
      <c r="Q226" s="928"/>
      <c r="R226" s="928"/>
      <c r="S226" s="928"/>
      <c r="T226" s="928"/>
      <c r="U226" s="928"/>
      <c r="V226" s="928"/>
      <c r="W226" s="928"/>
      <c r="X226" s="928"/>
      <c r="Y226" s="928"/>
      <c r="Z226" s="929"/>
      <c r="AC226" s="131"/>
    </row>
    <row r="227" spans="2:29" s="130" customFormat="1" ht="90" thickBot="1" x14ac:dyDescent="0.3">
      <c r="B227" s="979"/>
      <c r="C227" s="980"/>
      <c r="D227" s="930"/>
      <c r="E227" s="931"/>
      <c r="F227" s="931"/>
      <c r="G227" s="931"/>
      <c r="H227" s="931"/>
      <c r="I227" s="931"/>
      <c r="J227" s="931"/>
      <c r="K227" s="931"/>
      <c r="L227" s="931"/>
      <c r="M227" s="932"/>
      <c r="N227" s="930"/>
      <c r="O227" s="931"/>
      <c r="P227" s="931"/>
      <c r="Q227" s="931"/>
      <c r="R227" s="931"/>
      <c r="S227" s="931"/>
      <c r="T227" s="931"/>
      <c r="U227" s="931"/>
      <c r="V227" s="931"/>
      <c r="W227" s="931"/>
      <c r="X227" s="931"/>
      <c r="Y227" s="931"/>
      <c r="Z227" s="932"/>
    </row>
    <row r="228" spans="2:29" s="130" customFormat="1" ht="87.5" x14ac:dyDescent="0.25">
      <c r="B228" s="1115"/>
      <c r="C228" s="1116"/>
      <c r="D228" s="939"/>
      <c r="E228" s="940"/>
      <c r="F228" s="940"/>
      <c r="G228" s="940"/>
      <c r="H228" s="940"/>
      <c r="I228" s="940"/>
      <c r="J228" s="940"/>
      <c r="K228" s="940"/>
      <c r="L228" s="940"/>
      <c r="M228" s="941"/>
      <c r="N228" s="939"/>
      <c r="O228" s="940"/>
      <c r="P228" s="940"/>
      <c r="Q228" s="940"/>
      <c r="R228" s="940"/>
      <c r="S228" s="940"/>
      <c r="T228" s="940"/>
      <c r="U228" s="940"/>
      <c r="V228" s="940"/>
      <c r="W228" s="940"/>
      <c r="X228" s="940"/>
      <c r="Y228" s="940"/>
      <c r="Z228" s="941"/>
    </row>
    <row r="229" spans="2:29" s="130" customFormat="1" ht="89.5" x14ac:dyDescent="0.25">
      <c r="B229" s="1117"/>
      <c r="C229" s="1118"/>
      <c r="D229" s="942"/>
      <c r="E229" s="943"/>
      <c r="F229" s="943"/>
      <c r="G229" s="943"/>
      <c r="H229" s="943"/>
      <c r="I229" s="943"/>
      <c r="J229" s="943"/>
      <c r="K229" s="943"/>
      <c r="L229" s="943"/>
      <c r="M229" s="944"/>
      <c r="N229" s="942"/>
      <c r="O229" s="943"/>
      <c r="P229" s="943"/>
      <c r="Q229" s="943"/>
      <c r="R229" s="943"/>
      <c r="S229" s="943"/>
      <c r="T229" s="943"/>
      <c r="U229" s="943"/>
      <c r="V229" s="943"/>
      <c r="W229" s="943"/>
      <c r="X229" s="943"/>
      <c r="Y229" s="943"/>
      <c r="Z229" s="944"/>
      <c r="AC229" s="131"/>
    </row>
    <row r="230" spans="2:29" s="130" customFormat="1" ht="90" thickBot="1" x14ac:dyDescent="0.3">
      <c r="B230" s="1119"/>
      <c r="C230" s="1120"/>
      <c r="D230" s="945"/>
      <c r="E230" s="946"/>
      <c r="F230" s="946"/>
      <c r="G230" s="946"/>
      <c r="H230" s="946"/>
      <c r="I230" s="946"/>
      <c r="J230" s="946"/>
      <c r="K230" s="946"/>
      <c r="L230" s="946"/>
      <c r="M230" s="947"/>
      <c r="N230" s="945"/>
      <c r="O230" s="946"/>
      <c r="P230" s="946"/>
      <c r="Q230" s="946"/>
      <c r="R230" s="946"/>
      <c r="S230" s="946"/>
      <c r="T230" s="946"/>
      <c r="U230" s="946"/>
      <c r="V230" s="946"/>
      <c r="W230" s="946"/>
      <c r="X230" s="946"/>
      <c r="Y230" s="946"/>
      <c r="Z230" s="947"/>
    </row>
    <row r="231" spans="2:29" s="130" customFormat="1" ht="87.5" x14ac:dyDescent="0.25">
      <c r="B231" s="975"/>
      <c r="C231" s="976"/>
      <c r="D231" s="924"/>
      <c r="E231" s="925"/>
      <c r="F231" s="925"/>
      <c r="G231" s="925"/>
      <c r="H231" s="925"/>
      <c r="I231" s="925"/>
      <c r="J231" s="925"/>
      <c r="K231" s="925"/>
      <c r="L231" s="925"/>
      <c r="M231" s="926"/>
      <c r="N231" s="924"/>
      <c r="O231" s="925"/>
      <c r="P231" s="925"/>
      <c r="Q231" s="925"/>
      <c r="R231" s="925"/>
      <c r="S231" s="925"/>
      <c r="T231" s="925"/>
      <c r="U231" s="925"/>
      <c r="V231" s="925"/>
      <c r="W231" s="925"/>
      <c r="X231" s="925"/>
      <c r="Y231" s="925"/>
      <c r="Z231" s="926"/>
    </row>
    <row r="232" spans="2:29" s="130" customFormat="1" ht="89.5" x14ac:dyDescent="0.25">
      <c r="B232" s="977"/>
      <c r="C232" s="978"/>
      <c r="D232" s="927"/>
      <c r="E232" s="928"/>
      <c r="F232" s="928"/>
      <c r="G232" s="928"/>
      <c r="H232" s="928"/>
      <c r="I232" s="928"/>
      <c r="J232" s="928"/>
      <c r="K232" s="928"/>
      <c r="L232" s="928"/>
      <c r="M232" s="929"/>
      <c r="N232" s="927"/>
      <c r="O232" s="928"/>
      <c r="P232" s="928"/>
      <c r="Q232" s="928"/>
      <c r="R232" s="928"/>
      <c r="S232" s="928"/>
      <c r="T232" s="928"/>
      <c r="U232" s="928"/>
      <c r="V232" s="928"/>
      <c r="W232" s="928"/>
      <c r="X232" s="928"/>
      <c r="Y232" s="928"/>
      <c r="Z232" s="929"/>
      <c r="AC232" s="131"/>
    </row>
    <row r="233" spans="2:29" s="130" customFormat="1" ht="90" thickBot="1" x14ac:dyDescent="0.3">
      <c r="B233" s="979"/>
      <c r="C233" s="980"/>
      <c r="D233" s="930"/>
      <c r="E233" s="931"/>
      <c r="F233" s="931"/>
      <c r="G233" s="931"/>
      <c r="H233" s="931"/>
      <c r="I233" s="931"/>
      <c r="J233" s="931"/>
      <c r="K233" s="931"/>
      <c r="L233" s="931"/>
      <c r="M233" s="932"/>
      <c r="N233" s="930"/>
      <c r="O233" s="931"/>
      <c r="P233" s="931"/>
      <c r="Q233" s="931"/>
      <c r="R233" s="931"/>
      <c r="S233" s="931"/>
      <c r="T233" s="931"/>
      <c r="U233" s="931"/>
      <c r="V233" s="931"/>
      <c r="W233" s="931"/>
      <c r="X233" s="931"/>
      <c r="Y233" s="931"/>
      <c r="Z233" s="932"/>
    </row>
    <row r="234" spans="2:29" s="130" customFormat="1" ht="87.5" x14ac:dyDescent="0.25">
      <c r="B234" s="1115"/>
      <c r="C234" s="1116"/>
      <c r="D234" s="939"/>
      <c r="E234" s="940"/>
      <c r="F234" s="940"/>
      <c r="G234" s="940"/>
      <c r="H234" s="940"/>
      <c r="I234" s="940"/>
      <c r="J234" s="940"/>
      <c r="K234" s="940"/>
      <c r="L234" s="940"/>
      <c r="M234" s="941"/>
      <c r="N234" s="939"/>
      <c r="O234" s="940"/>
      <c r="P234" s="940"/>
      <c r="Q234" s="940"/>
      <c r="R234" s="940"/>
      <c r="S234" s="940"/>
      <c r="T234" s="940"/>
      <c r="U234" s="940"/>
      <c r="V234" s="940"/>
      <c r="W234" s="940"/>
      <c r="X234" s="940"/>
      <c r="Y234" s="940"/>
      <c r="Z234" s="941"/>
    </row>
    <row r="235" spans="2:29" s="130" customFormat="1" ht="89.5" x14ac:dyDescent="0.25">
      <c r="B235" s="1117"/>
      <c r="C235" s="1118"/>
      <c r="D235" s="942"/>
      <c r="E235" s="943"/>
      <c r="F235" s="943"/>
      <c r="G235" s="943"/>
      <c r="H235" s="943"/>
      <c r="I235" s="943"/>
      <c r="J235" s="943"/>
      <c r="K235" s="943"/>
      <c r="L235" s="943"/>
      <c r="M235" s="944"/>
      <c r="N235" s="942"/>
      <c r="O235" s="943"/>
      <c r="P235" s="943"/>
      <c r="Q235" s="943"/>
      <c r="R235" s="943"/>
      <c r="S235" s="943"/>
      <c r="T235" s="943"/>
      <c r="U235" s="943"/>
      <c r="V235" s="943"/>
      <c r="W235" s="943"/>
      <c r="X235" s="943"/>
      <c r="Y235" s="943"/>
      <c r="Z235" s="944"/>
      <c r="AC235" s="131"/>
    </row>
    <row r="236" spans="2:29" s="130" customFormat="1" ht="90" thickBot="1" x14ac:dyDescent="0.3">
      <c r="B236" s="1119"/>
      <c r="C236" s="1120"/>
      <c r="D236" s="945"/>
      <c r="E236" s="946"/>
      <c r="F236" s="946"/>
      <c r="G236" s="946"/>
      <c r="H236" s="946"/>
      <c r="I236" s="946"/>
      <c r="J236" s="946"/>
      <c r="K236" s="946"/>
      <c r="L236" s="946"/>
      <c r="M236" s="947"/>
      <c r="N236" s="945"/>
      <c r="O236" s="946"/>
      <c r="P236" s="946"/>
      <c r="Q236" s="946"/>
      <c r="R236" s="946"/>
      <c r="S236" s="946"/>
      <c r="T236" s="946"/>
      <c r="U236" s="946"/>
      <c r="V236" s="946"/>
      <c r="W236" s="946"/>
      <c r="X236" s="946"/>
      <c r="Y236" s="946"/>
      <c r="Z236" s="947"/>
    </row>
  </sheetData>
  <autoFilter ref="A5:AZ5" xr:uid="{EDC8D351-135A-4E71-8318-BD7E28A4161F}">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mergeCells count="507">
    <mergeCell ref="B20:C20"/>
    <mergeCell ref="F20:G20"/>
    <mergeCell ref="J20:K20"/>
    <mergeCell ref="L20:M20"/>
    <mergeCell ref="T20:U20"/>
    <mergeCell ref="X20:Y20"/>
    <mergeCell ref="B21:C21"/>
    <mergeCell ref="F21:G21"/>
    <mergeCell ref="J21:K21"/>
    <mergeCell ref="L21:M21"/>
    <mergeCell ref="T21:U21"/>
    <mergeCell ref="X21:Y21"/>
    <mergeCell ref="N98:P98"/>
    <mergeCell ref="N112:P112"/>
    <mergeCell ref="M96:M112"/>
    <mergeCell ref="L96:L112"/>
    <mergeCell ref="K96:K112"/>
    <mergeCell ref="J96:J112"/>
    <mergeCell ref="I96:I112"/>
    <mergeCell ref="L79:L94"/>
    <mergeCell ref="N95:P95"/>
    <mergeCell ref="M79:M95"/>
    <mergeCell ref="K79:K95"/>
    <mergeCell ref="J79:J95"/>
    <mergeCell ref="I79:I95"/>
    <mergeCell ref="N108:P108"/>
    <mergeCell ref="N96:P96"/>
    <mergeCell ref="N97:P97"/>
    <mergeCell ref="N99:P99"/>
    <mergeCell ref="N100:P100"/>
    <mergeCell ref="N101:P101"/>
    <mergeCell ref="N102:P102"/>
    <mergeCell ref="B64:C64"/>
    <mergeCell ref="N64:P64"/>
    <mergeCell ref="B56:C56"/>
    <mergeCell ref="N56:P56"/>
    <mergeCell ref="B57:C57"/>
    <mergeCell ref="N57:P57"/>
    <mergeCell ref="B59:C59"/>
    <mergeCell ref="N59:P59"/>
    <mergeCell ref="N52:P52"/>
    <mergeCell ref="B61:C61"/>
    <mergeCell ref="N61:P61"/>
    <mergeCell ref="B62:C62"/>
    <mergeCell ref="N62:P62"/>
    <mergeCell ref="B63:C63"/>
    <mergeCell ref="N63:P63"/>
    <mergeCell ref="B54:C54"/>
    <mergeCell ref="N54:P54"/>
    <mergeCell ref="B58:C58"/>
    <mergeCell ref="N58:P58"/>
    <mergeCell ref="B60:C60"/>
    <mergeCell ref="N60:P60"/>
    <mergeCell ref="B55:C55"/>
    <mergeCell ref="N55:P55"/>
    <mergeCell ref="B225:C225"/>
    <mergeCell ref="D225:M227"/>
    <mergeCell ref="N225:Z227"/>
    <mergeCell ref="B226:C226"/>
    <mergeCell ref="B227:C227"/>
    <mergeCell ref="B234:C234"/>
    <mergeCell ref="D234:M236"/>
    <mergeCell ref="N234:Z236"/>
    <mergeCell ref="B235:C235"/>
    <mergeCell ref="B236:C236"/>
    <mergeCell ref="B228:C228"/>
    <mergeCell ref="D228:M230"/>
    <mergeCell ref="N228:Z230"/>
    <mergeCell ref="B229:C229"/>
    <mergeCell ref="B230:C230"/>
    <mergeCell ref="B231:C231"/>
    <mergeCell ref="D231:M233"/>
    <mergeCell ref="N231:Z233"/>
    <mergeCell ref="B232:C232"/>
    <mergeCell ref="B233:C233"/>
    <mergeCell ref="B219:C219"/>
    <mergeCell ref="D219:M221"/>
    <mergeCell ref="N219:Z221"/>
    <mergeCell ref="B220:C220"/>
    <mergeCell ref="B221:C221"/>
    <mergeCell ref="B222:C222"/>
    <mergeCell ref="D222:M224"/>
    <mergeCell ref="N222:Z224"/>
    <mergeCell ref="B223:C223"/>
    <mergeCell ref="B224:C224"/>
    <mergeCell ref="B213:C213"/>
    <mergeCell ref="D213:M215"/>
    <mergeCell ref="N213:Z215"/>
    <mergeCell ref="B214:C214"/>
    <mergeCell ref="B215:C215"/>
    <mergeCell ref="B216:C216"/>
    <mergeCell ref="D216:M218"/>
    <mergeCell ref="N216:Z218"/>
    <mergeCell ref="B217:C217"/>
    <mergeCell ref="B218:C218"/>
    <mergeCell ref="B207:C207"/>
    <mergeCell ref="D207:M209"/>
    <mergeCell ref="N207:Z209"/>
    <mergeCell ref="B208:C208"/>
    <mergeCell ref="B209:C209"/>
    <mergeCell ref="B210:C210"/>
    <mergeCell ref="D210:M212"/>
    <mergeCell ref="N210:Z212"/>
    <mergeCell ref="B211:C211"/>
    <mergeCell ref="B212:C212"/>
    <mergeCell ref="B201:C201"/>
    <mergeCell ref="D201:M203"/>
    <mergeCell ref="N201:Z203"/>
    <mergeCell ref="B202:C202"/>
    <mergeCell ref="B203:C203"/>
    <mergeCell ref="B204:C204"/>
    <mergeCell ref="D204:M206"/>
    <mergeCell ref="N204:Z206"/>
    <mergeCell ref="B205:C205"/>
    <mergeCell ref="B206:C206"/>
    <mergeCell ref="B195:C195"/>
    <mergeCell ref="D195:M197"/>
    <mergeCell ref="N195:Z197"/>
    <mergeCell ref="B196:C196"/>
    <mergeCell ref="B197:C197"/>
    <mergeCell ref="B198:C198"/>
    <mergeCell ref="D198:M200"/>
    <mergeCell ref="N198:Z200"/>
    <mergeCell ref="B199:C199"/>
    <mergeCell ref="B200:C200"/>
    <mergeCell ref="B186:C186"/>
    <mergeCell ref="B187:C187"/>
    <mergeCell ref="B188:C188"/>
    <mergeCell ref="B189:C189"/>
    <mergeCell ref="B190:C190"/>
    <mergeCell ref="B191:C191"/>
    <mergeCell ref="B192:C192"/>
    <mergeCell ref="D192:M194"/>
    <mergeCell ref="N192:Z194"/>
    <mergeCell ref="B193:C193"/>
    <mergeCell ref="B194:C194"/>
    <mergeCell ref="D186:M191"/>
    <mergeCell ref="N186:Z191"/>
    <mergeCell ref="B180:C180"/>
    <mergeCell ref="D180:M182"/>
    <mergeCell ref="N180:Z182"/>
    <mergeCell ref="B181:C181"/>
    <mergeCell ref="B182:C182"/>
    <mergeCell ref="B183:C183"/>
    <mergeCell ref="D183:M185"/>
    <mergeCell ref="N183:Z185"/>
    <mergeCell ref="B184:C184"/>
    <mergeCell ref="B185:C185"/>
    <mergeCell ref="B174:C174"/>
    <mergeCell ref="D174:M176"/>
    <mergeCell ref="N174:Z176"/>
    <mergeCell ref="B175:C175"/>
    <mergeCell ref="B176:C176"/>
    <mergeCell ref="B177:C177"/>
    <mergeCell ref="D177:M179"/>
    <mergeCell ref="N177:Z179"/>
    <mergeCell ref="B178:C178"/>
    <mergeCell ref="B179:C179"/>
    <mergeCell ref="B169:C169"/>
    <mergeCell ref="N169:P169"/>
    <mergeCell ref="B170:C170"/>
    <mergeCell ref="D170:M170"/>
    <mergeCell ref="N170:Z170"/>
    <mergeCell ref="B171:C171"/>
    <mergeCell ref="D171:M173"/>
    <mergeCell ref="N171:Z173"/>
    <mergeCell ref="B172:C172"/>
    <mergeCell ref="B173:C173"/>
    <mergeCell ref="B166:C166"/>
    <mergeCell ref="B167:C167"/>
    <mergeCell ref="N167:P167"/>
    <mergeCell ref="B168:C168"/>
    <mergeCell ref="N168:P168"/>
    <mergeCell ref="B157:C157"/>
    <mergeCell ref="N157:P157"/>
    <mergeCell ref="B158:C158"/>
    <mergeCell ref="N158:P158"/>
    <mergeCell ref="B159:C159"/>
    <mergeCell ref="N159:P159"/>
    <mergeCell ref="B160:C160"/>
    <mergeCell ref="N160:P160"/>
    <mergeCell ref="B162:C162"/>
    <mergeCell ref="N162:P162"/>
    <mergeCell ref="B163:C163"/>
    <mergeCell ref="N163:P163"/>
    <mergeCell ref="B165:C165"/>
    <mergeCell ref="N165:P165"/>
    <mergeCell ref="B164:C164"/>
    <mergeCell ref="N164:P164"/>
    <mergeCell ref="B161:C161"/>
    <mergeCell ref="N161:P161"/>
    <mergeCell ref="B156:C156"/>
    <mergeCell ref="N156:P156"/>
    <mergeCell ref="B145:C145"/>
    <mergeCell ref="N145:P145"/>
    <mergeCell ref="B146:C146"/>
    <mergeCell ref="B147:C147"/>
    <mergeCell ref="B148:C148"/>
    <mergeCell ref="B149:C149"/>
    <mergeCell ref="N149:P149"/>
    <mergeCell ref="B153:C153"/>
    <mergeCell ref="B151:C151"/>
    <mergeCell ref="N151:P151"/>
    <mergeCell ref="B155:C155"/>
    <mergeCell ref="N146:P146"/>
    <mergeCell ref="B150:C150"/>
    <mergeCell ref="N150:P150"/>
    <mergeCell ref="B152:C152"/>
    <mergeCell ref="B154:C154"/>
    <mergeCell ref="B142:C142"/>
    <mergeCell ref="N142:P142"/>
    <mergeCell ref="B143:C143"/>
    <mergeCell ref="N143:P143"/>
    <mergeCell ref="B144:C144"/>
    <mergeCell ref="N144:P144"/>
    <mergeCell ref="B139:C139"/>
    <mergeCell ref="N139:P139"/>
    <mergeCell ref="B140:C140"/>
    <mergeCell ref="N140:P140"/>
    <mergeCell ref="B141:C141"/>
    <mergeCell ref="N141:P141"/>
    <mergeCell ref="B136:C136"/>
    <mergeCell ref="N136:P136"/>
    <mergeCell ref="B137:C137"/>
    <mergeCell ref="N137:P137"/>
    <mergeCell ref="B138:C138"/>
    <mergeCell ref="N138:P138"/>
    <mergeCell ref="B132:C132"/>
    <mergeCell ref="N132:P132"/>
    <mergeCell ref="B134:C134"/>
    <mergeCell ref="N134:P134"/>
    <mergeCell ref="B135:C135"/>
    <mergeCell ref="N135:P135"/>
    <mergeCell ref="B133:C133"/>
    <mergeCell ref="N133:P133"/>
    <mergeCell ref="B129:C129"/>
    <mergeCell ref="N129:P129"/>
    <mergeCell ref="B130:C130"/>
    <mergeCell ref="N130:P130"/>
    <mergeCell ref="B131:C131"/>
    <mergeCell ref="N131:P131"/>
    <mergeCell ref="B125:C125"/>
    <mergeCell ref="N125:P125"/>
    <mergeCell ref="B127:C127"/>
    <mergeCell ref="N127:P127"/>
    <mergeCell ref="B128:C128"/>
    <mergeCell ref="N128:P128"/>
    <mergeCell ref="B126:C126"/>
    <mergeCell ref="N126:P126"/>
    <mergeCell ref="B122:C122"/>
    <mergeCell ref="N122:P122"/>
    <mergeCell ref="B123:C123"/>
    <mergeCell ref="N123:P123"/>
    <mergeCell ref="B124:C124"/>
    <mergeCell ref="N124:P124"/>
    <mergeCell ref="B118:C118"/>
    <mergeCell ref="N118:P118"/>
    <mergeCell ref="B119:C119"/>
    <mergeCell ref="N119:P119"/>
    <mergeCell ref="B120:C120"/>
    <mergeCell ref="N120:P120"/>
    <mergeCell ref="B121:C121"/>
    <mergeCell ref="N121:P121"/>
    <mergeCell ref="B115:C115"/>
    <mergeCell ref="N115:P115"/>
    <mergeCell ref="B116:C116"/>
    <mergeCell ref="N116:P116"/>
    <mergeCell ref="B117:C117"/>
    <mergeCell ref="N117:P117"/>
    <mergeCell ref="N109:P109"/>
    <mergeCell ref="N110:P110"/>
    <mergeCell ref="N111:P111"/>
    <mergeCell ref="B113:C113"/>
    <mergeCell ref="N113:P113"/>
    <mergeCell ref="B114:C114"/>
    <mergeCell ref="N114:P114"/>
    <mergeCell ref="H96:H112"/>
    <mergeCell ref="G96:G112"/>
    <mergeCell ref="F96:F112"/>
    <mergeCell ref="E96:E112"/>
    <mergeCell ref="D96:D112"/>
    <mergeCell ref="B96:C112"/>
    <mergeCell ref="N103:P103"/>
    <mergeCell ref="N104:P104"/>
    <mergeCell ref="N105:P105"/>
    <mergeCell ref="N106:P106"/>
    <mergeCell ref="N107:P107"/>
    <mergeCell ref="B79:C95"/>
    <mergeCell ref="H79:H95"/>
    <mergeCell ref="G79:G95"/>
    <mergeCell ref="F79:F95"/>
    <mergeCell ref="E79:E95"/>
    <mergeCell ref="N89:P89"/>
    <mergeCell ref="N79:P79"/>
    <mergeCell ref="N80:P80"/>
    <mergeCell ref="N81:P81"/>
    <mergeCell ref="N82:P82"/>
    <mergeCell ref="N83:P83"/>
    <mergeCell ref="N90:P90"/>
    <mergeCell ref="N91:P91"/>
    <mergeCell ref="N93:P93"/>
    <mergeCell ref="D79:D95"/>
    <mergeCell ref="N94:P94"/>
    <mergeCell ref="N92:P92"/>
    <mergeCell ref="N69:P69"/>
    <mergeCell ref="N70:P70"/>
    <mergeCell ref="N71:P71"/>
    <mergeCell ref="N72:P72"/>
    <mergeCell ref="N84:P84"/>
    <mergeCell ref="N85:P85"/>
    <mergeCell ref="N86:P86"/>
    <mergeCell ref="N87:P87"/>
    <mergeCell ref="N88:P88"/>
    <mergeCell ref="B68:C78"/>
    <mergeCell ref="D68:D78"/>
    <mergeCell ref="E68:E78"/>
    <mergeCell ref="F68:F78"/>
    <mergeCell ref="G68:G78"/>
    <mergeCell ref="H68:H78"/>
    <mergeCell ref="B65:C65"/>
    <mergeCell ref="N65:P65"/>
    <mergeCell ref="B66:C66"/>
    <mergeCell ref="N66:P66"/>
    <mergeCell ref="B67:C67"/>
    <mergeCell ref="N67:P67"/>
    <mergeCell ref="N73:P73"/>
    <mergeCell ref="N74:P74"/>
    <mergeCell ref="N75:P75"/>
    <mergeCell ref="N76:P76"/>
    <mergeCell ref="N77:P77"/>
    <mergeCell ref="N78:P78"/>
    <mergeCell ref="I68:I78"/>
    <mergeCell ref="J68:J78"/>
    <mergeCell ref="K68:K78"/>
    <mergeCell ref="L68:L78"/>
    <mergeCell ref="M68:M78"/>
    <mergeCell ref="N68:P68"/>
    <mergeCell ref="B49:C49"/>
    <mergeCell ref="B50:C50"/>
    <mergeCell ref="B51:C51"/>
    <mergeCell ref="B52:C52"/>
    <mergeCell ref="B53:C53"/>
    <mergeCell ref="N53:P53"/>
    <mergeCell ref="B45:C45"/>
    <mergeCell ref="N45:P45"/>
    <mergeCell ref="B46:C46"/>
    <mergeCell ref="N46:P46"/>
    <mergeCell ref="B47:C47"/>
    <mergeCell ref="B48:C48"/>
    <mergeCell ref="N47:P47"/>
    <mergeCell ref="N48:P48"/>
    <mergeCell ref="N49:P49"/>
    <mergeCell ref="N50:P50"/>
    <mergeCell ref="N51:P51"/>
    <mergeCell ref="B42:C42"/>
    <mergeCell ref="N42:P42"/>
    <mergeCell ref="B43:C43"/>
    <mergeCell ref="N43:P43"/>
    <mergeCell ref="B44:C44"/>
    <mergeCell ref="N44:P44"/>
    <mergeCell ref="B36:C36"/>
    <mergeCell ref="N36:P36"/>
    <mergeCell ref="B39:C39"/>
    <mergeCell ref="N39:P39"/>
    <mergeCell ref="B41:C41"/>
    <mergeCell ref="N41:P41"/>
    <mergeCell ref="B37:C37"/>
    <mergeCell ref="N37:P37"/>
    <mergeCell ref="B38:C38"/>
    <mergeCell ref="N38:P38"/>
    <mergeCell ref="B40:C40"/>
    <mergeCell ref="N40:P40"/>
    <mergeCell ref="B34:C34"/>
    <mergeCell ref="N34:P34"/>
    <mergeCell ref="B28:C28"/>
    <mergeCell ref="N28:P28"/>
    <mergeCell ref="B35:C35"/>
    <mergeCell ref="N35:P35"/>
    <mergeCell ref="B30:C30"/>
    <mergeCell ref="N30:P30"/>
    <mergeCell ref="B31:C31"/>
    <mergeCell ref="N31:P31"/>
    <mergeCell ref="B32:C32"/>
    <mergeCell ref="N32:P32"/>
    <mergeCell ref="B17:C17"/>
    <mergeCell ref="F17:G17"/>
    <mergeCell ref="B26:C26"/>
    <mergeCell ref="N26:P26"/>
    <mergeCell ref="J17:K17"/>
    <mergeCell ref="L17:M17"/>
    <mergeCell ref="T17:U17"/>
    <mergeCell ref="X17:Y17"/>
    <mergeCell ref="B18:C18"/>
    <mergeCell ref="F18:G18"/>
    <mergeCell ref="J18:K18"/>
    <mergeCell ref="L18:M18"/>
    <mergeCell ref="T18:U18"/>
    <mergeCell ref="X18:Y18"/>
    <mergeCell ref="B19:C19"/>
    <mergeCell ref="F19:G19"/>
    <mergeCell ref="J19:K19"/>
    <mergeCell ref="L19:M19"/>
    <mergeCell ref="T19:U19"/>
    <mergeCell ref="X19:Y19"/>
    <mergeCell ref="B24:Z24"/>
    <mergeCell ref="B25:C25"/>
    <mergeCell ref="F25:G25"/>
    <mergeCell ref="J25:K25"/>
    <mergeCell ref="B15:C15"/>
    <mergeCell ref="F15:G15"/>
    <mergeCell ref="J15:K15"/>
    <mergeCell ref="L15:M15"/>
    <mergeCell ref="T15:U15"/>
    <mergeCell ref="X15:Y15"/>
    <mergeCell ref="B16:C16"/>
    <mergeCell ref="F16:G16"/>
    <mergeCell ref="J16:K16"/>
    <mergeCell ref="L16:M16"/>
    <mergeCell ref="T16:U16"/>
    <mergeCell ref="X16:Y16"/>
    <mergeCell ref="B13:Z13"/>
    <mergeCell ref="B14:C14"/>
    <mergeCell ref="F14:G14"/>
    <mergeCell ref="J14:K14"/>
    <mergeCell ref="L14:M14"/>
    <mergeCell ref="T14:U14"/>
    <mergeCell ref="X14:Y14"/>
    <mergeCell ref="B12:C12"/>
    <mergeCell ref="F12:G12"/>
    <mergeCell ref="J12:K12"/>
    <mergeCell ref="L12:M12"/>
    <mergeCell ref="T12:U12"/>
    <mergeCell ref="X12:Y12"/>
    <mergeCell ref="B11:C11"/>
    <mergeCell ref="F11:G11"/>
    <mergeCell ref="J11:K11"/>
    <mergeCell ref="L11:M11"/>
    <mergeCell ref="T11:U11"/>
    <mergeCell ref="X11:Y11"/>
    <mergeCell ref="B10:C10"/>
    <mergeCell ref="F10:G10"/>
    <mergeCell ref="J10:K10"/>
    <mergeCell ref="L10:M10"/>
    <mergeCell ref="T10:U10"/>
    <mergeCell ref="X10:Y10"/>
    <mergeCell ref="T7:U7"/>
    <mergeCell ref="X7:Y7"/>
    <mergeCell ref="B6:C6"/>
    <mergeCell ref="F6:G6"/>
    <mergeCell ref="J6:K6"/>
    <mergeCell ref="L6:M6"/>
    <mergeCell ref="T6:U6"/>
    <mergeCell ref="X6:Y6"/>
    <mergeCell ref="B9:C9"/>
    <mergeCell ref="F9:G9"/>
    <mergeCell ref="J9:K9"/>
    <mergeCell ref="L9:M9"/>
    <mergeCell ref="T9:U9"/>
    <mergeCell ref="X9:Y9"/>
    <mergeCell ref="B8:C8"/>
    <mergeCell ref="F8:G8"/>
    <mergeCell ref="J8:K8"/>
    <mergeCell ref="L8:M8"/>
    <mergeCell ref="T8:U8"/>
    <mergeCell ref="X8:Y8"/>
    <mergeCell ref="O3:O4"/>
    <mergeCell ref="P3:P4"/>
    <mergeCell ref="Q3:Q4"/>
    <mergeCell ref="R3:R4"/>
    <mergeCell ref="S3:S4"/>
    <mergeCell ref="B7:C7"/>
    <mergeCell ref="F7:G7"/>
    <mergeCell ref="J7:K7"/>
    <mergeCell ref="L7:M7"/>
    <mergeCell ref="B22:Z22"/>
    <mergeCell ref="B23:C23"/>
    <mergeCell ref="F23:G23"/>
    <mergeCell ref="J23:K23"/>
    <mergeCell ref="L23:M23"/>
    <mergeCell ref="T23:U23"/>
    <mergeCell ref="X23:Y23"/>
    <mergeCell ref="B1:Z1"/>
    <mergeCell ref="B2:Z2"/>
    <mergeCell ref="B3:C4"/>
    <mergeCell ref="D3:D4"/>
    <mergeCell ref="E3:E4"/>
    <mergeCell ref="F3:G4"/>
    <mergeCell ref="H3:H4"/>
    <mergeCell ref="I3:I4"/>
    <mergeCell ref="J3:K4"/>
    <mergeCell ref="L3:M4"/>
    <mergeCell ref="T3:U4"/>
    <mergeCell ref="V3:V4"/>
    <mergeCell ref="W3:W4"/>
    <mergeCell ref="X3:Y4"/>
    <mergeCell ref="Z3:Z4"/>
    <mergeCell ref="B5:Z5"/>
    <mergeCell ref="N3:N4"/>
    <mergeCell ref="B27:C27"/>
    <mergeCell ref="N27:P27"/>
    <mergeCell ref="B29:C29"/>
    <mergeCell ref="N29:P29"/>
    <mergeCell ref="B33:C33"/>
    <mergeCell ref="N33:P33"/>
    <mergeCell ref="L25:M25"/>
    <mergeCell ref="T25:U25"/>
    <mergeCell ref="X25:Y25"/>
  </mergeCells>
  <conditionalFormatting sqref="B27">
    <cfRule type="duplicateValues" dxfId="252" priority="45"/>
  </conditionalFormatting>
  <conditionalFormatting sqref="N28:N53">
    <cfRule type="duplicateValues" dxfId="251" priority="44"/>
  </conditionalFormatting>
  <conditionalFormatting sqref="N115">
    <cfRule type="duplicateValues" dxfId="250" priority="46"/>
    <cfRule type="duplicateValues" dxfId="249" priority="47"/>
  </conditionalFormatting>
  <conditionalFormatting sqref="B119:B123">
    <cfRule type="duplicateValues" dxfId="248" priority="39"/>
  </conditionalFormatting>
  <conditionalFormatting sqref="B128:B132">
    <cfRule type="duplicateValues" dxfId="247" priority="31"/>
    <cfRule type="duplicateValues" dxfId="246" priority="32"/>
    <cfRule type="duplicateValues" dxfId="245" priority="33"/>
  </conditionalFormatting>
  <conditionalFormatting sqref="B130:B132">
    <cfRule type="duplicateValues" dxfId="244" priority="34"/>
    <cfRule type="duplicateValues" dxfId="243" priority="35"/>
    <cfRule type="duplicateValues" dxfId="242" priority="36"/>
  </conditionalFormatting>
  <conditionalFormatting sqref="N147:N168">
    <cfRule type="duplicateValues" dxfId="241" priority="42"/>
    <cfRule type="duplicateValues" dxfId="240" priority="43"/>
  </conditionalFormatting>
  <conditionalFormatting sqref="N115:N146">
    <cfRule type="duplicateValues" dxfId="239" priority="37"/>
    <cfRule type="duplicateValues" dxfId="238" priority="38"/>
  </conditionalFormatting>
  <conditionalFormatting sqref="N68 N71:N112">
    <cfRule type="duplicateValues" dxfId="237" priority="48"/>
    <cfRule type="duplicateValues" dxfId="236" priority="49"/>
    <cfRule type="duplicateValues" dxfId="235" priority="50"/>
  </conditionalFormatting>
  <conditionalFormatting sqref="B141:B143 B130:B132 B149:B168">
    <cfRule type="duplicateValues" dxfId="234" priority="28"/>
    <cfRule type="duplicateValues" dxfId="233" priority="29"/>
    <cfRule type="duplicateValues" dxfId="232" priority="30"/>
  </conditionalFormatting>
  <conditionalFormatting sqref="B22">
    <cfRule type="duplicateValues" dxfId="231" priority="51"/>
  </conditionalFormatting>
  <conditionalFormatting sqref="N147:N148">
    <cfRule type="duplicateValues" dxfId="230" priority="24"/>
    <cfRule type="duplicateValues" dxfId="229" priority="25"/>
  </conditionalFormatting>
  <conditionalFormatting sqref="B132:B140">
    <cfRule type="duplicateValues" dxfId="228" priority="17"/>
  </conditionalFormatting>
  <conditionalFormatting sqref="B139:B140">
    <cfRule type="duplicateValues" dxfId="227" priority="16"/>
  </conditionalFormatting>
  <conditionalFormatting sqref="B140">
    <cfRule type="duplicateValues" dxfId="226" priority="15"/>
  </conditionalFormatting>
  <conditionalFormatting sqref="B139:B140">
    <cfRule type="duplicateValues" dxfId="225" priority="18"/>
    <cfRule type="duplicateValues" dxfId="224" priority="19"/>
  </conditionalFormatting>
  <conditionalFormatting sqref="B139:B140">
    <cfRule type="duplicateValues" dxfId="223" priority="52"/>
  </conditionalFormatting>
  <conditionalFormatting sqref="B122:B125">
    <cfRule type="duplicateValues" dxfId="222" priority="11"/>
  </conditionalFormatting>
  <conditionalFormatting sqref="B122:B125">
    <cfRule type="duplicateValues" dxfId="221" priority="10"/>
  </conditionalFormatting>
  <conditionalFormatting sqref="B122:B125">
    <cfRule type="duplicateValues" dxfId="220" priority="13"/>
    <cfRule type="duplicateValues" dxfId="219" priority="14"/>
  </conditionalFormatting>
  <conditionalFormatting sqref="B122:B125">
    <cfRule type="duplicateValues" dxfId="218" priority="12"/>
  </conditionalFormatting>
  <conditionalFormatting sqref="B115:B122">
    <cfRule type="duplicateValues" dxfId="217" priority="53"/>
  </conditionalFormatting>
  <conditionalFormatting sqref="B128:B132 B115:B123">
    <cfRule type="duplicateValues" dxfId="216" priority="54"/>
    <cfRule type="duplicateValues" dxfId="215" priority="55"/>
  </conditionalFormatting>
  <conditionalFormatting sqref="B128:B132 B115:B123">
    <cfRule type="duplicateValues" dxfId="214" priority="56"/>
  </conditionalFormatting>
  <conditionalFormatting sqref="B124:B132">
    <cfRule type="duplicateValues" dxfId="213" priority="57"/>
    <cfRule type="duplicateValues" dxfId="212" priority="58"/>
    <cfRule type="duplicateValues" dxfId="211" priority="59"/>
  </conditionalFormatting>
  <conditionalFormatting sqref="B144:B148">
    <cfRule type="duplicateValues" dxfId="210" priority="1"/>
    <cfRule type="duplicateValues" dxfId="209" priority="2"/>
    <cfRule type="duplicateValues" dxfId="208" priority="3"/>
  </conditionalFormatting>
  <conditionalFormatting sqref="B144:B148">
    <cfRule type="duplicateValues" dxfId="207" priority="4"/>
    <cfRule type="duplicateValues" dxfId="206" priority="5"/>
  </conditionalFormatting>
  <conditionalFormatting sqref="B144:B148">
    <cfRule type="duplicateValues" dxfId="205" priority="6"/>
  </conditionalFormatting>
  <conditionalFormatting sqref="B144:B148">
    <cfRule type="duplicateValues" dxfId="204" priority="7"/>
    <cfRule type="duplicateValues" dxfId="203" priority="8"/>
    <cfRule type="duplicateValues" dxfId="202" priority="9"/>
  </conditionalFormatting>
  <conditionalFormatting sqref="B23">
    <cfRule type="duplicateValues" dxfId="201" priority="61"/>
  </conditionalFormatting>
  <conditionalFormatting sqref="B27:B65">
    <cfRule type="duplicateValues" dxfId="200" priority="65"/>
  </conditionalFormatting>
  <conditionalFormatting sqref="B28:B65">
    <cfRule type="duplicateValues" dxfId="199" priority="66"/>
  </conditionalFormatting>
  <conditionalFormatting sqref="B65 B46:B47 B58:B59">
    <cfRule type="duplicateValues" dxfId="198" priority="67"/>
  </conditionalFormatting>
  <conditionalFormatting sqref="N27:N65">
    <cfRule type="duplicateValues" dxfId="197" priority="68"/>
  </conditionalFormatting>
  <conditionalFormatting sqref="N54:N65">
    <cfRule type="duplicateValues" dxfId="196" priority="69"/>
  </conditionalFormatting>
  <conditionalFormatting sqref="N147:N168">
    <cfRule type="duplicateValues" dxfId="195" priority="72"/>
    <cfRule type="duplicateValues" dxfId="194" priority="73"/>
  </conditionalFormatting>
  <conditionalFormatting sqref="N147:N157">
    <cfRule type="duplicateValues" dxfId="193" priority="74"/>
    <cfRule type="duplicateValues" dxfId="192" priority="75"/>
  </conditionalFormatting>
  <conditionalFormatting sqref="B25">
    <cfRule type="duplicateValues" dxfId="191" priority="609"/>
  </conditionalFormatting>
  <conditionalFormatting sqref="B24:B25">
    <cfRule type="duplicateValues" dxfId="190" priority="610"/>
  </conditionalFormatting>
  <conditionalFormatting sqref="B6:B12">
    <cfRule type="duplicateValues" dxfId="189" priority="625"/>
  </conditionalFormatting>
  <conditionalFormatting sqref="B14:B21">
    <cfRule type="duplicateValues" dxfId="188" priority="640"/>
  </conditionalFormatting>
  <printOptions horizontalCentered="1" verticalCentered="1"/>
  <pageMargins left="0.19685039370078741" right="0.19685039370078741" top="0.19685039370078741" bottom="0.19685039370078741" header="0.31496062992125984" footer="0.31496062992125984"/>
  <pageSetup paperSize="14" scale="10" fitToHeight="0" orientation="landscape" horizontalDpi="360" verticalDpi="360" r:id="rId1"/>
  <rowBreaks count="7" manualBreakCount="7">
    <brk id="25" min="1" max="25" man="1"/>
    <brk id="113" min="1" max="25" man="1"/>
    <brk id="176" min="1" max="25" man="1"/>
    <brk id="191" min="1" max="25" man="1"/>
    <brk id="200" min="1" max="25" man="1"/>
    <brk id="212" min="1" max="25" man="1"/>
    <brk id="218" min="1" max="2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68106-63F8-4741-A383-9F872912FA33}">
  <dimension ref="A1:AZ242"/>
  <sheetViews>
    <sheetView workbookViewId="0"/>
  </sheetViews>
  <sheetFormatPr defaultColWidth="9" defaultRowHeight="32.5" x14ac:dyDescent="0.25"/>
  <cols>
    <col min="1" max="1" width="26.453125" style="128" customWidth="1"/>
    <col min="2" max="3" width="65.6328125" style="128" customWidth="1"/>
    <col min="4" max="4" width="55.54296875" style="128" customWidth="1"/>
    <col min="5" max="5" width="95.54296875" style="132" customWidth="1"/>
    <col min="6" max="7" width="55.54296875" style="132" customWidth="1"/>
    <col min="8" max="8" width="72.90625" style="132" bestFit="1" customWidth="1"/>
    <col min="9" max="9" width="46.453125" style="128" bestFit="1" customWidth="1"/>
    <col min="10" max="13" width="55.54296875" style="128" customWidth="1"/>
    <col min="14" max="14" width="46.453125" style="128" bestFit="1" customWidth="1"/>
    <col min="15" max="17" width="86.08984375" style="128" customWidth="1"/>
    <col min="18" max="18" width="65.36328125" style="128" customWidth="1"/>
    <col min="19" max="19" width="104.6328125" style="128" customWidth="1"/>
    <col min="20" max="21" width="65.54296875" style="128" customWidth="1"/>
    <col min="22" max="22" width="51.90625" style="128" bestFit="1" customWidth="1"/>
    <col min="23" max="23" width="95.54296875" style="132" customWidth="1"/>
    <col min="24" max="25" width="40.08984375" style="132" customWidth="1"/>
    <col min="26" max="26" width="55.54296875" style="128" bestFit="1" customWidth="1"/>
    <col min="27" max="36" width="9" style="128"/>
    <col min="37" max="37" width="8.7265625" style="128" customWidth="1"/>
    <col min="38" max="16384" width="9" style="128"/>
  </cols>
  <sheetData>
    <row r="1" spans="1:26" ht="88.5" x14ac:dyDescent="0.25">
      <c r="B1" s="1087" t="s">
        <v>539</v>
      </c>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9"/>
    </row>
    <row r="2" spans="1:26" ht="89" thickBot="1" x14ac:dyDescent="0.3">
      <c r="B2" s="1090" t="s">
        <v>553</v>
      </c>
      <c r="C2" s="1091"/>
      <c r="D2" s="1091"/>
      <c r="E2" s="1091"/>
      <c r="F2" s="1091"/>
      <c r="G2" s="1091"/>
      <c r="H2" s="1091"/>
      <c r="I2" s="1091"/>
      <c r="J2" s="1091"/>
      <c r="K2" s="1091"/>
      <c r="L2" s="1137"/>
      <c r="M2" s="1137"/>
      <c r="N2" s="1137"/>
      <c r="O2" s="1091"/>
      <c r="P2" s="1091"/>
      <c r="Q2" s="1091"/>
      <c r="R2" s="1091"/>
      <c r="S2" s="1091"/>
      <c r="T2" s="1091"/>
      <c r="U2" s="1091"/>
      <c r="V2" s="1091"/>
      <c r="W2" s="1091"/>
      <c r="X2" s="1091"/>
      <c r="Y2" s="1091"/>
      <c r="Z2" s="1092"/>
    </row>
    <row r="3" spans="1:26" s="129" customFormat="1" ht="117.5" customHeight="1" x14ac:dyDescent="0.25">
      <c r="B3" s="1093" t="s">
        <v>38</v>
      </c>
      <c r="C3" s="1070"/>
      <c r="D3" s="1071" t="s">
        <v>39</v>
      </c>
      <c r="E3" s="1071" t="s">
        <v>32</v>
      </c>
      <c r="F3" s="1094" t="s">
        <v>11</v>
      </c>
      <c r="G3" s="1070"/>
      <c r="H3" s="1071" t="s">
        <v>59</v>
      </c>
      <c r="I3" s="1071" t="s">
        <v>21</v>
      </c>
      <c r="J3" s="1095" t="s">
        <v>9</v>
      </c>
      <c r="K3" s="1138"/>
      <c r="L3" s="1136" t="s">
        <v>8</v>
      </c>
      <c r="M3" s="1136"/>
      <c r="N3" s="1136" t="s">
        <v>7</v>
      </c>
      <c r="O3" s="1070" t="s">
        <v>1993</v>
      </c>
      <c r="P3" s="1071" t="s">
        <v>37</v>
      </c>
      <c r="Q3" s="1071" t="s">
        <v>45</v>
      </c>
      <c r="R3" s="1071" t="s">
        <v>10</v>
      </c>
      <c r="S3" s="1071" t="s">
        <v>62</v>
      </c>
      <c r="T3" s="1094" t="s">
        <v>35</v>
      </c>
      <c r="U3" s="1070"/>
      <c r="V3" s="1094" t="s">
        <v>60</v>
      </c>
      <c r="W3" s="1094" t="s">
        <v>61</v>
      </c>
      <c r="X3" s="1095" t="s">
        <v>63</v>
      </c>
      <c r="Y3" s="1096"/>
      <c r="Z3" s="1099" t="s">
        <v>43</v>
      </c>
    </row>
    <row r="4" spans="1:26" s="129" customFormat="1" ht="117.5" customHeight="1" x14ac:dyDescent="0.25">
      <c r="B4" s="1093"/>
      <c r="C4" s="1070"/>
      <c r="D4" s="1071"/>
      <c r="E4" s="1071"/>
      <c r="F4" s="1094"/>
      <c r="G4" s="1070"/>
      <c r="H4" s="1071"/>
      <c r="I4" s="1071"/>
      <c r="J4" s="1097"/>
      <c r="K4" s="1139"/>
      <c r="L4" s="1136"/>
      <c r="M4" s="1136"/>
      <c r="N4" s="1136"/>
      <c r="O4" s="1070"/>
      <c r="P4" s="1071"/>
      <c r="Q4" s="1071"/>
      <c r="R4" s="1071"/>
      <c r="S4" s="1071"/>
      <c r="T4" s="1094"/>
      <c r="U4" s="1070"/>
      <c r="V4" s="1094"/>
      <c r="W4" s="1094"/>
      <c r="X4" s="1097"/>
      <c r="Y4" s="1098"/>
      <c r="Z4" s="1099"/>
    </row>
    <row r="5" spans="1:26" ht="90" x14ac:dyDescent="0.25">
      <c r="B5" s="1067" t="s">
        <v>26</v>
      </c>
      <c r="C5" s="1068"/>
      <c r="D5" s="1068"/>
      <c r="E5" s="1068"/>
      <c r="F5" s="1068"/>
      <c r="G5" s="1068"/>
      <c r="H5" s="1068"/>
      <c r="I5" s="1068"/>
      <c r="J5" s="1068"/>
      <c r="K5" s="1068"/>
      <c r="L5" s="1068"/>
      <c r="M5" s="1068"/>
      <c r="N5" s="1068"/>
      <c r="O5" s="1068"/>
      <c r="P5" s="1068"/>
      <c r="Q5" s="1068"/>
      <c r="R5" s="1068"/>
      <c r="S5" s="1068"/>
      <c r="T5" s="1068"/>
      <c r="U5" s="1068"/>
      <c r="V5" s="1068"/>
      <c r="W5" s="1068"/>
      <c r="X5" s="1068"/>
      <c r="Y5" s="1068"/>
      <c r="Z5" s="1069"/>
    </row>
    <row r="6" spans="1:26" s="350" customFormat="1" ht="368" x14ac:dyDescent="0.25">
      <c r="B6" s="1085" t="str">
        <f>input!C93</f>
        <v>LUMASOK, JOHANNAH SHAYNE T.</v>
      </c>
      <c r="C6" s="1086"/>
      <c r="D6" s="305" t="str">
        <f>input!D93</f>
        <v>STUDENT</v>
      </c>
      <c r="E6" s="305" t="str">
        <f>input!E93</f>
        <v>OJT</v>
      </c>
      <c r="F6" s="1077" t="str">
        <f>input!F93</f>
        <v>Occupational Illness / Pain</v>
      </c>
      <c r="G6" s="1078"/>
      <c r="H6" s="305" t="str">
        <f>input!G93</f>
        <v>Hoist Room</v>
      </c>
      <c r="I6" s="305" t="str">
        <f>input!H93</f>
        <v>1150L</v>
      </c>
      <c r="J6" s="1079" t="str">
        <f>input!I93</f>
        <v>June 2, 2026</v>
      </c>
      <c r="K6" s="1080"/>
      <c r="L6" s="1126">
        <f>input!J93</f>
        <v>0.44444444444444442</v>
      </c>
      <c r="M6" s="1126"/>
      <c r="N6" s="392" t="str">
        <f>input!K93</f>
        <v>Second</v>
      </c>
      <c r="O6" s="352" t="str">
        <f>input!L93</f>
        <v>Nelson L. Baguya II</v>
      </c>
      <c r="P6" s="352" t="str">
        <f>input!M93</f>
        <v>Jet Lee V. Chinanglas</v>
      </c>
      <c r="Q6" s="352" t="str">
        <f>input!N93</f>
        <v>Clinton O. Lingyasan</v>
      </c>
      <c r="R6" s="352" t="str">
        <f>input!O93</f>
        <v>OI</v>
      </c>
      <c r="S6" s="352" t="str">
        <f>input!P93</f>
        <v>Mine tour: Discussion at Hoist Room 1150L</v>
      </c>
      <c r="T6" s="1083" t="str">
        <f>input!Q93</f>
        <v>MAT/AOV/RWV</v>
      </c>
      <c r="U6" s="1084"/>
      <c r="V6" s="305" t="str">
        <f>input!R93</f>
        <v>ASG</v>
      </c>
      <c r="W6" s="305" t="str">
        <f>input!S93</f>
        <v>Human Resources</v>
      </c>
      <c r="X6" s="1077" t="str">
        <f>input!T93</f>
        <v>HR-Training</v>
      </c>
      <c r="Y6" s="1078"/>
      <c r="Z6" s="353" t="str">
        <f>input!U93</f>
        <v>MAT</v>
      </c>
    </row>
    <row r="7" spans="1:26" s="350" customFormat="1" ht="276" customHeight="1" x14ac:dyDescent="0.25">
      <c r="B7" s="1085" t="str">
        <f>input!C94</f>
        <v>GAMMONG, ROLLY B.</v>
      </c>
      <c r="C7" s="1086"/>
      <c r="D7" s="305">
        <f>input!D94</f>
        <v>818</v>
      </c>
      <c r="E7" s="305" t="str">
        <f>input!E94</f>
        <v>Lead Miner</v>
      </c>
      <c r="F7" s="1077" t="str">
        <f>input!F94</f>
        <v>Caught in Between</v>
      </c>
      <c r="G7" s="1078"/>
      <c r="H7" s="305" t="str">
        <f>input!G94</f>
        <v>Stope</v>
      </c>
      <c r="I7" s="305" t="str">
        <f>input!H94</f>
        <v>850L</v>
      </c>
      <c r="J7" s="1079">
        <f>input!I94</f>
        <v>46186</v>
      </c>
      <c r="K7" s="1080"/>
      <c r="L7" s="1126">
        <f>input!J94</f>
        <v>1.3888888888888888E-2</v>
      </c>
      <c r="M7" s="1126"/>
      <c r="N7" s="392" t="str">
        <f>input!K94</f>
        <v>First</v>
      </c>
      <c r="O7" s="352" t="str">
        <f>input!L94</f>
        <v>Venancio A. Bad-ay</v>
      </c>
      <c r="P7" s="352" t="str">
        <f>input!M94</f>
        <v>Dimas S. Gao-ay</v>
      </c>
      <c r="Q7" s="352" t="str">
        <f>input!N94</f>
        <v>Ryan M. Macaburas</v>
      </c>
      <c r="R7" s="352" t="str">
        <f>input!O94</f>
        <v>FAC</v>
      </c>
      <c r="S7" s="352" t="str">
        <f>input!P94</f>
        <v>Barring Down</v>
      </c>
      <c r="T7" s="1083" t="str">
        <f>input!Q94</f>
        <v>FPP</v>
      </c>
      <c r="U7" s="1084"/>
      <c r="V7" s="305" t="str">
        <f>input!R94</f>
        <v>MOG</v>
      </c>
      <c r="W7" s="305" t="str">
        <f>input!S94</f>
        <v>Dept. 1</v>
      </c>
      <c r="X7" s="1077" t="str">
        <f>input!T94</f>
        <v>Section 1</v>
      </c>
      <c r="Y7" s="1078"/>
      <c r="Z7" s="353" t="str">
        <f>input!U94</f>
        <v>MAT</v>
      </c>
    </row>
    <row r="8" spans="1:26" s="350" customFormat="1" ht="371" customHeight="1" x14ac:dyDescent="0.25">
      <c r="B8" s="1085" t="str">
        <f>input!C95</f>
        <v>LUGAO, KYLE RUSSEL T</v>
      </c>
      <c r="C8" s="1086"/>
      <c r="D8" s="305">
        <f>input!D95</f>
        <v>8473</v>
      </c>
      <c r="E8" s="305" t="str">
        <f>input!E95</f>
        <v>Assistant Miner</v>
      </c>
      <c r="F8" s="1077" t="str">
        <f>input!F95</f>
        <v>Over-Exertion in Lifting Objects</v>
      </c>
      <c r="G8" s="1078"/>
      <c r="H8" s="305" t="str">
        <f>input!G95</f>
        <v>Stope</v>
      </c>
      <c r="I8" s="305" t="str">
        <f>input!H95</f>
        <v>870L</v>
      </c>
      <c r="J8" s="1079">
        <f>input!I95</f>
        <v>46189</v>
      </c>
      <c r="K8" s="1080"/>
      <c r="L8" s="1126">
        <f>input!J95</f>
        <v>0.37847222222222227</v>
      </c>
      <c r="M8" s="1126"/>
      <c r="N8" s="392" t="str">
        <f>input!K95</f>
        <v>Second</v>
      </c>
      <c r="O8" s="352" t="str">
        <f>input!L95</f>
        <v>Venancio A. Bad-ay</v>
      </c>
      <c r="P8" s="352" t="str">
        <f>input!M95</f>
        <v>Dimas S. Gao-ay</v>
      </c>
      <c r="Q8" s="352" t="str">
        <f>input!N95</f>
        <v>N/A</v>
      </c>
      <c r="R8" s="352" t="str">
        <f>input!O95</f>
        <v>FAC</v>
      </c>
      <c r="S8" s="352" t="str">
        <f>input!P95</f>
        <v>Preaparation of tools and equipment prior for Rock Bolting</v>
      </c>
      <c r="T8" s="1083" t="str">
        <f>input!Q95</f>
        <v>MAT/AOV/SAU</v>
      </c>
      <c r="U8" s="1084"/>
      <c r="V8" s="305" t="str">
        <f>input!R95</f>
        <v>MOG</v>
      </c>
      <c r="W8" s="305" t="str">
        <f>input!S95</f>
        <v>Dept. 1</v>
      </c>
      <c r="X8" s="1077" t="str">
        <f>input!T95</f>
        <v>Section 1</v>
      </c>
      <c r="Y8" s="1078"/>
      <c r="Z8" s="353" t="str">
        <f>input!U95</f>
        <v>MAT</v>
      </c>
    </row>
    <row r="9" spans="1:26" s="350" customFormat="1" ht="184" x14ac:dyDescent="0.25">
      <c r="B9" s="1085" t="str">
        <f>input!C96</f>
        <v xml:space="preserve">OMERAG, FRIELAND F. </v>
      </c>
      <c r="C9" s="1086"/>
      <c r="D9" s="305">
        <f>input!D96</f>
        <v>7235</v>
      </c>
      <c r="E9" s="305" t="str">
        <f>input!E96</f>
        <v>Jr. Maintenance Man</v>
      </c>
      <c r="F9" s="1077" t="str">
        <f>input!F96</f>
        <v>Contact with Object</v>
      </c>
      <c r="G9" s="1078"/>
      <c r="H9" s="305" t="str">
        <f>input!G96</f>
        <v>Repair Bay</v>
      </c>
      <c r="I9" s="305" t="str">
        <f>input!H96</f>
        <v>1150L</v>
      </c>
      <c r="J9" s="1079">
        <f>input!I96</f>
        <v>46193</v>
      </c>
      <c r="K9" s="1080"/>
      <c r="L9" s="1126">
        <f>input!J96</f>
        <v>0.14583333333333334</v>
      </c>
      <c r="M9" s="1126"/>
      <c r="N9" s="392" t="str">
        <f>input!K96</f>
        <v>First</v>
      </c>
      <c r="O9" s="352" t="str">
        <f>input!L96</f>
        <v>Fernando A. Bustillo Jr.</v>
      </c>
      <c r="P9" s="352" t="str">
        <f>input!M96</f>
        <v>Alfon B. Yodong</v>
      </c>
      <c r="Q9" s="352" t="str">
        <f>input!N96</f>
        <v>Paterno B. Basingan</v>
      </c>
      <c r="R9" s="352" t="str">
        <f>input!O96</f>
        <v>FAC</v>
      </c>
      <c r="S9" s="352" t="str">
        <f>input!P96</f>
        <v>Cutting of LHD Canopy</v>
      </c>
      <c r="T9" s="1083" t="str">
        <f>input!Q96</f>
        <v>MAT/AOV</v>
      </c>
      <c r="U9" s="1084"/>
      <c r="V9" s="305" t="str">
        <f>input!R96</f>
        <v>MOG</v>
      </c>
      <c r="W9" s="305" t="str">
        <f>input!S96</f>
        <v>MMME</v>
      </c>
      <c r="X9" s="1077" t="str">
        <f>input!T96</f>
        <v>Mobile</v>
      </c>
      <c r="Y9" s="1078"/>
      <c r="Z9" s="353" t="str">
        <f>input!U96</f>
        <v>MAT</v>
      </c>
    </row>
    <row r="10" spans="1:26" ht="90" x14ac:dyDescent="0.25">
      <c r="B10" s="1072"/>
      <c r="C10" s="1073"/>
      <c r="D10" s="1073"/>
      <c r="E10" s="1073"/>
      <c r="F10" s="1073"/>
      <c r="G10" s="1073"/>
      <c r="H10" s="1073"/>
      <c r="I10" s="1073"/>
      <c r="J10" s="1073"/>
      <c r="K10" s="1073"/>
      <c r="L10" s="1073"/>
      <c r="M10" s="1073"/>
      <c r="N10" s="1073"/>
      <c r="O10" s="1073"/>
      <c r="P10" s="1073"/>
      <c r="Q10" s="1073"/>
      <c r="R10" s="1073"/>
      <c r="S10" s="1073"/>
      <c r="T10" s="1073"/>
      <c r="U10" s="1073"/>
      <c r="V10" s="1073"/>
      <c r="W10" s="1073"/>
      <c r="X10" s="1073"/>
      <c r="Y10" s="1073"/>
      <c r="Z10" s="1074"/>
    </row>
    <row r="11" spans="1:26" ht="184" x14ac:dyDescent="0.25">
      <c r="A11" s="350"/>
      <c r="B11" s="1075" t="str">
        <f>input!C97</f>
        <v>ESCAYO, BENCIO W.</v>
      </c>
      <c r="C11" s="1076"/>
      <c r="D11" s="305">
        <f>input!D97</f>
        <v>301</v>
      </c>
      <c r="E11" s="305" t="str">
        <f>input!E97</f>
        <v>UG Crusher Operator</v>
      </c>
      <c r="F11" s="1077" t="str">
        <f>input!F97</f>
        <v>Struck by Object</v>
      </c>
      <c r="G11" s="1078"/>
      <c r="H11" s="305" t="str">
        <f>input!G97</f>
        <v>UG Crusher</v>
      </c>
      <c r="I11" s="305" t="str">
        <f>input!H97</f>
        <v>900L</v>
      </c>
      <c r="J11" s="1079">
        <f>input!I97</f>
        <v>46181</v>
      </c>
      <c r="K11" s="1080"/>
      <c r="L11" s="1126">
        <f>input!J97</f>
        <v>0</v>
      </c>
      <c r="M11" s="1126"/>
      <c r="N11" s="392" t="str">
        <f>input!K97</f>
        <v>First</v>
      </c>
      <c r="O11" s="351" t="str">
        <f>input!L97</f>
        <v>Jayson T. Capia-ao</v>
      </c>
      <c r="P11" s="352" t="str">
        <f>input!M97</f>
        <v>Jenipher B. Rosito</v>
      </c>
      <c r="Q11" s="352" t="str">
        <f>input!N97</f>
        <v>Reynaldo C. Agno</v>
      </c>
      <c r="R11" s="352" t="str">
        <f>input!O97</f>
        <v>FAC</v>
      </c>
      <c r="S11" s="352" t="str">
        <f>input!P97</f>
        <v>Blasting big boulder</v>
      </c>
      <c r="T11" s="1083" t="str">
        <f>input!Q97</f>
        <v>ENC</v>
      </c>
      <c r="U11" s="1084"/>
      <c r="V11" s="305" t="str">
        <f>input!R97</f>
        <v>MOG</v>
      </c>
      <c r="W11" s="305" t="str">
        <f>input!S97</f>
        <v>GMS</v>
      </c>
      <c r="X11" s="1077" t="str">
        <f>input!T97</f>
        <v>Underground Crusher</v>
      </c>
      <c r="Y11" s="1078"/>
      <c r="Z11" s="353" t="str">
        <f>input!U97</f>
        <v>RML</v>
      </c>
    </row>
    <row r="12" spans="1:26" ht="184" customHeight="1" x14ac:dyDescent="0.25">
      <c r="A12" s="350"/>
      <c r="B12" s="1075" t="str">
        <f>input!C98</f>
        <v>GALAO, MARK ANTHONY J.</v>
      </c>
      <c r="C12" s="1076"/>
      <c r="D12" s="305">
        <f>input!D98</f>
        <v>9580</v>
      </c>
      <c r="E12" s="305" t="str">
        <f>input!E98</f>
        <v>Mill Mechanical Fitter</v>
      </c>
      <c r="F12" s="1077" t="str">
        <f>input!F98</f>
        <v>Struck by Object</v>
      </c>
      <c r="G12" s="1078"/>
      <c r="H12" s="305" t="str">
        <f>input!G98</f>
        <v>CIP - Refinery</v>
      </c>
      <c r="I12" s="305" t="str">
        <f>input!H98</f>
        <v>S (N/A)</v>
      </c>
      <c r="J12" s="1079">
        <f>input!I98</f>
        <v>46182</v>
      </c>
      <c r="K12" s="1080"/>
      <c r="L12" s="1126">
        <f>input!J98</f>
        <v>0.70833333333333337</v>
      </c>
      <c r="M12" s="1126"/>
      <c r="N12" s="392" t="str">
        <f>input!K98</f>
        <v>Third</v>
      </c>
      <c r="O12" s="351" t="str">
        <f>input!L98</f>
        <v>Kay B. Lacambra</v>
      </c>
      <c r="P12" s="352" t="str">
        <f>input!M98</f>
        <v xml:space="preserve">Ernesto L. Locaben Jr. </v>
      </c>
      <c r="Q12" s="352" t="str">
        <f>input!N98</f>
        <v>Ranel R. Narciso</v>
      </c>
      <c r="R12" s="352" t="str">
        <f>input!O98</f>
        <v>FAC</v>
      </c>
      <c r="S12" s="352" t="str">
        <f>input!P98</f>
        <v>Tightening of bolts</v>
      </c>
      <c r="T12" s="1083" t="str">
        <f>input!Q98</f>
        <v>MBK</v>
      </c>
      <c r="U12" s="1084"/>
      <c r="V12" s="305" t="str">
        <f>input!R98</f>
        <v>MPG</v>
      </c>
      <c r="W12" s="305" t="str">
        <f>input!S98</f>
        <v>Mill Mechanical</v>
      </c>
      <c r="X12" s="1077" t="str">
        <f>input!T98</f>
        <v>Refinery</v>
      </c>
      <c r="Y12" s="1078"/>
      <c r="Z12" s="353" t="str">
        <f>input!U98</f>
        <v>RML</v>
      </c>
    </row>
    <row r="13" spans="1:26" ht="184" customHeight="1" x14ac:dyDescent="0.25">
      <c r="A13" s="350"/>
      <c r="B13" s="1075" t="str">
        <f>input!C99</f>
        <v>WALLIS, MAYNARD</v>
      </c>
      <c r="C13" s="1076"/>
      <c r="D13" s="305">
        <f>input!D99</f>
        <v>3107</v>
      </c>
      <c r="E13" s="305" t="str">
        <f>input!E99</f>
        <v>Electrician</v>
      </c>
      <c r="F13" s="1077" t="str">
        <f>input!F99</f>
        <v>Contact with Object</v>
      </c>
      <c r="G13" s="1078"/>
      <c r="H13" s="305" t="str">
        <f>input!G99</f>
        <v>La Guerta Area</v>
      </c>
      <c r="I13" s="305" t="str">
        <f>input!H99</f>
        <v>S (N/A)</v>
      </c>
      <c r="J13" s="1079">
        <f>input!I99</f>
        <v>46203</v>
      </c>
      <c r="K13" s="1080"/>
      <c r="L13" s="1126">
        <f>input!J99</f>
        <v>0.4375</v>
      </c>
      <c r="M13" s="1126"/>
      <c r="N13" s="392" t="str">
        <f>input!K99</f>
        <v>Second</v>
      </c>
      <c r="O13" s="351" t="str">
        <f>input!L99</f>
        <v>Rolando E. Ventura</v>
      </c>
      <c r="P13" s="352" t="str">
        <f>input!M99</f>
        <v>Darwin S. Coloma</v>
      </c>
      <c r="Q13" s="352" t="str">
        <f>input!N99</f>
        <v>Larry S. Andomang</v>
      </c>
      <c r="R13" s="352" t="str">
        <f>input!O99</f>
        <v>FAC</v>
      </c>
      <c r="S13" s="352" t="str">
        <f>input!P99</f>
        <v>Tensioning of cable wire</v>
      </c>
      <c r="T13" s="1083" t="str">
        <f>input!Q99</f>
        <v>RML</v>
      </c>
      <c r="U13" s="1084"/>
      <c r="V13" s="305" t="str">
        <f>input!R99</f>
        <v>TSG</v>
      </c>
      <c r="W13" s="305" t="str">
        <f>input!S99</f>
        <v>SMED</v>
      </c>
      <c r="X13" s="1077" t="str">
        <f>input!T99</f>
        <v>Surface Electrical</v>
      </c>
      <c r="Y13" s="1078"/>
      <c r="Z13" s="353" t="str">
        <f>input!U99</f>
        <v>RML</v>
      </c>
    </row>
    <row r="14" spans="1:26" ht="184" x14ac:dyDescent="0.25">
      <c r="A14" s="350"/>
      <c r="B14" s="1075" t="str">
        <f>input!C100</f>
        <v>DAO-WOK, KELVIN</v>
      </c>
      <c r="C14" s="1076"/>
      <c r="D14" s="305">
        <f>input!D100</f>
        <v>8667</v>
      </c>
      <c r="E14" s="305" t="str">
        <f>input!E100</f>
        <v>Jr. Mechanic / Driver</v>
      </c>
      <c r="F14" s="1077" t="str">
        <f>input!F100</f>
        <v>Caught on</v>
      </c>
      <c r="G14" s="1078"/>
      <c r="H14" s="305" t="str">
        <f>input!G100</f>
        <v>Upper Tram</v>
      </c>
      <c r="I14" s="305" t="str">
        <f>input!H100</f>
        <v>S (N/A)</v>
      </c>
      <c r="J14" s="1079">
        <f>input!I100</f>
        <v>46203</v>
      </c>
      <c r="K14" s="1080"/>
      <c r="L14" s="1126">
        <f>input!J100</f>
        <v>0.54166666666666663</v>
      </c>
      <c r="M14" s="1126"/>
      <c r="N14" s="392" t="str">
        <f>input!K100</f>
        <v>Second</v>
      </c>
      <c r="O14" s="351" t="str">
        <f>input!L100</f>
        <v>Larry E. Arigue</v>
      </c>
      <c r="P14" s="352" t="str">
        <f>input!M100</f>
        <v>Melno S. Palayen</v>
      </c>
      <c r="Q14" s="352" t="str">
        <f>input!N100</f>
        <v>Raul S. Visperas</v>
      </c>
      <c r="R14" s="352" t="str">
        <f>input!O100</f>
        <v>NM</v>
      </c>
      <c r="S14" s="352" t="str">
        <f>input!P100</f>
        <v>Unloading of sandfill</v>
      </c>
      <c r="T14" s="1083" t="str">
        <f>input!Q100</f>
        <v>RML</v>
      </c>
      <c r="U14" s="1084"/>
      <c r="V14" s="305" t="str">
        <f>input!R100</f>
        <v>TSG</v>
      </c>
      <c r="W14" s="305" t="str">
        <f>input!S100</f>
        <v>MWSO</v>
      </c>
      <c r="X14" s="1077" t="str">
        <f>input!T100</f>
        <v>Motorpool / Transport</v>
      </c>
      <c r="Y14" s="1078"/>
      <c r="Z14" s="353" t="str">
        <f>input!U100</f>
        <v>RML</v>
      </c>
    </row>
    <row r="15" spans="1:26" ht="90" customHeight="1" x14ac:dyDescent="0.25">
      <c r="B15" s="1072" t="s">
        <v>80</v>
      </c>
      <c r="C15" s="1073"/>
      <c r="D15" s="1073"/>
      <c r="E15" s="1073"/>
      <c r="F15" s="1073"/>
      <c r="G15" s="1073"/>
      <c r="H15" s="1073"/>
      <c r="I15" s="1073"/>
      <c r="J15" s="1073"/>
      <c r="K15" s="1073"/>
      <c r="L15" s="1073"/>
      <c r="M15" s="1073"/>
      <c r="N15" s="1073"/>
      <c r="O15" s="1073"/>
      <c r="P15" s="1073"/>
      <c r="Q15" s="1073"/>
      <c r="R15" s="1073"/>
      <c r="S15" s="1073"/>
      <c r="T15" s="1073"/>
      <c r="U15" s="1073"/>
      <c r="V15" s="1073"/>
      <c r="W15" s="1073"/>
      <c r="X15" s="1073"/>
      <c r="Y15" s="1073"/>
      <c r="Z15" s="1074"/>
    </row>
    <row r="16" spans="1:26" ht="92" x14ac:dyDescent="0.25">
      <c r="A16" s="350"/>
      <c r="B16" s="1075" t="s">
        <v>1982</v>
      </c>
      <c r="C16" s="1076"/>
      <c r="D16" s="305"/>
      <c r="E16" s="305"/>
      <c r="F16" s="1077"/>
      <c r="G16" s="1078"/>
      <c r="H16" s="305"/>
      <c r="I16" s="305"/>
      <c r="J16" s="1079"/>
      <c r="K16" s="1080"/>
      <c r="L16" s="1126"/>
      <c r="M16" s="1126"/>
      <c r="N16" s="392"/>
      <c r="O16" s="352"/>
      <c r="P16" s="352"/>
      <c r="Q16" s="352"/>
      <c r="R16" s="305"/>
      <c r="S16" s="305"/>
      <c r="T16" s="1083"/>
      <c r="U16" s="1084"/>
      <c r="V16" s="305"/>
      <c r="W16" s="305"/>
      <c r="X16" s="1077"/>
      <c r="Y16" s="1078"/>
      <c r="Z16" s="353"/>
    </row>
    <row r="17" spans="1:26" ht="90" customHeight="1" x14ac:dyDescent="0.25">
      <c r="B17" s="1072" t="s">
        <v>675</v>
      </c>
      <c r="C17" s="1073"/>
      <c r="D17" s="1073"/>
      <c r="E17" s="1073"/>
      <c r="F17" s="1073"/>
      <c r="G17" s="1073"/>
      <c r="H17" s="1073"/>
      <c r="I17" s="1073"/>
      <c r="J17" s="1073"/>
      <c r="K17" s="1073"/>
      <c r="L17" s="1073"/>
      <c r="M17" s="1073"/>
      <c r="N17" s="1073"/>
      <c r="O17" s="1073"/>
      <c r="P17" s="1073"/>
      <c r="Q17" s="1073"/>
      <c r="R17" s="1073"/>
      <c r="S17" s="1073"/>
      <c r="T17" s="1073"/>
      <c r="U17" s="1073"/>
      <c r="V17" s="1073"/>
      <c r="W17" s="1073"/>
      <c r="X17" s="1073"/>
      <c r="Y17" s="1073"/>
      <c r="Z17" s="1074"/>
    </row>
    <row r="18" spans="1:26" s="133" customFormat="1" ht="184.5" thickBot="1" x14ac:dyDescent="0.3">
      <c r="A18" s="350"/>
      <c r="B18" s="1075" t="str">
        <f>input!C101</f>
        <v>FOREST FIRE</v>
      </c>
      <c r="C18" s="1076"/>
      <c r="D18" s="304" t="str">
        <f>input!D101</f>
        <v>N/A - EI</v>
      </c>
      <c r="E18" s="304" t="str">
        <f>input!E101</f>
        <v>Forest Fire</v>
      </c>
      <c r="F18" s="1077" t="str">
        <f>input!F101</f>
        <v>Fire</v>
      </c>
      <c r="G18" s="1078"/>
      <c r="H18" s="305" t="str">
        <f>input!G101</f>
        <v>Marivic Rd., Sapid</v>
      </c>
      <c r="I18" s="305" t="str">
        <f>input!H101</f>
        <v>S (N/A)</v>
      </c>
      <c r="J18" s="1100" t="str">
        <f>input!I101</f>
        <v>June 23, 2026</v>
      </c>
      <c r="K18" s="1101"/>
      <c r="L18" s="1126">
        <f>input!J101</f>
        <v>0.55555555555555558</v>
      </c>
      <c r="M18" s="1126"/>
      <c r="N18" s="392" t="str">
        <f>input!K101</f>
        <v>Second</v>
      </c>
      <c r="O18" s="352" t="str">
        <f>input!L101</f>
        <v>N/A</v>
      </c>
      <c r="P18" s="352" t="str">
        <f>input!M101</f>
        <v>N/A</v>
      </c>
      <c r="Q18" s="352" t="str">
        <f>input!N101</f>
        <v>N/A</v>
      </c>
      <c r="R18" s="352" t="str">
        <f>input!O101</f>
        <v>EI</v>
      </c>
      <c r="S18" s="352" t="str">
        <f>input!P101</f>
        <v>Normal Surface Operations</v>
      </c>
      <c r="T18" s="1083" t="str">
        <f>input!Q101</f>
        <v>RML</v>
      </c>
      <c r="U18" s="1084"/>
      <c r="V18" s="305" t="str">
        <f>input!R101</f>
        <v>ASG</v>
      </c>
      <c r="W18" s="305" t="str">
        <f>input!S101</f>
        <v>IOSD</v>
      </c>
      <c r="X18" s="1077" t="str">
        <f>input!T101</f>
        <v>N/A - Community</v>
      </c>
      <c r="Y18" s="1078"/>
      <c r="Z18" s="353" t="str">
        <f>input!U101</f>
        <v>KTA</v>
      </c>
    </row>
    <row r="19" spans="1:26" ht="82" customHeight="1" x14ac:dyDescent="0.25">
      <c r="B19" s="1102" t="s">
        <v>22</v>
      </c>
      <c r="C19" s="1103"/>
      <c r="D19" s="306" t="s">
        <v>6</v>
      </c>
      <c r="E19" s="306" t="s">
        <v>2</v>
      </c>
      <c r="F19" s="306" t="s">
        <v>3</v>
      </c>
      <c r="G19" s="306" t="s">
        <v>1</v>
      </c>
      <c r="H19" s="306" t="s">
        <v>0</v>
      </c>
      <c r="I19" s="306" t="s">
        <v>53</v>
      </c>
      <c r="J19" s="306" t="s">
        <v>12</v>
      </c>
      <c r="K19" s="306" t="s">
        <v>693</v>
      </c>
      <c r="L19" s="306" t="s">
        <v>5</v>
      </c>
      <c r="M19" s="307" t="s">
        <v>40</v>
      </c>
      <c r="N19" s="1008" t="s">
        <v>11</v>
      </c>
      <c r="O19" s="1008"/>
      <c r="P19" s="1007"/>
      <c r="Q19" s="308" t="s">
        <v>6</v>
      </c>
      <c r="R19" s="308" t="s">
        <v>2</v>
      </c>
      <c r="S19" s="308" t="s">
        <v>3</v>
      </c>
      <c r="T19" s="308" t="s">
        <v>1</v>
      </c>
      <c r="U19" s="308" t="s">
        <v>0</v>
      </c>
      <c r="V19" s="308" t="s">
        <v>53</v>
      </c>
      <c r="W19" s="308" t="s">
        <v>12</v>
      </c>
      <c r="X19" s="308" t="s">
        <v>693</v>
      </c>
      <c r="Y19" s="308" t="s">
        <v>5</v>
      </c>
      <c r="Z19" s="309" t="s">
        <v>40</v>
      </c>
    </row>
    <row r="20" spans="1:26" ht="92" x14ac:dyDescent="0.25">
      <c r="B20" s="1230" t="s">
        <v>33</v>
      </c>
      <c r="C20" s="1231"/>
      <c r="D20" s="310">
        <f>COUNTIFS(input!$O:$O,June!$D$19,input!$E:$E,June!B20,input!$A:$A,June!$B$2)</f>
        <v>0</v>
      </c>
      <c r="E20" s="310">
        <f>COUNTIFS(input!$O:$O,June!$E$19,input!$E:$E,June!B20,input!$A:$A,June!$B$2)</f>
        <v>0</v>
      </c>
      <c r="F20" s="310">
        <f>COUNTIFS(input!$O:$O,June!$F$19,input!$E:$E,June!B20,input!$A:$A,June!$B$2)</f>
        <v>0</v>
      </c>
      <c r="G20" s="311">
        <f>COUNTIFS(input!$O:$O,June!$G$19,input!$E:$E,June!B20,input!$A:$A,June!$B$2)</f>
        <v>1</v>
      </c>
      <c r="H20" s="311">
        <f>COUNTIFS(input!$O:$O,June!$H$19,input!$E:$E,June!B20,input!$A:$A,June!$B$2)</f>
        <v>0</v>
      </c>
      <c r="I20" s="311">
        <f>COUNTIFS(input!$O:$O,June!$I$19,input!$E:$E,June!B20,input!$A:$A,June!$B$2)</f>
        <v>0</v>
      </c>
      <c r="J20" s="311">
        <f>COUNTIFS(input!$O:$O,June!$K$19,input!$E:$E,June!B20,input!$A:$A,June!$B$2)</f>
        <v>0</v>
      </c>
      <c r="K20" s="311">
        <f>COUNTIFS(input!$O:$O,June!$K$19,input!$E:$E,June!B20,input!$A:$A,June!$B$2)</f>
        <v>0</v>
      </c>
      <c r="L20" s="312">
        <f t="shared" ref="L20:L31" si="0">SUM(D20:K20)</f>
        <v>1</v>
      </c>
      <c r="M20" s="313" cm="1">
        <f t="array" ref="M20">_xlfn.IFS(L20=0,0,L20&gt;=1,L20/$L$65)</f>
        <v>0.1111111111111111</v>
      </c>
      <c r="N20" s="1232" t="s">
        <v>86</v>
      </c>
      <c r="O20" s="1232"/>
      <c r="P20" s="1233"/>
      <c r="Q20" s="310">
        <f>COUNTIFS(input!$O:$O,June!$Q$19,input!$F:$F,June!N20,input!$A:$A,June!$B$2)</f>
        <v>0</v>
      </c>
      <c r="R20" s="310">
        <f>COUNTIFS(input!$O:$O,June!$R$19,input!$F:$F,June!N20,input!$A:$A,June!$B$2)</f>
        <v>0</v>
      </c>
      <c r="S20" s="310">
        <f>COUNTIFS(input!$O:$O,June!$S$19,input!$F:$F,June!N20,input!$A:$A,June!$B$2)</f>
        <v>0</v>
      </c>
      <c r="T20" s="314">
        <f>COUNTIFS(input!$O:$O,June!$T$19,input!$F:$F,June!N20,input!$A:$A,June!$B$2)</f>
        <v>0</v>
      </c>
      <c r="U20" s="314">
        <f>COUNTIFS(input!$O:$O,June!$U$19,input!$F:$F,June!N20,input!$A:$A,June!$B$2)</f>
        <v>0</v>
      </c>
      <c r="V20" s="314">
        <f>COUNTIFS(input!$O:$O,June!$V$19,input!$F:$F,June!N20,input!$A:$A,June!$B$2)</f>
        <v>0</v>
      </c>
      <c r="W20" s="314">
        <f>COUNTIFS(input!$O:$O,June!$W$19,input!$F:$F,June!N20,input!$A:$A,June!$B$2)</f>
        <v>0</v>
      </c>
      <c r="X20" s="314">
        <f>COUNTIFS(input!$O:$O,June!$X$19,input!$F:$F,June!N20,input!$A:$A,June!$B$2)</f>
        <v>0</v>
      </c>
      <c r="Y20" s="312">
        <f t="shared" ref="Y20:Y29" si="1">SUM(Q20:X20)</f>
        <v>0</v>
      </c>
      <c r="Z20" s="315" cm="1">
        <f t="array" ref="Z20">_xlfn.IFS(Y20=0,0,Y20&gt;=1,Y20/$Y$65)</f>
        <v>0</v>
      </c>
    </row>
    <row r="21" spans="1:26" ht="92" hidden="1" x14ac:dyDescent="0.25">
      <c r="B21" s="990" t="s">
        <v>1949</v>
      </c>
      <c r="C21" s="991"/>
      <c r="D21" s="316">
        <f>COUNTIFS(input!$O:$O,June!$D$19,input!$E:$E,June!B21,input!$A:$A,June!$B$2)</f>
        <v>0</v>
      </c>
      <c r="E21" s="316">
        <f>COUNTIFS(input!$O:$O,June!$E$19,input!$E:$E,June!B21,input!$A:$A,June!$B$2)</f>
        <v>0</v>
      </c>
      <c r="F21" s="317">
        <f>COUNTIFS(input!$O:$O,June!$F$19,input!$E:$E,June!B21,input!$A:$A,June!$B$2)</f>
        <v>0</v>
      </c>
      <c r="G21" s="318">
        <f>COUNTIFS(input!$O:$O,June!$G$19,input!$E:$E,June!B21,input!$A:$A,June!$B$2)</f>
        <v>0</v>
      </c>
      <c r="H21" s="318">
        <f>COUNTIFS(input!$O:$O,June!$H$19,input!$E:$E,June!B21,input!$A:$A,June!$B$2)</f>
        <v>0</v>
      </c>
      <c r="I21" s="318">
        <f>COUNTIFS(input!$O:$O,June!$I$19,input!$E:$E,June!B21,input!$A:$A,June!$B$2)</f>
        <v>0</v>
      </c>
      <c r="J21" s="318">
        <f>COUNTIFS(input!$O:$O,June!$K$19,input!$E:$E,June!B21,input!$A:$A,June!$B$2)</f>
        <v>0</v>
      </c>
      <c r="K21" s="319">
        <f>COUNTIFS(input!$O:$O,June!$K$19,input!$E:$E,June!B21,input!$A:$A,June!$B$2)</f>
        <v>0</v>
      </c>
      <c r="L21" s="312">
        <f t="shared" si="0"/>
        <v>0</v>
      </c>
      <c r="M21" s="313" cm="1">
        <f t="array" ref="M21">_xlfn.IFS(L21=0,0,L21&gt;=1,L21/$L$65)</f>
        <v>0</v>
      </c>
      <c r="N21" s="1065" t="s">
        <v>138</v>
      </c>
      <c r="O21" s="1065"/>
      <c r="P21" s="1066"/>
      <c r="Q21" s="316">
        <f>COUNTIFS(input!$O:$O,June!$Q$19,input!$F:$F,June!N21,input!$A:$A,June!$B$2)</f>
        <v>0</v>
      </c>
      <c r="R21" s="316">
        <f>COUNTIFS(input!$O:$O,June!$R$19,input!$F:$F,June!N21,input!$A:$A,June!$B$2)</f>
        <v>0</v>
      </c>
      <c r="S21" s="316">
        <f>COUNTIFS(input!$O:$O,June!$S$19,input!$F:$F,June!N21,input!$A:$A,June!$B$2)</f>
        <v>0</v>
      </c>
      <c r="T21" s="321">
        <f>COUNTIFS(input!$O:$O,June!$T$19,input!$F:$F,June!N21,input!$A:$A,June!$B$2)</f>
        <v>0</v>
      </c>
      <c r="U21" s="322">
        <f>COUNTIFS(input!$O:$O,June!$U$19,input!$F:$F,June!N21,input!$A:$A,June!$B$2)</f>
        <v>0</v>
      </c>
      <c r="V21" s="322">
        <f>COUNTIFS(input!$O:$O,June!$V$19,input!$F:$F,June!N21,input!$A:$A,June!$B$2)</f>
        <v>0</v>
      </c>
      <c r="W21" s="323">
        <f>COUNTIFS(input!$O:$O,June!$W$19,input!$F:$F,June!N21,input!$A:$A,June!$B$2)</f>
        <v>0</v>
      </c>
      <c r="X21" s="324">
        <f>COUNTIFS(input!$O:$O,June!$X$19,input!$F:$F,June!N21,input!$A:$A,June!$B$2)</f>
        <v>0</v>
      </c>
      <c r="Y21" s="312">
        <f t="shared" si="1"/>
        <v>0</v>
      </c>
      <c r="Z21" s="315" cm="1">
        <f t="array" ref="Z21">_xlfn.IFS(Y21=0,0,Y21&gt;=1,Y21/$Y$65)</f>
        <v>0</v>
      </c>
    </row>
    <row r="22" spans="1:26" ht="92" customHeight="1" x14ac:dyDescent="0.25">
      <c r="B22" s="990" t="s">
        <v>1781</v>
      </c>
      <c r="C22" s="991"/>
      <c r="D22" s="316">
        <f>COUNTIFS(input!$O:$O,June!$D$19,input!$E:$E,June!B22,input!$A:$A,June!$B$2)</f>
        <v>0</v>
      </c>
      <c r="E22" s="316">
        <f>COUNTIFS(input!$O:$O,June!$E$19,input!$E:$E,June!B22,input!$A:$A,June!$B$2)</f>
        <v>0</v>
      </c>
      <c r="F22" s="317">
        <f>COUNTIFS(input!$O:$O,June!$F$19,input!$E:$E,June!B22,input!$A:$A,June!$B$2)</f>
        <v>0</v>
      </c>
      <c r="G22" s="318">
        <f>COUNTIFS(input!$O:$O,June!$G$19,input!$E:$E,June!B22,input!$A:$A,June!$B$2)</f>
        <v>0</v>
      </c>
      <c r="H22" s="318">
        <f>COUNTIFS(input!$O:$O,June!$H$19,input!$E:$E,June!B22,input!$A:$A,June!$B$2)</f>
        <v>0</v>
      </c>
      <c r="I22" s="318">
        <f>COUNTIFS(input!$O:$O,June!$I$19,input!$E:$E,June!B22,input!$A:$A,June!$B$2)</f>
        <v>0</v>
      </c>
      <c r="J22" s="318">
        <f>COUNTIFS(input!$O:$O,June!$K$19,input!$E:$E,June!B22,input!$A:$A,June!$B$2)</f>
        <v>0</v>
      </c>
      <c r="K22" s="319">
        <f>COUNTIFS(input!$O:$O,June!$K$19,input!$E:$E,June!B22,input!$A:$A,June!$B$2)</f>
        <v>0</v>
      </c>
      <c r="L22" s="312">
        <f t="shared" si="0"/>
        <v>0</v>
      </c>
      <c r="M22" s="313" cm="1">
        <f t="array" ref="M22">_xlfn.IFS(L22=0,0,L22&gt;=1,L22/$L$65)</f>
        <v>0</v>
      </c>
      <c r="N22" s="1234" t="s">
        <v>17</v>
      </c>
      <c r="O22" s="1235"/>
      <c r="P22" s="1236"/>
      <c r="Q22" s="316">
        <f>COUNTIFS(input!$O:$O,June!$Q$19,input!$F:$F,June!N22,input!$A:$A,June!$B$2)</f>
        <v>0</v>
      </c>
      <c r="R22" s="316">
        <f>COUNTIFS(input!$O:$O,June!$R$19,input!$F:$F,June!N22,input!$A:$A,June!$B$2)</f>
        <v>0</v>
      </c>
      <c r="S22" s="316">
        <f>COUNTIFS(input!$O:$O,June!$S$19,input!$F:$F,June!N22,input!$A:$A,June!$B$2)</f>
        <v>0</v>
      </c>
      <c r="T22" s="321">
        <f>COUNTIFS(input!$O:$O,June!$T$19,input!$F:$F,June!N22,input!$A:$A,June!$B$2)</f>
        <v>2</v>
      </c>
      <c r="U22" s="322">
        <f>COUNTIFS(input!$O:$O,June!$U$19,input!$F:$F,June!N22,input!$A:$A,June!$B$2)</f>
        <v>0</v>
      </c>
      <c r="V22" s="322">
        <f>COUNTIFS(input!$O:$O,June!$V$19,input!$F:$F,June!N22,input!$A:$A,June!$B$2)</f>
        <v>0</v>
      </c>
      <c r="W22" s="323">
        <f>COUNTIFS(input!$O:$O,June!$W$19,input!$F:$F,June!N22,input!$A:$A,June!$B$2)</f>
        <v>0</v>
      </c>
      <c r="X22" s="324">
        <f>COUNTIFS(input!$O:$O,June!$X$19,input!$F:$F,June!N22,input!$A:$A,June!$B$2)</f>
        <v>0</v>
      </c>
      <c r="Y22" s="312">
        <f t="shared" si="1"/>
        <v>2</v>
      </c>
      <c r="Z22" s="315" cm="1">
        <f t="array" ref="Z22">_xlfn.IFS(Y22=0,0,Y22&gt;=1,Y22/$Y$65)</f>
        <v>0.22222222222222221</v>
      </c>
    </row>
    <row r="23" spans="1:26" ht="92" customHeight="1" x14ac:dyDescent="0.25">
      <c r="B23" s="990" t="s">
        <v>472</v>
      </c>
      <c r="C23" s="991"/>
      <c r="D23" s="316">
        <f>COUNTIFS(input!$O:$O,June!$D$19,input!$E:$E,June!B23,input!$A:$A,June!$B$2)</f>
        <v>0</v>
      </c>
      <c r="E23" s="316">
        <f>COUNTIFS(input!$O:$O,June!$E$19,input!$E:$E,June!B23,input!$A:$A,June!$B$2)</f>
        <v>0</v>
      </c>
      <c r="F23" s="317">
        <f>COUNTIFS(input!$O:$O,June!$F$19,input!$E:$E,June!B23,input!$A:$A,June!$B$2)</f>
        <v>0</v>
      </c>
      <c r="G23" s="318">
        <f>COUNTIFS(input!$O:$O,June!$G$19,input!$E:$E,June!B23,input!$A:$A,June!$B$2)</f>
        <v>0</v>
      </c>
      <c r="H23" s="318">
        <f>COUNTIFS(input!$O:$O,June!$H$19,input!$E:$E,June!B23,input!$A:$A,June!$B$2)</f>
        <v>0</v>
      </c>
      <c r="I23" s="318">
        <f>COUNTIFS(input!$O:$O,June!$I$19,input!$E:$E,June!B23,input!$A:$A,June!$B$2)</f>
        <v>0</v>
      </c>
      <c r="J23" s="318">
        <f>COUNTIFS(input!$O:$O,June!$K$19,input!$E:$E,June!B23,input!$A:$A,June!$B$2)</f>
        <v>0</v>
      </c>
      <c r="K23" s="319">
        <f>COUNTIFS(input!$O:$O,June!$K$19,input!$E:$E,June!B23,input!$A:$A,June!$B$2)</f>
        <v>0</v>
      </c>
      <c r="L23" s="312">
        <f t="shared" si="0"/>
        <v>0</v>
      </c>
      <c r="M23" s="313" cm="1">
        <f t="array" ref="M23">_xlfn.IFS(L23=0,0,L23&gt;=1,L23/$L$65)</f>
        <v>0</v>
      </c>
      <c r="N23" s="1217" t="s">
        <v>20</v>
      </c>
      <c r="O23" s="1218"/>
      <c r="P23" s="1219"/>
      <c r="Q23" s="316">
        <f>COUNTIFS(input!$O:$O,June!$Q$19,input!$F:$F,June!N23,input!$A:$A,June!$B$2)</f>
        <v>0</v>
      </c>
      <c r="R23" s="316">
        <f>COUNTIFS(input!$O:$O,June!$R$19,input!$F:$F,June!N23,input!$A:$A,June!$B$2)</f>
        <v>0</v>
      </c>
      <c r="S23" s="316">
        <f>COUNTIFS(input!$O:$O,June!$S$19,input!$F:$F,June!N23,input!$A:$A,June!$B$2)</f>
        <v>0</v>
      </c>
      <c r="T23" s="321">
        <f>COUNTIFS(input!$O:$O,June!$T$19,input!$F:$F,June!N23,input!$A:$A,June!$B$2)</f>
        <v>1</v>
      </c>
      <c r="U23" s="322">
        <f>COUNTIFS(input!$O:$O,June!$U$19,input!$F:$F,June!N23,input!$A:$A,June!$B$2)</f>
        <v>0</v>
      </c>
      <c r="V23" s="322">
        <f>COUNTIFS(input!$O:$O,June!$V$19,input!$F:$F,June!N23,input!$A:$A,June!$B$2)</f>
        <v>0</v>
      </c>
      <c r="W23" s="323">
        <f>COUNTIFS(input!$O:$O,June!$W$19,input!$F:$F,June!N23,input!$A:$A,June!$B$2)</f>
        <v>0</v>
      </c>
      <c r="X23" s="324">
        <f>COUNTIFS(input!$O:$O,June!$X$19,input!$F:$F,June!N23,input!$A:$A,June!$B$2)</f>
        <v>0</v>
      </c>
      <c r="Y23" s="312">
        <f t="shared" si="1"/>
        <v>1</v>
      </c>
      <c r="Z23" s="315" cm="1">
        <f t="array" ref="Z23">_xlfn.IFS(Y23=0,0,Y23&gt;=1,Y23/$Y$65)</f>
        <v>0.1111111111111111</v>
      </c>
    </row>
    <row r="24" spans="1:26" ht="92" customHeight="1" x14ac:dyDescent="0.25">
      <c r="B24" s="990" t="s">
        <v>1536</v>
      </c>
      <c r="C24" s="991"/>
      <c r="D24" s="316">
        <f>COUNTIFS(input!$O:$O,June!$D$19,input!$E:$E,June!B24,input!$A:$A,June!$B$2)</f>
        <v>0</v>
      </c>
      <c r="E24" s="316">
        <f>COUNTIFS(input!$O:$O,June!$E$19,input!$E:$E,June!B24,input!$A:$A,June!$B$2)</f>
        <v>0</v>
      </c>
      <c r="F24" s="317">
        <f>COUNTIFS(input!$O:$O,June!$F$19,input!$E:$E,June!B24,input!$A:$A,June!$B$2)</f>
        <v>0</v>
      </c>
      <c r="G24" s="318">
        <f>COUNTIFS(input!$O:$O,June!$G$19,input!$E:$E,June!B24,input!$A:$A,June!$B$2)</f>
        <v>0</v>
      </c>
      <c r="H24" s="318">
        <f>COUNTIFS(input!$O:$O,June!$H$19,input!$E:$E,June!B24,input!$A:$A,June!$B$2)</f>
        <v>0</v>
      </c>
      <c r="I24" s="318">
        <f>COUNTIFS(input!$O:$O,June!$I$19,input!$E:$E,June!B24,input!$A:$A,June!$B$2)</f>
        <v>0</v>
      </c>
      <c r="J24" s="318">
        <f>COUNTIFS(input!$O:$O,June!$K$19,input!$E:$E,June!B24,input!$A:$A,June!$B$2)</f>
        <v>0</v>
      </c>
      <c r="K24" s="319">
        <f>COUNTIFS(input!$O:$O,June!$K$19,input!$E:$E,June!B24,input!$A:$A,June!$B$2)</f>
        <v>0</v>
      </c>
      <c r="L24" s="312">
        <f t="shared" si="0"/>
        <v>0</v>
      </c>
      <c r="M24" s="313" cm="1">
        <f t="array" ref="M24">_xlfn.IFS(L24=0,0,L24&gt;=1,L24/$L$65)</f>
        <v>0</v>
      </c>
      <c r="N24" s="1217" t="s">
        <v>25</v>
      </c>
      <c r="O24" s="1218"/>
      <c r="P24" s="1219"/>
      <c r="Q24" s="316">
        <f>COUNTIFS(input!$O:$O,June!$Q$19,input!$F:$F,June!N24,input!$A:$A,June!$B$2)</f>
        <v>0</v>
      </c>
      <c r="R24" s="316">
        <f>COUNTIFS(input!$O:$O,June!$R$19,input!$F:$F,June!N24,input!$A:$A,June!$B$2)</f>
        <v>0</v>
      </c>
      <c r="S24" s="316">
        <f>COUNTIFS(input!$O:$O,June!$S$19,input!$F:$F,June!N24,input!$A:$A,June!$B$2)</f>
        <v>0</v>
      </c>
      <c r="T24" s="321">
        <f>COUNTIFS(input!$O:$O,June!$T$19,input!$F:$F,June!N24,input!$A:$A,June!$B$2)</f>
        <v>0</v>
      </c>
      <c r="U24" s="322">
        <f>COUNTIFS(input!$O:$O,June!$U$19,input!$F:$F,June!N24,input!$A:$A,June!$B$2)</f>
        <v>1</v>
      </c>
      <c r="V24" s="322">
        <f>COUNTIFS(input!$O:$O,June!$V$19,input!$F:$F,June!N24,input!$A:$A,June!$B$2)</f>
        <v>0</v>
      </c>
      <c r="W24" s="323">
        <f>COUNTIFS(input!$O:$O,June!$W$19,input!$F:$F,June!N24,input!$A:$A,June!$B$2)</f>
        <v>0</v>
      </c>
      <c r="X24" s="324">
        <f>COUNTIFS(input!$O:$O,June!$X$19,input!$F:$F,June!N24,input!$A:$A,June!$B$2)</f>
        <v>0</v>
      </c>
      <c r="Y24" s="312">
        <f t="shared" si="1"/>
        <v>1</v>
      </c>
      <c r="Z24" s="315" cm="1">
        <f t="array" ref="Z24">_xlfn.IFS(Y24=0,0,Y24&gt;=1,Y24/$Y$65)</f>
        <v>0.1111111111111111</v>
      </c>
    </row>
    <row r="25" spans="1:26" ht="92" customHeight="1" x14ac:dyDescent="0.25">
      <c r="B25" s="1225" t="s">
        <v>1950</v>
      </c>
      <c r="C25" s="1226"/>
      <c r="D25" s="316">
        <f>COUNTIFS(input!$O:$O,June!$D$19,input!$E:$E,June!B25,input!$A:$A,June!$B$2)</f>
        <v>0</v>
      </c>
      <c r="E25" s="316">
        <f>COUNTIFS(input!$O:$O,June!$E$19,input!$E:$E,June!B25,input!$A:$A,June!$B$2)</f>
        <v>0</v>
      </c>
      <c r="F25" s="317">
        <f>COUNTIFS(input!$O:$O,June!$F$19,input!$E:$E,June!B25,input!$A:$A,June!$B$2)</f>
        <v>0</v>
      </c>
      <c r="G25" s="318">
        <f>COUNTIFS(input!$O:$O,June!$G$19,input!$E:$E,June!B25,input!$A:$A,June!$B$2)</f>
        <v>1</v>
      </c>
      <c r="H25" s="318">
        <f>COUNTIFS(input!$O:$O,June!$H$19,input!$E:$E,June!B25,input!$A:$A,June!$B$2)</f>
        <v>0</v>
      </c>
      <c r="I25" s="318">
        <f>COUNTIFS(input!$O:$O,June!$I$19,input!$E:$E,June!B25,input!$A:$A,June!$B$2)</f>
        <v>0</v>
      </c>
      <c r="J25" s="318">
        <f>COUNTIFS(input!$O:$O,June!$K$19,input!$E:$E,June!B25,input!$A:$A,June!$B$2)</f>
        <v>0</v>
      </c>
      <c r="K25" s="319">
        <f>COUNTIFS(input!$O:$O,June!$K$19,input!$E:$E,June!B25,input!$A:$A,June!$B$2)</f>
        <v>0</v>
      </c>
      <c r="L25" s="312">
        <f t="shared" si="0"/>
        <v>1</v>
      </c>
      <c r="M25" s="313" cm="1">
        <f t="array" ref="M25">_xlfn.IFS(L25=0,0,L25&gt;=1,L25/$L$65)</f>
        <v>0.1111111111111111</v>
      </c>
      <c r="N25" s="1222" t="s">
        <v>19</v>
      </c>
      <c r="O25" s="1223"/>
      <c r="P25" s="1224"/>
      <c r="Q25" s="316">
        <f>COUNTIFS(input!$O:$O,June!$Q$19,input!$F:$F,June!N25,input!$A:$A,June!$B$2)</f>
        <v>0</v>
      </c>
      <c r="R25" s="316">
        <f>COUNTIFS(input!$O:$O,June!$R$19,input!$F:$F,June!N25,input!$A:$A,June!$B$2)</f>
        <v>0</v>
      </c>
      <c r="S25" s="316">
        <f>COUNTIFS(input!$O:$O,June!$S$19,input!$F:$F,June!N25,input!$A:$A,June!$B$2)</f>
        <v>0</v>
      </c>
      <c r="T25" s="321">
        <f>COUNTIFS(input!$O:$O,June!$T$19,input!$F:$F,June!N25,input!$A:$A,June!$B$2)</f>
        <v>0</v>
      </c>
      <c r="U25" s="322">
        <f>COUNTIFS(input!$O:$O,June!$U$19,input!$F:$F,June!N25,input!$A:$A,June!$B$2)</f>
        <v>0</v>
      </c>
      <c r="V25" s="322">
        <f>COUNTIFS(input!$O:$O,June!$V$19,input!$F:$F,June!N25,input!$A:$A,June!$B$2)</f>
        <v>0</v>
      </c>
      <c r="W25" s="323">
        <f>COUNTIFS(input!$O:$O,June!$W$19,input!$F:$F,June!N25,input!$A:$A,June!$B$2)</f>
        <v>0</v>
      </c>
      <c r="X25" s="324">
        <f>COUNTIFS(input!$O:$O,June!$X$19,input!$F:$F,June!N25,input!$A:$A,June!$B$2)</f>
        <v>0</v>
      </c>
      <c r="Y25" s="312">
        <f t="shared" si="1"/>
        <v>0</v>
      </c>
      <c r="Z25" s="315" cm="1">
        <f t="array" ref="Z25">_xlfn.IFS(Y25=0,0,Y25&gt;=1,Y25/$Y$65)</f>
        <v>0</v>
      </c>
    </row>
    <row r="26" spans="1:26" ht="92" customHeight="1" x14ac:dyDescent="0.25">
      <c r="B26" s="1225" t="s">
        <v>682</v>
      </c>
      <c r="C26" s="1226"/>
      <c r="D26" s="316">
        <f>COUNTIFS(input!$O:$O,June!$D$19,input!$E:$E,June!B26,input!$A:$A,June!$B$2)</f>
        <v>0</v>
      </c>
      <c r="E26" s="316">
        <f>COUNTIFS(input!$O:$O,June!$E$19,input!$E:$E,June!B26,input!$A:$A,June!$B$2)</f>
        <v>0</v>
      </c>
      <c r="F26" s="317">
        <f>COUNTIFS(input!$O:$O,June!$F$19,input!$E:$E,June!B26,input!$A:$A,June!$B$2)</f>
        <v>0</v>
      </c>
      <c r="G26" s="318">
        <f>COUNTIFS(input!$O:$O,June!$G$19,input!$E:$E,June!B26,input!$A:$A,June!$B$2)</f>
        <v>0</v>
      </c>
      <c r="H26" s="318">
        <f>COUNTIFS(input!$O:$O,June!$H$19,input!$E:$E,June!B26,input!$A:$A,June!$B$2)</f>
        <v>0</v>
      </c>
      <c r="I26" s="318">
        <f>COUNTIFS(input!$O:$O,June!$I$19,input!$E:$E,June!B26,input!$A:$A,June!$B$2)</f>
        <v>0</v>
      </c>
      <c r="J26" s="318">
        <f>COUNTIFS(input!$O:$O,June!$J$19,input!$E:$E,June!B26,input!$A:$A,June!$B$2)</f>
        <v>0</v>
      </c>
      <c r="K26" s="319">
        <f>COUNTIFS(input!$O:$O,June!$K$19,input!$E:$E,June!B26,input!$A:$A,June!$B$2)</f>
        <v>1</v>
      </c>
      <c r="L26" s="312">
        <f t="shared" si="0"/>
        <v>1</v>
      </c>
      <c r="M26" s="313" cm="1">
        <f t="array" ref="M26">_xlfn.IFS(L26=0,0,L26&gt;=1,L26/$L$65)</f>
        <v>0.1111111111111111</v>
      </c>
      <c r="N26" s="1222" t="s">
        <v>27</v>
      </c>
      <c r="O26" s="1223"/>
      <c r="P26" s="1224"/>
      <c r="Q26" s="316">
        <f>COUNTIFS(input!$O:$O,June!$Q$19,input!$F:$F,June!N26,input!$A:$A,June!$B$2)</f>
        <v>0</v>
      </c>
      <c r="R26" s="316">
        <f>COUNTIFS(input!$O:$O,June!$R$19,input!$F:$F,June!N26,input!$A:$A,June!$B$2)</f>
        <v>0</v>
      </c>
      <c r="S26" s="316">
        <f>COUNTIFS(input!$O:$O,June!$S$19,input!$F:$F,June!N26,input!$A:$A,June!$B$2)</f>
        <v>0</v>
      </c>
      <c r="T26" s="321">
        <f>COUNTIFS(input!$O:$O,June!$T$19,input!$F:$F,June!N26,input!$A:$A,June!$B$2)</f>
        <v>0</v>
      </c>
      <c r="U26" s="322">
        <f>COUNTIFS(input!$O:$O,June!$U$19,input!$F:$F,June!N26,input!$A:$A,June!$B$2)</f>
        <v>0</v>
      </c>
      <c r="V26" s="322">
        <f>COUNTIFS(input!$O:$O,June!$V$19,input!$F:$F,June!N26,input!$A:$A,June!$B$2)</f>
        <v>0</v>
      </c>
      <c r="W26" s="323">
        <f>COUNTIFS(input!$O:$O,June!$W$19,input!$F:$F,June!N26,input!$A:$A,June!$B$2)</f>
        <v>0</v>
      </c>
      <c r="X26" s="324">
        <f>COUNTIFS(input!$O:$O,June!$X$19,input!$F:$F,June!N26,input!$A:$A,June!$B$2)</f>
        <v>0</v>
      </c>
      <c r="Y26" s="312">
        <f t="shared" si="1"/>
        <v>0</v>
      </c>
      <c r="Z26" s="315" cm="1">
        <f t="array" ref="Z26">_xlfn.IFS(Y26=0,0,Y26&gt;=1,Y26/$Y$65)</f>
        <v>0</v>
      </c>
    </row>
    <row r="27" spans="1:26" ht="409.5" hidden="1" customHeight="1" x14ac:dyDescent="0.25">
      <c r="B27" s="990" t="s">
        <v>493</v>
      </c>
      <c r="C27" s="991"/>
      <c r="D27" s="316">
        <f>COUNTIFS(input!$O:$O,June!$D$19,input!$E:$E,June!B27,input!$A:$A,June!$B$2)</f>
        <v>0</v>
      </c>
      <c r="E27" s="316">
        <f>COUNTIFS(input!$O:$O,June!$E$19,input!$E:$E,June!B27,input!$A:$A,June!$B$2)</f>
        <v>0</v>
      </c>
      <c r="F27" s="317">
        <f>COUNTIFS(input!$O:$O,June!$F$19,input!$E:$E,June!B27,input!$A:$A,June!$B$2)</f>
        <v>0</v>
      </c>
      <c r="G27" s="318">
        <f>COUNTIFS(input!$O:$O,June!$G$19,input!$E:$E,June!B27,input!$A:$A,June!$B$2)</f>
        <v>0</v>
      </c>
      <c r="H27" s="318">
        <f>COUNTIFS(input!$O:$O,June!$H$19,input!$E:$E,June!B27,input!$A:$A,June!$B$2)</f>
        <v>0</v>
      </c>
      <c r="I27" s="318">
        <f>COUNTIFS(input!$O:$O,June!$I$19,input!$E:$E,June!B27,input!$A:$A,June!$B$2)</f>
        <v>0</v>
      </c>
      <c r="J27" s="318">
        <f>COUNTIFS(input!$O:$O,June!$K$19,input!$E:$E,June!B27,input!$A:$A,June!$B$2)</f>
        <v>0</v>
      </c>
      <c r="K27" s="319">
        <f>COUNTIFS(input!$O:$O,June!$K$19,input!$E:$E,June!B27,input!$A:$A,June!$B$2)</f>
        <v>0</v>
      </c>
      <c r="L27" s="312">
        <f t="shared" si="0"/>
        <v>0</v>
      </c>
      <c r="M27" s="313" cm="1">
        <f t="array" ref="M27">_xlfn.IFS(L27=0,0,L27&gt;=1,L27/$L$65)</f>
        <v>0</v>
      </c>
      <c r="N27" s="432" t="s">
        <v>64</v>
      </c>
      <c r="O27" s="433"/>
      <c r="P27" s="434"/>
      <c r="Q27" s="316">
        <f>COUNTIFS(input!$O:$O,June!$Q$19,input!$F:$F,June!N27,input!$A:$A,June!$B$2)</f>
        <v>0</v>
      </c>
      <c r="R27" s="316">
        <f>COUNTIFS(input!$O:$O,June!$R$19,input!$F:$F,June!N27,input!$A:$A,June!$B$2)</f>
        <v>0</v>
      </c>
      <c r="S27" s="316">
        <f>COUNTIFS(input!$O:$O,June!$S$19,input!$F:$F,June!N27,input!$A:$A,June!$B$2)</f>
        <v>0</v>
      </c>
      <c r="T27" s="321">
        <f>COUNTIFS(input!$O:$O,June!$T$19,input!$F:$F,June!N27,input!$A:$A,June!$B$2)</f>
        <v>0</v>
      </c>
      <c r="U27" s="322">
        <f>COUNTIFS(input!$O:$O,June!$U$19,input!$F:$F,June!N27,input!$A:$A,June!$B$2)</f>
        <v>0</v>
      </c>
      <c r="V27" s="322">
        <f>COUNTIFS(input!$O:$O,June!$V$19,input!$F:$F,June!N27,input!$A:$A,June!$B$2)</f>
        <v>0</v>
      </c>
      <c r="W27" s="323">
        <f>COUNTIFS(input!$O:$O,June!$W$19,input!$F:$F,June!N27,input!$A:$A,June!$B$2)</f>
        <v>0</v>
      </c>
      <c r="X27" s="324">
        <f>COUNTIFS(input!$O:$O,June!$X$19,input!$F:$F,June!N27,input!$A:$A,June!$B$2)</f>
        <v>0</v>
      </c>
      <c r="Y27" s="312">
        <f t="shared" si="1"/>
        <v>0</v>
      </c>
      <c r="Z27" s="315" cm="1">
        <f t="array" ref="Z27">_xlfn.IFS(Y27=0,0,Y27&gt;=1,Y27/$Y$65)</f>
        <v>0</v>
      </c>
    </row>
    <row r="28" spans="1:26" ht="184" hidden="1" customHeight="1" x14ac:dyDescent="0.25">
      <c r="B28" s="990" t="s">
        <v>681</v>
      </c>
      <c r="C28" s="991"/>
      <c r="D28" s="316">
        <f>COUNTIFS(input!$O:$O,June!$D$19,input!$E:$E,June!B28,input!$A:$A,June!$B$2)</f>
        <v>0</v>
      </c>
      <c r="E28" s="316">
        <f>COUNTIFS(input!$O:$O,June!$E$19,input!$E:$E,June!B28,input!$A:$A,June!$B$2)</f>
        <v>0</v>
      </c>
      <c r="F28" s="317">
        <f>COUNTIFS(input!$O:$O,June!$F$19,input!$E:$E,June!B28,input!$A:$A,June!$B$2)</f>
        <v>0</v>
      </c>
      <c r="G28" s="318">
        <f>COUNTIFS(input!$O:$O,June!$G$19,input!$E:$E,June!B28,input!$A:$A,June!$B$2)</f>
        <v>0</v>
      </c>
      <c r="H28" s="318">
        <f>COUNTIFS(input!$O:$O,June!$H$19,input!$E:$E,June!B28,input!$A:$A,June!$B$2)</f>
        <v>0</v>
      </c>
      <c r="I28" s="318">
        <f>COUNTIFS(input!$O:$O,June!$I$19,input!$E:$E,June!B28,input!$A:$A,June!$B$2)</f>
        <v>0</v>
      </c>
      <c r="J28" s="318">
        <f>COUNTIFS(input!$O:$O,June!$K$19,input!$E:$E,June!B28,input!$A:$A,June!$B$2)</f>
        <v>0</v>
      </c>
      <c r="K28" s="319">
        <f>COUNTIFS(input!$O:$O,June!$K$19,input!$E:$E,June!B28,input!$A:$A,June!$B$2)</f>
        <v>0</v>
      </c>
      <c r="L28" s="312">
        <f t="shared" si="0"/>
        <v>0</v>
      </c>
      <c r="M28" s="313" cm="1">
        <f t="array" ref="M28">_xlfn.IFS(L28=0,0,L28&gt;=1,L28/$L$65)</f>
        <v>0</v>
      </c>
      <c r="N28" s="432" t="s">
        <v>24</v>
      </c>
      <c r="O28" s="433"/>
      <c r="P28" s="434"/>
      <c r="Q28" s="316">
        <f>COUNTIFS(input!$O:$O,June!$Q$19,input!$F:$F,June!N28,input!$A:$A,June!$B$2)</f>
        <v>0</v>
      </c>
      <c r="R28" s="316">
        <f>COUNTIFS(input!$O:$O,June!$R$19,input!$F:$F,June!N28,input!$A:$A,June!$B$2)</f>
        <v>0</v>
      </c>
      <c r="S28" s="316">
        <f>COUNTIFS(input!$O:$O,June!$S$19,input!$F:$F,June!N28,input!$A:$A,June!$B$2)</f>
        <v>0</v>
      </c>
      <c r="T28" s="321">
        <f>COUNTIFS(input!$O:$O,June!$T$19,input!$F:$F,June!N28,input!$A:$A,June!$B$2)</f>
        <v>0</v>
      </c>
      <c r="U28" s="322">
        <f>COUNTIFS(input!$O:$O,June!$U$19,input!$F:$F,June!N28,input!$A:$A,June!$B$2)</f>
        <v>0</v>
      </c>
      <c r="V28" s="322">
        <f>COUNTIFS(input!$O:$O,June!$V$19,input!$F:$F,June!N28,input!$A:$A,June!$B$2)</f>
        <v>0</v>
      </c>
      <c r="W28" s="323">
        <f>COUNTIFS(input!$O:$O,June!$W$19,input!$F:$F,June!N28,input!$A:$A,June!$B$2)</f>
        <v>0</v>
      </c>
      <c r="X28" s="324">
        <f>COUNTIFS(input!$O:$O,June!$X$19,input!$F:$F,June!N28,input!$A:$A,June!$B$2)</f>
        <v>0</v>
      </c>
      <c r="Y28" s="312">
        <f t="shared" si="1"/>
        <v>0</v>
      </c>
      <c r="Z28" s="315" cm="1">
        <f t="array" ref="Z28">_xlfn.IFS(Y28=0,0,Y28&gt;=1,Y28/$Y$65)</f>
        <v>0</v>
      </c>
    </row>
    <row r="29" spans="1:26" ht="92" customHeight="1" x14ac:dyDescent="0.25">
      <c r="B29" s="990" t="s">
        <v>776</v>
      </c>
      <c r="C29" s="991"/>
      <c r="D29" s="316">
        <f>COUNTIFS(input!$O:$O,June!$D$19,input!$E:$E,June!B29,input!$A:$A,June!$B$2)</f>
        <v>0</v>
      </c>
      <c r="E29" s="316">
        <f>COUNTIFS(input!$O:$O,June!$E$19,input!$E:$E,June!B29,input!$A:$A,June!$B$2)</f>
        <v>0</v>
      </c>
      <c r="F29" s="317">
        <f>COUNTIFS(input!$O:$O,June!$F$19,input!$E:$E,June!B29,input!$A:$A,June!$B$2)</f>
        <v>0</v>
      </c>
      <c r="G29" s="318">
        <f>COUNTIFS(input!$O:$O,June!$G$19,input!$E:$E,June!B29,input!$A:$A,June!$B$2)</f>
        <v>0</v>
      </c>
      <c r="H29" s="318">
        <f>COUNTIFS(input!$O:$O,June!$H$19,input!$E:$E,June!B29,input!$A:$A,June!$B$2)</f>
        <v>0</v>
      </c>
      <c r="I29" s="318">
        <f>COUNTIFS(input!$O:$O,June!$I$19,input!$E:$E,June!B29,input!$A:$A,June!$B$2)</f>
        <v>0</v>
      </c>
      <c r="J29" s="318">
        <f>COUNTIFS(input!$O:$O,June!$K$19,input!$E:$E,June!B29,input!$A:$A,June!$B$2)</f>
        <v>0</v>
      </c>
      <c r="K29" s="319">
        <f>COUNTIFS(input!$O:$O,June!$K$19,input!$E:$E,June!B29,input!$A:$A,June!$B$2)</f>
        <v>0</v>
      </c>
      <c r="L29" s="312">
        <f t="shared" si="0"/>
        <v>0</v>
      </c>
      <c r="M29" s="313" cm="1">
        <f t="array" ref="M29">_xlfn.IFS(L29=0,0,L29&gt;=1,L29/$L$65)</f>
        <v>0</v>
      </c>
      <c r="N29" s="1217" t="s">
        <v>1999</v>
      </c>
      <c r="O29" s="1218"/>
      <c r="P29" s="1219"/>
      <c r="Q29" s="316">
        <f>COUNTIFS(input!$O:$O,June!$Q$19,input!$F:$F,June!N29,input!$A:$A,June!$B$2)</f>
        <v>0</v>
      </c>
      <c r="R29" s="316">
        <f>COUNTIFS(input!$O:$O,June!$R$19,input!$F:$F,June!N29,input!$A:$A,June!$B$2)</f>
        <v>0</v>
      </c>
      <c r="S29" s="316">
        <f>COUNTIFS(input!$O:$O,June!$S$19,input!$F:$F,June!N29,input!$A:$A,June!$B$2)</f>
        <v>0</v>
      </c>
      <c r="T29" s="321">
        <f>COUNTIFS(input!$O:$O,June!$T$19,input!$F:$F,June!N29,input!$A:$A,June!$B$2)</f>
        <v>1</v>
      </c>
      <c r="U29" s="322">
        <f>COUNTIFS(input!$O:$O,June!$U$19,input!$F:$F,June!N29,input!$A:$A,June!$B$2)</f>
        <v>0</v>
      </c>
      <c r="V29" s="322">
        <f>COUNTIFS(input!$O:$O,June!$V$19,input!$F:$F,June!N29,input!$A:$A,June!$B$2)</f>
        <v>0</v>
      </c>
      <c r="W29" s="323">
        <f>COUNTIFS(input!$O:$O,June!$W$19,input!$F:$F,June!N29,input!$A:$A,June!$B$2)</f>
        <v>0</v>
      </c>
      <c r="X29" s="324">
        <f>COUNTIFS(input!$O:$O,June!$X$19,input!$F:$F,June!N29,input!$A:$A,June!$B$2)</f>
        <v>0</v>
      </c>
      <c r="Y29" s="312">
        <f t="shared" si="1"/>
        <v>1</v>
      </c>
      <c r="Z29" s="315" cm="1">
        <f t="array" ref="Z29">_xlfn.IFS(Y29=0,0,Y29&gt;=1,Y29/$Y$65)</f>
        <v>0.1111111111111111</v>
      </c>
    </row>
    <row r="30" spans="1:26" ht="92" hidden="1" customHeight="1" x14ac:dyDescent="0.25">
      <c r="B30" s="990" t="s">
        <v>622</v>
      </c>
      <c r="C30" s="991"/>
      <c r="D30" s="316">
        <f>COUNTIFS(input!$O:$O,June!$D$19,input!$E:$E,June!B30,input!$A:$A,June!$B$2)</f>
        <v>0</v>
      </c>
      <c r="E30" s="316">
        <f>COUNTIFS(input!$O:$O,June!$E$19,input!$E:$E,June!B30,input!$A:$A,June!$B$2)</f>
        <v>0</v>
      </c>
      <c r="F30" s="317">
        <f>COUNTIFS(input!$O:$O,June!$F$19,input!$E:$E,June!B30,input!$A:$A,June!$B$2)</f>
        <v>0</v>
      </c>
      <c r="G30" s="318">
        <f>COUNTIFS(input!$O:$O,June!$G$19,input!$E:$E,June!B30,input!$A:$A,June!$B$2)</f>
        <v>0</v>
      </c>
      <c r="H30" s="318">
        <f>COUNTIFS(input!$O:$O,June!$H$19,input!$E:$E,June!B30,input!$A:$A,June!$B$2)</f>
        <v>0</v>
      </c>
      <c r="I30" s="318">
        <f>COUNTIFS(input!$O:$O,June!$I$19,input!$E:$E,June!B30,input!$A:$A,June!$B$2)</f>
        <v>0</v>
      </c>
      <c r="J30" s="318">
        <f>COUNTIFS(input!$O:$O,June!$K$19,input!$E:$E,June!B30,input!$A:$A,June!$B$2)</f>
        <v>0</v>
      </c>
      <c r="K30" s="319">
        <f>COUNTIFS(input!$O:$O,June!$K$19,input!$E:$E,June!B30,input!$A:$A,June!$B$2)</f>
        <v>0</v>
      </c>
      <c r="L30" s="312">
        <f t="shared" si="0"/>
        <v>0</v>
      </c>
      <c r="M30" s="313" cm="1">
        <f t="array" ref="M30">_xlfn.IFS(L30=0,0,L30&gt;=1,L30/$L$65)</f>
        <v>0</v>
      </c>
      <c r="N30" s="1222" t="s">
        <v>339</v>
      </c>
      <c r="O30" s="1223"/>
      <c r="P30" s="1224"/>
      <c r="Q30" s="316">
        <f>COUNTIFS(input!$O:$O,June!$Q$19,input!$F:$F,June!N30,input!$A:$A,June!$B$2)</f>
        <v>0</v>
      </c>
      <c r="R30" s="316">
        <f>COUNTIFS(input!$O:$O,June!$R$19,input!$F:$F,June!N30,input!$A:$A,June!$B$2)</f>
        <v>0</v>
      </c>
      <c r="S30" s="316">
        <f>COUNTIFS(input!$O:$O,June!$S$19,input!$F:$F,June!N30,input!$A:$A,June!$B$2)</f>
        <v>0</v>
      </c>
      <c r="T30" s="321">
        <f>COUNTIFS(input!$O:$O,June!$T$19,input!$F:$F,June!N30,input!$A:$A,June!$B$2)</f>
        <v>0</v>
      </c>
      <c r="U30" s="322">
        <f>COUNTIFS(input!$O:$O,June!$U$19,input!$F:$F,June!N30,input!$A:$A,June!$B$2)</f>
        <v>0</v>
      </c>
      <c r="V30" s="322">
        <f>COUNTIFS(input!$O:$O,June!$V$19,input!$F:$F,June!N30,input!$A:$A,June!$B$2)</f>
        <v>0</v>
      </c>
      <c r="W30" s="323">
        <f>COUNTIFS(input!$O:$O,June!$W$19,input!$F:$F,June!N30,input!$A:$A,June!$B$2)</f>
        <v>0</v>
      </c>
      <c r="X30" s="324">
        <f>COUNTIFS(input!$O:$O,June!$X$19,input!$F:$F,June!N30,input!$A:$A,June!$B$2)</f>
        <v>0</v>
      </c>
      <c r="Y30" s="312">
        <f t="shared" ref="Y30:Y42" si="2">SUM(Q30:X30)</f>
        <v>0</v>
      </c>
      <c r="Z30" s="315" cm="1">
        <f t="array" ref="Z30">_xlfn.IFS(Y30=0,0,Y30&gt;=1,Y30/$Y$65)</f>
        <v>0</v>
      </c>
    </row>
    <row r="31" spans="1:26" ht="92" hidden="1" customHeight="1" x14ac:dyDescent="0.25">
      <c r="B31" s="990" t="s">
        <v>1434</v>
      </c>
      <c r="C31" s="991"/>
      <c r="D31" s="316">
        <f>COUNTIFS(input!$O:$O,June!$D$19,input!$E:$E,June!B31,input!$A:$A,June!$B$2)</f>
        <v>0</v>
      </c>
      <c r="E31" s="316">
        <f>COUNTIFS(input!$O:$O,June!$E$19,input!$E:$E,June!B31,input!$A:$A,June!$B$2)</f>
        <v>0</v>
      </c>
      <c r="F31" s="317">
        <f>COUNTIFS(input!$O:$O,June!$F$19,input!$E:$E,June!B31,input!$A:$A,June!$B$2)</f>
        <v>0</v>
      </c>
      <c r="G31" s="318">
        <f>COUNTIFS(input!$O:$O,June!$G$19,input!$E:$E,June!B31,input!$A:$A,June!$B$2)</f>
        <v>0</v>
      </c>
      <c r="H31" s="318">
        <f>COUNTIFS(input!$O:$O,June!$H$19,input!$E:$E,June!B31,input!$A:$A,June!$B$2)</f>
        <v>0</v>
      </c>
      <c r="I31" s="318">
        <f>COUNTIFS(input!$O:$O,June!$I$19,input!$E:$E,June!B31,input!$A:$A,June!$B$2)</f>
        <v>0</v>
      </c>
      <c r="J31" s="318">
        <f>COUNTIFS(input!$O:$O,June!$K$19,input!$E:$E,June!B31,input!$A:$A,June!$B$2)</f>
        <v>0</v>
      </c>
      <c r="K31" s="319">
        <f>COUNTIFS(input!$O:$O,June!$K$19,input!$E:$E,June!B31,input!$A:$A,June!$B$2)</f>
        <v>0</v>
      </c>
      <c r="L31" s="312">
        <f t="shared" si="0"/>
        <v>0</v>
      </c>
      <c r="M31" s="313" cm="1">
        <f t="array" ref="M31">_xlfn.IFS(L31=0,0,L31&gt;=1,L31/$L$65)</f>
        <v>0</v>
      </c>
      <c r="N31" s="1222" t="s">
        <v>67</v>
      </c>
      <c r="O31" s="1223"/>
      <c r="P31" s="1224"/>
      <c r="Q31" s="316">
        <f>COUNTIFS(input!$O:$O,June!$Q$19,input!$F:$F,June!N31,input!$A:$A,June!$B$2)</f>
        <v>0</v>
      </c>
      <c r="R31" s="316">
        <f>COUNTIFS(input!$O:$O,June!$R$19,input!$F:$F,June!N31,input!$A:$A,June!$B$2)</f>
        <v>0</v>
      </c>
      <c r="S31" s="316">
        <f>COUNTIFS(input!$O:$O,June!$S$19,input!$F:$F,June!N31,input!$A:$A,June!$B$2)</f>
        <v>0</v>
      </c>
      <c r="T31" s="321">
        <f>COUNTIFS(input!$O:$O,June!$T$19,input!$F:$F,June!N31,input!$A:$A,June!$B$2)</f>
        <v>0</v>
      </c>
      <c r="U31" s="322">
        <f>COUNTIFS(input!$O:$O,June!$U$19,input!$F:$F,June!N31,input!$A:$A,June!$B$2)</f>
        <v>0</v>
      </c>
      <c r="V31" s="322">
        <f>COUNTIFS(input!$O:$O,June!$V$19,input!$F:$F,June!N31,input!$A:$A,June!$B$2)</f>
        <v>0</v>
      </c>
      <c r="W31" s="323">
        <f>COUNTIFS(input!$O:$O,June!$W$19,input!$F:$F,June!N31,input!$A:$A,June!$B$2)</f>
        <v>0</v>
      </c>
      <c r="X31" s="324">
        <f>COUNTIFS(input!$O:$O,June!$X$19,input!$F:$F,June!N31,input!$A:$A,June!$B$2)</f>
        <v>0</v>
      </c>
      <c r="Y31" s="312">
        <f t="shared" si="2"/>
        <v>0</v>
      </c>
      <c r="Z31" s="315" cm="1">
        <f t="array" ref="Z31">_xlfn.IFS(Y31=0,0,Y31&gt;=1,Y31/$Y$65)</f>
        <v>0</v>
      </c>
    </row>
    <row r="32" spans="1:26" ht="92" customHeight="1" x14ac:dyDescent="0.25">
      <c r="B32" s="990" t="s">
        <v>105</v>
      </c>
      <c r="C32" s="991"/>
      <c r="D32" s="316">
        <f>COUNTIFS(input!$O:$O,June!$D$19,input!$E:$E,June!B32,input!$A:$A,June!$B$2)</f>
        <v>0</v>
      </c>
      <c r="E32" s="316">
        <f>COUNTIFS(input!$O:$O,June!$E$19,input!$E:$E,June!B32,input!$A:$A,June!$B$2)</f>
        <v>0</v>
      </c>
      <c r="F32" s="317">
        <f>COUNTIFS(input!$O:$O,June!$F$19,input!$E:$E,June!B32,input!$A:$A,June!$B$2)</f>
        <v>0</v>
      </c>
      <c r="G32" s="318">
        <f>COUNTIFS(input!$O:$O,June!$G$19,input!$E:$E,June!B32,input!$A:$A,June!$B$2)</f>
        <v>0</v>
      </c>
      <c r="H32" s="318">
        <f>COUNTIFS(input!$O:$O,June!$H$19,input!$E:$E,June!B32,input!$A:$A,June!$B$2)</f>
        <v>0</v>
      </c>
      <c r="I32" s="318">
        <f>COUNTIFS(input!$O:$O,June!$I$19,input!$E:$E,June!B32,input!$A:$A,June!$B$2)</f>
        <v>0</v>
      </c>
      <c r="J32" s="318">
        <f>COUNTIFS(input!$O:$O,June!$K$19,input!$E:$E,June!B32,input!$A:$A,June!$B$2)</f>
        <v>0</v>
      </c>
      <c r="K32" s="319">
        <f>COUNTIFS(input!$O:$O,June!$K$19,input!$E:$E,June!B32,input!$A:$A,June!$B$2)</f>
        <v>0</v>
      </c>
      <c r="L32" s="312">
        <f t="shared" ref="L32:L42" si="3">SUM(D32:K32)</f>
        <v>0</v>
      </c>
      <c r="M32" s="313" cm="1">
        <f t="array" ref="M32">_xlfn.IFS(L32=0,0,L32&gt;=1,L32/$L$65)</f>
        <v>0</v>
      </c>
      <c r="N32" s="1217" t="s">
        <v>122</v>
      </c>
      <c r="O32" s="1218"/>
      <c r="P32" s="1219"/>
      <c r="Q32" s="316">
        <f>COUNTIFS(input!$O:$O,June!$Q$19,input!$F:$F,June!N32,input!$A:$A,June!$B$2)</f>
        <v>0</v>
      </c>
      <c r="R32" s="316">
        <f>COUNTIFS(input!$O:$O,June!$R$19,input!$F:$F,June!N32,input!$A:$A,June!$B$2)</f>
        <v>0</v>
      </c>
      <c r="S32" s="316">
        <f>COUNTIFS(input!$O:$O,June!$S$19,input!$F:$F,June!N32,input!$A:$A,June!$B$2)</f>
        <v>0</v>
      </c>
      <c r="T32" s="321">
        <f>COUNTIFS(input!$O:$O,June!$T$19,input!$F:$F,June!N32,input!$A:$A,June!$B$2)</f>
        <v>0</v>
      </c>
      <c r="U32" s="322">
        <f>COUNTIFS(input!$O:$O,June!$U$19,input!$F:$F,June!N32,input!$A:$A,June!$B$2)</f>
        <v>0</v>
      </c>
      <c r="V32" s="322">
        <f>COUNTIFS(input!$O:$O,June!$V$19,input!$F:$F,June!N32,input!$A:$A,June!$B$2)</f>
        <v>0</v>
      </c>
      <c r="W32" s="323">
        <f>COUNTIFS(input!$O:$O,June!$W$19,input!$F:$F,June!N32,input!$A:$A,June!$B$2)</f>
        <v>0</v>
      </c>
      <c r="X32" s="324">
        <f>COUNTIFS(input!$O:$O,June!$X$19,input!$F:$F,June!N32,input!$A:$A,June!$B$2)</f>
        <v>1</v>
      </c>
      <c r="Y32" s="312">
        <f t="shared" si="2"/>
        <v>1</v>
      </c>
      <c r="Z32" s="315" cm="1">
        <f t="array" ref="Z32">_xlfn.IFS(Y32=0,0,Y32&gt;=1,Y32/$Y$65)</f>
        <v>0.1111111111111111</v>
      </c>
    </row>
    <row r="33" spans="2:26" ht="92" customHeight="1" x14ac:dyDescent="0.25">
      <c r="B33" s="990" t="s">
        <v>1774</v>
      </c>
      <c r="C33" s="991"/>
      <c r="D33" s="316">
        <f>COUNTIFS(input!$O:$O,June!$D$19,input!$E:$E,June!B33,input!$A:$A,June!$B$2)</f>
        <v>0</v>
      </c>
      <c r="E33" s="316">
        <f>COUNTIFS(input!$O:$O,June!$E$19,input!$E:$E,June!B33,input!$A:$A,June!$B$2)</f>
        <v>0</v>
      </c>
      <c r="F33" s="317">
        <f>COUNTIFS(input!$O:$O,June!$F$19,input!$E:$E,June!B33,input!$A:$A,June!$B$2)</f>
        <v>0</v>
      </c>
      <c r="G33" s="318">
        <f>COUNTIFS(input!$O:$O,June!$G$19,input!$E:$E,June!B33,input!$A:$A,June!$B$2)</f>
        <v>0</v>
      </c>
      <c r="H33" s="318">
        <f>COUNTIFS(input!$O:$O,June!$H$19,input!$E:$E,June!B33,input!$A:$A,June!$B$2)</f>
        <v>0</v>
      </c>
      <c r="I33" s="318">
        <f>COUNTIFS(input!$O:$O,June!$I$19,input!$E:$E,June!B33,input!$A:$A,June!$B$2)</f>
        <v>0</v>
      </c>
      <c r="J33" s="318">
        <f>COUNTIFS(input!$O:$O,June!$K$19,input!$E:$E,June!B33,input!$A:$A,June!$B$2)</f>
        <v>0</v>
      </c>
      <c r="K33" s="319">
        <f>COUNTIFS(input!$O:$O,June!$K$19,input!$E:$E,June!B33,input!$A:$A,June!$B$2)</f>
        <v>0</v>
      </c>
      <c r="L33" s="312">
        <f t="shared" si="3"/>
        <v>0</v>
      </c>
      <c r="M33" s="313" cm="1">
        <f t="array" ref="M33">_xlfn.IFS(L33=0,0,L33&gt;=1,L33/$L$65)</f>
        <v>0</v>
      </c>
      <c r="N33" s="1217" t="s">
        <v>135</v>
      </c>
      <c r="O33" s="1218"/>
      <c r="P33" s="1219"/>
      <c r="Q33" s="316">
        <f>COUNTIFS(input!$O:$O,June!$Q$19,input!$F:$F,June!N33,input!$A:$A,June!$B$2)</f>
        <v>0</v>
      </c>
      <c r="R33" s="316">
        <f>COUNTIFS(input!$O:$O,June!$R$19,input!$F:$F,June!N33,input!$A:$A,June!$B$2)</f>
        <v>0</v>
      </c>
      <c r="S33" s="316">
        <f>COUNTIFS(input!$O:$O,June!$S$19,input!$F:$F,June!N33,input!$A:$A,June!$B$2)</f>
        <v>0</v>
      </c>
      <c r="T33" s="321">
        <f>COUNTIFS(input!$O:$O,June!$T$19,input!$F:$F,June!N33,input!$A:$A,June!$B$2)</f>
        <v>2</v>
      </c>
      <c r="U33" s="322">
        <f>COUNTIFS(input!$O:$O,June!$U$19,input!$F:$F,June!N33,input!$A:$A,June!$B$2)</f>
        <v>0</v>
      </c>
      <c r="V33" s="322">
        <f>COUNTIFS(input!$O:$O,June!$V$19,input!$F:$F,June!N33,input!$A:$A,June!$B$2)</f>
        <v>0</v>
      </c>
      <c r="W33" s="323">
        <f>COUNTIFS(input!$O:$O,June!$W$19,input!$F:$F,June!N33,input!$A:$A,June!$B$2)</f>
        <v>0</v>
      </c>
      <c r="X33" s="324">
        <f>COUNTIFS(input!$O:$O,June!$X$19,input!$F:$F,June!N33,input!$A:$A,June!$B$2)</f>
        <v>0</v>
      </c>
      <c r="Y33" s="312">
        <f t="shared" si="2"/>
        <v>2</v>
      </c>
      <c r="Z33" s="315" cm="1">
        <f t="array" ref="Z33">_xlfn.IFS(Y33=0,0,Y33&gt;=1,Y33/$Y$65)</f>
        <v>0.22222222222222221</v>
      </c>
    </row>
    <row r="34" spans="2:26" ht="92" customHeight="1" x14ac:dyDescent="0.25">
      <c r="B34" s="1225" t="s">
        <v>172</v>
      </c>
      <c r="C34" s="1226"/>
      <c r="D34" s="316">
        <f>COUNTIFS(input!$O:$O,June!$D$19,input!$E:$E,June!B34,input!$A:$A,June!$B$2)</f>
        <v>0</v>
      </c>
      <c r="E34" s="316">
        <f>COUNTIFS(input!$O:$O,June!$E$19,input!$E:$E,June!B34,input!$A:$A,June!$B$2)</f>
        <v>0</v>
      </c>
      <c r="F34" s="317">
        <f>COUNTIFS(input!$O:$O,June!$F$19,input!$E:$E,June!B34,input!$A:$A,June!$B$2)</f>
        <v>0</v>
      </c>
      <c r="G34" s="318">
        <f>COUNTIFS(input!$O:$O,June!$G$19,input!$E:$E,June!B34,input!$A:$A,June!$B$2)</f>
        <v>1</v>
      </c>
      <c r="H34" s="318">
        <f>COUNTIFS(input!$O:$O,June!$H$19,input!$E:$E,June!B34,input!$A:$A,June!$B$2)</f>
        <v>0</v>
      </c>
      <c r="I34" s="318">
        <f>COUNTIFS(input!$O:$O,June!$I$19,input!$E:$E,June!B34,input!$A:$A,June!$B$2)</f>
        <v>0</v>
      </c>
      <c r="J34" s="318">
        <f>COUNTIFS(input!$O:$O,June!$K$19,input!$E:$E,June!B34,input!$A:$A,June!$B$2)</f>
        <v>0</v>
      </c>
      <c r="K34" s="319">
        <f>COUNTIFS(input!$O:$O,June!$K$19,input!$E:$E,June!B34,input!$A:$A,June!$B$2)</f>
        <v>0</v>
      </c>
      <c r="L34" s="312">
        <f>SUM(D34:K34)</f>
        <v>1</v>
      </c>
      <c r="M34" s="313" cm="1">
        <f t="array" ref="M34">_xlfn.IFS(L34=0,0,L34&gt;=1,L34/$L$65)</f>
        <v>0.1111111111111111</v>
      </c>
      <c r="N34" s="1222" t="s">
        <v>95</v>
      </c>
      <c r="O34" s="1223"/>
      <c r="P34" s="1224"/>
      <c r="Q34" s="316">
        <f>COUNTIFS(input!$O:$O,June!$Q$19,input!$F:$F,June!N34,input!$A:$A,June!$B$2)</f>
        <v>0</v>
      </c>
      <c r="R34" s="316">
        <f>COUNTIFS(input!$O:$O,June!$R$19,input!$F:$F,June!N34,input!$A:$A,June!$B$2)</f>
        <v>0</v>
      </c>
      <c r="S34" s="316">
        <f>COUNTIFS(input!$O:$O,June!$S$19,input!$F:$F,June!N34,input!$A:$A,June!$B$2)</f>
        <v>0</v>
      </c>
      <c r="T34" s="321">
        <f>COUNTIFS(input!$O:$O,June!$T$19,input!$F:$F,June!N34,input!$A:$A,June!$B$2)</f>
        <v>0</v>
      </c>
      <c r="U34" s="322">
        <f>COUNTIFS(input!$O:$O,June!$U$19,input!$F:$F,June!N34,input!$A:$A,June!$B$2)</f>
        <v>0</v>
      </c>
      <c r="V34" s="322">
        <f>COUNTIFS(input!$O:$O,June!$V$19,input!$F:$F,June!N34,input!$A:$A,June!$B$2)</f>
        <v>0</v>
      </c>
      <c r="W34" s="323">
        <f>COUNTIFS(input!$O:$O,June!$W$19,input!$F:$F,June!N34,input!$A:$A,June!$B$2)</f>
        <v>0</v>
      </c>
      <c r="X34" s="324">
        <f>COUNTIFS(input!$O:$O,June!$X$19,input!$F:$F,June!N34,input!$A:$A,June!$B$2)</f>
        <v>0</v>
      </c>
      <c r="Y34" s="312">
        <f t="shared" si="2"/>
        <v>0</v>
      </c>
      <c r="Z34" s="315" cm="1">
        <f t="array" ref="Z34">_xlfn.IFS(Y34=0,0,Y34&gt;=1,Y34/$Y$65)</f>
        <v>0</v>
      </c>
    </row>
    <row r="35" spans="2:26" ht="409.5" hidden="1" customHeight="1" x14ac:dyDescent="0.25">
      <c r="B35" s="990" t="s">
        <v>1756</v>
      </c>
      <c r="C35" s="991"/>
      <c r="D35" s="316">
        <f>COUNTIFS(input!$O:$O,June!$D$19,input!$E:$E,June!B35,input!$A:$A,June!$B$2)</f>
        <v>0</v>
      </c>
      <c r="E35" s="316">
        <f>COUNTIFS(input!$O:$O,June!$E$19,input!$E:$E,June!B35,input!$A:$A,June!$B$2)</f>
        <v>0</v>
      </c>
      <c r="F35" s="317">
        <f>COUNTIFS(input!$O:$O,June!$F$19,input!$E:$E,June!B35,input!$A:$A,June!$B$2)</f>
        <v>0</v>
      </c>
      <c r="G35" s="318">
        <f>COUNTIFS(input!$O:$O,June!$G$19,input!$E:$E,June!B35,input!$A:$A,June!$B$2)</f>
        <v>0</v>
      </c>
      <c r="H35" s="318">
        <f>COUNTIFS(input!$O:$O,June!$H$19,input!$E:$E,June!B35,input!$A:$A,June!$B$2)</f>
        <v>0</v>
      </c>
      <c r="I35" s="318">
        <f>COUNTIFS(input!$O:$O,June!$I$19,input!$E:$E,June!B35,input!$A:$A,June!$B$2)</f>
        <v>0</v>
      </c>
      <c r="J35" s="318">
        <f>COUNTIFS(input!$O:$O,June!$K$19,input!$E:$E,June!B35,input!$A:$A,June!$B$2)</f>
        <v>0</v>
      </c>
      <c r="K35" s="319">
        <f>COUNTIFS(input!$O:$O,June!$K$19,input!$E:$E,June!B35,input!$A:$A,June!$B$2)</f>
        <v>0</v>
      </c>
      <c r="L35" s="312">
        <f t="shared" si="3"/>
        <v>0</v>
      </c>
      <c r="M35" s="313" cm="1">
        <f t="array" ref="M35">_xlfn.IFS(L35=0,0,L35&gt;=1,L35/$L$65)</f>
        <v>0</v>
      </c>
      <c r="N35" s="432" t="s">
        <v>68</v>
      </c>
      <c r="O35" s="433"/>
      <c r="P35" s="434"/>
      <c r="Q35" s="316">
        <f>COUNTIFS(input!$O:$O,June!$Q$19,input!$F:$F,June!N35,input!$A:$A,June!$B$2)</f>
        <v>0</v>
      </c>
      <c r="R35" s="316">
        <f>COUNTIFS(input!$O:$O,June!$R$19,input!$F:$F,June!N35,input!$A:$A,June!$B$2)</f>
        <v>0</v>
      </c>
      <c r="S35" s="316">
        <f>COUNTIFS(input!$O:$O,June!$S$19,input!$F:$F,June!N35,input!$A:$A,June!$B$2)</f>
        <v>0</v>
      </c>
      <c r="T35" s="321">
        <f>COUNTIFS(input!$O:$O,June!$T$19,input!$F:$F,June!N35,input!$A:$A,June!$B$2)</f>
        <v>0</v>
      </c>
      <c r="U35" s="322">
        <f>COUNTIFS(input!$O:$O,June!$U$19,input!$F:$F,June!N35,input!$A:$A,June!$B$2)</f>
        <v>0</v>
      </c>
      <c r="V35" s="322">
        <f>COUNTIFS(input!$O:$O,June!$V$19,input!$F:$F,June!N35,input!$A:$A,June!$B$2)</f>
        <v>0</v>
      </c>
      <c r="W35" s="323">
        <f>COUNTIFS(input!$O:$O,June!$W$19,input!$F:$F,June!N35,input!$A:$A,June!$B$2)</f>
        <v>0</v>
      </c>
      <c r="X35" s="324">
        <f>COUNTIFS(input!$O:$O,June!$X$19,input!$F:$F,June!N35,input!$A:$A,June!$B$2)</f>
        <v>0</v>
      </c>
      <c r="Y35" s="312">
        <f t="shared" si="2"/>
        <v>0</v>
      </c>
      <c r="Z35" s="315" cm="1">
        <f t="array" ref="Z35">_xlfn.IFS(Y35=0,0,Y35&gt;=1,Y35/$Y$65)</f>
        <v>0</v>
      </c>
    </row>
    <row r="36" spans="2:26" ht="92" customHeight="1" x14ac:dyDescent="0.25">
      <c r="B36" s="1225" t="s">
        <v>1951</v>
      </c>
      <c r="C36" s="1226"/>
      <c r="D36" s="316">
        <f>COUNTIFS(input!$O:$O,June!$D$19,input!$E:$E,June!B36,input!$A:$A,June!$B$2)</f>
        <v>0</v>
      </c>
      <c r="E36" s="316">
        <f>COUNTIFS(input!$O:$O,June!$E$19,input!$E:$E,June!B36,input!$A:$A,June!$B$2)</f>
        <v>0</v>
      </c>
      <c r="F36" s="317">
        <f>COUNTIFS(input!$O:$O,June!$F$19,input!$E:$E,June!B36,input!$A:$A,June!$B$2)</f>
        <v>0</v>
      </c>
      <c r="G36" s="318">
        <f>COUNTIFS(input!$O:$O,June!$G$19,input!$E:$E,June!B36,input!$A:$A,June!$B$2)</f>
        <v>0</v>
      </c>
      <c r="H36" s="318">
        <f>COUNTIFS(input!$O:$O,June!$H$19,input!$E:$E,June!B36,input!$A:$A,June!$B$2)</f>
        <v>1</v>
      </c>
      <c r="I36" s="318">
        <f>COUNTIFS(input!$O:$O,June!$I$19,input!$E:$E,June!B36,input!$A:$A,June!$B$2)</f>
        <v>0</v>
      </c>
      <c r="J36" s="318">
        <f>COUNTIFS(input!$O:$O,June!$K$19,input!$E:$E,June!B36,input!$A:$A,June!$B$2)</f>
        <v>0</v>
      </c>
      <c r="K36" s="319">
        <f>COUNTIFS(input!$O:$O,June!$K$19,input!$E:$E,June!B36,input!$A:$A,June!$B$2)</f>
        <v>0</v>
      </c>
      <c r="L36" s="312">
        <f>SUM(D36:K36)</f>
        <v>1</v>
      </c>
      <c r="M36" s="313" cm="1">
        <f t="array" ref="M36">_xlfn.IFS(L36=0,0,L36&gt;=1,L36/$L$65)</f>
        <v>0.1111111111111111</v>
      </c>
      <c r="N36" s="1222" t="s">
        <v>69</v>
      </c>
      <c r="O36" s="1223"/>
      <c r="P36" s="1224"/>
      <c r="Q36" s="316">
        <f>COUNTIFS(input!$O:$O,June!$Q$19,input!$F:$F,June!N36,input!$A:$A,June!$B$2)</f>
        <v>0</v>
      </c>
      <c r="R36" s="316">
        <f>COUNTIFS(input!$O:$O,June!$R$19,input!$F:$F,June!N36,input!$A:$A,June!$B$2)</f>
        <v>0</v>
      </c>
      <c r="S36" s="316">
        <f>COUNTIFS(input!$O:$O,June!$S$19,input!$F:$F,June!N36,input!$A:$A,June!$B$2)</f>
        <v>0</v>
      </c>
      <c r="T36" s="321">
        <f>COUNTIFS(input!$O:$O,June!$T$19,input!$F:$F,June!N36,input!$A:$A,June!$B$2)</f>
        <v>0</v>
      </c>
      <c r="U36" s="322">
        <f>COUNTIFS(input!$O:$O,June!$U$19,input!$F:$F,June!N36,input!$A:$A,June!$B$2)</f>
        <v>0</v>
      </c>
      <c r="V36" s="322">
        <f>COUNTIFS(input!$O:$O,June!$V$19,input!$F:$F,June!N36,input!$A:$A,June!$B$2)</f>
        <v>0</v>
      </c>
      <c r="W36" s="323">
        <f>COUNTIFS(input!$O:$O,June!$W$19,input!$F:$F,June!N36,input!$A:$A,June!$B$2)</f>
        <v>0</v>
      </c>
      <c r="X36" s="324">
        <f>COUNTIFS(input!$O:$O,June!$X$19,input!$F:$F,June!N36,input!$A:$A,June!$B$2)</f>
        <v>0</v>
      </c>
      <c r="Y36" s="312">
        <f t="shared" si="2"/>
        <v>0</v>
      </c>
      <c r="Z36" s="315" cm="1">
        <f t="array" ref="Z36">_xlfn.IFS(Y36=0,0,Y36&gt;=1,Y36/$Y$65)</f>
        <v>0</v>
      </c>
    </row>
    <row r="37" spans="2:26" ht="409.5" hidden="1" customHeight="1" x14ac:dyDescent="0.25">
      <c r="B37" s="990" t="s">
        <v>1888</v>
      </c>
      <c r="C37" s="991"/>
      <c r="D37" s="316">
        <f>COUNTIFS(input!$O:$O,June!$D$19,input!$E:$E,June!B37,input!$A:$A,June!$B$2)</f>
        <v>0</v>
      </c>
      <c r="E37" s="316">
        <f>COUNTIFS(input!$O:$O,June!$E$19,input!$E:$E,June!B37,input!$A:$A,June!$B$2)</f>
        <v>0</v>
      </c>
      <c r="F37" s="317">
        <f>COUNTIFS(input!$O:$O,June!$F$19,input!$E:$E,June!B37,input!$A:$A,June!$B$2)</f>
        <v>0</v>
      </c>
      <c r="G37" s="318">
        <f>COUNTIFS(input!$O:$O,June!$G$19,input!$E:$E,June!B37,input!$A:$A,June!$B$2)</f>
        <v>0</v>
      </c>
      <c r="H37" s="318">
        <f>COUNTIFS(input!$O:$O,June!$H$19,input!$E:$E,June!B37,input!$A:$A,June!$B$2)</f>
        <v>0</v>
      </c>
      <c r="I37" s="318">
        <f>COUNTIFS(input!$O:$O,June!$I$19,input!$E:$E,June!B37,input!$A:$A,June!$B$2)</f>
        <v>0</v>
      </c>
      <c r="J37" s="318">
        <f>COUNTIFS(input!$O:$O,June!$K$19,input!$E:$E,June!B37,input!$A:$A,June!$B$2)</f>
        <v>0</v>
      </c>
      <c r="K37" s="319">
        <f>COUNTIFS(input!$O:$O,June!$K$19,input!$E:$E,June!B37,input!$A:$A,June!$B$2)</f>
        <v>0</v>
      </c>
      <c r="L37" s="312">
        <f t="shared" si="3"/>
        <v>0</v>
      </c>
      <c r="M37" s="313" cm="1">
        <f t="array" ref="M37">_xlfn.IFS(L37=0,0,L37&gt;=1,L37/$L$65)</f>
        <v>0</v>
      </c>
      <c r="N37" s="432" t="s">
        <v>84</v>
      </c>
      <c r="O37" s="433"/>
      <c r="P37" s="434"/>
      <c r="Q37" s="316">
        <f>COUNTIFS(input!$O:$O,June!$Q$19,input!$F:$F,June!N37,input!$A:$A,June!$B$2)</f>
        <v>0</v>
      </c>
      <c r="R37" s="316">
        <f>COUNTIFS(input!$O:$O,June!$R$19,input!$F:$F,June!N37,input!$A:$A,June!$B$2)</f>
        <v>0</v>
      </c>
      <c r="S37" s="316">
        <f>COUNTIFS(input!$O:$O,June!$S$19,input!$F:$F,June!N37,input!$A:$A,June!$B$2)</f>
        <v>0</v>
      </c>
      <c r="T37" s="321">
        <f>COUNTIFS(input!$O:$O,June!$T$19,input!$F:$F,June!N37,input!$A:$A,June!$B$2)</f>
        <v>0</v>
      </c>
      <c r="U37" s="322">
        <f>COUNTIFS(input!$O:$O,June!$U$19,input!$F:$F,June!N37,input!$A:$A,June!$B$2)</f>
        <v>0</v>
      </c>
      <c r="V37" s="322">
        <f>COUNTIFS(input!$O:$O,June!$V$19,input!$F:$F,June!N37,input!$A:$A,June!$B$2)</f>
        <v>0</v>
      </c>
      <c r="W37" s="323">
        <f>COUNTIFS(input!$O:$O,June!$W$19,input!$F:$F,June!N37,input!$A:$A,June!$B$2)</f>
        <v>0</v>
      </c>
      <c r="X37" s="324">
        <f>COUNTIFS(input!$O:$O,June!$X$19,input!$F:$F,June!N37,input!$A:$A,June!$B$2)</f>
        <v>0</v>
      </c>
      <c r="Y37" s="312">
        <f t="shared" si="2"/>
        <v>0</v>
      </c>
      <c r="Z37" s="315" cm="1">
        <f t="array" ref="Z37">_xlfn.IFS(Y37=0,0,Y37&gt;=1,Y37/$Y$65)</f>
        <v>0</v>
      </c>
    </row>
    <row r="38" spans="2:26" ht="409.5" hidden="1" customHeight="1" x14ac:dyDescent="0.25">
      <c r="B38" s="990" t="s">
        <v>658</v>
      </c>
      <c r="C38" s="991"/>
      <c r="D38" s="316">
        <f>COUNTIFS(input!$O:$O,June!$D$19,input!$E:$E,June!B38,input!$A:$A,June!$B$2)</f>
        <v>0</v>
      </c>
      <c r="E38" s="316">
        <f>COUNTIFS(input!$O:$O,June!$E$19,input!$E:$E,June!B38,input!$A:$A,June!$B$2)</f>
        <v>0</v>
      </c>
      <c r="F38" s="317">
        <f>COUNTIFS(input!$O:$O,June!$F$19,input!$E:$E,June!B38,input!$A:$A,June!$B$2)</f>
        <v>0</v>
      </c>
      <c r="G38" s="318">
        <f>COUNTIFS(input!$O:$O,June!$G$19,input!$E:$E,June!B38,input!$A:$A,June!$B$2)</f>
        <v>0</v>
      </c>
      <c r="H38" s="318">
        <f>COUNTIFS(input!$O:$O,June!$H$19,input!$E:$E,June!B38,input!$A:$A,June!$B$2)</f>
        <v>0</v>
      </c>
      <c r="I38" s="318">
        <f>COUNTIFS(input!$O:$O,June!$I$19,input!$E:$E,June!B38,input!$A:$A,June!$B$2)</f>
        <v>0</v>
      </c>
      <c r="J38" s="318">
        <f>COUNTIFS(input!$O:$O,June!$K$19,input!$E:$E,June!B38,input!$A:$A,June!$B$2)</f>
        <v>0</v>
      </c>
      <c r="K38" s="319">
        <f>COUNTIFS(input!$O:$O,June!$K$19,input!$E:$E,June!B38,input!$A:$A,June!$B$2)</f>
        <v>0</v>
      </c>
      <c r="L38" s="312">
        <f t="shared" si="3"/>
        <v>0</v>
      </c>
      <c r="M38" s="313" cm="1">
        <f t="array" ref="M38">_xlfn.IFS(L38=0,0,L38&gt;=1,L38/$L$65)</f>
        <v>0</v>
      </c>
      <c r="N38" s="432" t="s">
        <v>56</v>
      </c>
      <c r="O38" s="433"/>
      <c r="P38" s="434"/>
      <c r="Q38" s="316">
        <f>COUNTIFS(input!$O:$O,June!$Q$19,input!$F:$F,June!N38,input!$A:$A,June!$B$2)</f>
        <v>0</v>
      </c>
      <c r="R38" s="316">
        <f>COUNTIFS(input!$O:$O,June!$R$19,input!$F:$F,June!N38,input!$A:$A,June!$B$2)</f>
        <v>0</v>
      </c>
      <c r="S38" s="316">
        <f>COUNTIFS(input!$O:$O,June!$S$19,input!$F:$F,June!N38,input!$A:$A,June!$B$2)</f>
        <v>0</v>
      </c>
      <c r="T38" s="321">
        <f>COUNTIFS(input!$O:$O,June!$T$19,input!$F:$F,June!N38,input!$A:$A,June!$B$2)</f>
        <v>0</v>
      </c>
      <c r="U38" s="322">
        <f>COUNTIFS(input!$O:$O,June!$U$19,input!$F:$F,June!N38,input!$A:$A,June!$B$2)</f>
        <v>0</v>
      </c>
      <c r="V38" s="322">
        <f>COUNTIFS(input!$O:$O,June!$V$19,input!$F:$F,June!N38,input!$A:$A,June!$B$2)</f>
        <v>0</v>
      </c>
      <c r="W38" s="323">
        <f>COUNTIFS(input!$O:$O,June!$W$19,input!$F:$F,June!N38,input!$A:$A,June!$B$2)</f>
        <v>0</v>
      </c>
      <c r="X38" s="324">
        <f>COUNTIFS(input!$O:$O,June!$X$19,input!$F:$F,June!N38,input!$A:$A,June!$B$2)</f>
        <v>0</v>
      </c>
      <c r="Y38" s="312">
        <f t="shared" si="2"/>
        <v>0</v>
      </c>
      <c r="Z38" s="315" cm="1">
        <f t="array" ref="Z38">_xlfn.IFS(Y38=0,0,Y38&gt;=1,Y38/$Y$65)</f>
        <v>0</v>
      </c>
    </row>
    <row r="39" spans="2:26" ht="92" customHeight="1" x14ac:dyDescent="0.25">
      <c r="B39" s="1225" t="s">
        <v>18</v>
      </c>
      <c r="C39" s="1226"/>
      <c r="D39" s="316">
        <f>COUNTIFS(input!$O:$O,June!$D$19,input!$E:$E,June!B39,input!$A:$A,June!$B$2)</f>
        <v>0</v>
      </c>
      <c r="E39" s="316">
        <f>COUNTIFS(input!$O:$O,June!$E$19,input!$E:$E,June!B39,input!$A:$A,June!$B$2)</f>
        <v>0</v>
      </c>
      <c r="F39" s="317">
        <f>COUNTIFS(input!$O:$O,June!$F$19,input!$E:$E,June!B39,input!$A:$A,June!$B$2)</f>
        <v>0</v>
      </c>
      <c r="G39" s="318">
        <f>COUNTIFS(input!$O:$O,June!$G$19,input!$E:$E,June!B39,input!$A:$A,June!$B$2)</f>
        <v>1</v>
      </c>
      <c r="H39" s="318">
        <f>COUNTIFS(input!$O:$O,June!$H$19,input!$E:$E,June!B39,input!$A:$A,June!$B$2)</f>
        <v>0</v>
      </c>
      <c r="I39" s="318">
        <f>COUNTIFS(input!$O:$O,June!$I$19,input!$E:$E,June!B39,input!$A:$A,June!$B$2)</f>
        <v>0</v>
      </c>
      <c r="J39" s="318">
        <f>COUNTIFS(input!$O:$O,June!$K$19,input!$E:$E,June!B39,input!$A:$A,June!$B$2)</f>
        <v>0</v>
      </c>
      <c r="K39" s="319">
        <f>COUNTIFS(input!$O:$O,June!$K$19,input!$E:$E,June!B39,input!$A:$A,June!$B$2)</f>
        <v>0</v>
      </c>
      <c r="L39" s="312">
        <f t="shared" si="3"/>
        <v>1</v>
      </c>
      <c r="M39" s="313" cm="1">
        <f t="array" ref="M39">_xlfn.IFS(L39=0,0,L39&gt;=1,L39/$L$65)</f>
        <v>0.1111111111111111</v>
      </c>
      <c r="N39" s="1217" t="s">
        <v>203</v>
      </c>
      <c r="O39" s="1218"/>
      <c r="P39" s="1219"/>
      <c r="Q39" s="316">
        <f>COUNTIFS(input!$O:$O,June!$Q$19,input!$F:$F,June!N39,input!$A:$A,June!$B$2)</f>
        <v>0</v>
      </c>
      <c r="R39" s="316">
        <f>COUNTIFS(input!$O:$O,June!$R$19,input!$F:$F,June!N39,input!$A:$A,June!$B$2)</f>
        <v>0</v>
      </c>
      <c r="S39" s="316">
        <f>COUNTIFS(input!$O:$O,June!$S$19,input!$F:$F,June!N39,input!$A:$A,June!$B$2)</f>
        <v>0</v>
      </c>
      <c r="T39" s="321">
        <f>COUNTIFS(input!$O:$O,June!$T$19,input!$F:$F,June!N39,input!$A:$A,June!$B$2)</f>
        <v>0</v>
      </c>
      <c r="U39" s="322">
        <f>COUNTIFS(input!$O:$O,June!$U$19,input!$F:$F,June!N39,input!$A:$A,June!$B$2)</f>
        <v>0</v>
      </c>
      <c r="V39" s="322">
        <f>COUNTIFS(input!$O:$O,June!$V$19,input!$F:$F,June!N39,input!$A:$A,June!$B$2)</f>
        <v>1</v>
      </c>
      <c r="W39" s="323">
        <f>COUNTIFS(input!$O:$O,June!$W$19,input!$F:$F,June!N39,input!$A:$A,June!$B$2)</f>
        <v>0</v>
      </c>
      <c r="X39" s="324">
        <f>COUNTIFS(input!$O:$O,June!$X$19,input!$F:$F,June!N39,input!$A:$A,June!$B$2)</f>
        <v>0</v>
      </c>
      <c r="Y39" s="312">
        <f t="shared" si="2"/>
        <v>1</v>
      </c>
      <c r="Z39" s="315" cm="1">
        <f t="array" ref="Z39">_xlfn.IFS(Y39=0,0,Y39&gt;=1,Y39/$Y$65)</f>
        <v>0.1111111111111111</v>
      </c>
    </row>
    <row r="40" spans="2:26" ht="92" hidden="1" customHeight="1" x14ac:dyDescent="0.25">
      <c r="B40" s="990" t="s">
        <v>410</v>
      </c>
      <c r="C40" s="991"/>
      <c r="D40" s="316">
        <f>COUNTIFS(input!$O:$O,June!$D$19,input!$E:$E,June!B40,input!$A:$A,June!$B$2)</f>
        <v>0</v>
      </c>
      <c r="E40" s="316">
        <f>COUNTIFS(input!$O:$O,June!$E$19,input!$E:$E,June!B40,input!$A:$A,June!$B$2)</f>
        <v>0</v>
      </c>
      <c r="F40" s="317">
        <f>COUNTIFS(input!$O:$O,June!$F$19,input!$E:$E,June!B40,input!$A:$A,June!$B$2)</f>
        <v>0</v>
      </c>
      <c r="G40" s="318">
        <f>COUNTIFS(input!$O:$O,June!$G$19,input!$E:$E,June!B40,input!$A:$A,June!$B$2)</f>
        <v>0</v>
      </c>
      <c r="H40" s="318">
        <f>COUNTIFS(input!$O:$O,June!$H$19,input!$E:$E,June!B40,input!$A:$A,June!$B$2)</f>
        <v>0</v>
      </c>
      <c r="I40" s="318">
        <f>COUNTIFS(input!$O:$O,June!$I$19,input!$E:$E,June!B40,input!$A:$A,June!$B$2)</f>
        <v>0</v>
      </c>
      <c r="J40" s="318">
        <f>COUNTIFS(input!$O:$O,June!$K$19,input!$E:$E,June!B40,input!$A:$A,June!$B$2)</f>
        <v>0</v>
      </c>
      <c r="K40" s="319">
        <f>COUNTIFS(input!$O:$O,June!$K$19,input!$E:$E,June!B40,input!$A:$A,June!$B$2)</f>
        <v>0</v>
      </c>
      <c r="L40" s="312">
        <f t="shared" si="3"/>
        <v>0</v>
      </c>
      <c r="M40" s="313" cm="1">
        <f t="array" ref="M40">_xlfn.IFS(L40=0,0,L40&gt;=1,L40/$L$65)</f>
        <v>0</v>
      </c>
      <c r="N40" s="1222" t="s">
        <v>42</v>
      </c>
      <c r="O40" s="1223"/>
      <c r="P40" s="1224"/>
      <c r="Q40" s="316">
        <f>COUNTIFS(input!$O:$O,June!$Q$19,input!$F:$F,June!N40,input!$A:$A,June!$B$2)</f>
        <v>0</v>
      </c>
      <c r="R40" s="316">
        <f>COUNTIFS(input!$O:$O,June!$R$19,input!$F:$F,June!N40,input!$A:$A,June!$B$2)</f>
        <v>0</v>
      </c>
      <c r="S40" s="316">
        <f>COUNTIFS(input!$O:$O,June!$S$19,input!$F:$F,June!N40,input!$A:$A,June!$B$2)</f>
        <v>0</v>
      </c>
      <c r="T40" s="321">
        <f>COUNTIFS(input!$O:$O,June!$T$19,input!$F:$F,June!N40,input!$A:$A,June!$B$2)</f>
        <v>0</v>
      </c>
      <c r="U40" s="322">
        <f>COUNTIFS(input!$O:$O,June!$U$19,input!$F:$F,June!N40,input!$A:$A,June!$B$2)</f>
        <v>0</v>
      </c>
      <c r="V40" s="322">
        <f>COUNTIFS(input!$O:$O,June!$V$19,input!$F:$F,June!N40,input!$A:$A,June!$B$2)</f>
        <v>0</v>
      </c>
      <c r="W40" s="323">
        <f>COUNTIFS(input!$O:$O,June!$W$19,input!$F:$F,June!N40,input!$A:$A,June!$B$2)</f>
        <v>0</v>
      </c>
      <c r="X40" s="324">
        <f>COUNTIFS(input!$O:$O,June!$X$19,input!$F:$F,June!N40,input!$A:$A,June!$B$2)</f>
        <v>0</v>
      </c>
      <c r="Y40" s="312">
        <f t="shared" si="2"/>
        <v>0</v>
      </c>
      <c r="Z40" s="315" cm="1">
        <f t="array" ref="Z40">_xlfn.IFS(Y40=0,0,Y40&gt;=1,Y40/$Y$65)</f>
        <v>0</v>
      </c>
    </row>
    <row r="41" spans="2:26" ht="92" hidden="1" customHeight="1" x14ac:dyDescent="0.25">
      <c r="B41" s="990" t="s">
        <v>1509</v>
      </c>
      <c r="C41" s="991"/>
      <c r="D41" s="316">
        <f>COUNTIFS(input!$O:$O,June!$D$19,input!$E:$E,June!B41,input!$A:$A,June!$B$2)</f>
        <v>0</v>
      </c>
      <c r="E41" s="316">
        <f>COUNTIFS(input!$O:$O,June!$E$19,input!$E:$E,June!B41,input!$A:$A,June!$B$2)</f>
        <v>0</v>
      </c>
      <c r="F41" s="317">
        <f>COUNTIFS(input!$O:$O,June!$F$19,input!$E:$E,June!B41,input!$A:$A,June!$B$2)</f>
        <v>0</v>
      </c>
      <c r="G41" s="318">
        <f>COUNTIFS(input!$O:$O,June!$G$19,input!$E:$E,June!B41,input!$A:$A,June!$B$2)</f>
        <v>0</v>
      </c>
      <c r="H41" s="318">
        <f>COUNTIFS(input!$O:$O,June!$H$19,input!$E:$E,June!B41,input!$A:$A,June!$B$2)</f>
        <v>0</v>
      </c>
      <c r="I41" s="318">
        <f>COUNTIFS(input!$O:$O,June!$I$19,input!$E:$E,June!B41,input!$A:$A,June!$B$2)</f>
        <v>0</v>
      </c>
      <c r="J41" s="318">
        <f>COUNTIFS(input!$O:$O,June!$K$19,input!$E:$E,June!B41,input!$A:$A,June!$B$2)</f>
        <v>0</v>
      </c>
      <c r="K41" s="319">
        <f>COUNTIFS(input!$O:$O,June!$K$19,input!$E:$E,June!B41,input!$A:$A,June!$B$2)</f>
        <v>0</v>
      </c>
      <c r="L41" s="312">
        <f t="shared" si="3"/>
        <v>0</v>
      </c>
      <c r="M41" s="313" cm="1">
        <f t="array" ref="M41">_xlfn.IFS(L41=0,0,L41&gt;=1,L41/$L$65)</f>
        <v>0</v>
      </c>
      <c r="N41" s="1222" t="s">
        <v>703</v>
      </c>
      <c r="O41" s="1223"/>
      <c r="P41" s="1224"/>
      <c r="Q41" s="316">
        <f>COUNTIFS(input!$O:$O,June!$Q$19,input!$F:$F,June!N41,input!$A:$A,June!$B$2)</f>
        <v>0</v>
      </c>
      <c r="R41" s="316">
        <f>COUNTIFS(input!$O:$O,June!$R$19,input!$F:$F,June!N41,input!$A:$A,June!$B$2)</f>
        <v>0</v>
      </c>
      <c r="S41" s="316">
        <f>COUNTIFS(input!$O:$O,June!$S$19,input!$F:$F,June!N41,input!$A:$A,June!$B$2)</f>
        <v>0</v>
      </c>
      <c r="T41" s="321">
        <f>COUNTIFS(input!$O:$O,June!$T$19,input!$F:$F,June!N41,input!$A:$A,June!$B$2)</f>
        <v>0</v>
      </c>
      <c r="U41" s="322">
        <f>COUNTIFS(input!$O:$O,June!$U$19,input!$F:$F,June!N41,input!$A:$A,June!$B$2)</f>
        <v>0</v>
      </c>
      <c r="V41" s="322">
        <f>COUNTIFS(input!$O:$O,June!$V$19,input!$F:$F,June!N41,input!$A:$A,June!$B$2)</f>
        <v>0</v>
      </c>
      <c r="W41" s="323">
        <f>COUNTIFS(input!$O:$O,June!$W$19,input!$F:$F,June!N41,input!$A:$A,June!$B$2)</f>
        <v>0</v>
      </c>
      <c r="X41" s="324">
        <f>COUNTIFS(input!$O:$O,June!$X$19,input!$F:$F,June!N41,input!$A:$A,June!$B$2)</f>
        <v>0</v>
      </c>
      <c r="Y41" s="312">
        <f t="shared" si="2"/>
        <v>0</v>
      </c>
      <c r="Z41" s="315" cm="1">
        <f t="array" ref="Z41">_xlfn.IFS(Y41=0,0,Y41&gt;=1,Y41/$Y$65)</f>
        <v>0</v>
      </c>
    </row>
    <row r="42" spans="2:26" ht="92" hidden="1" customHeight="1" x14ac:dyDescent="0.25">
      <c r="B42" s="990" t="s">
        <v>747</v>
      </c>
      <c r="C42" s="991"/>
      <c r="D42" s="316">
        <f>COUNTIFS(input!$O:$O,June!$D$19,input!$E:$E,June!B42,input!$A:$A,June!$B$2)</f>
        <v>0</v>
      </c>
      <c r="E42" s="316">
        <f>COUNTIFS(input!$O:$O,June!$E$19,input!$E:$E,June!B42,input!$A:$A,June!$B$2)</f>
        <v>0</v>
      </c>
      <c r="F42" s="317">
        <f>COUNTIFS(input!$O:$O,June!$F$19,input!$E:$E,June!B42,input!$A:$A,June!$B$2)</f>
        <v>0</v>
      </c>
      <c r="G42" s="318">
        <f>COUNTIFS(input!$O:$O,June!$G$19,input!$E:$E,June!B42,input!$A:$A,June!$B$2)</f>
        <v>0</v>
      </c>
      <c r="H42" s="318">
        <f>COUNTIFS(input!$O:$O,June!$H$19,input!$E:$E,June!B42,input!$A:$A,June!$B$2)</f>
        <v>0</v>
      </c>
      <c r="I42" s="318">
        <f>COUNTIFS(input!$O:$O,June!$I$19,input!$E:$E,June!B42,input!$A:$A,June!$B$2)</f>
        <v>0</v>
      </c>
      <c r="J42" s="318">
        <f>COUNTIFS(input!$O:$O,June!$K$19,input!$E:$E,June!B42,input!$A:$A,June!$B$2)</f>
        <v>0</v>
      </c>
      <c r="K42" s="319">
        <f>COUNTIFS(input!$O:$O,June!$K$19,input!$E:$E,June!B42,input!$A:$A,June!$B$2)</f>
        <v>0</v>
      </c>
      <c r="L42" s="312">
        <f t="shared" si="3"/>
        <v>0</v>
      </c>
      <c r="M42" s="313" cm="1">
        <f t="array" ref="M42">_xlfn.IFS(L42=0,0,L42&gt;=1,L42/$L$65)</f>
        <v>0</v>
      </c>
      <c r="N42" s="1222" t="s">
        <v>1533</v>
      </c>
      <c r="O42" s="1223"/>
      <c r="P42" s="1224"/>
      <c r="Q42" s="316">
        <f>COUNTIFS(input!$O:$O,June!$Q$19,input!$F:$F,June!N42,input!$A:$A,June!$B$2)</f>
        <v>0</v>
      </c>
      <c r="R42" s="316">
        <f>COUNTIFS(input!$O:$O,June!$R$19,input!$F:$F,June!N42,input!$A:$A,June!$B$2)</f>
        <v>0</v>
      </c>
      <c r="S42" s="316">
        <f>COUNTIFS(input!$O:$O,June!$S$19,input!$F:$F,June!N42,input!$A:$A,June!$B$2)</f>
        <v>0</v>
      </c>
      <c r="T42" s="321">
        <f>COUNTIFS(input!$O:$O,June!$T$19,input!$F:$F,June!N42,input!$A:$A,June!$B$2)</f>
        <v>0</v>
      </c>
      <c r="U42" s="322">
        <f>COUNTIFS(input!$O:$O,June!$U$19,input!$F:$F,June!N42,input!$A:$A,June!$B$2)</f>
        <v>0</v>
      </c>
      <c r="V42" s="322">
        <f>COUNTIFS(input!$O:$O,June!$V$19,input!$F:$F,June!N42,input!$A:$A,June!$B$2)</f>
        <v>0</v>
      </c>
      <c r="W42" s="323">
        <f>COUNTIFS(input!$O:$O,June!$W$19,input!$F:$F,June!N42,input!$A:$A,June!$B$2)</f>
        <v>0</v>
      </c>
      <c r="X42" s="324">
        <f>COUNTIFS(input!$O:$O,June!$X$19,input!$F:$F,June!N42,input!$A:$A,June!$B$2)</f>
        <v>0</v>
      </c>
      <c r="Y42" s="312">
        <f t="shared" si="2"/>
        <v>0</v>
      </c>
      <c r="Z42" s="315" cm="1">
        <f t="array" ref="Z42">_xlfn.IFS(Y42=0,0,Y42&gt;=1,Y42/$Y$65)</f>
        <v>0</v>
      </c>
    </row>
    <row r="43" spans="2:26" ht="92" hidden="1" customHeight="1" x14ac:dyDescent="0.25">
      <c r="B43" s="990" t="s">
        <v>333</v>
      </c>
      <c r="C43" s="991"/>
      <c r="D43" s="316">
        <f>COUNTIFS(input!$O:$O,June!$D$19,input!$E:$E,June!B43,input!$A:$A,June!$B$2)</f>
        <v>0</v>
      </c>
      <c r="E43" s="316">
        <f>COUNTIFS(input!$O:$O,June!$E$19,input!$E:$E,June!B43,input!$A:$A,June!$B$2)</f>
        <v>0</v>
      </c>
      <c r="F43" s="317">
        <f>COUNTIFS(input!$O:$O,June!$F$19,input!$E:$E,June!B43,input!$A:$A,June!$B$2)</f>
        <v>0</v>
      </c>
      <c r="G43" s="318">
        <f>COUNTIFS(input!$O:$O,June!$G$19,input!$E:$E,June!B43,input!$A:$A,June!$B$2)</f>
        <v>0</v>
      </c>
      <c r="H43" s="318">
        <f>COUNTIFS(input!$O:$O,June!$H$19,input!$E:$E,June!B43,input!$A:$A,June!$B$2)</f>
        <v>0</v>
      </c>
      <c r="I43" s="318">
        <f>COUNTIFS(input!$O:$O,June!$I$19,input!$E:$E,June!B43,input!$A:$A,June!$B$2)</f>
        <v>0</v>
      </c>
      <c r="J43" s="318">
        <f>COUNTIFS(input!$O:$O,June!$K$19,input!$E:$E,June!B43,input!$A:$A,June!$B$2)</f>
        <v>0</v>
      </c>
      <c r="K43" s="319">
        <f>COUNTIFS(input!$O:$O,June!$K$19,input!$E:$E,June!B43,input!$A:$A,June!$B$2)</f>
        <v>0</v>
      </c>
      <c r="L43" s="312">
        <f>SUM(D43:K43)</f>
        <v>0</v>
      </c>
      <c r="M43" s="313" cm="1">
        <f t="array" ref="M43">_xlfn.IFS(L43=0,0,L43&gt;=1,L43/$L$65)</f>
        <v>0</v>
      </c>
      <c r="N43" s="1217"/>
      <c r="O43" s="1218"/>
      <c r="P43" s="1219"/>
      <c r="Q43" s="316">
        <f>COUNTIFS(input!$O:$O,June!$Q$19,input!$F:$F,June!N43,input!$A:$A,June!$B$2)</f>
        <v>0</v>
      </c>
      <c r="R43" s="316">
        <f>COUNTIFS(input!$O:$O,June!$R$19,input!$F:$F,June!N43,input!$A:$A,June!$B$2)</f>
        <v>0</v>
      </c>
      <c r="S43" s="316">
        <f>COUNTIFS(input!$O:$O,June!$S$19,input!$F:$F,June!N43,input!$A:$A,June!$B$2)</f>
        <v>0</v>
      </c>
      <c r="T43" s="321">
        <f>COUNTIFS(input!$O:$O,June!$T$19,input!$F:$F,June!N43,input!$A:$A,June!$B$2)</f>
        <v>0</v>
      </c>
      <c r="U43" s="322">
        <f>COUNTIFS(input!$O:$O,June!$U$19,input!$F:$F,June!N43,input!$A:$A,June!$B$2)</f>
        <v>0</v>
      </c>
      <c r="V43" s="322">
        <f>COUNTIFS(input!$O:$O,June!$V$19,input!$F:$F,June!N43,input!$A:$A,June!$B$2)</f>
        <v>0</v>
      </c>
      <c r="W43" s="323">
        <f>COUNTIFS(input!$O:$O,June!$W$19,input!$F:$F,June!N43,input!$A:$A,June!$B$2)</f>
        <v>0</v>
      </c>
      <c r="X43" s="324">
        <f>COUNTIFS(input!$O:$O,June!$X$19,input!$F:$F,June!N43,input!$A:$A,June!$B$2)</f>
        <v>0</v>
      </c>
      <c r="Y43" s="312">
        <f t="shared" ref="Y43:Y64" si="4">SUM(Q43:X43)</f>
        <v>0</v>
      </c>
      <c r="Z43" s="315" cm="1">
        <f t="array" ref="Z43">_xlfn.IFS(Y43=0,0,Y43&gt;=1,Y43/$Y$65)</f>
        <v>0</v>
      </c>
    </row>
    <row r="44" spans="2:26" ht="92" hidden="1" customHeight="1" x14ac:dyDescent="0.25">
      <c r="B44" s="990" t="s">
        <v>1550</v>
      </c>
      <c r="C44" s="991"/>
      <c r="D44" s="316">
        <f>COUNTIFS(input!$O:$O,June!$D$19,input!$E:$E,June!B44,input!$A:$A,June!$B$2)</f>
        <v>0</v>
      </c>
      <c r="E44" s="316">
        <f>COUNTIFS(input!$O:$O,June!$E$19,input!$E:$E,June!B44,input!$A:$A,June!$B$2)</f>
        <v>0</v>
      </c>
      <c r="F44" s="317">
        <f>COUNTIFS(input!$O:$O,June!$F$19,input!$E:$E,June!B44,input!$A:$A,June!$B$2)</f>
        <v>0</v>
      </c>
      <c r="G44" s="318">
        <f>COUNTIFS(input!$O:$O,June!$G$19,input!$E:$E,June!B44,input!$A:$A,June!$B$2)</f>
        <v>0</v>
      </c>
      <c r="H44" s="318">
        <f>COUNTIFS(input!$O:$O,June!$H$19,input!$E:$E,June!B44,input!$A:$A,June!$B$2)</f>
        <v>0</v>
      </c>
      <c r="I44" s="318">
        <f>COUNTIFS(input!$O:$O,June!$I$19,input!$E:$E,June!B44,input!$A:$A,June!$B$2)</f>
        <v>0</v>
      </c>
      <c r="J44" s="318">
        <f>COUNTIFS(input!$O:$O,June!$K$19,input!$E:$E,June!B44,input!$A:$A,June!$B$2)</f>
        <v>0</v>
      </c>
      <c r="K44" s="319">
        <f>COUNTIFS(input!$O:$O,June!$K$19,input!$E:$E,June!B44,input!$A:$A,June!$B$2)</f>
        <v>0</v>
      </c>
      <c r="L44" s="312">
        <f>SUM(D44:K44)</f>
        <v>0</v>
      </c>
      <c r="M44" s="313" cm="1">
        <f t="array" ref="M44">_xlfn.IFS(L44=0,0,L44&gt;=1,L44/$L$65)</f>
        <v>0</v>
      </c>
      <c r="N44" s="1222"/>
      <c r="O44" s="1223"/>
      <c r="P44" s="1224"/>
      <c r="Q44" s="316">
        <f>COUNTIFS(input!$O:$O,June!$Q$19,input!$F:$F,June!N44,input!$A:$A,June!$B$2)</f>
        <v>0</v>
      </c>
      <c r="R44" s="316">
        <f>COUNTIFS(input!$O:$O,June!$R$19,input!$F:$F,June!N44,input!$A:$A,June!$B$2)</f>
        <v>0</v>
      </c>
      <c r="S44" s="316">
        <f>COUNTIFS(input!$O:$O,June!$S$19,input!$F:$F,June!N44,input!$A:$A,June!$B$2)</f>
        <v>0</v>
      </c>
      <c r="T44" s="321">
        <f>COUNTIFS(input!$O:$O,June!$T$19,input!$F:$F,June!N44,input!$A:$A,June!$B$2)</f>
        <v>0</v>
      </c>
      <c r="U44" s="322">
        <f>COUNTIFS(input!$O:$O,June!$U$19,input!$F:$F,June!N44,input!$A:$A,June!$B$2)</f>
        <v>0</v>
      </c>
      <c r="V44" s="322">
        <f>COUNTIFS(input!$O:$O,June!$V$19,input!$F:$F,June!N44,input!$A:$A,June!$B$2)</f>
        <v>0</v>
      </c>
      <c r="W44" s="323">
        <f>COUNTIFS(input!$O:$O,June!$W$19,input!$F:$F,June!N44,input!$A:$A,June!$B$2)</f>
        <v>0</v>
      </c>
      <c r="X44" s="324">
        <f>COUNTIFS(input!$O:$O,June!$X$19,input!$F:$F,June!N44,input!$A:$A,June!$B$2)</f>
        <v>0</v>
      </c>
      <c r="Y44" s="312">
        <f t="shared" si="4"/>
        <v>0</v>
      </c>
      <c r="Z44" s="315" cm="1">
        <f t="array" ref="Z44">_xlfn.IFS(Y44=0,0,Y44&gt;=1,Y44/$Y$65)</f>
        <v>0</v>
      </c>
    </row>
    <row r="45" spans="2:26" ht="92" hidden="1" customHeight="1" x14ac:dyDescent="0.25">
      <c r="B45" s="990" t="s">
        <v>93</v>
      </c>
      <c r="C45" s="991"/>
      <c r="D45" s="316">
        <f>COUNTIFS(input!$O:$O,June!$D$19,input!$E:$E,June!B45,input!$A:$A,June!$B$2)</f>
        <v>0</v>
      </c>
      <c r="E45" s="316">
        <f>COUNTIFS(input!$O:$O,June!$E$19,input!$E:$E,June!B45,input!$A:$A,June!$B$2)</f>
        <v>0</v>
      </c>
      <c r="F45" s="317">
        <f>COUNTIFS(input!$O:$O,June!$F$19,input!$E:$E,June!B45,input!$A:$A,June!$B$2)</f>
        <v>0</v>
      </c>
      <c r="G45" s="318">
        <f>COUNTIFS(input!$O:$O,June!$G$19,input!$E:$E,June!B45,input!$A:$A,June!$B$2)</f>
        <v>0</v>
      </c>
      <c r="H45" s="318">
        <f>COUNTIFS(input!$O:$O,June!$H$19,input!$E:$E,June!B45,input!$A:$A,June!$B$2)</f>
        <v>0</v>
      </c>
      <c r="I45" s="318">
        <f>COUNTIFS(input!$O:$O,June!$I$19,input!$E:$E,June!B45,input!$A:$A,June!$B$2)</f>
        <v>0</v>
      </c>
      <c r="J45" s="318">
        <f>COUNTIFS(input!$O:$O,June!$K$19,input!$E:$E,June!B45,input!$A:$A,June!$B$2)</f>
        <v>0</v>
      </c>
      <c r="K45" s="319">
        <f>COUNTIFS(input!$O:$O,June!$K$19,input!$E:$E,June!B45,input!$A:$A,June!$B$2)</f>
        <v>0</v>
      </c>
      <c r="L45" s="312">
        <f t="shared" ref="L45:L55" si="5">SUM(D45:K45)</f>
        <v>0</v>
      </c>
      <c r="M45" s="313" cm="1">
        <f t="array" ref="M45">_xlfn.IFS(L45=0,0,L45&gt;=1,L45/$L$65)</f>
        <v>0</v>
      </c>
      <c r="N45" s="1222"/>
      <c r="O45" s="1223"/>
      <c r="P45" s="1224"/>
      <c r="Q45" s="316">
        <f>COUNTIFS(input!$O:$O,June!$Q$19,input!$F:$F,June!N45,input!$A:$A,June!$B$2)</f>
        <v>0</v>
      </c>
      <c r="R45" s="316">
        <f>COUNTIFS(input!$O:$O,June!$R$19,input!$F:$F,June!N45,input!$A:$A,June!$B$2)</f>
        <v>0</v>
      </c>
      <c r="S45" s="316">
        <f>COUNTIFS(input!$O:$O,June!$S$19,input!$F:$F,June!N45,input!$A:$A,June!$B$2)</f>
        <v>0</v>
      </c>
      <c r="T45" s="321">
        <f>COUNTIFS(input!$O:$O,June!$T$19,input!$F:$F,June!N45,input!$A:$A,June!$B$2)</f>
        <v>0</v>
      </c>
      <c r="U45" s="322">
        <f>COUNTIFS(input!$O:$O,June!$U$19,input!$F:$F,June!N45,input!$A:$A,June!$B$2)</f>
        <v>0</v>
      </c>
      <c r="V45" s="322">
        <f>COUNTIFS(input!$O:$O,June!$V$19,input!$F:$F,June!N45,input!$A:$A,June!$B$2)</f>
        <v>0</v>
      </c>
      <c r="W45" s="323">
        <f>COUNTIFS(input!$O:$O,June!$W$19,input!$F:$F,June!N45,input!$A:$A,June!$B$2)</f>
        <v>0</v>
      </c>
      <c r="X45" s="324">
        <f>COUNTIFS(input!$O:$O,June!$X$19,input!$F:$F,June!N45,input!$A:$A,June!$B$2)</f>
        <v>0</v>
      </c>
      <c r="Y45" s="312">
        <f t="shared" si="4"/>
        <v>0</v>
      </c>
      <c r="Z45" s="315" cm="1">
        <f t="array" ref="Z45">_xlfn.IFS(Y45=0,0,Y45&gt;=1,Y45/$Y$65)</f>
        <v>0</v>
      </c>
    </row>
    <row r="46" spans="2:26" ht="92" hidden="1" customHeight="1" x14ac:dyDescent="0.25">
      <c r="B46" s="990" t="s">
        <v>334</v>
      </c>
      <c r="C46" s="991"/>
      <c r="D46" s="316">
        <f>COUNTIFS(input!$O:$O,June!$D$19,input!$E:$E,June!B46,input!$A:$A,June!$B$2)</f>
        <v>0</v>
      </c>
      <c r="E46" s="316">
        <f>COUNTIFS(input!$O:$O,June!$E$19,input!$E:$E,June!B46,input!$A:$A,June!$B$2)</f>
        <v>0</v>
      </c>
      <c r="F46" s="317">
        <f>COUNTIFS(input!$O:$O,June!$F$19,input!$E:$E,June!B46,input!$A:$A,June!$B$2)</f>
        <v>0</v>
      </c>
      <c r="G46" s="318">
        <f>COUNTIFS(input!$O:$O,June!$G$19,input!$E:$E,June!B46,input!$A:$A,June!$B$2)</f>
        <v>0</v>
      </c>
      <c r="H46" s="318">
        <f>COUNTIFS(input!$O:$O,June!$H$19,input!$E:$E,June!B46,input!$A:$A,June!$B$2)</f>
        <v>0</v>
      </c>
      <c r="I46" s="318">
        <f>COUNTIFS(input!$O:$O,June!$I$19,input!$E:$E,June!B46,input!$A:$A,June!$B$2)</f>
        <v>0</v>
      </c>
      <c r="J46" s="318">
        <f>COUNTIFS(input!$O:$O,June!$K$19,input!$E:$E,June!B46,input!$A:$A,June!$B$2)</f>
        <v>0</v>
      </c>
      <c r="K46" s="319">
        <f>COUNTIFS(input!$O:$O,June!$K$19,input!$E:$E,June!B46,input!$A:$A,June!$B$2)</f>
        <v>0</v>
      </c>
      <c r="L46" s="312">
        <f t="shared" si="5"/>
        <v>0</v>
      </c>
      <c r="M46" s="313" cm="1">
        <f t="array" ref="M46">_xlfn.IFS(L46=0,0,L46&gt;=1,L46/$L$65)</f>
        <v>0</v>
      </c>
      <c r="N46" s="1222"/>
      <c r="O46" s="1223"/>
      <c r="P46" s="1224"/>
      <c r="Q46" s="316">
        <f>COUNTIFS(input!$O:$O,June!$Q$19,input!$F:$F,June!N46,input!$A:$A,June!$B$2)</f>
        <v>0</v>
      </c>
      <c r="R46" s="316">
        <f>COUNTIFS(input!$O:$O,June!$R$19,input!$F:$F,June!N46,input!$A:$A,June!$B$2)</f>
        <v>0</v>
      </c>
      <c r="S46" s="316">
        <f>COUNTIFS(input!$O:$O,June!$S$19,input!$F:$F,June!N46,input!$A:$A,June!$B$2)</f>
        <v>0</v>
      </c>
      <c r="T46" s="321">
        <f>COUNTIFS(input!$O:$O,June!$T$19,input!$F:$F,June!N46,input!$A:$A,June!$B$2)</f>
        <v>0</v>
      </c>
      <c r="U46" s="322">
        <f>COUNTIFS(input!$O:$O,June!$U$19,input!$F:$F,June!N46,input!$A:$A,June!$B$2)</f>
        <v>0</v>
      </c>
      <c r="V46" s="322">
        <f>COUNTIFS(input!$O:$O,June!$V$19,input!$F:$F,June!N46,input!$A:$A,June!$B$2)</f>
        <v>0</v>
      </c>
      <c r="W46" s="323">
        <f>COUNTIFS(input!$O:$O,June!$W$19,input!$F:$F,June!N46,input!$A:$A,June!$B$2)</f>
        <v>0</v>
      </c>
      <c r="X46" s="324">
        <f>COUNTIFS(input!$O:$O,June!$X$19,input!$F:$F,June!N46,input!$A:$A,June!$B$2)</f>
        <v>0</v>
      </c>
      <c r="Y46" s="312">
        <f t="shared" si="4"/>
        <v>0</v>
      </c>
      <c r="Z46" s="315" cm="1">
        <f t="array" ref="Z46">_xlfn.IFS(Y46=0,0,Y46&gt;=1,Y46/$Y$65)</f>
        <v>0</v>
      </c>
    </row>
    <row r="47" spans="2:26" ht="92" hidden="1" customHeight="1" x14ac:dyDescent="0.25">
      <c r="B47" s="990" t="s">
        <v>881</v>
      </c>
      <c r="C47" s="991"/>
      <c r="D47" s="316">
        <f>COUNTIFS(input!$O:$O,June!$D$19,input!$E:$E,June!B47,input!$A:$A,June!$B$2)</f>
        <v>0</v>
      </c>
      <c r="E47" s="316">
        <f>COUNTIFS(input!$O:$O,June!$E$19,input!$E:$E,June!B47,input!$A:$A,June!$B$2)</f>
        <v>0</v>
      </c>
      <c r="F47" s="317">
        <f>COUNTIFS(input!$O:$O,June!$F$19,input!$E:$E,June!B47,input!$A:$A,June!$B$2)</f>
        <v>0</v>
      </c>
      <c r="G47" s="318">
        <f>COUNTIFS(input!$O:$O,June!$G$19,input!$E:$E,June!B47,input!$A:$A,June!$B$2)</f>
        <v>0</v>
      </c>
      <c r="H47" s="318">
        <f>COUNTIFS(input!$O:$O,June!$H$19,input!$E:$E,June!B47,input!$A:$A,June!$B$2)</f>
        <v>0</v>
      </c>
      <c r="I47" s="318">
        <f>COUNTIFS(input!$O:$O,June!$I$19,input!$E:$E,June!B47,input!$A:$A,June!$B$2)</f>
        <v>0</v>
      </c>
      <c r="J47" s="318">
        <f>COUNTIFS(input!$O:$O,June!$K$19,input!$E:$E,June!B47,input!$A:$A,June!$B$2)</f>
        <v>0</v>
      </c>
      <c r="K47" s="319">
        <f>COUNTIFS(input!$O:$O,June!$K$19,input!$E:$E,June!B47,input!$A:$A,June!$B$2)</f>
        <v>0</v>
      </c>
      <c r="L47" s="312">
        <f t="shared" si="5"/>
        <v>0</v>
      </c>
      <c r="M47" s="313" cm="1">
        <f t="array" ref="M47">_xlfn.IFS(L47=0,0,L47&gt;=1,L47/$L$65)</f>
        <v>0</v>
      </c>
      <c r="N47" s="1222"/>
      <c r="O47" s="1223"/>
      <c r="P47" s="1224"/>
      <c r="Q47" s="316">
        <f>COUNTIFS(input!$O:$O,June!$Q$19,input!$F:$F,June!N47,input!$A:$A,June!$B$2)</f>
        <v>0</v>
      </c>
      <c r="R47" s="316">
        <f>COUNTIFS(input!$O:$O,June!$R$19,input!$F:$F,June!N47,input!$A:$A,June!$B$2)</f>
        <v>0</v>
      </c>
      <c r="S47" s="316">
        <f>COUNTIFS(input!$O:$O,June!$S$19,input!$F:$F,June!N47,input!$A:$A,June!$B$2)</f>
        <v>0</v>
      </c>
      <c r="T47" s="321">
        <f>COUNTIFS(input!$O:$O,June!$T$19,input!$F:$F,June!N47,input!$A:$A,June!$B$2)</f>
        <v>0</v>
      </c>
      <c r="U47" s="322">
        <f>COUNTIFS(input!$O:$O,June!$U$19,input!$F:$F,June!N47,input!$A:$A,June!$B$2)</f>
        <v>0</v>
      </c>
      <c r="V47" s="322">
        <f>COUNTIFS(input!$O:$O,June!$V$19,input!$F:$F,June!N47,input!$A:$A,June!$B$2)</f>
        <v>0</v>
      </c>
      <c r="W47" s="323">
        <f>COUNTIFS(input!$O:$O,June!$W$19,input!$F:$F,June!N47,input!$A:$A,June!$B$2)</f>
        <v>0</v>
      </c>
      <c r="X47" s="324">
        <f>COUNTIFS(input!$O:$O,June!$X$19,input!$F:$F,June!N47,input!$A:$A,June!$B$2)</f>
        <v>0</v>
      </c>
      <c r="Y47" s="312">
        <f t="shared" si="4"/>
        <v>0</v>
      </c>
      <c r="Z47" s="315" cm="1">
        <f t="array" ref="Z47">_xlfn.IFS(Y47=0,0,Y47&gt;=1,Y47/$Y$65)</f>
        <v>0</v>
      </c>
    </row>
    <row r="48" spans="2:26" ht="92" hidden="1" customHeight="1" x14ac:dyDescent="0.25">
      <c r="B48" s="990" t="s">
        <v>813</v>
      </c>
      <c r="C48" s="991"/>
      <c r="D48" s="316">
        <f>COUNTIFS(input!$O:$O,June!$D$19,input!$E:$E,June!B48,input!$A:$A,June!$B$2)</f>
        <v>0</v>
      </c>
      <c r="E48" s="316">
        <f>COUNTIFS(input!$O:$O,June!$E$19,input!$E:$E,June!B48,input!$A:$A,June!$B$2)</f>
        <v>0</v>
      </c>
      <c r="F48" s="317">
        <f>COUNTIFS(input!$O:$O,June!$F$19,input!$E:$E,June!B48,input!$A:$A,June!$B$2)</f>
        <v>0</v>
      </c>
      <c r="G48" s="318">
        <f>COUNTIFS(input!$O:$O,June!$G$19,input!$E:$E,June!B48,input!$A:$A,June!$B$2)</f>
        <v>0</v>
      </c>
      <c r="H48" s="318">
        <f>COUNTIFS(input!$O:$O,June!$H$19,input!$E:$E,June!B48,input!$A:$A,June!$B$2)</f>
        <v>0</v>
      </c>
      <c r="I48" s="318">
        <f>COUNTIFS(input!$O:$O,June!$I$19,input!$E:$E,June!B48,input!$A:$A,June!$B$2)</f>
        <v>0</v>
      </c>
      <c r="J48" s="318">
        <f>COUNTIFS(input!$O:$O,June!$K$19,input!$E:$E,June!B48,input!$A:$A,June!$B$2)</f>
        <v>0</v>
      </c>
      <c r="K48" s="319">
        <f>COUNTIFS(input!$O:$O,June!$K$19,input!$E:$E,June!B48,input!$A:$A,June!$B$2)</f>
        <v>0</v>
      </c>
      <c r="L48" s="312">
        <f t="shared" si="5"/>
        <v>0</v>
      </c>
      <c r="M48" s="313" cm="1">
        <f t="array" ref="M48">_xlfn.IFS(L48=0,0,L48&gt;=1,L48/$L$65)</f>
        <v>0</v>
      </c>
      <c r="N48" s="1222"/>
      <c r="O48" s="1223"/>
      <c r="P48" s="1224"/>
      <c r="Q48" s="316">
        <f>COUNTIFS(input!$O:$O,June!$Q$19,input!$F:$F,June!N48,input!$A:$A,June!$B$2)</f>
        <v>0</v>
      </c>
      <c r="R48" s="316">
        <f>COUNTIFS(input!$O:$O,June!$R$19,input!$F:$F,June!N48,input!$A:$A,June!$B$2)</f>
        <v>0</v>
      </c>
      <c r="S48" s="316">
        <f>COUNTIFS(input!$O:$O,June!$S$19,input!$F:$F,June!N48,input!$A:$A,June!$B$2)</f>
        <v>0</v>
      </c>
      <c r="T48" s="321">
        <f>COUNTIFS(input!$O:$O,June!$T$19,input!$F:$F,June!N48,input!$A:$A,June!$B$2)</f>
        <v>0</v>
      </c>
      <c r="U48" s="322">
        <f>COUNTIFS(input!$O:$O,June!$U$19,input!$F:$F,June!N48,input!$A:$A,June!$B$2)</f>
        <v>0</v>
      </c>
      <c r="V48" s="322">
        <f>COUNTIFS(input!$O:$O,June!$V$19,input!$F:$F,June!N48,input!$A:$A,June!$B$2)</f>
        <v>0</v>
      </c>
      <c r="W48" s="323">
        <f>COUNTIFS(input!$O:$O,June!$W$19,input!$F:$F,June!N48,input!$A:$A,June!$B$2)</f>
        <v>0</v>
      </c>
      <c r="X48" s="324">
        <f>COUNTIFS(input!$O:$O,June!$X$19,input!$F:$F,June!N48,input!$A:$A,June!$B$2)</f>
        <v>0</v>
      </c>
      <c r="Y48" s="312">
        <f t="shared" si="4"/>
        <v>0</v>
      </c>
      <c r="Z48" s="315" cm="1">
        <f t="array" ref="Z48">_xlfn.IFS(Y48=0,0,Y48&gt;=1,Y48/$Y$65)</f>
        <v>0</v>
      </c>
    </row>
    <row r="49" spans="2:26" ht="92" hidden="1" customHeight="1" x14ac:dyDescent="0.25">
      <c r="B49" s="990" t="s">
        <v>770</v>
      </c>
      <c r="C49" s="991"/>
      <c r="D49" s="316">
        <f>COUNTIFS(input!$O:$O,June!$D$19,input!$E:$E,June!B49,input!$A:$A,June!$B$2)</f>
        <v>0</v>
      </c>
      <c r="E49" s="316">
        <f>COUNTIFS(input!$O:$O,June!$E$19,input!$E:$E,June!B49,input!$A:$A,June!$B$2)</f>
        <v>0</v>
      </c>
      <c r="F49" s="317">
        <f>COUNTIFS(input!$O:$O,June!$F$19,input!$E:$E,June!B49,input!$A:$A,June!$B$2)</f>
        <v>0</v>
      </c>
      <c r="G49" s="318">
        <f>COUNTIFS(input!$O:$O,June!$G$19,input!$E:$E,June!B49,input!$A:$A,June!$B$2)</f>
        <v>0</v>
      </c>
      <c r="H49" s="318">
        <f>COUNTIFS(input!$O:$O,June!$H$19,input!$E:$E,June!B49,input!$A:$A,June!$B$2)</f>
        <v>0</v>
      </c>
      <c r="I49" s="318">
        <f>COUNTIFS(input!$O:$O,June!$I$19,input!$E:$E,June!B49,input!$A:$A,June!$B$2)</f>
        <v>0</v>
      </c>
      <c r="J49" s="318">
        <f>COUNTIFS(input!$O:$O,June!$K$19,input!$E:$E,June!B49,input!$A:$A,June!$B$2)</f>
        <v>0</v>
      </c>
      <c r="K49" s="319">
        <f>COUNTIFS(input!$O:$O,June!$K$19,input!$E:$E,June!B49,input!$A:$A,June!$B$2)</f>
        <v>0</v>
      </c>
      <c r="L49" s="312">
        <f t="shared" si="5"/>
        <v>0</v>
      </c>
      <c r="M49" s="313" cm="1">
        <f t="array" ref="M49">_xlfn.IFS(L49=0,0,L49&gt;=1,L49/$L$65)</f>
        <v>0</v>
      </c>
      <c r="N49" s="1222"/>
      <c r="O49" s="1223"/>
      <c r="P49" s="1224"/>
      <c r="Q49" s="316">
        <f>COUNTIFS(input!$O:$O,June!$Q$19,input!$F:$F,June!N49,input!$A:$A,June!$B$2)</f>
        <v>0</v>
      </c>
      <c r="R49" s="316">
        <f>COUNTIFS(input!$O:$O,June!$R$19,input!$F:$F,June!N49,input!$A:$A,June!$B$2)</f>
        <v>0</v>
      </c>
      <c r="S49" s="316">
        <f>COUNTIFS(input!$O:$O,June!$S$19,input!$F:$F,June!N49,input!$A:$A,June!$B$2)</f>
        <v>0</v>
      </c>
      <c r="T49" s="321">
        <f>COUNTIFS(input!$O:$O,June!$T$19,input!$F:$F,June!N49,input!$A:$A,June!$B$2)</f>
        <v>0</v>
      </c>
      <c r="U49" s="322">
        <f>COUNTIFS(input!$O:$O,June!$U$19,input!$F:$F,June!N49,input!$A:$A,June!$B$2)</f>
        <v>0</v>
      </c>
      <c r="V49" s="322">
        <f>COUNTIFS(input!$O:$O,June!$V$19,input!$F:$F,June!N49,input!$A:$A,June!$B$2)</f>
        <v>0</v>
      </c>
      <c r="W49" s="323">
        <f>COUNTIFS(input!$O:$O,June!$W$19,input!$F:$F,June!N49,input!$A:$A,June!$B$2)</f>
        <v>0</v>
      </c>
      <c r="X49" s="324">
        <f>COUNTIFS(input!$O:$O,June!$X$19,input!$F:$F,June!N49,input!$A:$A,June!$B$2)</f>
        <v>0</v>
      </c>
      <c r="Y49" s="312">
        <f t="shared" si="4"/>
        <v>0</v>
      </c>
      <c r="Z49" s="315" cm="1">
        <f t="array" ref="Z49">_xlfn.IFS(Y49=0,0,Y49&gt;=1,Y49/$Y$65)</f>
        <v>0</v>
      </c>
    </row>
    <row r="50" spans="2:26" ht="92" hidden="1" customHeight="1" x14ac:dyDescent="0.25">
      <c r="B50" s="990" t="s">
        <v>850</v>
      </c>
      <c r="C50" s="991"/>
      <c r="D50" s="316">
        <f>COUNTIFS(input!$O:$O,June!$D$19,input!$E:$E,June!B50,input!$A:$A,June!$B$2)</f>
        <v>0</v>
      </c>
      <c r="E50" s="316">
        <f>COUNTIFS(input!$O:$O,June!$E$19,input!$E:$E,June!B50,input!$A:$A,June!$B$2)</f>
        <v>0</v>
      </c>
      <c r="F50" s="317">
        <f>COUNTIFS(input!$O:$O,June!$F$19,input!$E:$E,June!B50,input!$A:$A,June!$B$2)</f>
        <v>0</v>
      </c>
      <c r="G50" s="318">
        <f>COUNTIFS(input!$O:$O,June!$G$19,input!$E:$E,June!B50,input!$A:$A,June!$B$2)</f>
        <v>0</v>
      </c>
      <c r="H50" s="318">
        <f>COUNTIFS(input!$O:$O,June!$H$19,input!$E:$E,June!B50,input!$A:$A,June!$B$2)</f>
        <v>0</v>
      </c>
      <c r="I50" s="318">
        <f>COUNTIFS(input!$O:$O,June!$I$19,input!$E:$E,June!B50,input!$A:$A,June!$B$2)</f>
        <v>0</v>
      </c>
      <c r="J50" s="318">
        <f>COUNTIFS(input!$O:$O,June!$K$19,input!$E:$E,June!B50,input!$A:$A,June!$B$2)</f>
        <v>0</v>
      </c>
      <c r="K50" s="319">
        <f>COUNTIFS(input!$O:$O,June!$K$19,input!$E:$E,June!B50,input!$A:$A,June!$B$2)</f>
        <v>0</v>
      </c>
      <c r="L50" s="312">
        <f t="shared" si="5"/>
        <v>0</v>
      </c>
      <c r="M50" s="313" cm="1">
        <f t="array" ref="M50">_xlfn.IFS(L50=0,0,L50&gt;=1,L50/$L$65)</f>
        <v>0</v>
      </c>
      <c r="N50" s="1222"/>
      <c r="O50" s="1223"/>
      <c r="P50" s="1224"/>
      <c r="Q50" s="316">
        <f>COUNTIFS(input!$O:$O,June!$Q$19,input!$F:$F,June!N50,input!$A:$A,June!$B$2)</f>
        <v>0</v>
      </c>
      <c r="R50" s="316">
        <f>COUNTIFS(input!$O:$O,June!$R$19,input!$F:$F,June!N50,input!$A:$A,June!$B$2)</f>
        <v>0</v>
      </c>
      <c r="S50" s="316">
        <f>COUNTIFS(input!$O:$O,June!$S$19,input!$F:$F,June!N50,input!$A:$A,June!$B$2)</f>
        <v>0</v>
      </c>
      <c r="T50" s="321">
        <f>COUNTIFS(input!$O:$O,June!$T$19,input!$F:$F,June!N50,input!$A:$A,June!$B$2)</f>
        <v>0</v>
      </c>
      <c r="U50" s="322">
        <f>COUNTIFS(input!$O:$O,June!$U$19,input!$F:$F,June!N50,input!$A:$A,June!$B$2)</f>
        <v>0</v>
      </c>
      <c r="V50" s="322">
        <f>COUNTIFS(input!$O:$O,June!$V$19,input!$F:$F,June!N50,input!$A:$A,June!$B$2)</f>
        <v>0</v>
      </c>
      <c r="W50" s="323">
        <f>COUNTIFS(input!$O:$O,June!$W$19,input!$F:$F,June!N50,input!$A:$A,June!$B$2)</f>
        <v>0</v>
      </c>
      <c r="X50" s="324">
        <f>COUNTIFS(input!$O:$O,June!$X$19,input!$F:$F,June!N50,input!$A:$A,June!$B$2)</f>
        <v>0</v>
      </c>
      <c r="Y50" s="312">
        <f t="shared" si="4"/>
        <v>0</v>
      </c>
      <c r="Z50" s="315" cm="1">
        <f t="array" ref="Z50">_xlfn.IFS(Y50=0,0,Y50&gt;=1,Y50/$Y$65)</f>
        <v>0</v>
      </c>
    </row>
    <row r="51" spans="2:26" ht="92" x14ac:dyDescent="0.25">
      <c r="B51" s="1225" t="s">
        <v>130</v>
      </c>
      <c r="C51" s="1226"/>
      <c r="D51" s="316">
        <f>COUNTIFS(input!$O:$O,June!$D$19,input!$E:$E,June!B51,input!$A:$A,June!$B$2)</f>
        <v>0</v>
      </c>
      <c r="E51" s="316">
        <f>COUNTIFS(input!$O:$O,June!$E$19,input!$E:$E,June!B51,input!$A:$A,June!$B$2)</f>
        <v>0</v>
      </c>
      <c r="F51" s="317">
        <f>COUNTIFS(input!$O:$O,June!$F$19,input!$E:$E,June!B51,input!$A:$A,June!$B$2)</f>
        <v>0</v>
      </c>
      <c r="G51" s="318">
        <f>COUNTIFS(input!$O:$O,June!$G$19,input!$E:$E,June!B51,input!$A:$A,June!$B$2)</f>
        <v>1</v>
      </c>
      <c r="H51" s="318">
        <f>COUNTIFS(input!$O:$O,June!$H$19,input!$E:$E,June!B51,input!$A:$A,June!$B$2)</f>
        <v>0</v>
      </c>
      <c r="I51" s="318">
        <f>COUNTIFS(input!$O:$O,June!$I$19,input!$E:$E,June!B51,input!$A:$A,June!$B$2)</f>
        <v>0</v>
      </c>
      <c r="J51" s="318">
        <f>COUNTIFS(input!$O:$O,June!$K$19,input!$E:$E,June!B51,input!$A:$A,June!$B$2)</f>
        <v>0</v>
      </c>
      <c r="K51" s="319">
        <f>COUNTIFS(input!$O:$O,June!$K$19,input!$E:$E,June!B51,input!$A:$A,June!$B$2)</f>
        <v>0</v>
      </c>
      <c r="L51" s="312">
        <f t="shared" si="5"/>
        <v>1</v>
      </c>
      <c r="M51" s="313" cm="1">
        <f t="array" ref="M51">_xlfn.IFS(L51=0,0,L51&gt;=1,L51/$L$65)</f>
        <v>0.1111111111111111</v>
      </c>
      <c r="N51" s="1217"/>
      <c r="O51" s="1218"/>
      <c r="P51" s="1219"/>
      <c r="Q51" s="316">
        <f>COUNTIFS(input!$O:$O,June!$Q$19,input!$F:$F,June!N51,input!$A:$A,June!$B$2)</f>
        <v>0</v>
      </c>
      <c r="R51" s="316">
        <f>COUNTIFS(input!$O:$O,June!$R$19,input!$F:$F,June!N51,input!$A:$A,June!$B$2)</f>
        <v>0</v>
      </c>
      <c r="S51" s="316">
        <f>COUNTIFS(input!$O:$O,June!$S$19,input!$F:$F,June!N51,input!$A:$A,June!$B$2)</f>
        <v>0</v>
      </c>
      <c r="T51" s="321">
        <f>COUNTIFS(input!$O:$O,June!$T$19,input!$F:$F,June!N51,input!$A:$A,June!$B$2)</f>
        <v>0</v>
      </c>
      <c r="U51" s="322">
        <f>COUNTIFS(input!$O:$O,June!$U$19,input!$F:$F,June!N51,input!$A:$A,June!$B$2)</f>
        <v>0</v>
      </c>
      <c r="V51" s="322">
        <f>COUNTIFS(input!$O:$O,June!$V$19,input!$F:$F,June!N51,input!$A:$A,June!$B$2)</f>
        <v>0</v>
      </c>
      <c r="W51" s="323">
        <f>COUNTIFS(input!$O:$O,June!$W$19,input!$F:$F,June!N51,input!$A:$A,June!$B$2)</f>
        <v>0</v>
      </c>
      <c r="X51" s="324">
        <f>COUNTIFS(input!$O:$O,June!$X$19,input!$F:$F,June!N51,input!$A:$A,June!$B$2)</f>
        <v>0</v>
      </c>
      <c r="Y51" s="312">
        <f t="shared" si="4"/>
        <v>0</v>
      </c>
      <c r="Z51" s="315" cm="1">
        <f t="array" ref="Z51">_xlfn.IFS(Y51=0,0,Y51&gt;=1,Y51/$Y$65)</f>
        <v>0</v>
      </c>
    </row>
    <row r="52" spans="2:26" ht="92" hidden="1" x14ac:dyDescent="0.25">
      <c r="B52" s="990" t="s">
        <v>110</v>
      </c>
      <c r="C52" s="991"/>
      <c r="D52" s="316">
        <f>COUNTIFS(input!$O:$O,June!$D$19,input!$E:$E,June!B52,input!$A:$A,June!$B$2)</f>
        <v>0</v>
      </c>
      <c r="E52" s="316">
        <f>COUNTIFS(input!$O:$O,June!$E$19,input!$E:$E,June!B52,input!$A:$A,June!$B$2)</f>
        <v>0</v>
      </c>
      <c r="F52" s="317">
        <f>COUNTIFS(input!$O:$O,June!$F$19,input!$E:$E,June!B52,input!$A:$A,June!$B$2)</f>
        <v>0</v>
      </c>
      <c r="G52" s="318">
        <f>COUNTIFS(input!$O:$O,June!$G$19,input!$E:$E,June!B52,input!$A:$A,June!$B$2)</f>
        <v>0</v>
      </c>
      <c r="H52" s="318">
        <f>COUNTIFS(input!$O:$O,June!$H$19,input!$E:$E,June!B52,input!$A:$A,June!$B$2)</f>
        <v>0</v>
      </c>
      <c r="I52" s="318">
        <f>COUNTIFS(input!$O:$O,June!$I$19,input!$E:$E,June!B52,input!$A:$A,June!$B$2)</f>
        <v>0</v>
      </c>
      <c r="J52" s="318">
        <f>COUNTIFS(input!$O:$O,June!$K$19,input!$E:$E,June!B52,input!$A:$A,June!$B$2)</f>
        <v>0</v>
      </c>
      <c r="K52" s="319">
        <f>COUNTIFS(input!$O:$O,June!$K$19,input!$E:$E,June!B52,input!$A:$A,June!$B$2)</f>
        <v>0</v>
      </c>
      <c r="L52" s="312">
        <f t="shared" si="5"/>
        <v>0</v>
      </c>
      <c r="M52" s="313" cm="1">
        <f t="array" ref="M52">_xlfn.IFS(L52=0,0,L52&gt;=1,L52/$L$65)</f>
        <v>0</v>
      </c>
      <c r="N52" s="1217"/>
      <c r="O52" s="1218"/>
      <c r="P52" s="1219"/>
      <c r="Q52" s="316">
        <f>COUNTIFS(input!$O:$O,June!$Q$19,input!$F:$F,June!N52,input!$A:$A,June!$B$2)</f>
        <v>0</v>
      </c>
      <c r="R52" s="316">
        <f>COUNTIFS(input!$O:$O,June!$R$19,input!$F:$F,June!N52,input!$A:$A,June!$B$2)</f>
        <v>0</v>
      </c>
      <c r="S52" s="316">
        <f>COUNTIFS(input!$O:$O,June!$S$19,input!$F:$F,June!N52,input!$A:$A,June!$B$2)</f>
        <v>0</v>
      </c>
      <c r="T52" s="321">
        <f>COUNTIFS(input!$O:$O,June!$T$19,input!$F:$F,June!N52,input!$A:$A,June!$B$2)</f>
        <v>0</v>
      </c>
      <c r="U52" s="322">
        <f>COUNTIFS(input!$O:$O,June!$U$19,input!$F:$F,June!N52,input!$A:$A,June!$B$2)</f>
        <v>0</v>
      </c>
      <c r="V52" s="322">
        <f>COUNTIFS(input!$O:$O,June!$V$19,input!$F:$F,June!N52,input!$A:$A,June!$B$2)</f>
        <v>0</v>
      </c>
      <c r="W52" s="323">
        <f>COUNTIFS(input!$O:$O,June!$W$19,input!$F:$F,June!N52,input!$A:$A,June!$B$2)</f>
        <v>0</v>
      </c>
      <c r="X52" s="324">
        <f>COUNTIFS(input!$O:$O,June!$X$19,input!$F:$F,June!N52,input!$A:$A,June!$B$2)</f>
        <v>0</v>
      </c>
      <c r="Y52" s="312">
        <f t="shared" si="4"/>
        <v>0</v>
      </c>
      <c r="Z52" s="315" cm="1">
        <f t="array" ref="Z52">_xlfn.IFS(Y52=0,0,Y52&gt;=1,Y52/$Y$65)</f>
        <v>0</v>
      </c>
    </row>
    <row r="53" spans="2:26" ht="92" hidden="1" x14ac:dyDescent="0.25">
      <c r="B53" s="990" t="s">
        <v>1805</v>
      </c>
      <c r="C53" s="991"/>
      <c r="D53" s="316">
        <f>COUNTIFS(input!$O:$O,June!$D$19,input!$E:$E,June!B53,input!$A:$A,June!$B$2)</f>
        <v>0</v>
      </c>
      <c r="E53" s="316">
        <f>COUNTIFS(input!$O:$O,June!$E$19,input!$E:$E,June!B53,input!$A:$A,June!$B$2)</f>
        <v>0</v>
      </c>
      <c r="F53" s="317">
        <f>COUNTIFS(input!$O:$O,June!$F$19,input!$E:$E,June!B53,input!$A:$A,June!$B$2)</f>
        <v>0</v>
      </c>
      <c r="G53" s="318">
        <f>COUNTIFS(input!$O:$O,June!$G$19,input!$E:$E,June!B53,input!$A:$A,June!$B$2)</f>
        <v>0</v>
      </c>
      <c r="H53" s="318">
        <f>COUNTIFS(input!$O:$O,June!$H$19,input!$E:$E,June!B53,input!$A:$A,June!$B$2)</f>
        <v>0</v>
      </c>
      <c r="I53" s="318">
        <f>COUNTIFS(input!$O:$O,June!$I$19,input!$E:$E,June!B53,input!$A:$A,June!$B$2)</f>
        <v>0</v>
      </c>
      <c r="J53" s="318">
        <f>COUNTIFS(input!$O:$O,June!$K$19,input!$E:$E,June!B53,input!$A:$A,June!$B$2)</f>
        <v>0</v>
      </c>
      <c r="K53" s="319">
        <f>COUNTIFS(input!$O:$O,June!$K$19,input!$E:$E,June!B53,input!$A:$A,June!$B$2)</f>
        <v>0</v>
      </c>
      <c r="L53" s="312">
        <f t="shared" si="5"/>
        <v>0</v>
      </c>
      <c r="M53" s="313" cm="1">
        <f t="array" ref="M53">_xlfn.IFS(L53=0,0,L53&gt;=1,L53/$L$65)</f>
        <v>0</v>
      </c>
      <c r="N53" s="1217"/>
      <c r="O53" s="1218"/>
      <c r="P53" s="1219"/>
      <c r="Q53" s="316">
        <f>COUNTIFS(input!$O:$O,June!$Q$19,input!$F:$F,June!N53,input!$A:$A,June!$B$2)</f>
        <v>0</v>
      </c>
      <c r="R53" s="316">
        <f>COUNTIFS(input!$O:$O,June!$R$19,input!$F:$F,June!N53,input!$A:$A,June!$B$2)</f>
        <v>0</v>
      </c>
      <c r="S53" s="316">
        <f>COUNTIFS(input!$O:$O,June!$S$19,input!$F:$F,June!N53,input!$A:$A,June!$B$2)</f>
        <v>0</v>
      </c>
      <c r="T53" s="321">
        <f>COUNTIFS(input!$O:$O,June!$T$19,input!$F:$F,June!N53,input!$A:$A,June!$B$2)</f>
        <v>0</v>
      </c>
      <c r="U53" s="322">
        <f>COUNTIFS(input!$O:$O,June!$U$19,input!$F:$F,June!N53,input!$A:$A,June!$B$2)</f>
        <v>0</v>
      </c>
      <c r="V53" s="322">
        <f>COUNTIFS(input!$O:$O,June!$V$19,input!$F:$F,June!N53,input!$A:$A,June!$B$2)</f>
        <v>0</v>
      </c>
      <c r="W53" s="323">
        <f>COUNTIFS(input!$O:$O,June!$W$19,input!$F:$F,June!N53,input!$A:$A,June!$B$2)</f>
        <v>0</v>
      </c>
      <c r="X53" s="324">
        <f>COUNTIFS(input!$O:$O,June!$X$19,input!$F:$F,June!N53,input!$A:$A,June!$B$2)</f>
        <v>0</v>
      </c>
      <c r="Y53" s="312">
        <f t="shared" si="4"/>
        <v>0</v>
      </c>
      <c r="Z53" s="315" cm="1">
        <f t="array" ref="Z53">_xlfn.IFS(Y53=0,0,Y53&gt;=1,Y53/$Y$65)</f>
        <v>0</v>
      </c>
    </row>
    <row r="54" spans="2:26" ht="92" x14ac:dyDescent="0.25">
      <c r="B54" s="1225" t="s">
        <v>1915</v>
      </c>
      <c r="C54" s="1226"/>
      <c r="D54" s="316">
        <f>COUNTIFS(input!$O:$O,June!$D$19,input!$E:$E,June!B54,input!$A:$A,June!$B$2)</f>
        <v>0</v>
      </c>
      <c r="E54" s="316">
        <f>COUNTIFS(input!$O:$O,June!$E$19,input!$E:$E,June!B54,input!$A:$A,June!$B$2)</f>
        <v>0</v>
      </c>
      <c r="F54" s="317">
        <f>COUNTIFS(input!$O:$O,June!$F$19,input!$E:$E,June!B54,input!$A:$A,June!$B$2)</f>
        <v>0</v>
      </c>
      <c r="G54" s="318">
        <f>COUNTIFS(input!$O:$O,June!$G$19,input!$E:$E,June!B54,input!$A:$A,June!$B$2)</f>
        <v>0</v>
      </c>
      <c r="H54" s="318">
        <f>COUNTIFS(input!$O:$O,June!$H$19,input!$E:$E,June!B54,input!$A:$A,June!$B$2)</f>
        <v>0</v>
      </c>
      <c r="I54" s="318">
        <f>COUNTIFS(input!$O:$O,June!$I$19,input!$E:$E,June!B54,input!$A:$A,June!$B$2)</f>
        <v>1</v>
      </c>
      <c r="J54" s="318">
        <f>COUNTIFS(input!$O:$O,June!$K$19,input!$E:$E,June!B54,input!$A:$A,June!$B$2)</f>
        <v>0</v>
      </c>
      <c r="K54" s="319">
        <f>COUNTIFS(input!$O:$O,June!$K$19,input!$E:$E,June!B54,input!$A:$A,June!$B$2)</f>
        <v>0</v>
      </c>
      <c r="L54" s="312">
        <f>SUM(D54:K54)</f>
        <v>1</v>
      </c>
      <c r="M54" s="313" cm="1">
        <f t="array" ref="M54">_xlfn.IFS(L54=0,0,L54&gt;=1,L54/$L$65)</f>
        <v>0.1111111111111111</v>
      </c>
      <c r="N54" s="1227"/>
      <c r="O54" s="1228"/>
      <c r="P54" s="1229"/>
      <c r="Q54" s="316">
        <f>COUNTIFS(input!$O:$O,June!$Q$19,input!$F:$F,June!N54,input!$A:$A,June!$B$2)</f>
        <v>0</v>
      </c>
      <c r="R54" s="316">
        <f>COUNTIFS(input!$O:$O,June!$R$19,input!$F:$F,June!N54,input!$A:$A,June!$B$2)</f>
        <v>0</v>
      </c>
      <c r="S54" s="316">
        <f>COUNTIFS(input!$O:$O,June!$S$19,input!$F:$F,June!N54,input!$A:$A,June!$B$2)</f>
        <v>0</v>
      </c>
      <c r="T54" s="321">
        <f>COUNTIFS(input!$O:$O,June!$T$19,input!$F:$F,June!N54,input!$A:$A,June!$B$2)</f>
        <v>0</v>
      </c>
      <c r="U54" s="322">
        <f>COUNTIFS(input!$O:$O,June!$U$19,input!$F:$F,June!N54,input!$A:$A,June!$B$2)</f>
        <v>0</v>
      </c>
      <c r="V54" s="322">
        <f>COUNTIFS(input!$O:$O,June!$V$19,input!$F:$F,June!N54,input!$A:$A,June!$B$2)</f>
        <v>0</v>
      </c>
      <c r="W54" s="323">
        <f>COUNTIFS(input!$O:$O,June!$W$19,input!$F:$F,June!N54,input!$A:$A,June!$B$2)</f>
        <v>0</v>
      </c>
      <c r="X54" s="324">
        <f>COUNTIFS(input!$O:$O,June!$X$19,input!$F:$F,June!N54,input!$A:$A,June!$B$2)</f>
        <v>0</v>
      </c>
      <c r="Y54" s="312">
        <f>SUM(Q54:X54)</f>
        <v>0</v>
      </c>
      <c r="Z54" s="315" cm="1">
        <f t="array" ref="Z54">_xlfn.IFS(Y54=0,0,Y54&gt;=1,Y54/$Y$65)</f>
        <v>0</v>
      </c>
    </row>
    <row r="55" spans="2:26" ht="92" hidden="1" customHeight="1" x14ac:dyDescent="0.25">
      <c r="B55" s="990" t="s">
        <v>1804</v>
      </c>
      <c r="C55" s="991"/>
      <c r="D55" s="316">
        <f>COUNTIFS(input!$O:$O,June!$D$19,input!$E:$E,June!B55,input!$A:$A,June!$B$2)</f>
        <v>0</v>
      </c>
      <c r="E55" s="316">
        <f>COUNTIFS(input!$O:$O,June!$E$19,input!$E:$E,June!B55,input!$A:$A,June!$B$2)</f>
        <v>0</v>
      </c>
      <c r="F55" s="317">
        <f>COUNTIFS(input!$O:$O,June!$F$19,input!$E:$E,June!B55,input!$A:$A,June!$B$2)</f>
        <v>0</v>
      </c>
      <c r="G55" s="318">
        <f>COUNTIFS(input!$O:$O,June!$G$19,input!$E:$E,June!B55,input!$A:$A,June!$B$2)</f>
        <v>0</v>
      </c>
      <c r="H55" s="318">
        <f>COUNTIFS(input!$O:$O,June!$H$19,input!$E:$E,June!B55,input!$A:$A,June!$B$2)</f>
        <v>0</v>
      </c>
      <c r="I55" s="318">
        <f>COUNTIFS(input!$O:$O,June!$I$19,input!$E:$E,June!B55,input!$A:$A,June!$B$2)</f>
        <v>0</v>
      </c>
      <c r="J55" s="318">
        <f>COUNTIFS(input!$O:$O,June!$K$19,input!$E:$E,June!B55,input!$A:$A,June!$B$2)</f>
        <v>0</v>
      </c>
      <c r="K55" s="319">
        <f>COUNTIFS(input!$O:$O,June!$K$19,input!$E:$E,June!B55,input!$A:$A,June!$B$2)</f>
        <v>0</v>
      </c>
      <c r="L55" s="312">
        <f t="shared" si="5"/>
        <v>0</v>
      </c>
      <c r="M55" s="313" cm="1">
        <f t="array" ref="M55">_xlfn.IFS(L55=0,0,L55&gt;=1,L55/$L$65)</f>
        <v>0</v>
      </c>
      <c r="N55" s="1220"/>
      <c r="O55" s="1220"/>
      <c r="P55" s="1221"/>
      <c r="Q55" s="316">
        <f>COUNTIFS(input!$O:$O,June!$Q$19,input!$F:$F,June!N55,input!$A:$A,June!$B$2)</f>
        <v>0</v>
      </c>
      <c r="R55" s="316">
        <f>COUNTIFS(input!$O:$O,June!$R$19,input!$F:$F,June!N55,input!$A:$A,June!$B$2)</f>
        <v>0</v>
      </c>
      <c r="S55" s="316">
        <f>COUNTIFS(input!$O:$O,June!$S$19,input!$F:$F,June!N55,input!$A:$A,June!$B$2)</f>
        <v>0</v>
      </c>
      <c r="T55" s="321">
        <f>COUNTIFS(input!$O:$O,June!$T$19,input!$F:$F,June!N55,input!$A:$A,June!$B$2)</f>
        <v>0</v>
      </c>
      <c r="U55" s="322">
        <f>COUNTIFS(input!$O:$O,June!$U$19,input!$F:$F,June!N55,input!$A:$A,June!$B$2)</f>
        <v>0</v>
      </c>
      <c r="V55" s="322">
        <f>COUNTIFS(input!$O:$O,June!$V$19,input!$F:$F,June!N55,input!$A:$A,June!$B$2)</f>
        <v>0</v>
      </c>
      <c r="W55" s="323">
        <f>COUNTIFS(input!$O:$O,June!$W$19,input!$F:$F,June!N55,input!$A:$A,June!$B$2)</f>
        <v>0</v>
      </c>
      <c r="X55" s="324">
        <f>COUNTIFS(input!$O:$O,June!$X$19,input!$F:$F,June!N55,input!$A:$A,June!$B$2)</f>
        <v>0</v>
      </c>
      <c r="Y55" s="312">
        <f t="shared" si="4"/>
        <v>0</v>
      </c>
      <c r="Z55" s="315" cm="1">
        <f t="array" ref="Z55">_xlfn.IFS(Y55=0,0,Y55&gt;=1,Y55/$Y$65)</f>
        <v>0</v>
      </c>
    </row>
    <row r="56" spans="2:26" ht="92" hidden="1" x14ac:dyDescent="0.25">
      <c r="B56" s="990" t="s">
        <v>1435</v>
      </c>
      <c r="C56" s="991"/>
      <c r="D56" s="316">
        <f>COUNTIFS(input!$O:$O,June!$D$19,input!$E:$E,June!B56,input!$A:$A,June!$B$2)</f>
        <v>0</v>
      </c>
      <c r="E56" s="316">
        <f>COUNTIFS(input!$O:$O,June!$E$19,input!$E:$E,June!B56,input!$A:$A,June!$B$2)</f>
        <v>0</v>
      </c>
      <c r="F56" s="317">
        <f>COUNTIFS(input!$O:$O,June!$F$19,input!$E:$E,June!B56,input!$A:$A,June!$B$2)</f>
        <v>0</v>
      </c>
      <c r="G56" s="318">
        <f>COUNTIFS(input!$O:$O,June!$G$19,input!$E:$E,June!B56,input!$A:$A,June!$B$2)</f>
        <v>0</v>
      </c>
      <c r="H56" s="318">
        <f>COUNTIFS(input!$O:$O,June!$H$19,input!$E:$E,June!B56,input!$A:$A,June!$B$2)</f>
        <v>0</v>
      </c>
      <c r="I56" s="318">
        <f>COUNTIFS(input!$O:$O,June!$I$19,input!$E:$E,June!B56,input!$A:$A,June!$B$2)</f>
        <v>0</v>
      </c>
      <c r="J56" s="318">
        <f>COUNTIFS(input!$O:$O,June!$K$19,input!$E:$E,June!B56,input!$A:$A,June!$B$2)</f>
        <v>0</v>
      </c>
      <c r="K56" s="319">
        <f>COUNTIFS(input!$O:$O,June!$K$19,input!$E:$E,June!B56,input!$A:$A,June!$B$2)</f>
        <v>0</v>
      </c>
      <c r="L56" s="312">
        <f>SUM(D56:K56)</f>
        <v>0</v>
      </c>
      <c r="M56" s="313" cm="1">
        <f t="array" ref="M56">_xlfn.IFS(L56=0,0,L56&gt;=1,L56/$L$65)</f>
        <v>0</v>
      </c>
      <c r="N56" s="1065"/>
      <c r="O56" s="1065"/>
      <c r="P56" s="1066"/>
      <c r="Q56" s="316">
        <f>COUNTIFS(input!$O:$O,June!$Q$19,input!$F:$F,June!N56,input!$A:$A,June!$B$2)</f>
        <v>0</v>
      </c>
      <c r="R56" s="316">
        <f>COUNTIFS(input!$O:$O,June!$R$19,input!$F:$F,June!N56,input!$A:$A,June!$B$2)</f>
        <v>0</v>
      </c>
      <c r="S56" s="316">
        <f>COUNTIFS(input!$O:$O,June!$S$19,input!$F:$F,June!N56,input!$A:$A,June!$B$2)</f>
        <v>0</v>
      </c>
      <c r="T56" s="321">
        <f>COUNTIFS(input!$O:$O,June!$T$19,input!$F:$F,June!N56,input!$A:$A,June!$B$2)</f>
        <v>0</v>
      </c>
      <c r="U56" s="322">
        <f>COUNTIFS(input!$O:$O,June!$U$19,input!$F:$F,June!N56,input!$A:$A,June!$B$2)</f>
        <v>0</v>
      </c>
      <c r="V56" s="322">
        <f>COUNTIFS(input!$O:$O,June!$V$19,input!$F:$F,June!N56,input!$A:$A,June!$B$2)</f>
        <v>0</v>
      </c>
      <c r="W56" s="323">
        <f>COUNTIFS(input!$O:$O,June!$W$19,input!$F:$F,June!N56,input!$A:$A,June!$B$2)</f>
        <v>0</v>
      </c>
      <c r="X56" s="324">
        <f>COUNTIFS(input!$O:$O,June!$X$19,input!$F:$F,June!N56,input!$A:$A,June!$B$2)</f>
        <v>0</v>
      </c>
      <c r="Y56" s="312">
        <f t="shared" si="4"/>
        <v>0</v>
      </c>
      <c r="Z56" s="315" cm="1">
        <f t="array" ref="Z56">_xlfn.IFS(Y56=0,0,Y56&gt;=1,Y56/$Y$65)</f>
        <v>0</v>
      </c>
    </row>
    <row r="57" spans="2:26" ht="92" hidden="1" customHeight="1" x14ac:dyDescent="0.25">
      <c r="B57" s="990" t="s">
        <v>1827</v>
      </c>
      <c r="C57" s="991"/>
      <c r="D57" s="316">
        <f>COUNTIFS(input!$O:$O,June!$D$19,input!$E:$E,June!B57,input!$A:$A,June!$B$2)</f>
        <v>0</v>
      </c>
      <c r="E57" s="316">
        <f>COUNTIFS(input!$O:$O,June!$E$19,input!$E:$E,June!B57,input!$A:$A,June!$B$2)</f>
        <v>0</v>
      </c>
      <c r="F57" s="317">
        <f>COUNTIFS(input!$O:$O,June!$F$19,input!$E:$E,June!B57,input!$A:$A,June!$B$2)</f>
        <v>0</v>
      </c>
      <c r="G57" s="318">
        <f>COUNTIFS(input!$O:$O,June!$G$19,input!$E:$E,June!B57,input!$A:$A,June!$B$2)</f>
        <v>0</v>
      </c>
      <c r="H57" s="318">
        <f>COUNTIFS(input!$O:$O,June!$H$19,input!$E:$E,June!B57,input!$A:$A,June!$B$2)</f>
        <v>0</v>
      </c>
      <c r="I57" s="318">
        <f>COUNTIFS(input!$O:$O,June!$I$19,input!$E:$E,June!B57,input!$A:$A,June!$B$2)</f>
        <v>0</v>
      </c>
      <c r="J57" s="318">
        <f>COUNTIFS(input!$O:$O,June!$K$19,input!$E:$E,June!B57,input!$A:$A,June!$B$2)</f>
        <v>0</v>
      </c>
      <c r="K57" s="319">
        <f>COUNTIFS(input!$O:$O,June!$K$19,input!$E:$E,June!B57,input!$A:$A,June!$B$2)</f>
        <v>0</v>
      </c>
      <c r="L57" s="312">
        <f>SUM(D57:K57)</f>
        <v>0</v>
      </c>
      <c r="M57" s="313" cm="1">
        <f t="array" ref="M57">_xlfn.IFS(L57=0,0,L57&gt;=1,L57/$L$65)</f>
        <v>0</v>
      </c>
      <c r="N57" s="1065"/>
      <c r="O57" s="1065"/>
      <c r="P57" s="1066"/>
      <c r="Q57" s="316">
        <f>COUNTIFS(input!$O:$O,June!$Q$19,input!$F:$F,June!N57,input!$A:$A,June!$B$2)</f>
        <v>0</v>
      </c>
      <c r="R57" s="316">
        <f>COUNTIFS(input!$O:$O,June!$R$19,input!$F:$F,June!N57,input!$A:$A,June!$B$2)</f>
        <v>0</v>
      </c>
      <c r="S57" s="316">
        <f>COUNTIFS(input!$O:$O,June!$S$19,input!$F:$F,June!N57,input!$A:$A,June!$B$2)</f>
        <v>0</v>
      </c>
      <c r="T57" s="321">
        <f>COUNTIFS(input!$O:$O,June!$T$19,input!$F:$F,June!N57,input!$A:$A,June!$B$2)</f>
        <v>0</v>
      </c>
      <c r="U57" s="322">
        <f>COUNTIFS(input!$O:$O,June!$U$19,input!$F:$F,June!N57,input!$A:$A,June!$B$2)</f>
        <v>0</v>
      </c>
      <c r="V57" s="322">
        <f>COUNTIFS(input!$O:$O,June!$V$19,input!$F:$F,June!N57,input!$A:$A,June!$B$2)</f>
        <v>0</v>
      </c>
      <c r="W57" s="323">
        <f>COUNTIFS(input!$O:$O,June!$W$19,input!$F:$F,June!N57,input!$A:$A,June!$B$2)</f>
        <v>0</v>
      </c>
      <c r="X57" s="324">
        <f>COUNTIFS(input!$O:$O,June!$X$19,input!$F:$F,June!N57,input!$A:$A,June!$B$2)</f>
        <v>0</v>
      </c>
      <c r="Y57" s="312">
        <f t="shared" si="4"/>
        <v>0</v>
      </c>
      <c r="Z57" s="315" cm="1">
        <f t="array" ref="Z57">_xlfn.IFS(Y57=0,0,Y57&gt;=1,Y57/$Y$65)</f>
        <v>0</v>
      </c>
    </row>
    <row r="58" spans="2:26" ht="92" hidden="1" customHeight="1" x14ac:dyDescent="0.25">
      <c r="B58" s="990" t="s">
        <v>777</v>
      </c>
      <c r="C58" s="991"/>
      <c r="D58" s="316">
        <f>COUNTIFS(input!$O:$O,June!$D$19,input!$E:$E,June!B58,input!$A:$A,June!$B$2)</f>
        <v>0</v>
      </c>
      <c r="E58" s="316">
        <f>COUNTIFS(input!$O:$O,June!$E$19,input!$E:$E,June!B58,input!$A:$A,June!$B$2)</f>
        <v>0</v>
      </c>
      <c r="F58" s="317">
        <f>COUNTIFS(input!$O:$O,June!$F$19,input!$E:$E,June!B58,input!$A:$A,June!$B$2)</f>
        <v>0</v>
      </c>
      <c r="G58" s="318">
        <f>COUNTIFS(input!$O:$O,June!$G$19,input!$E:$E,June!B58,input!$A:$A,June!$B$2)</f>
        <v>0</v>
      </c>
      <c r="H58" s="318">
        <f>COUNTIFS(input!$O:$O,June!$H$19,input!$E:$E,June!B58,input!$A:$A,June!$B$2)</f>
        <v>0</v>
      </c>
      <c r="I58" s="318">
        <f>COUNTIFS(input!$O:$O,June!$I$19,input!$E:$E,June!B58,input!$A:$A,June!$B$2)</f>
        <v>0</v>
      </c>
      <c r="J58" s="318">
        <f>COUNTIFS(input!$O:$O,June!$K$19,input!$E:$E,June!B58,input!$A:$A,June!$B$2)</f>
        <v>0</v>
      </c>
      <c r="K58" s="319">
        <f>COUNTIFS(input!$O:$O,June!$K$19,input!$E:$E,June!B58,input!$A:$A,June!$B$2)</f>
        <v>0</v>
      </c>
      <c r="L58" s="312">
        <f t="shared" ref="L58:L64" si="6">SUM(D58:K58)</f>
        <v>0</v>
      </c>
      <c r="M58" s="313" cm="1">
        <f t="array" ref="M58">_xlfn.IFS(L58=0,0,L58&gt;=1,L58/$L$65)</f>
        <v>0</v>
      </c>
      <c r="N58" s="1065"/>
      <c r="O58" s="1065"/>
      <c r="P58" s="1066"/>
      <c r="Q58" s="316">
        <f>COUNTIFS(input!$O:$O,June!$Q$19,input!$F:$F,June!N58,input!$A:$A,June!$B$2)</f>
        <v>0</v>
      </c>
      <c r="R58" s="316">
        <f>COUNTIFS(input!$O:$O,June!$R$19,input!$F:$F,June!N58,input!$A:$A,June!$B$2)</f>
        <v>0</v>
      </c>
      <c r="S58" s="316">
        <f>COUNTIFS(input!$O:$O,June!$S$19,input!$F:$F,June!N58,input!$A:$A,June!$B$2)</f>
        <v>0</v>
      </c>
      <c r="T58" s="321">
        <f>COUNTIFS(input!$O:$O,June!$T$19,input!$F:$F,June!N58,input!$A:$A,June!$B$2)</f>
        <v>0</v>
      </c>
      <c r="U58" s="322">
        <f>COUNTIFS(input!$O:$O,June!$U$19,input!$F:$F,June!N58,input!$A:$A,June!$B$2)</f>
        <v>0</v>
      </c>
      <c r="V58" s="322">
        <f>COUNTIFS(input!$O:$O,June!$V$19,input!$F:$F,June!N58,input!$A:$A,June!$B$2)</f>
        <v>0</v>
      </c>
      <c r="W58" s="323">
        <f>COUNTIFS(input!$O:$O,June!$W$19,input!$F:$F,June!N58,input!$A:$A,June!$B$2)</f>
        <v>0</v>
      </c>
      <c r="X58" s="324">
        <f>COUNTIFS(input!$O:$O,June!$X$19,input!$F:$F,June!N58,input!$A:$A,June!$B$2)</f>
        <v>0</v>
      </c>
      <c r="Y58" s="312">
        <f t="shared" si="4"/>
        <v>0</v>
      </c>
      <c r="Z58" s="315" cm="1">
        <f t="array" ref="Z58">_xlfn.IFS(Y58=0,0,Y58&gt;=1,Y58/$Y$65)</f>
        <v>0</v>
      </c>
    </row>
    <row r="59" spans="2:26" ht="92" hidden="1" customHeight="1" x14ac:dyDescent="0.25">
      <c r="B59" s="990" t="s">
        <v>41</v>
      </c>
      <c r="C59" s="991"/>
      <c r="D59" s="316">
        <f>COUNTIFS(input!$O:$O,June!$D$19,input!$E:$E,June!B59,input!$A:$A,June!$B$2)</f>
        <v>0</v>
      </c>
      <c r="E59" s="316">
        <f>COUNTIFS(input!$O:$O,June!$E$19,input!$E:$E,June!B59,input!$A:$A,June!$B$2)</f>
        <v>0</v>
      </c>
      <c r="F59" s="317">
        <f>COUNTIFS(input!$O:$O,June!$F$19,input!$E:$E,June!B59,input!$A:$A,June!$B$2)</f>
        <v>0</v>
      </c>
      <c r="G59" s="318">
        <f>COUNTIFS(input!$O:$O,June!$G$19,input!$E:$E,June!B59,input!$A:$A,June!$B$2)</f>
        <v>0</v>
      </c>
      <c r="H59" s="318">
        <f>COUNTIFS(input!$O:$O,June!$H$19,input!$E:$E,June!B59,input!$A:$A,June!$B$2)</f>
        <v>0</v>
      </c>
      <c r="I59" s="318">
        <f>COUNTIFS(input!$O:$O,June!$I$19,input!$E:$E,June!B59,input!$A:$A,June!$B$2)</f>
        <v>0</v>
      </c>
      <c r="J59" s="318">
        <f>COUNTIFS(input!$O:$O,June!$K$19,input!$E:$E,June!B59,input!$A:$A,June!$B$2)</f>
        <v>0</v>
      </c>
      <c r="K59" s="319">
        <f>COUNTIFS(input!$O:$O,June!$K$19,input!$E:$E,June!B59,input!$A:$A,June!$B$2)</f>
        <v>0</v>
      </c>
      <c r="L59" s="312">
        <f t="shared" si="6"/>
        <v>0</v>
      </c>
      <c r="M59" s="313" cm="1">
        <f t="array" ref="M59">_xlfn.IFS(L59=0,0,L59&gt;=1,L59/$L$65)</f>
        <v>0</v>
      </c>
      <c r="N59" s="1065"/>
      <c r="O59" s="1065"/>
      <c r="P59" s="1066"/>
      <c r="Q59" s="316">
        <f>COUNTIFS(input!$O:$O,June!$Q$19,input!$F:$F,June!N59,input!$A:$A,June!$B$2)</f>
        <v>0</v>
      </c>
      <c r="R59" s="316">
        <f>COUNTIFS(input!$O:$O,June!$R$19,input!$F:$F,June!N59,input!$A:$A,June!$B$2)</f>
        <v>0</v>
      </c>
      <c r="S59" s="316">
        <f>COUNTIFS(input!$O:$O,June!$S$19,input!$F:$F,June!N59,input!$A:$A,June!$B$2)</f>
        <v>0</v>
      </c>
      <c r="T59" s="321">
        <f>COUNTIFS(input!$O:$O,June!$T$19,input!$F:$F,June!N59,input!$A:$A,June!$B$2)</f>
        <v>0</v>
      </c>
      <c r="U59" s="322">
        <f>COUNTIFS(input!$O:$O,June!$U$19,input!$F:$F,June!N59,input!$A:$A,June!$B$2)</f>
        <v>0</v>
      </c>
      <c r="V59" s="322">
        <f>COUNTIFS(input!$O:$O,June!$V$19,input!$F:$F,June!N59,input!$A:$A,June!$B$2)</f>
        <v>0</v>
      </c>
      <c r="W59" s="323">
        <f>COUNTIFS(input!$O:$O,June!$W$19,input!$F:$F,June!N59,input!$A:$A,June!$B$2)</f>
        <v>0</v>
      </c>
      <c r="X59" s="324">
        <f>COUNTIFS(input!$O:$O,June!$X$19,input!$F:$F,June!N59,input!$A:$A,June!$B$2)</f>
        <v>0</v>
      </c>
      <c r="Y59" s="312">
        <f t="shared" si="4"/>
        <v>0</v>
      </c>
      <c r="Z59" s="315" cm="1">
        <f t="array" ref="Z59">_xlfn.IFS(Y59=0,0,Y59&gt;=1,Y59/$Y$65)</f>
        <v>0</v>
      </c>
    </row>
    <row r="60" spans="2:26" ht="92" hidden="1" x14ac:dyDescent="0.25">
      <c r="B60" s="990" t="s">
        <v>460</v>
      </c>
      <c r="C60" s="991"/>
      <c r="D60" s="316">
        <f>COUNTIFS(input!$O:$O,June!$D$19,input!$E:$E,June!B60,input!$A:$A,June!$B$2)</f>
        <v>0</v>
      </c>
      <c r="E60" s="316">
        <f>COUNTIFS(input!$O:$O,June!$E$19,input!$E:$E,June!B60,input!$A:$A,June!$B$2)</f>
        <v>0</v>
      </c>
      <c r="F60" s="317">
        <f>COUNTIFS(input!$O:$O,June!$F$19,input!$E:$E,June!B60,input!$A:$A,June!$B$2)</f>
        <v>0</v>
      </c>
      <c r="G60" s="318">
        <f>COUNTIFS(input!$O:$O,June!$G$19,input!$E:$E,June!B60,input!$A:$A,June!$B$2)</f>
        <v>0</v>
      </c>
      <c r="H60" s="318">
        <f>COUNTIFS(input!$O:$O,June!$H$19,input!$E:$E,June!B60,input!$A:$A,June!$B$2)</f>
        <v>0</v>
      </c>
      <c r="I60" s="318">
        <f>COUNTIFS(input!$O:$O,June!$I$19,input!$E:$E,June!B60,input!$A:$A,June!$B$2)</f>
        <v>0</v>
      </c>
      <c r="J60" s="318">
        <f>COUNTIFS(input!$O:$O,June!$K$19,input!$E:$E,June!B60,input!$A:$A,June!$B$2)</f>
        <v>0</v>
      </c>
      <c r="K60" s="319">
        <f>COUNTIFS(input!$O:$O,June!$K$19,input!$E:$E,June!B60,input!$A:$A,June!$B$2)</f>
        <v>0</v>
      </c>
      <c r="L60" s="312">
        <f t="shared" si="6"/>
        <v>0</v>
      </c>
      <c r="M60" s="313" cm="1">
        <f t="array" ref="M60">_xlfn.IFS(L60=0,0,L60&gt;=1,L60/$L$65)</f>
        <v>0</v>
      </c>
      <c r="N60" s="1058"/>
      <c r="O60" s="1016"/>
      <c r="P60" s="991"/>
      <c r="Q60" s="316">
        <f>COUNTIFS(input!$O:$O,June!$Q$19,input!$F:$F,June!N60,input!$A:$A,June!$B$2)</f>
        <v>0</v>
      </c>
      <c r="R60" s="316">
        <f>COUNTIFS(input!$O:$O,June!$R$19,input!$F:$F,June!N60,input!$A:$A,June!$B$2)</f>
        <v>0</v>
      </c>
      <c r="S60" s="316">
        <f>COUNTIFS(input!$O:$O,June!$S$19,input!$F:$F,June!N60,input!$A:$A,June!$B$2)</f>
        <v>0</v>
      </c>
      <c r="T60" s="321">
        <f>COUNTIFS(input!$O:$O,June!$T$19,input!$F:$F,June!N60,input!$A:$A,June!$B$2)</f>
        <v>0</v>
      </c>
      <c r="U60" s="322">
        <f>COUNTIFS(input!$O:$O,June!$U$19,input!$F:$F,June!N60,input!$A:$A,June!$B$2)</f>
        <v>0</v>
      </c>
      <c r="V60" s="322">
        <f>COUNTIFS(input!$O:$O,June!$V$19,input!$F:$F,June!N60,input!$A:$A,June!$B$2)</f>
        <v>0</v>
      </c>
      <c r="W60" s="323">
        <f>COUNTIFS(input!$O:$O,June!$W$19,input!$F:$F,June!N60,input!$A:$A,June!$B$2)</f>
        <v>0</v>
      </c>
      <c r="X60" s="324">
        <f>COUNTIFS(input!$O:$O,June!$X$19,input!$F:$F,June!N60,input!$A:$A,June!$B$2)</f>
        <v>0</v>
      </c>
      <c r="Y60" s="312">
        <f t="shared" si="4"/>
        <v>0</v>
      </c>
      <c r="Z60" s="315" cm="1">
        <f t="array" ref="Z60">_xlfn.IFS(Y60=0,0,Y60&gt;=1,Y60/$Y$65)</f>
        <v>0</v>
      </c>
    </row>
    <row r="61" spans="2:26" ht="92" x14ac:dyDescent="0.25">
      <c r="B61" s="990" t="s">
        <v>1948</v>
      </c>
      <c r="C61" s="991"/>
      <c r="D61" s="316">
        <f>COUNTIFS(input!$O:$O,June!$D$19,input!$E:$E,June!B61,input!$A:$A,June!$B$2)</f>
        <v>0</v>
      </c>
      <c r="E61" s="316">
        <f>COUNTIFS(input!$O:$O,June!$E$19,input!$E:$E,June!B61,input!$A:$A,June!$B$2)</f>
        <v>0</v>
      </c>
      <c r="F61" s="317">
        <f>COUNTIFS(input!$O:$O,June!$F$19,input!$E:$E,June!B61,input!$A:$A,June!$B$2)</f>
        <v>0</v>
      </c>
      <c r="G61" s="318">
        <f>COUNTIFS(input!$O:$O,June!$G$19,input!$E:$E,June!B61,input!$A:$A,June!$B$2)</f>
        <v>1</v>
      </c>
      <c r="H61" s="318">
        <f>COUNTIFS(input!$O:$O,June!$H$19,input!$E:$E,June!B61,input!$A:$A,June!$B$2)</f>
        <v>0</v>
      </c>
      <c r="I61" s="318">
        <f>COUNTIFS(input!$O:$O,June!$I$19,input!$E:$E,June!B61,input!$A:$A,June!$B$2)</f>
        <v>0</v>
      </c>
      <c r="J61" s="318">
        <f>COUNTIFS(input!$O:$O,June!$K$19,input!$E:$E,June!B61,input!$A:$A,June!$B$2)</f>
        <v>0</v>
      </c>
      <c r="K61" s="319">
        <f>COUNTIFS(input!$O:$O,June!$K$19,input!$E:$E,June!B61,input!$A:$A,June!$B$2)</f>
        <v>0</v>
      </c>
      <c r="L61" s="312">
        <f>SUM(D61:K61)</f>
        <v>1</v>
      </c>
      <c r="M61" s="313" cm="1">
        <f t="array" ref="M61">_xlfn.IFS(L61=0,0,L61&gt;=1,L61/$L$65)</f>
        <v>0.1111111111111111</v>
      </c>
      <c r="N61" s="389"/>
      <c r="O61" s="389"/>
      <c r="P61" s="388"/>
      <c r="Q61" s="316">
        <f>COUNTIFS(input!$O:$O,June!$Q$19,input!$F:$F,June!N61,input!$A:$A,June!$B$2)</f>
        <v>0</v>
      </c>
      <c r="R61" s="316">
        <f>COUNTIFS(input!$O:$O,June!$R$19,input!$F:$F,June!N61,input!$A:$A,June!$B$2)</f>
        <v>0</v>
      </c>
      <c r="S61" s="316">
        <f>COUNTIFS(input!$O:$O,June!$S$19,input!$F:$F,June!N61,input!$A:$A,June!$B$2)</f>
        <v>0</v>
      </c>
      <c r="T61" s="321">
        <f>COUNTIFS(input!$O:$O,June!$T$19,input!$F:$F,June!N61,input!$A:$A,June!$B$2)</f>
        <v>0</v>
      </c>
      <c r="U61" s="322">
        <f>COUNTIFS(input!$O:$O,June!$U$19,input!$F:$F,June!N61,input!$A:$A,June!$B$2)</f>
        <v>0</v>
      </c>
      <c r="V61" s="322">
        <f>COUNTIFS(input!$O:$O,June!$V$19,input!$F:$F,June!N61,input!$A:$A,June!$B$2)</f>
        <v>0</v>
      </c>
      <c r="W61" s="323">
        <f>COUNTIFS(input!$O:$O,June!$W$19,input!$F:$F,June!N61,input!$A:$A,June!$B$2)</f>
        <v>0</v>
      </c>
      <c r="X61" s="324">
        <f>COUNTIFS(input!$O:$O,June!$X$19,input!$F:$F,June!N61,input!$A:$A,June!$B$2)</f>
        <v>0</v>
      </c>
      <c r="Y61" s="312">
        <f>SUM(Q61:X61)</f>
        <v>0</v>
      </c>
      <c r="Z61" s="315" cm="1">
        <f t="array" ref="Z61">_xlfn.IFS(Y61=0,0,Y61&gt;=1,Y61/$Y$65)</f>
        <v>0</v>
      </c>
    </row>
    <row r="62" spans="2:26" ht="92" hidden="1" customHeight="1" x14ac:dyDescent="0.25">
      <c r="B62" s="990" t="s">
        <v>482</v>
      </c>
      <c r="C62" s="991"/>
      <c r="D62" s="316">
        <f>COUNTIFS(input!$O:$O,June!$D$19,input!$E:$E,June!B62,input!$A:$A,June!$B$2)</f>
        <v>0</v>
      </c>
      <c r="E62" s="316">
        <f>COUNTIFS(input!$O:$O,June!$E$19,input!$E:$E,June!B62,input!$A:$A,June!$B$2)</f>
        <v>0</v>
      </c>
      <c r="F62" s="317">
        <f>COUNTIFS(input!$O:$O,June!$F$19,input!$E:$E,June!B62,input!$A:$A,June!$B$2)</f>
        <v>0</v>
      </c>
      <c r="G62" s="318">
        <f>COUNTIFS(input!$O:$O,June!$G$19,input!$E:$E,June!B62,input!$A:$A,June!$B$2)</f>
        <v>0</v>
      </c>
      <c r="H62" s="318">
        <f>COUNTIFS(input!$O:$O,June!$H$19,input!$E:$E,June!B62,input!$A:$A,June!$B$2)</f>
        <v>0</v>
      </c>
      <c r="I62" s="318">
        <f>COUNTIFS(input!$O:$O,June!$I$19,input!$E:$E,June!B62,input!$A:$A,June!$B$2)</f>
        <v>0</v>
      </c>
      <c r="J62" s="318">
        <f>COUNTIFS(input!$O:$O,June!$K$19,input!$E:$E,June!B62,input!$A:$A,June!$B$2)</f>
        <v>0</v>
      </c>
      <c r="K62" s="319">
        <f>COUNTIFS(input!$O:$O,June!$K$19,input!$E:$E,June!B62,input!$A:$A,June!$B$2)</f>
        <v>0</v>
      </c>
      <c r="L62" s="312">
        <f t="shared" si="6"/>
        <v>0</v>
      </c>
      <c r="M62" s="313" cm="1">
        <f t="array" ref="M62">_xlfn.IFS(L62=0,0,L62&gt;=1,L62/$L$65)</f>
        <v>0</v>
      </c>
      <c r="N62" s="1065"/>
      <c r="O62" s="1065"/>
      <c r="P62" s="1066"/>
      <c r="Q62" s="316">
        <f>COUNTIFS(input!$O:$O,June!$Q$19,input!$F:$F,June!N62,input!$A:$A,June!$B$2)</f>
        <v>0</v>
      </c>
      <c r="R62" s="316">
        <f>COUNTIFS(input!$O:$O,June!$R$19,input!$F:$F,June!N62,input!$A:$A,June!$B$2)</f>
        <v>0</v>
      </c>
      <c r="S62" s="316">
        <f>COUNTIFS(input!$O:$O,June!$S$19,input!$F:$F,June!N62,input!$A:$A,June!$B$2)</f>
        <v>0</v>
      </c>
      <c r="T62" s="321">
        <f>COUNTIFS(input!$O:$O,June!$T$19,input!$F:$F,June!N62,input!$A:$A,June!$B$2)</f>
        <v>0</v>
      </c>
      <c r="U62" s="322">
        <f>COUNTIFS(input!$O:$O,June!$U$19,input!$F:$F,June!N62,input!$A:$A,June!$B$2)</f>
        <v>0</v>
      </c>
      <c r="V62" s="322">
        <f>COUNTIFS(input!$O:$O,June!$V$19,input!$F:$F,June!N62,input!$A:$A,June!$B$2)</f>
        <v>0</v>
      </c>
      <c r="W62" s="323">
        <f>COUNTIFS(input!$O:$O,June!$W$19,input!$F:$F,June!N62,input!$A:$A,June!$B$2)</f>
        <v>0</v>
      </c>
      <c r="X62" s="324">
        <f>COUNTIFS(input!$O:$O,June!$X$19,input!$F:$F,June!N62,input!$A:$A,June!$B$2)</f>
        <v>0</v>
      </c>
      <c r="Y62" s="312">
        <f t="shared" si="4"/>
        <v>0</v>
      </c>
      <c r="Z62" s="315" cm="1">
        <f t="array" ref="Z62">_xlfn.IFS(Y62=0,0,Y62&gt;=1,Y62/$Y$65)</f>
        <v>0</v>
      </c>
    </row>
    <row r="63" spans="2:26" ht="92" hidden="1" customHeight="1" x14ac:dyDescent="0.25">
      <c r="B63" s="990" t="s">
        <v>247</v>
      </c>
      <c r="C63" s="991"/>
      <c r="D63" s="316">
        <f>COUNTIFS(input!$O:$O,June!$D$19,input!$E:$E,June!B63,input!$A:$A,June!$B$2)</f>
        <v>0</v>
      </c>
      <c r="E63" s="316">
        <f>COUNTIFS(input!$O:$O,June!$E$19,input!$E:$E,June!B63,input!$A:$A,June!$B$2)</f>
        <v>0</v>
      </c>
      <c r="F63" s="317">
        <f>COUNTIFS(input!$O:$O,June!$F$19,input!$E:$E,June!B63,input!$A:$A,June!$B$2)</f>
        <v>0</v>
      </c>
      <c r="G63" s="318">
        <f>COUNTIFS(input!$O:$O,June!$G$19,input!$E:$E,June!B63,input!$A:$A,June!$B$2)</f>
        <v>0</v>
      </c>
      <c r="H63" s="318">
        <f>COUNTIFS(input!$O:$O,June!$H$19,input!$E:$E,June!B63,input!$A:$A,June!$B$2)</f>
        <v>0</v>
      </c>
      <c r="I63" s="318">
        <f>COUNTIFS(input!$O:$O,June!$I$19,input!$E:$E,June!B63,input!$A:$A,June!$B$2)</f>
        <v>0</v>
      </c>
      <c r="J63" s="318">
        <f>COUNTIFS(input!$O:$O,June!$K$19,input!$E:$E,June!B63,input!$A:$A,June!$B$2)</f>
        <v>0</v>
      </c>
      <c r="K63" s="319">
        <f>COUNTIFS(input!$O:$O,June!$K$19,input!$E:$E,June!B63,input!$A:$A,June!$B$2)</f>
        <v>0</v>
      </c>
      <c r="L63" s="312">
        <f t="shared" si="6"/>
        <v>0</v>
      </c>
      <c r="M63" s="313" cm="1">
        <f t="array" ref="M63">_xlfn.IFS(L63=0,0,L63&gt;=1,L63/$L$65)</f>
        <v>0</v>
      </c>
      <c r="N63" s="1065"/>
      <c r="O63" s="1065"/>
      <c r="P63" s="1066"/>
      <c r="Q63" s="316">
        <f>COUNTIFS(input!$O:$O,June!$Q$19,input!$F:$F,June!N63,input!$A:$A,June!$B$2)</f>
        <v>0</v>
      </c>
      <c r="R63" s="316">
        <f>COUNTIFS(input!$O:$O,June!$R$19,input!$F:$F,June!N63,input!$A:$A,June!$B$2)</f>
        <v>0</v>
      </c>
      <c r="S63" s="316">
        <f>COUNTIFS(input!$O:$O,June!$S$19,input!$F:$F,June!N63,input!$A:$A,June!$B$2)</f>
        <v>0</v>
      </c>
      <c r="T63" s="321">
        <f>COUNTIFS(input!$O:$O,June!$T$19,input!$F:$F,June!N63,input!$A:$A,June!$B$2)</f>
        <v>0</v>
      </c>
      <c r="U63" s="322">
        <f>COUNTIFS(input!$O:$O,June!$U$19,input!$F:$F,June!N63,input!$A:$A,June!$B$2)</f>
        <v>0</v>
      </c>
      <c r="V63" s="322">
        <f>COUNTIFS(input!$O:$O,June!$V$19,input!$F:$F,June!N63,input!$A:$A,June!$B$2)</f>
        <v>0</v>
      </c>
      <c r="W63" s="323">
        <f>COUNTIFS(input!$O:$O,June!$W$19,input!$F:$F,June!N63,input!$A:$A,June!$B$2)</f>
        <v>0</v>
      </c>
      <c r="X63" s="324">
        <f>COUNTIFS(input!$O:$O,June!$X$19,input!$F:$F,June!N63,input!$A:$A,June!$B$2)</f>
        <v>0</v>
      </c>
      <c r="Y63" s="312">
        <f t="shared" si="4"/>
        <v>0</v>
      </c>
      <c r="Z63" s="315" cm="1">
        <f t="array" ref="Z63">_xlfn.IFS(Y63=0,0,Y63&gt;=1,Y63/$Y$65)</f>
        <v>0</v>
      </c>
    </row>
    <row r="64" spans="2:26" ht="92" hidden="1" x14ac:dyDescent="0.25">
      <c r="B64" s="1059" t="s">
        <v>57</v>
      </c>
      <c r="C64" s="1018"/>
      <c r="D64" s="316">
        <f>COUNTIFS(input!$O:$O,June!$D$19,input!$E:$E,June!B64,input!$A:$A,June!$B$2)</f>
        <v>0</v>
      </c>
      <c r="E64" s="316">
        <f>COUNTIFS(input!$O:$O,June!$E$19,input!$E:$E,June!B64,input!$A:$A,June!$B$2)</f>
        <v>0</v>
      </c>
      <c r="F64" s="317">
        <f>COUNTIFS(input!$O:$O,June!$F$19,input!$E:$E,June!B64,input!$A:$A,June!$B$2)</f>
        <v>0</v>
      </c>
      <c r="G64" s="318">
        <f>COUNTIFS(input!$O:$O,June!$G$19,input!$E:$E,June!B64,input!$A:$A,June!$B$2)</f>
        <v>0</v>
      </c>
      <c r="H64" s="318">
        <f>COUNTIFS(input!$O:$O,June!$H$19,input!$E:$E,June!B64,input!$A:$A,June!$B$2)</f>
        <v>0</v>
      </c>
      <c r="I64" s="318">
        <f>COUNTIFS(input!$O:$O,June!$I$19,input!$E:$E,June!B64,input!$A:$A,June!$B$2)</f>
        <v>0</v>
      </c>
      <c r="J64" s="318">
        <f>COUNTIFS(input!$O:$O,June!$J$19,input!$E:$E,June!B64,input!$A:$A,June!$B$2)</f>
        <v>0</v>
      </c>
      <c r="K64" s="319">
        <f>COUNTIFS(input!$O:$O,June!$K$19,input!$E:$E,June!B64,input!$A:$A,June!$B$2)</f>
        <v>0</v>
      </c>
      <c r="L64" s="312">
        <f t="shared" si="6"/>
        <v>0</v>
      </c>
      <c r="M64" s="313" cm="1">
        <f t="array" ref="M64">_xlfn.IFS(L64=0,0,L64&gt;=1,L64/$L$65)</f>
        <v>0</v>
      </c>
      <c r="N64" s="1065"/>
      <c r="O64" s="1065"/>
      <c r="P64" s="1066"/>
      <c r="Q64" s="316">
        <f>COUNTIFS(input!$O:$O,June!$Q$19,input!$F:$F,June!N64,input!$A:$A,June!$B$2)</f>
        <v>0</v>
      </c>
      <c r="R64" s="316">
        <f>COUNTIFS(input!$O:$O,June!$R$19,input!$F:$F,June!N64,input!$A:$A,June!$B$2)</f>
        <v>0</v>
      </c>
      <c r="S64" s="316">
        <f>COUNTIFS(input!$O:$O,June!$S$19,input!$F:$F,June!N64,input!$A:$A,June!$B$2)</f>
        <v>0</v>
      </c>
      <c r="T64" s="321">
        <f>COUNTIFS(input!$O:$O,June!$T$19,input!$F:$F,June!N64,input!$A:$A,June!$B$2)</f>
        <v>0</v>
      </c>
      <c r="U64" s="322">
        <f>COUNTIFS(input!$O:$O,June!$U$19,input!$F:$F,June!N64,input!$A:$A,June!$B$2)</f>
        <v>0</v>
      </c>
      <c r="V64" s="322">
        <f>COUNTIFS(input!$O:$O,June!$V$19,input!$F:$F,June!N64,input!$A:$A,June!$B$2)</f>
        <v>0</v>
      </c>
      <c r="W64" s="323">
        <f>COUNTIFS(input!$O:$O,June!$W$19,input!$F:$F,June!N64,input!$A:$A,June!$B$2)</f>
        <v>0</v>
      </c>
      <c r="X64" s="324">
        <f>COUNTIFS(input!$O:$O,June!$X$19,input!$F:$F,June!N64,input!$A:$A,June!$B$2)</f>
        <v>0</v>
      </c>
      <c r="Y64" s="312">
        <f t="shared" si="4"/>
        <v>0</v>
      </c>
      <c r="Z64" s="315" cm="1">
        <f t="array" ref="Z64">_xlfn.IFS(Y64=0,0,Y64&gt;=1,Y64/$Y$65)</f>
        <v>0</v>
      </c>
    </row>
    <row r="65" spans="2:26" ht="90.5" thickBot="1" x14ac:dyDescent="0.3">
      <c r="B65" s="1005" t="s">
        <v>4</v>
      </c>
      <c r="C65" s="984"/>
      <c r="D65" s="340">
        <f t="shared" ref="D65:K65" si="7">SUM(D20:D62)</f>
        <v>0</v>
      </c>
      <c r="E65" s="340">
        <f t="shared" si="7"/>
        <v>0</v>
      </c>
      <c r="F65" s="340">
        <f t="shared" si="7"/>
        <v>0</v>
      </c>
      <c r="G65" s="340">
        <f t="shared" si="7"/>
        <v>6</v>
      </c>
      <c r="H65" s="340">
        <f t="shared" si="7"/>
        <v>1</v>
      </c>
      <c r="I65" s="340">
        <f t="shared" si="7"/>
        <v>1</v>
      </c>
      <c r="J65" s="340">
        <f t="shared" si="7"/>
        <v>0</v>
      </c>
      <c r="K65" s="340">
        <f t="shared" si="7"/>
        <v>1</v>
      </c>
      <c r="L65" s="401">
        <f>SUM(L20:L64)</f>
        <v>9</v>
      </c>
      <c r="M65" s="402">
        <f>SUM(M20:M64)</f>
        <v>1.0000000000000002</v>
      </c>
      <c r="N65" s="983" t="s">
        <v>4</v>
      </c>
      <c r="O65" s="983"/>
      <c r="P65" s="984"/>
      <c r="Q65" s="340">
        <f t="shared" ref="Q65:X65" si="8">SUM(Q20:Q62)</f>
        <v>0</v>
      </c>
      <c r="R65" s="340">
        <f t="shared" si="8"/>
        <v>0</v>
      </c>
      <c r="S65" s="340">
        <f t="shared" si="8"/>
        <v>0</v>
      </c>
      <c r="T65" s="340">
        <f t="shared" si="8"/>
        <v>6</v>
      </c>
      <c r="U65" s="340">
        <f t="shared" si="8"/>
        <v>1</v>
      </c>
      <c r="V65" s="340">
        <f t="shared" si="8"/>
        <v>1</v>
      </c>
      <c r="W65" s="340">
        <f t="shared" si="8"/>
        <v>0</v>
      </c>
      <c r="X65" s="340">
        <f t="shared" si="8"/>
        <v>1</v>
      </c>
      <c r="Y65" s="340">
        <f>SUM(Y20:Y64)</f>
        <v>9</v>
      </c>
      <c r="Z65" s="403">
        <f>SUM(Z20:Z62)</f>
        <v>1</v>
      </c>
    </row>
    <row r="66" spans="2:26" ht="270" x14ac:dyDescent="0.25">
      <c r="B66" s="1149" t="s">
        <v>34</v>
      </c>
      <c r="C66" s="1150"/>
      <c r="D66" s="398" t="s">
        <v>6</v>
      </c>
      <c r="E66" s="398" t="s">
        <v>2</v>
      </c>
      <c r="F66" s="398" t="s">
        <v>3</v>
      </c>
      <c r="G66" s="398" t="s">
        <v>1</v>
      </c>
      <c r="H66" s="398" t="s">
        <v>0</v>
      </c>
      <c r="I66" s="398" t="s">
        <v>53</v>
      </c>
      <c r="J66" s="398" t="s">
        <v>12</v>
      </c>
      <c r="K66" s="398" t="s">
        <v>693</v>
      </c>
      <c r="L66" s="398" t="s">
        <v>5</v>
      </c>
      <c r="M66" s="399" t="s">
        <v>40</v>
      </c>
      <c r="N66" s="1151" t="s">
        <v>59</v>
      </c>
      <c r="O66" s="1151"/>
      <c r="P66" s="1152"/>
      <c r="Q66" s="398" t="s">
        <v>6</v>
      </c>
      <c r="R66" s="398" t="s">
        <v>2</v>
      </c>
      <c r="S66" s="398" t="s">
        <v>3</v>
      </c>
      <c r="T66" s="398" t="s">
        <v>1</v>
      </c>
      <c r="U66" s="398" t="s">
        <v>0</v>
      </c>
      <c r="V66" s="398" t="s">
        <v>53</v>
      </c>
      <c r="W66" s="398" t="s">
        <v>12</v>
      </c>
      <c r="X66" s="398" t="s">
        <v>693</v>
      </c>
      <c r="Y66" s="398" t="s">
        <v>5</v>
      </c>
      <c r="Z66" s="400" t="s">
        <v>40</v>
      </c>
    </row>
    <row r="67" spans="2:26" ht="92" hidden="1" x14ac:dyDescent="0.25">
      <c r="B67" s="1210" t="s">
        <v>13</v>
      </c>
      <c r="C67" s="1211"/>
      <c r="D67" s="1213">
        <f>COUNTIFS(input!$O:$O,June!$D$66,input!$K:$K,June!B67,input!$A:$A,June!$B$2)</f>
        <v>0</v>
      </c>
      <c r="E67" s="1213">
        <f>COUNTIFS(input!$O:$O,June!$E$66,input!$K:$K,June!B67,input!$A:$A,June!$B$2)</f>
        <v>0</v>
      </c>
      <c r="F67" s="1213">
        <f>COUNTIFS(input!$O:$O,June!$F$66,input!$K:$K,June!B67,input!$A:$A,June!$B$2)</f>
        <v>0</v>
      </c>
      <c r="G67" s="1214">
        <f>COUNTIFS(input!$O:$O,June!$G$66,input!$K:$K,June!B67,input!$A:$A,June!$B$2)</f>
        <v>3</v>
      </c>
      <c r="H67" s="1214">
        <f>COUNTIFS(input!$O:$O,June!$H$66,input!$K:$K,June!B67,input!$A:$A,June!$B$2)</f>
        <v>0</v>
      </c>
      <c r="I67" s="1215">
        <f>COUNTIFS(input!$O:$O,June!$I$66,input!$K:$K,June!B67,input!$A:$A,June!$B$2)</f>
        <v>0</v>
      </c>
      <c r="J67" s="1214">
        <f>COUNTIFS(input!$O:$O,June!$J$66,input!$K:$K,June!B67,input!$A:$A,June!$B$2)</f>
        <v>0</v>
      </c>
      <c r="K67" s="1214">
        <f>COUNTIFS(input!$O:$O,June!$K$66,input!$K:$K,June!B67,input!$A:$A,June!$B$2)</f>
        <v>0</v>
      </c>
      <c r="L67" s="1206">
        <f>SUM(D67:K73)</f>
        <v>3</v>
      </c>
      <c r="M67" s="1216" cm="1">
        <f t="array" ref="M67">_xlfn.IFS(L67=0,0,L67&gt;=1,L67/L116)</f>
        <v>0.33333333333333331</v>
      </c>
      <c r="N67" s="1124" t="s">
        <v>715</v>
      </c>
      <c r="O67" s="1124"/>
      <c r="P67" s="1125"/>
      <c r="Q67" s="310">
        <f>COUNTIFS(input!$O:$O,June!$Q$66,input!$G:$G,June!N67,input!$A:$A,June!$B$2)</f>
        <v>0</v>
      </c>
      <c r="R67" s="310">
        <f>COUNTIFS(input!$O:$O,June!$R$66,input!$G:$G,June!N67,input!$A:$A,June!$B$2)</f>
        <v>0</v>
      </c>
      <c r="S67" s="310">
        <f>COUNTIFS(input!$O:$O,June!$S$66,input!$G:$G,June!N67,input!$A:$A,June!$B$2)</f>
        <v>0</v>
      </c>
      <c r="T67" s="314">
        <f>COUNTIFS(input!$O:$O,June!$T$66,input!$G:$G,June!N67,input!$A:$A,June!$B$2)</f>
        <v>0</v>
      </c>
      <c r="U67" s="314">
        <f>COUNTIFS(input!$O:$O,June!$U$66,input!$G:$G,June!N67,input!$A:$A,June!$B$2)</f>
        <v>0</v>
      </c>
      <c r="V67" s="314">
        <f>COUNTIFS(input!$O:$O,June!$V$66,input!$G:$G,June!N67,input!$A:$A,June!$B$2)</f>
        <v>0</v>
      </c>
      <c r="W67" s="314">
        <f>COUNTIFS(input!$O:$O,June!$W$66,input!$G:$G,June!N67,input!$A:$A,June!$B$2)</f>
        <v>0</v>
      </c>
      <c r="X67" s="314">
        <f>COUNTIFS(input!$O:$O,June!$X$66,input!$G:$G,June!N67,input!$A:$A,June!$B$2)</f>
        <v>0</v>
      </c>
      <c r="Y67" s="312">
        <f>SUM(Q67:X67)</f>
        <v>0</v>
      </c>
      <c r="Z67" s="315" cm="1">
        <f t="array" ref="Z67">_xlfn.IFS(Y67=0,0,Y67&gt;=1,Y67/$Y$116)</f>
        <v>0</v>
      </c>
    </row>
    <row r="68" spans="2:26" ht="92" hidden="1" x14ac:dyDescent="0.25">
      <c r="B68" s="1196"/>
      <c r="C68" s="1212"/>
      <c r="D68" s="1200"/>
      <c r="E68" s="1200"/>
      <c r="F68" s="1200"/>
      <c r="G68" s="1202"/>
      <c r="H68" s="1202"/>
      <c r="I68" s="1204"/>
      <c r="J68" s="1202"/>
      <c r="K68" s="1202"/>
      <c r="L68" s="1206"/>
      <c r="M68" s="1208"/>
      <c r="N68" s="1065" t="s">
        <v>856</v>
      </c>
      <c r="O68" s="1065"/>
      <c r="P68" s="1066"/>
      <c r="Q68" s="316">
        <f>COUNTIFS(input!$O:$O,June!$Q$66,input!$G:$G,June!N68,input!$A:$A,June!$B$2)</f>
        <v>0</v>
      </c>
      <c r="R68" s="316">
        <f>COUNTIFS(input!$O:$O,June!$R$66,input!$G:$G,June!N68,input!$A:$A,June!$B$2)</f>
        <v>0</v>
      </c>
      <c r="S68" s="316">
        <f>COUNTIFS(input!$O:$O,June!$S$66,input!$G:$G,June!N68,input!$A:$A,June!$B$2)</f>
        <v>0</v>
      </c>
      <c r="T68" s="321">
        <f>COUNTIFS(input!$O:$O,June!$T$66,input!$G:$G,June!N68,input!$A:$A,June!$B$2)</f>
        <v>0</v>
      </c>
      <c r="U68" s="322">
        <f>COUNTIFS(input!$O:$O,June!$U$66,input!$G:$G,June!N68,input!$A:$A,June!$B$2)</f>
        <v>0</v>
      </c>
      <c r="V68" s="322">
        <f>COUNTIFS(input!$O:$O,June!$V$66,input!$G:$G,June!N68,input!$A:$A,June!$B$2)</f>
        <v>0</v>
      </c>
      <c r="W68" s="323">
        <f>COUNTIFS(input!$O:$O,June!$W$66,input!$G:$G,June!N68,input!$A:$A,June!$B$2)</f>
        <v>0</v>
      </c>
      <c r="X68" s="324">
        <f>COUNTIFS(input!$O:$O,June!$X$66,input!$G:$G,June!N68,input!$A:$A,June!$B$2)</f>
        <v>0</v>
      </c>
      <c r="Y68" s="312">
        <f>SUM(Q68:X68)</f>
        <v>0</v>
      </c>
      <c r="Z68" s="315" cm="1">
        <f t="array" ref="Z68">_xlfn.IFS(Y68=0,0,Y68&gt;=1,Y68/$Y$116)</f>
        <v>0</v>
      </c>
    </row>
    <row r="69" spans="2:26" ht="92" hidden="1" x14ac:dyDescent="0.25">
      <c r="B69" s="1196"/>
      <c r="C69" s="1212"/>
      <c r="D69" s="1200"/>
      <c r="E69" s="1200"/>
      <c r="F69" s="1200"/>
      <c r="G69" s="1202"/>
      <c r="H69" s="1202"/>
      <c r="I69" s="1204"/>
      <c r="J69" s="1202"/>
      <c r="K69" s="1202"/>
      <c r="L69" s="1206"/>
      <c r="M69" s="1208"/>
      <c r="N69" s="996" t="s">
        <v>816</v>
      </c>
      <c r="O69" s="996"/>
      <c r="P69" s="997"/>
      <c r="Q69" s="316">
        <f>COUNTIFS(input!$O:$O,June!$Q$66,input!$G:$G,June!N69,input!$A:$A,June!$B$2)</f>
        <v>0</v>
      </c>
      <c r="R69" s="316">
        <f>COUNTIFS(input!$O:$O,June!$R$66,input!$G:$G,June!N69,input!$A:$A,June!$B$2)</f>
        <v>0</v>
      </c>
      <c r="S69" s="316">
        <f>COUNTIFS(input!$O:$O,June!$S$66,input!$G:$G,June!N69,input!$A:$A,June!$B$2)</f>
        <v>0</v>
      </c>
      <c r="T69" s="321">
        <f>COUNTIFS(input!$O:$O,June!$T$66,input!$G:$G,June!N69,input!$A:$A,June!$B$2)</f>
        <v>0</v>
      </c>
      <c r="U69" s="322">
        <f>COUNTIFS(input!$O:$O,June!$U$66,input!$G:$G,June!N69,input!$A:$A,June!$B$2)</f>
        <v>0</v>
      </c>
      <c r="V69" s="322">
        <f>COUNTIFS(input!$O:$O,June!$V$66,input!$G:$G,June!N69,input!$A:$A,June!$B$2)</f>
        <v>0</v>
      </c>
      <c r="W69" s="323">
        <f>COUNTIFS(input!$O:$O,June!$W$66,input!$G:$G,June!N69,input!$A:$A,June!$B$2)</f>
        <v>0</v>
      </c>
      <c r="X69" s="324">
        <f>COUNTIFS(input!$O:$O,June!$X$66,input!$G:$G,June!N69,input!$A:$A,June!$B$2)</f>
        <v>0</v>
      </c>
      <c r="Y69" s="312">
        <f t="shared" ref="Y69:Y115" si="9">SUM(Q69:X69)</f>
        <v>0</v>
      </c>
      <c r="Z69" s="315" cm="1">
        <f t="array" ref="Z69">_xlfn.IFS(Y69=0,0,Y69&gt;=1,Y69/$Y$116)</f>
        <v>0</v>
      </c>
    </row>
    <row r="70" spans="2:26" ht="92" hidden="1" x14ac:dyDescent="0.25">
      <c r="B70" s="1196"/>
      <c r="C70" s="1212"/>
      <c r="D70" s="1200"/>
      <c r="E70" s="1200"/>
      <c r="F70" s="1200"/>
      <c r="G70" s="1202"/>
      <c r="H70" s="1202"/>
      <c r="I70" s="1204"/>
      <c r="J70" s="1202"/>
      <c r="K70" s="1202"/>
      <c r="L70" s="1206"/>
      <c r="M70" s="1208"/>
      <c r="N70" s="1065" t="s">
        <v>449</v>
      </c>
      <c r="O70" s="1065"/>
      <c r="P70" s="1066"/>
      <c r="Q70" s="316">
        <f>COUNTIFS(input!$O:$O,June!$Q$66,input!$G:$G,June!N70,input!$A:$A,June!$B$2)</f>
        <v>0</v>
      </c>
      <c r="R70" s="316">
        <f>COUNTIFS(input!$O:$O,June!$R$66,input!$G:$G,June!N70,input!$A:$A,June!$B$2)</f>
        <v>0</v>
      </c>
      <c r="S70" s="316">
        <f>COUNTIFS(input!$O:$O,June!$S$66,input!$G:$G,June!N70,input!$A:$A,June!$B$2)</f>
        <v>0</v>
      </c>
      <c r="T70" s="321">
        <f>COUNTIFS(input!$O:$O,June!$T$66,input!$G:$G,June!N70,input!$A:$A,June!$B$2)</f>
        <v>0</v>
      </c>
      <c r="U70" s="322">
        <f>COUNTIFS(input!$O:$O,June!$U$66,input!$G:$G,June!N70,input!$A:$A,June!$B$2)</f>
        <v>0</v>
      </c>
      <c r="V70" s="322">
        <f>COUNTIFS(input!$O:$O,June!$V$66,input!$G:$G,June!N70,input!$A:$A,June!$B$2)</f>
        <v>0</v>
      </c>
      <c r="W70" s="323">
        <f>COUNTIFS(input!$O:$O,June!$W$66,input!$G:$G,June!N70,input!$A:$A,June!$B$2)</f>
        <v>0</v>
      </c>
      <c r="X70" s="324">
        <f>COUNTIFS(input!$O:$O,June!$X$66,input!$G:$G,June!N70,input!$A:$A,June!$B$2)</f>
        <v>0</v>
      </c>
      <c r="Y70" s="312">
        <f t="shared" si="9"/>
        <v>0</v>
      </c>
      <c r="Z70" s="315" cm="1">
        <f t="array" ref="Z70">_xlfn.IFS(Y70=0,0,Y70&gt;=1,Y70/$Y$116)</f>
        <v>0</v>
      </c>
    </row>
    <row r="71" spans="2:26" ht="92" hidden="1" x14ac:dyDescent="0.25">
      <c r="B71" s="1196"/>
      <c r="C71" s="1212"/>
      <c r="D71" s="1200"/>
      <c r="E71" s="1200"/>
      <c r="F71" s="1200"/>
      <c r="G71" s="1202"/>
      <c r="H71" s="1202"/>
      <c r="I71" s="1204"/>
      <c r="J71" s="1202"/>
      <c r="K71" s="1202"/>
      <c r="L71" s="1206"/>
      <c r="M71" s="1208"/>
      <c r="N71" s="1065" t="s">
        <v>915</v>
      </c>
      <c r="O71" s="1065"/>
      <c r="P71" s="1066"/>
      <c r="Q71" s="316">
        <f>COUNTIFS(input!$O:$O,June!$Q$66,input!$G:$G,June!N71,input!$A:$A,June!$B$2)</f>
        <v>0</v>
      </c>
      <c r="R71" s="316">
        <f>COUNTIFS(input!$O:$O,June!$R$66,input!$G:$G,June!N71,input!$A:$A,June!$B$2)</f>
        <v>0</v>
      </c>
      <c r="S71" s="316">
        <f>COUNTIFS(input!$O:$O,June!$S$66,input!$G:$G,June!N71,input!$A:$A,June!$B$2)</f>
        <v>0</v>
      </c>
      <c r="T71" s="321">
        <f>COUNTIFS(input!$O:$O,June!$T$66,input!$G:$G,June!N71,input!$A:$A,June!$B$2)</f>
        <v>0</v>
      </c>
      <c r="U71" s="322">
        <f>COUNTIFS(input!$O:$O,June!$U$66,input!$G:$G,June!N71,input!$A:$A,June!$B$2)</f>
        <v>0</v>
      </c>
      <c r="V71" s="322">
        <f>COUNTIFS(input!$O:$O,June!$V$66,input!$G:$G,June!N71,input!$A:$A,June!$B$2)</f>
        <v>0</v>
      </c>
      <c r="W71" s="323">
        <f>COUNTIFS(input!$O:$O,June!$W$66,input!$G:$G,June!N71,input!$A:$A,June!$B$2)</f>
        <v>0</v>
      </c>
      <c r="X71" s="324">
        <f>COUNTIFS(input!$O:$O,June!$X$66,input!$G:$G,June!N71,input!$A:$A,June!$B$2)</f>
        <v>0</v>
      </c>
      <c r="Y71" s="312">
        <f t="shared" si="9"/>
        <v>0</v>
      </c>
      <c r="Z71" s="315" cm="1">
        <f t="array" ref="Z71">_xlfn.IFS(Y71=0,0,Y71&gt;=1,Y71/$Y$116)</f>
        <v>0</v>
      </c>
    </row>
    <row r="72" spans="2:26" ht="92" hidden="1" x14ac:dyDescent="0.25">
      <c r="B72" s="1196"/>
      <c r="C72" s="1212"/>
      <c r="D72" s="1200"/>
      <c r="E72" s="1200"/>
      <c r="F72" s="1200"/>
      <c r="G72" s="1202"/>
      <c r="H72" s="1202"/>
      <c r="I72" s="1204"/>
      <c r="J72" s="1202"/>
      <c r="K72" s="1202"/>
      <c r="L72" s="1206"/>
      <c r="M72" s="1208"/>
      <c r="N72" s="1065" t="s">
        <v>898</v>
      </c>
      <c r="O72" s="1065"/>
      <c r="P72" s="1066"/>
      <c r="Q72" s="316">
        <f>COUNTIFS(input!$O:$O,June!$Q$66,input!$G:$G,June!N72,input!$A:$A,June!$B$2)</f>
        <v>0</v>
      </c>
      <c r="R72" s="316">
        <f>COUNTIFS(input!$O:$O,June!$R$66,input!$G:$G,June!N72,input!$A:$A,June!$B$2)</f>
        <v>0</v>
      </c>
      <c r="S72" s="316">
        <f>COUNTIFS(input!$O:$O,June!$S$66,input!$G:$G,June!N72,input!$A:$A,June!$B$2)</f>
        <v>0</v>
      </c>
      <c r="T72" s="321">
        <f>COUNTIFS(input!$O:$O,June!$T$66,input!$G:$G,June!N72,input!$A:$A,June!$B$2)</f>
        <v>0</v>
      </c>
      <c r="U72" s="322">
        <f>COUNTIFS(input!$O:$O,June!$U$66,input!$G:$G,June!N72,input!$A:$A,June!$B$2)</f>
        <v>0</v>
      </c>
      <c r="V72" s="322">
        <f>COUNTIFS(input!$O:$O,June!$V$66,input!$G:$G,June!N72,input!$A:$A,June!$B$2)</f>
        <v>0</v>
      </c>
      <c r="W72" s="323">
        <f>COUNTIFS(input!$O:$O,June!$W$66,input!$G:$G,June!N72,input!$A:$A,June!$B$2)</f>
        <v>0</v>
      </c>
      <c r="X72" s="324">
        <f>COUNTIFS(input!$O:$O,June!$X$66,input!$G:$G,June!N72,input!$A:$A,June!$B$2)</f>
        <v>0</v>
      </c>
      <c r="Y72" s="312">
        <f t="shared" si="9"/>
        <v>0</v>
      </c>
      <c r="Z72" s="315" cm="1">
        <f t="array" ref="Z72">_xlfn.IFS(Y72=0,0,Y72&gt;=1,Y72/$Y$116)</f>
        <v>0</v>
      </c>
    </row>
    <row r="73" spans="2:26" ht="92" hidden="1" x14ac:dyDescent="0.25">
      <c r="B73" s="1196"/>
      <c r="C73" s="1212"/>
      <c r="D73" s="1200"/>
      <c r="E73" s="1200"/>
      <c r="F73" s="1200"/>
      <c r="G73" s="1202"/>
      <c r="H73" s="1202"/>
      <c r="I73" s="1204"/>
      <c r="J73" s="1202"/>
      <c r="K73" s="1202"/>
      <c r="L73" s="1206"/>
      <c r="M73" s="1208"/>
      <c r="N73" s="1065" t="s">
        <v>1782</v>
      </c>
      <c r="O73" s="1065"/>
      <c r="P73" s="1066"/>
      <c r="Q73" s="316">
        <f>COUNTIFS(input!$O:$O,June!$Q$66,input!$G:$G,June!N73,input!$A:$A,June!$B$2)</f>
        <v>0</v>
      </c>
      <c r="R73" s="316">
        <f>COUNTIFS(input!$O:$O,June!$R$66,input!$G:$G,June!N73,input!$A:$A,June!$B$2)</f>
        <v>0</v>
      </c>
      <c r="S73" s="316">
        <f>COUNTIFS(input!$O:$O,June!$S$66,input!$G:$G,June!N73,input!$A:$A,June!$B$2)</f>
        <v>0</v>
      </c>
      <c r="T73" s="321">
        <f>COUNTIFS(input!$O:$O,June!$T$66,input!$G:$G,June!N73,input!$A:$A,June!$B$2)</f>
        <v>0</v>
      </c>
      <c r="U73" s="322">
        <f>COUNTIFS(input!$O:$O,June!$U$66,input!$G:$G,June!N73,input!$A:$A,June!$B$2)</f>
        <v>0</v>
      </c>
      <c r="V73" s="322">
        <f>COUNTIFS(input!$O:$O,June!$V$66,input!$G:$G,June!N73,input!$A:$A,June!$B$2)</f>
        <v>0</v>
      </c>
      <c r="W73" s="323">
        <f>COUNTIFS(input!$O:$O,June!$W$66,input!$G:$G,June!N73,input!$A:$A,June!$B$2)</f>
        <v>0</v>
      </c>
      <c r="X73" s="324">
        <f>COUNTIFS(input!$O:$O,June!$X$66,input!$G:$G,June!N73,input!$A:$A,June!$B$2)</f>
        <v>0</v>
      </c>
      <c r="Y73" s="312">
        <f t="shared" si="9"/>
        <v>0</v>
      </c>
      <c r="Z73" s="315" cm="1">
        <f t="array" ref="Z73">_xlfn.IFS(Y73=0,0,Y73&gt;=1,Y73/$Y$116)</f>
        <v>0</v>
      </c>
    </row>
    <row r="74" spans="2:26" ht="92" x14ac:dyDescent="0.25">
      <c r="B74" s="1196"/>
      <c r="C74" s="1212"/>
      <c r="D74" s="1200"/>
      <c r="E74" s="1200"/>
      <c r="F74" s="1200"/>
      <c r="G74" s="1202"/>
      <c r="H74" s="1202"/>
      <c r="I74" s="1204"/>
      <c r="J74" s="1202"/>
      <c r="K74" s="1202"/>
      <c r="L74" s="1206"/>
      <c r="M74" s="1208"/>
      <c r="N74" s="1016" t="s">
        <v>1952</v>
      </c>
      <c r="O74" s="1016"/>
      <c r="P74" s="991"/>
      <c r="Q74" s="316">
        <f>COUNTIFS(input!$O:$O,June!$Q$66,input!$G:$G,June!N74,input!$A:$A,June!$B$2)</f>
        <v>0</v>
      </c>
      <c r="R74" s="316">
        <f>COUNTIFS(input!$O:$O,June!$R$66,input!$G:$G,June!N74,input!$A:$A,June!$B$2)</f>
        <v>0</v>
      </c>
      <c r="S74" s="316">
        <f>COUNTIFS(input!$O:$O,June!$S$66,input!$G:$G,June!N74,input!$A:$A,June!$B$2)</f>
        <v>0</v>
      </c>
      <c r="T74" s="321">
        <f>COUNTIFS(input!$O:$O,June!$T$66,input!$G:$G,June!N74,input!$A:$A,June!$B$2)</f>
        <v>1</v>
      </c>
      <c r="U74" s="322">
        <f>COUNTIFS(input!$O:$O,June!$U$66,input!$G:$G,June!N74,input!$A:$A,June!$B$2)</f>
        <v>0</v>
      </c>
      <c r="V74" s="322">
        <f>COUNTIFS(input!$O:$O,June!$V$66,input!$G:$G,June!N74,input!$A:$A,June!$B$2)</f>
        <v>0</v>
      </c>
      <c r="W74" s="323">
        <f>COUNTIFS(input!$O:$O,June!$W$66,input!$G:$G,June!N74,input!$A:$A,June!$B$2)</f>
        <v>0</v>
      </c>
      <c r="X74" s="324">
        <f>COUNTIFS(input!$O:$O,June!$X$66,input!$G:$G,June!N74,input!$A:$A,June!$B$2)</f>
        <v>0</v>
      </c>
      <c r="Y74" s="312">
        <f>SUM(Q74:X74)</f>
        <v>1</v>
      </c>
      <c r="Z74" s="315" cm="1">
        <f t="array" ref="Z74">_xlfn.IFS(Y74=0,0,Y74&gt;=1,Y74/$Y$116)</f>
        <v>0.1111111111111111</v>
      </c>
    </row>
    <row r="75" spans="2:26" ht="92" hidden="1" customHeight="1" x14ac:dyDescent="0.25">
      <c r="B75" s="1196"/>
      <c r="C75" s="1212"/>
      <c r="D75" s="1200"/>
      <c r="E75" s="1200"/>
      <c r="F75" s="1200"/>
      <c r="G75" s="1202"/>
      <c r="H75" s="1202"/>
      <c r="I75" s="1204"/>
      <c r="J75" s="1202"/>
      <c r="K75" s="1202"/>
      <c r="L75" s="1206"/>
      <c r="M75" s="1208"/>
      <c r="N75" s="1065" t="s">
        <v>659</v>
      </c>
      <c r="O75" s="1065"/>
      <c r="P75" s="1066"/>
      <c r="Q75" s="316">
        <f>COUNTIFS(input!$O:$O,June!$Q$66,input!$G:$G,June!N75,input!$A:$A,June!$B$2)</f>
        <v>0</v>
      </c>
      <c r="R75" s="316">
        <f>COUNTIFS(input!$O:$O,June!$R$66,input!$G:$G,June!N75,input!$A:$A,June!$B$2)</f>
        <v>0</v>
      </c>
      <c r="S75" s="316">
        <f>COUNTIFS(input!$O:$O,June!$S$66,input!$G:$G,June!N75,input!$A:$A,June!$B$2)</f>
        <v>0</v>
      </c>
      <c r="T75" s="321">
        <f>COUNTIFS(input!$O:$O,June!$T$66,input!$G:$G,June!N75,input!$A:$A,June!$B$2)</f>
        <v>0</v>
      </c>
      <c r="U75" s="322">
        <f>COUNTIFS(input!$O:$O,June!$U$66,input!$G:$G,June!N75,input!$A:$A,June!$B$2)</f>
        <v>0</v>
      </c>
      <c r="V75" s="322">
        <f>COUNTIFS(input!$O:$O,June!$V$66,input!$G:$G,June!N75,input!$A:$A,June!$B$2)</f>
        <v>0</v>
      </c>
      <c r="W75" s="323">
        <f>COUNTIFS(input!$O:$O,June!$W$66,input!$G:$G,June!N75,input!$A:$A,June!$B$2)</f>
        <v>0</v>
      </c>
      <c r="X75" s="324">
        <f>COUNTIFS(input!$O:$O,June!$X$66,input!$G:$G,June!N75,input!$A:$A,June!$B$2)</f>
        <v>0</v>
      </c>
      <c r="Y75" s="312">
        <f t="shared" si="9"/>
        <v>0</v>
      </c>
      <c r="Z75" s="315" cm="1">
        <f t="array" ref="Z75">_xlfn.IFS(Y75=0,0,Y75&gt;=1,Y75/$Y$116)</f>
        <v>0</v>
      </c>
    </row>
    <row r="76" spans="2:26" ht="92" hidden="1" customHeight="1" x14ac:dyDescent="0.25">
      <c r="B76" s="1196"/>
      <c r="C76" s="1212"/>
      <c r="D76" s="1200"/>
      <c r="E76" s="1200"/>
      <c r="F76" s="1200"/>
      <c r="G76" s="1202"/>
      <c r="H76" s="1202"/>
      <c r="I76" s="1204"/>
      <c r="J76" s="1202"/>
      <c r="K76" s="1202"/>
      <c r="L76" s="1206"/>
      <c r="M76" s="1208"/>
      <c r="N76" s="1121" t="s">
        <v>52</v>
      </c>
      <c r="O76" s="1065"/>
      <c r="P76" s="1066"/>
      <c r="Q76" s="316">
        <f>COUNTIFS(input!$O:$O,June!$Q$66,input!$G:$G,June!N76,input!$A:$A,June!$B$2)</f>
        <v>0</v>
      </c>
      <c r="R76" s="316">
        <f>COUNTIFS(input!$O:$O,June!$R$66,input!$G:$G,June!N76,input!$A:$A,June!$B$2)</f>
        <v>0</v>
      </c>
      <c r="S76" s="316">
        <f>COUNTIFS(input!$O:$O,June!$S$66,input!$G:$G,June!N76,input!$A:$A,June!$B$2)</f>
        <v>0</v>
      </c>
      <c r="T76" s="321">
        <f>COUNTIFS(input!$O:$O,June!$T$66,input!$G:$G,June!N76,input!$A:$A,June!$B$2)</f>
        <v>0</v>
      </c>
      <c r="U76" s="322">
        <f>COUNTIFS(input!$O:$O,June!$U$66,input!$G:$G,June!N76,input!$A:$A,June!$B$2)</f>
        <v>0</v>
      </c>
      <c r="V76" s="322">
        <f>COUNTIFS(input!$O:$O,June!$V$66,input!$G:$G,June!N76,input!$A:$A,June!$B$2)</f>
        <v>0</v>
      </c>
      <c r="W76" s="323">
        <f>COUNTIFS(input!$O:$O,June!$W$66,input!$G:$G,June!N76,input!$A:$A,June!$B$2)</f>
        <v>0</v>
      </c>
      <c r="X76" s="324">
        <f>COUNTIFS(input!$O:$O,June!$X$66,input!$G:$G,June!N76,input!$A:$A,June!$B$2)</f>
        <v>0</v>
      </c>
      <c r="Y76" s="312">
        <f t="shared" si="9"/>
        <v>0</v>
      </c>
      <c r="Z76" s="315" cm="1">
        <f t="array" ref="Z76">_xlfn.IFS(Y76=0,0,Y76&gt;=1,Y76/$Y$116)</f>
        <v>0</v>
      </c>
    </row>
    <row r="77" spans="2:26" ht="92" hidden="1" customHeight="1" x14ac:dyDescent="0.25">
      <c r="B77" s="1196"/>
      <c r="C77" s="1212"/>
      <c r="D77" s="1200"/>
      <c r="E77" s="1200"/>
      <c r="F77" s="1200"/>
      <c r="G77" s="1202"/>
      <c r="H77" s="1202"/>
      <c r="I77" s="1204"/>
      <c r="J77" s="1202"/>
      <c r="K77" s="1202"/>
      <c r="L77" s="1206"/>
      <c r="M77" s="1208"/>
      <c r="N77" s="1065" t="s">
        <v>103</v>
      </c>
      <c r="O77" s="1065"/>
      <c r="P77" s="1066"/>
      <c r="Q77" s="316">
        <f>COUNTIFS(input!$O:$O,June!$Q$66,input!$G:$G,June!N77,input!$A:$A,June!$B$2)</f>
        <v>0</v>
      </c>
      <c r="R77" s="316">
        <f>COUNTIFS(input!$O:$O,June!$R$66,input!$G:$G,June!N77,input!$A:$A,June!$B$2)</f>
        <v>0</v>
      </c>
      <c r="S77" s="316">
        <f>COUNTIFS(input!$O:$O,June!$S$66,input!$G:$G,June!N77,input!$A:$A,June!$B$2)</f>
        <v>0</v>
      </c>
      <c r="T77" s="321">
        <f>COUNTIFS(input!$O:$O,June!$T$66,input!$G:$G,June!N77,input!$A:$A,June!$B$2)</f>
        <v>0</v>
      </c>
      <c r="U77" s="322">
        <f>COUNTIFS(input!$O:$O,June!$U$66,input!$G:$G,June!N77,input!$A:$A,June!$B$2)</f>
        <v>0</v>
      </c>
      <c r="V77" s="322">
        <f>COUNTIFS(input!$O:$O,June!$V$66,input!$G:$G,June!N77,input!$A:$A,June!$B$2)</f>
        <v>0</v>
      </c>
      <c r="W77" s="323">
        <f>COUNTIFS(input!$O:$O,June!$W$66,input!$G:$G,June!N77,input!$A:$A,June!$B$2)</f>
        <v>0</v>
      </c>
      <c r="X77" s="324">
        <f>COUNTIFS(input!$O:$O,June!$X$66,input!$G:$G,June!N77,input!$A:$A,June!$B$2)</f>
        <v>0</v>
      </c>
      <c r="Y77" s="312">
        <f t="shared" si="9"/>
        <v>0</v>
      </c>
      <c r="Z77" s="315" cm="1">
        <f t="array" ref="Z77">_xlfn.IFS(Y77=0,0,Y77&gt;=1,Y77/$Y$116)</f>
        <v>0</v>
      </c>
    </row>
    <row r="78" spans="2:26" ht="92" hidden="1" customHeight="1" x14ac:dyDescent="0.25">
      <c r="B78" s="1196"/>
      <c r="C78" s="1212"/>
      <c r="D78" s="1200"/>
      <c r="E78" s="1200"/>
      <c r="F78" s="1200"/>
      <c r="G78" s="1202"/>
      <c r="H78" s="1202"/>
      <c r="I78" s="1204"/>
      <c r="J78" s="1202"/>
      <c r="K78" s="1202"/>
      <c r="L78" s="1206"/>
      <c r="M78" s="1208"/>
      <c r="N78" s="1065" t="s">
        <v>483</v>
      </c>
      <c r="O78" s="1065"/>
      <c r="P78" s="1066"/>
      <c r="Q78" s="316">
        <f>COUNTIFS(input!$O:$O,June!$Q$66,input!$G:$G,June!N78,input!$A:$A,June!$B$2)</f>
        <v>0</v>
      </c>
      <c r="R78" s="316">
        <f>COUNTIFS(input!$O:$O,June!$R$66,input!$G:$G,June!N78,input!$A:$A,June!$B$2)</f>
        <v>0</v>
      </c>
      <c r="S78" s="316">
        <f>COUNTIFS(input!$O:$O,June!$S$66,input!$G:$G,June!N78,input!$A:$A,June!$B$2)</f>
        <v>0</v>
      </c>
      <c r="T78" s="321">
        <f>COUNTIFS(input!$O:$O,June!$T$66,input!$G:$G,June!N78,input!$A:$A,June!$B$2)</f>
        <v>0</v>
      </c>
      <c r="U78" s="322">
        <f>COUNTIFS(input!$O:$O,June!$U$66,input!$G:$G,June!N78,input!$A:$A,June!$B$2)</f>
        <v>0</v>
      </c>
      <c r="V78" s="322">
        <f>COUNTIFS(input!$O:$O,June!$V$66,input!$G:$G,June!N78,input!$A:$A,June!$B$2)</f>
        <v>0</v>
      </c>
      <c r="W78" s="323">
        <f>COUNTIFS(input!$O:$O,June!$W$66,input!$G:$G,June!N78,input!$A:$A,June!$B$2)</f>
        <v>0</v>
      </c>
      <c r="X78" s="324">
        <f>COUNTIFS(input!$O:$O,June!$X$66,input!$G:$G,June!N78,input!$A:$A,June!$B$2)</f>
        <v>0</v>
      </c>
      <c r="Y78" s="312">
        <f t="shared" si="9"/>
        <v>0</v>
      </c>
      <c r="Z78" s="315" cm="1">
        <f t="array" ref="Z78">_xlfn.IFS(Y78=0,0,Y78&gt;=1,Y78/$Y$116)</f>
        <v>0</v>
      </c>
    </row>
    <row r="79" spans="2:26" ht="92" hidden="1" customHeight="1" x14ac:dyDescent="0.25">
      <c r="B79" s="1196" t="s">
        <v>14</v>
      </c>
      <c r="C79" s="1197"/>
      <c r="D79" s="1200">
        <f>COUNTIFS(input!$O:$O,June!$D$66,input!$K:$K,June!B79,input!$A:$A,June!$B$2)</f>
        <v>0</v>
      </c>
      <c r="E79" s="1200">
        <f>COUNTIFS(input!$O:$O,June!$E$66,input!$K:$K,June!B79,input!$A:$A,June!$B$2)</f>
        <v>0</v>
      </c>
      <c r="F79" s="1200">
        <f>COUNTIFS(input!$O:$O,June!$F$66,input!$K:$K,June!B79,input!$A:$A,June!$B$2)</f>
        <v>0</v>
      </c>
      <c r="G79" s="1202">
        <f>COUNTIFS(input!$O:$O,June!$G$66,input!$K:$K,June!B79,input!$A:$A,June!$B$2)</f>
        <v>2</v>
      </c>
      <c r="H79" s="1202">
        <f>COUNTIFS(input!$O:$O,June!$H$66,input!$K:$K,June!B79,input!$A:$A,June!$B$2)</f>
        <v>1</v>
      </c>
      <c r="I79" s="1204">
        <f>COUNTIFS(input!$O:$O,June!$I$66,input!$K:$K,June!B79,input!$A:$A,June!$B$2)</f>
        <v>1</v>
      </c>
      <c r="J79" s="1202">
        <f>COUNTIFS(input!$O:$O,June!$J$66,input!$K:$K,June!B79,input!$A:$A,June!$B$2)</f>
        <v>0</v>
      </c>
      <c r="K79" s="1202">
        <f>COUNTIFS(input!$O:$O,June!$K$66,input!$K:$K,June!B79,input!$A:$A,June!$B$2)</f>
        <v>1</v>
      </c>
      <c r="L79" s="1206">
        <f>SUM(D79:K96)</f>
        <v>5</v>
      </c>
      <c r="M79" s="1208">
        <f>_xlfn.IFS(L79=0,0,L79&gt;=1,L79/L116)</f>
        <v>0.55555555555555558</v>
      </c>
      <c r="N79" s="1065" t="s">
        <v>1421</v>
      </c>
      <c r="O79" s="1065"/>
      <c r="P79" s="1066"/>
      <c r="Q79" s="316">
        <f>COUNTIFS(input!$O:$O,June!$Q$66,input!$G:$G,June!N79,input!$A:$A,June!$B$2)</f>
        <v>0</v>
      </c>
      <c r="R79" s="316">
        <f>COUNTIFS(input!$O:$O,June!$R$66,input!$G:$G,June!N79,input!$A:$A,June!$B$2)</f>
        <v>0</v>
      </c>
      <c r="S79" s="316">
        <f>COUNTIFS(input!$O:$O,June!$S$66,input!$G:$G,June!N79,input!$A:$A,June!$B$2)</f>
        <v>0</v>
      </c>
      <c r="T79" s="321">
        <f>COUNTIFS(input!$O:$O,June!$T$66,input!$G:$G,June!N79,input!$A:$A,June!$B$2)</f>
        <v>0</v>
      </c>
      <c r="U79" s="322">
        <f>COUNTIFS(input!$O:$O,June!$U$66,input!$G:$G,June!N79,input!$A:$A,June!$B$2)</f>
        <v>0</v>
      </c>
      <c r="V79" s="322">
        <f>COUNTIFS(input!$O:$O,June!$V$66,input!$G:$G,June!N79,input!$A:$A,June!$B$2)</f>
        <v>0</v>
      </c>
      <c r="W79" s="323">
        <f>COUNTIFS(input!$O:$O,June!$W$66,input!$G:$G,June!N79,input!$A:$A,June!$B$2)</f>
        <v>0</v>
      </c>
      <c r="X79" s="324">
        <f>COUNTIFS(input!$O:$O,June!$X$66,input!$G:$G,June!N79,input!$A:$A,June!$B$2)</f>
        <v>0</v>
      </c>
      <c r="Y79" s="312">
        <f t="shared" si="9"/>
        <v>0</v>
      </c>
      <c r="Z79" s="315" cm="1">
        <f t="array" ref="Z79">_xlfn.IFS(Y79=0,0,Y79&gt;=1,Y79/$Y$116)</f>
        <v>0</v>
      </c>
    </row>
    <row r="80" spans="2:26" ht="92" hidden="1" customHeight="1" x14ac:dyDescent="0.25">
      <c r="B80" s="1196"/>
      <c r="C80" s="1197"/>
      <c r="D80" s="1200"/>
      <c r="E80" s="1200"/>
      <c r="F80" s="1200"/>
      <c r="G80" s="1202"/>
      <c r="H80" s="1202"/>
      <c r="I80" s="1204"/>
      <c r="J80" s="1202"/>
      <c r="K80" s="1202"/>
      <c r="L80" s="1206"/>
      <c r="M80" s="1208"/>
      <c r="N80" s="1065" t="s">
        <v>678</v>
      </c>
      <c r="O80" s="1065"/>
      <c r="P80" s="1066"/>
      <c r="Q80" s="316">
        <f>COUNTIFS(input!$O:$O,June!$Q$66,input!$G:$G,June!N80,input!$A:$A,June!$B$2)</f>
        <v>0</v>
      </c>
      <c r="R80" s="316">
        <f>COUNTIFS(input!$O:$O,June!$R$66,input!$G:$G,June!N80,input!$A:$A,June!$B$2)</f>
        <v>0</v>
      </c>
      <c r="S80" s="316">
        <f>COUNTIFS(input!$O:$O,June!$S$66,input!$G:$G,June!N80,input!$A:$A,June!$B$2)</f>
        <v>0</v>
      </c>
      <c r="T80" s="321">
        <f>COUNTIFS(input!$O:$O,June!$T$66,input!$G:$G,June!N80,input!$A:$A,June!$B$2)</f>
        <v>0</v>
      </c>
      <c r="U80" s="322">
        <f>COUNTIFS(input!$O:$O,June!$U$66,input!$G:$G,June!N80,input!$A:$A,June!$B$2)</f>
        <v>0</v>
      </c>
      <c r="V80" s="322">
        <f>COUNTIFS(input!$O:$O,June!$V$66,input!$G:$G,June!N80,input!$A:$A,June!$B$2)</f>
        <v>0</v>
      </c>
      <c r="W80" s="323">
        <f>COUNTIFS(input!$O:$O,June!$W$66,input!$G:$G,June!N80,input!$A:$A,June!$B$2)</f>
        <v>0</v>
      </c>
      <c r="X80" s="324">
        <f>COUNTIFS(input!$O:$O,June!$X$66,input!$G:$G,June!N80,input!$A:$A,June!$B$2)</f>
        <v>0</v>
      </c>
      <c r="Y80" s="312">
        <f t="shared" si="9"/>
        <v>0</v>
      </c>
      <c r="Z80" s="315" cm="1">
        <f t="array" ref="Z80">_xlfn.IFS(Y80=0,0,Y80&gt;=1,Y80/$Y$116)</f>
        <v>0</v>
      </c>
    </row>
    <row r="81" spans="2:26" ht="92" hidden="1" customHeight="1" x14ac:dyDescent="0.25">
      <c r="B81" s="1196"/>
      <c r="C81" s="1197"/>
      <c r="D81" s="1200"/>
      <c r="E81" s="1200"/>
      <c r="F81" s="1200"/>
      <c r="G81" s="1202"/>
      <c r="H81" s="1202"/>
      <c r="I81" s="1204"/>
      <c r="J81" s="1202"/>
      <c r="K81" s="1202"/>
      <c r="L81" s="1206"/>
      <c r="M81" s="1208"/>
      <c r="N81" s="1065" t="s">
        <v>694</v>
      </c>
      <c r="O81" s="1065"/>
      <c r="P81" s="1066"/>
      <c r="Q81" s="316">
        <f>COUNTIFS(input!$O:$O,June!$Q$66,input!$G:$G,June!N81,input!$A:$A,June!$B$2)</f>
        <v>0</v>
      </c>
      <c r="R81" s="316">
        <f>COUNTIFS(input!$O:$O,June!$R$66,input!$G:$G,June!N81,input!$A:$A,June!$B$2)</f>
        <v>0</v>
      </c>
      <c r="S81" s="316">
        <f>COUNTIFS(input!$O:$O,June!$S$66,input!$G:$G,June!N81,input!$A:$A,June!$B$2)</f>
        <v>0</v>
      </c>
      <c r="T81" s="321">
        <f>COUNTIFS(input!$O:$O,June!$T$66,input!$G:$G,June!N81,input!$A:$A,June!$B$2)</f>
        <v>0</v>
      </c>
      <c r="U81" s="322">
        <f>COUNTIFS(input!$O:$O,June!$U$66,input!$G:$G,June!N81,input!$A:$A,June!$B$2)</f>
        <v>0</v>
      </c>
      <c r="V81" s="322">
        <f>COUNTIFS(input!$O:$O,June!$V$66,input!$G:$G,June!N81,input!$A:$A,June!$B$2)</f>
        <v>0</v>
      </c>
      <c r="W81" s="323">
        <f>COUNTIFS(input!$O:$O,June!$W$66,input!$G:$G,June!N81,input!$A:$A,June!$B$2)</f>
        <v>0</v>
      </c>
      <c r="X81" s="324">
        <f>COUNTIFS(input!$O:$O,June!$X$66,input!$G:$G,June!N81,input!$A:$A,June!$B$2)</f>
        <v>0</v>
      </c>
      <c r="Y81" s="312">
        <f t="shared" si="9"/>
        <v>0</v>
      </c>
      <c r="Z81" s="315" cm="1">
        <f t="array" ref="Z81">_xlfn.IFS(Y81=0,0,Y81&gt;=1,Y81/$Y$116)</f>
        <v>0</v>
      </c>
    </row>
    <row r="82" spans="2:26" ht="92" customHeight="1" x14ac:dyDescent="0.25">
      <c r="B82" s="1196"/>
      <c r="C82" s="1197"/>
      <c r="D82" s="1200"/>
      <c r="E82" s="1200"/>
      <c r="F82" s="1200"/>
      <c r="G82" s="1202"/>
      <c r="H82" s="1202"/>
      <c r="I82" s="1204"/>
      <c r="J82" s="1202"/>
      <c r="K82" s="1202"/>
      <c r="L82" s="1206"/>
      <c r="M82" s="1208"/>
      <c r="N82" s="1016" t="s">
        <v>1917</v>
      </c>
      <c r="O82" s="1016"/>
      <c r="P82" s="991"/>
      <c r="Q82" s="316">
        <f>COUNTIFS(input!$O:$O,June!$Q$66,input!$G:$G,June!N82,input!$A:$A,June!$B$2)</f>
        <v>0</v>
      </c>
      <c r="R82" s="316">
        <f>COUNTIFS(input!$O:$O,June!$R$66,input!$G:$G,June!N82,input!$A:$A,June!$B$2)</f>
        <v>0</v>
      </c>
      <c r="S82" s="316">
        <f>COUNTIFS(input!$O:$O,June!$S$66,input!$G:$G,June!N82,input!$A:$A,June!$B$2)</f>
        <v>0</v>
      </c>
      <c r="T82" s="321">
        <f>COUNTIFS(input!$O:$O,June!$T$66,input!$G:$G,June!N82,input!$A:$A,June!$B$2)</f>
        <v>0</v>
      </c>
      <c r="U82" s="322">
        <f>COUNTIFS(input!$O:$O,June!$U$66,input!$G:$G,June!N82,input!$A:$A,June!$B$2)</f>
        <v>0</v>
      </c>
      <c r="V82" s="322">
        <f>COUNTIFS(input!$O:$O,June!$V$66,input!$G:$G,June!N82,input!$A:$A,June!$B$2)</f>
        <v>1</v>
      </c>
      <c r="W82" s="323">
        <f>COUNTIFS(input!$O:$O,June!$W$66,input!$G:$G,June!N82,input!$A:$A,June!$B$2)</f>
        <v>0</v>
      </c>
      <c r="X82" s="324">
        <f>COUNTIFS(input!$O:$O,June!$X$66,input!$G:$G,June!N82,input!$A:$A,June!$B$2)</f>
        <v>0</v>
      </c>
      <c r="Y82" s="312">
        <f>SUM(Q82:X82)</f>
        <v>1</v>
      </c>
      <c r="Z82" s="315" cm="1">
        <f t="array" ref="Z82">_xlfn.IFS(Y82=0,0,Y82&gt;=1,Y82/$Y$116)</f>
        <v>0.1111111111111111</v>
      </c>
    </row>
    <row r="83" spans="2:26" ht="92" hidden="1" customHeight="1" x14ac:dyDescent="0.25">
      <c r="B83" s="1196"/>
      <c r="C83" s="1197"/>
      <c r="D83" s="1200"/>
      <c r="E83" s="1200"/>
      <c r="F83" s="1200"/>
      <c r="G83" s="1202"/>
      <c r="H83" s="1202"/>
      <c r="I83" s="1204"/>
      <c r="J83" s="1202"/>
      <c r="K83" s="1202"/>
      <c r="L83" s="1206"/>
      <c r="M83" s="1208"/>
      <c r="N83" s="1065" t="s">
        <v>415</v>
      </c>
      <c r="O83" s="1065"/>
      <c r="P83" s="1066"/>
      <c r="Q83" s="316">
        <f>COUNTIFS(input!$O:$O,June!$Q$66,input!$G:$G,June!N83,input!$A:$A,June!$B$2)</f>
        <v>0</v>
      </c>
      <c r="R83" s="316">
        <f>COUNTIFS(input!$O:$O,June!$R$66,input!$G:$G,June!N83,input!$A:$A,June!$B$2)</f>
        <v>0</v>
      </c>
      <c r="S83" s="316">
        <f>COUNTIFS(input!$O:$O,June!$S$66,input!$G:$G,June!N83,input!$A:$A,June!$B$2)</f>
        <v>0</v>
      </c>
      <c r="T83" s="321">
        <f>COUNTIFS(input!$O:$O,June!$T$66,input!$G:$G,June!N83,input!$A:$A,June!$B$2)</f>
        <v>0</v>
      </c>
      <c r="U83" s="322">
        <f>COUNTIFS(input!$O:$O,June!$U$66,input!$G:$G,June!N83,input!$A:$A,June!$B$2)</f>
        <v>0</v>
      </c>
      <c r="V83" s="322">
        <f>COUNTIFS(input!$O:$O,June!$V$66,input!$G:$G,June!N83,input!$A:$A,June!$B$2)</f>
        <v>0</v>
      </c>
      <c r="W83" s="323">
        <f>COUNTIFS(input!$O:$O,June!$W$66,input!$G:$G,June!N83,input!$A:$A,June!$B$2)</f>
        <v>0</v>
      </c>
      <c r="X83" s="324">
        <f>COUNTIFS(input!$O:$O,June!$X$66,input!$G:$G,June!N83,input!$A:$A,June!$B$2)</f>
        <v>0</v>
      </c>
      <c r="Y83" s="312">
        <f t="shared" si="9"/>
        <v>0</v>
      </c>
      <c r="Z83" s="315" cm="1">
        <f t="array" ref="Z83">_xlfn.IFS(Y83=0,0,Y83&gt;=1,Y83/$Y$116)</f>
        <v>0</v>
      </c>
    </row>
    <row r="84" spans="2:26" ht="92" customHeight="1" x14ac:dyDescent="0.25">
      <c r="B84" s="1196"/>
      <c r="C84" s="1197"/>
      <c r="D84" s="1200"/>
      <c r="E84" s="1200"/>
      <c r="F84" s="1200"/>
      <c r="G84" s="1202"/>
      <c r="H84" s="1202"/>
      <c r="I84" s="1204"/>
      <c r="J84" s="1202"/>
      <c r="K84" s="1202"/>
      <c r="L84" s="1206"/>
      <c r="M84" s="1208"/>
      <c r="N84" s="1016" t="s">
        <v>1954</v>
      </c>
      <c r="O84" s="1016"/>
      <c r="P84" s="991"/>
      <c r="Q84" s="316">
        <f>COUNTIFS(input!$O:$O,June!$Q$66,input!$G:$G,June!N84,input!$A:$A,June!$B$2)</f>
        <v>0</v>
      </c>
      <c r="R84" s="316">
        <f>COUNTIFS(input!$O:$O,June!$R$66,input!$G:$G,June!N84,input!$A:$A,June!$B$2)</f>
        <v>0</v>
      </c>
      <c r="S84" s="316">
        <f>COUNTIFS(input!$O:$O,June!$S$66,input!$G:$G,June!N84,input!$A:$A,June!$B$2)</f>
        <v>0</v>
      </c>
      <c r="T84" s="321">
        <f>COUNTIFS(input!$O:$O,June!$T$66,input!$G:$G,June!N84,input!$A:$A,June!$B$2)</f>
        <v>1</v>
      </c>
      <c r="U84" s="322">
        <f>COUNTIFS(input!$O:$O,June!$U$66,input!$G:$G,June!N84,input!$A:$A,June!$B$2)</f>
        <v>0</v>
      </c>
      <c r="V84" s="322">
        <f>COUNTIFS(input!$O:$O,June!$V$66,input!$G:$G,June!N84,input!$A:$A,June!$B$2)</f>
        <v>0</v>
      </c>
      <c r="W84" s="323">
        <f>COUNTIFS(input!$O:$O,June!$W$66,input!$G:$G,June!N84,input!$A:$A,June!$B$2)</f>
        <v>0</v>
      </c>
      <c r="X84" s="324">
        <f>COUNTIFS(input!$O:$O,June!$X$66,input!$G:$G,June!N84,input!$A:$A,June!$B$2)</f>
        <v>0</v>
      </c>
      <c r="Y84" s="312">
        <f>SUM(Q84:X84)</f>
        <v>1</v>
      </c>
      <c r="Z84" s="315" cm="1">
        <f t="array" ref="Z84">_xlfn.IFS(Y84=0,0,Y84&gt;=1,Y84/$Y$116)</f>
        <v>0.1111111111111111</v>
      </c>
    </row>
    <row r="85" spans="2:26" ht="92" hidden="1" customHeight="1" x14ac:dyDescent="0.25">
      <c r="B85" s="1196"/>
      <c r="C85" s="1197"/>
      <c r="D85" s="1200"/>
      <c r="E85" s="1200"/>
      <c r="F85" s="1200"/>
      <c r="G85" s="1202"/>
      <c r="H85" s="1202"/>
      <c r="I85" s="1204"/>
      <c r="J85" s="1202"/>
      <c r="K85" s="1202"/>
      <c r="L85" s="1206"/>
      <c r="M85" s="1208"/>
      <c r="N85" s="1065" t="s">
        <v>116</v>
      </c>
      <c r="O85" s="1065"/>
      <c r="P85" s="1066"/>
      <c r="Q85" s="316">
        <f>COUNTIFS(input!$O:$O,June!$Q$66,input!$G:$G,June!N85,input!$A:$A,June!$B$2)</f>
        <v>0</v>
      </c>
      <c r="R85" s="316">
        <f>COUNTIFS(input!$O:$O,June!$R$66,input!$G:$G,June!N85,input!$A:$A,June!$B$2)</f>
        <v>0</v>
      </c>
      <c r="S85" s="316">
        <f>COUNTIFS(input!$O:$O,June!$S$66,input!$G:$G,June!N85,input!$A:$A,June!$B$2)</f>
        <v>0</v>
      </c>
      <c r="T85" s="321">
        <f>COUNTIFS(input!$O:$O,June!$T$66,input!$G:$G,June!N85,input!$A:$A,June!$B$2)</f>
        <v>0</v>
      </c>
      <c r="U85" s="322">
        <f>COUNTIFS(input!$O:$O,June!$U$66,input!$G:$G,June!N85,input!$A:$A,June!$B$2)</f>
        <v>0</v>
      </c>
      <c r="V85" s="322">
        <f>COUNTIFS(input!$O:$O,June!$V$66,input!$G:$G,June!N85,input!$A:$A,June!$B$2)</f>
        <v>0</v>
      </c>
      <c r="W85" s="323">
        <f>COUNTIFS(input!$O:$O,June!$W$66,input!$G:$G,June!N85,input!$A:$A,June!$B$2)</f>
        <v>0</v>
      </c>
      <c r="X85" s="324">
        <f>COUNTIFS(input!$O:$O,June!$X$66,input!$G:$G,June!N85,input!$A:$A,June!$B$2)</f>
        <v>0</v>
      </c>
      <c r="Y85" s="312">
        <f t="shared" si="9"/>
        <v>0</v>
      </c>
      <c r="Z85" s="315" cm="1">
        <f t="array" ref="Z85">_xlfn.IFS(Y85=0,0,Y85&gt;=1,Y85/$Y$116)</f>
        <v>0</v>
      </c>
    </row>
    <row r="86" spans="2:26" ht="92" hidden="1" customHeight="1" x14ac:dyDescent="0.25">
      <c r="B86" s="1196"/>
      <c r="C86" s="1197"/>
      <c r="D86" s="1200"/>
      <c r="E86" s="1200"/>
      <c r="F86" s="1200"/>
      <c r="G86" s="1202"/>
      <c r="H86" s="1202"/>
      <c r="I86" s="1204"/>
      <c r="J86" s="1202"/>
      <c r="K86" s="1202"/>
      <c r="L86" s="1206"/>
      <c r="M86" s="1208"/>
      <c r="N86" s="1065" t="s">
        <v>1185</v>
      </c>
      <c r="O86" s="1065"/>
      <c r="P86" s="1066"/>
      <c r="Q86" s="316">
        <f>COUNTIFS(input!$O:$O,June!$Q$66,input!$G:$G,June!N86,input!$A:$A,June!$B$2)</f>
        <v>0</v>
      </c>
      <c r="R86" s="316">
        <f>COUNTIFS(input!$O:$O,June!$R$66,input!$G:$G,June!N86,input!$A:$A,June!$B$2)</f>
        <v>0</v>
      </c>
      <c r="S86" s="316">
        <f>COUNTIFS(input!$O:$O,June!$S$66,input!$G:$G,June!N86,input!$A:$A,June!$B$2)</f>
        <v>0</v>
      </c>
      <c r="T86" s="321">
        <f>COUNTIFS(input!$O:$O,June!$T$66,input!$G:$G,June!N86,input!$A:$A,June!$B$2)</f>
        <v>0</v>
      </c>
      <c r="U86" s="322">
        <f>COUNTIFS(input!$O:$O,June!$U$66,input!$G:$G,June!N86,input!$A:$A,June!$B$2)</f>
        <v>0</v>
      </c>
      <c r="V86" s="322">
        <f>COUNTIFS(input!$O:$O,June!$V$66,input!$G:$G,June!N86,input!$A:$A,June!$B$2)</f>
        <v>0</v>
      </c>
      <c r="W86" s="323">
        <f>COUNTIFS(input!$O:$O,June!$W$66,input!$G:$G,June!N86,input!$A:$A,June!$B$2)</f>
        <v>0</v>
      </c>
      <c r="X86" s="324">
        <f>COUNTIFS(input!$O:$O,June!$X$66,input!$G:$G,June!N86,input!$A:$A,June!$B$2)</f>
        <v>0</v>
      </c>
      <c r="Y86" s="312">
        <f t="shared" si="9"/>
        <v>0</v>
      </c>
      <c r="Z86" s="315" cm="1">
        <f t="array" ref="Z86">_xlfn.IFS(Y86=0,0,Y86&gt;=1,Y86/$Y$116)</f>
        <v>0</v>
      </c>
    </row>
    <row r="87" spans="2:26" ht="92" hidden="1" customHeight="1" x14ac:dyDescent="0.25">
      <c r="B87" s="1196"/>
      <c r="C87" s="1197"/>
      <c r="D87" s="1200"/>
      <c r="E87" s="1200"/>
      <c r="F87" s="1200"/>
      <c r="G87" s="1202"/>
      <c r="H87" s="1202"/>
      <c r="I87" s="1204"/>
      <c r="J87" s="1202"/>
      <c r="K87" s="1202"/>
      <c r="L87" s="1206"/>
      <c r="M87" s="1208"/>
      <c r="N87" s="1065" t="s">
        <v>740</v>
      </c>
      <c r="O87" s="1065"/>
      <c r="P87" s="1066"/>
      <c r="Q87" s="316">
        <f>COUNTIFS(input!$O:$O,June!$Q$66,input!$G:$G,June!N87,input!$A:$A,June!$B$2)</f>
        <v>0</v>
      </c>
      <c r="R87" s="316">
        <f>COUNTIFS(input!$O:$O,June!$R$66,input!$G:$G,June!N87,input!$A:$A,June!$B$2)</f>
        <v>0</v>
      </c>
      <c r="S87" s="316">
        <f>COUNTIFS(input!$O:$O,June!$S$66,input!$G:$G,June!N87,input!$A:$A,June!$B$2)</f>
        <v>0</v>
      </c>
      <c r="T87" s="321">
        <f>COUNTIFS(input!$O:$O,June!$T$66,input!$G:$G,June!N87,input!$A:$A,June!$B$2)</f>
        <v>0</v>
      </c>
      <c r="U87" s="322">
        <f>COUNTIFS(input!$O:$O,June!$U$66,input!$G:$G,June!N87,input!$A:$A,June!$B$2)</f>
        <v>0</v>
      </c>
      <c r="V87" s="322">
        <f>COUNTIFS(input!$O:$O,June!$V$66,input!$G:$G,June!N87,input!$A:$A,June!$B$2)</f>
        <v>0</v>
      </c>
      <c r="W87" s="323">
        <f>COUNTIFS(input!$O:$O,June!$W$66,input!$G:$G,June!N87,input!$A:$A,June!$B$2)</f>
        <v>0</v>
      </c>
      <c r="X87" s="324">
        <f>COUNTIFS(input!$O:$O,June!$X$66,input!$G:$G,June!N87,input!$A:$A,June!$B$2)</f>
        <v>0</v>
      </c>
      <c r="Y87" s="312">
        <f t="shared" si="9"/>
        <v>0</v>
      </c>
      <c r="Z87" s="315" cm="1">
        <f t="array" ref="Z87">_xlfn.IFS(Y87=0,0,Y87&gt;=1,Y87/$Y$116)</f>
        <v>0</v>
      </c>
    </row>
    <row r="88" spans="2:26" ht="92" hidden="1" customHeight="1" x14ac:dyDescent="0.25">
      <c r="B88" s="1196"/>
      <c r="C88" s="1197"/>
      <c r="D88" s="1200"/>
      <c r="E88" s="1200"/>
      <c r="F88" s="1200"/>
      <c r="G88" s="1202"/>
      <c r="H88" s="1202"/>
      <c r="I88" s="1204"/>
      <c r="J88" s="1202"/>
      <c r="K88" s="1202"/>
      <c r="L88" s="1206"/>
      <c r="M88" s="1208"/>
      <c r="N88" s="1065" t="s">
        <v>108</v>
      </c>
      <c r="O88" s="1065"/>
      <c r="P88" s="1066"/>
      <c r="Q88" s="316">
        <f>COUNTIFS(input!$O:$O,June!$Q$66,input!$G:$G,June!N88,input!$A:$A,June!$B$2)</f>
        <v>0</v>
      </c>
      <c r="R88" s="316">
        <f>COUNTIFS(input!$O:$O,June!$R$66,input!$G:$G,June!N88,input!$A:$A,June!$B$2)</f>
        <v>0</v>
      </c>
      <c r="S88" s="316">
        <f>COUNTIFS(input!$O:$O,June!$S$66,input!$G:$G,June!N88,input!$A:$A,June!$B$2)</f>
        <v>0</v>
      </c>
      <c r="T88" s="321">
        <f>COUNTIFS(input!$O:$O,June!$T$66,input!$G:$G,June!N88,input!$A:$A,June!$B$2)</f>
        <v>0</v>
      </c>
      <c r="U88" s="322">
        <f>COUNTIFS(input!$O:$O,June!$U$66,input!$G:$G,June!N88,input!$A:$A,June!$B$2)</f>
        <v>0</v>
      </c>
      <c r="V88" s="322">
        <f>COUNTIFS(input!$O:$O,June!$V$66,input!$G:$G,June!N88,input!$A:$A,June!$B$2)</f>
        <v>0</v>
      </c>
      <c r="W88" s="323">
        <f>COUNTIFS(input!$O:$O,June!$W$66,input!$G:$G,June!N88,input!$A:$A,June!$B$2)</f>
        <v>0</v>
      </c>
      <c r="X88" s="324">
        <f>COUNTIFS(input!$O:$O,June!$X$66,input!$G:$G,June!N88,input!$A:$A,June!$B$2)</f>
        <v>0</v>
      </c>
      <c r="Y88" s="312">
        <f t="shared" si="9"/>
        <v>0</v>
      </c>
      <c r="Z88" s="315" cm="1">
        <f t="array" ref="Z88">_xlfn.IFS(Y88=0,0,Y88&gt;=1,Y88/$Y$116)</f>
        <v>0</v>
      </c>
    </row>
    <row r="89" spans="2:26" ht="92" hidden="1" customHeight="1" x14ac:dyDescent="0.25">
      <c r="B89" s="1196"/>
      <c r="C89" s="1197"/>
      <c r="D89" s="1200"/>
      <c r="E89" s="1200"/>
      <c r="F89" s="1200"/>
      <c r="G89" s="1202"/>
      <c r="H89" s="1202"/>
      <c r="I89" s="1204"/>
      <c r="J89" s="1202"/>
      <c r="K89" s="1202"/>
      <c r="L89" s="1206"/>
      <c r="M89" s="1208"/>
      <c r="N89" s="1065" t="s">
        <v>398</v>
      </c>
      <c r="O89" s="1065"/>
      <c r="P89" s="1066"/>
      <c r="Q89" s="316">
        <f>COUNTIFS(input!$O:$O,June!$Q$66,input!$G:$G,June!N89,input!$A:$A,June!$B$2)</f>
        <v>0</v>
      </c>
      <c r="R89" s="316">
        <f>COUNTIFS(input!$O:$O,June!$R$66,input!$G:$G,June!N89,input!$A:$A,June!$B$2)</f>
        <v>0</v>
      </c>
      <c r="S89" s="316">
        <f>COUNTIFS(input!$O:$O,June!$S$66,input!$G:$G,June!N89,input!$A:$A,June!$B$2)</f>
        <v>0</v>
      </c>
      <c r="T89" s="321">
        <f>COUNTIFS(input!$O:$O,June!$T$66,input!$G:$G,June!N89,input!$A:$A,June!$B$2)</f>
        <v>0</v>
      </c>
      <c r="U89" s="322">
        <f>COUNTIFS(input!$O:$O,June!$U$66,input!$G:$G,June!N89,input!$A:$A,June!$B$2)</f>
        <v>0</v>
      </c>
      <c r="V89" s="322">
        <f>COUNTIFS(input!$O:$O,June!$V$66,input!$G:$G,June!N89,input!$A:$A,June!$B$2)</f>
        <v>0</v>
      </c>
      <c r="W89" s="323">
        <f>COUNTIFS(input!$O:$O,June!$W$66,input!$G:$G,June!N89,input!$A:$A,June!$B$2)</f>
        <v>0</v>
      </c>
      <c r="X89" s="324">
        <f>COUNTIFS(input!$O:$O,June!$X$66,input!$G:$G,June!N89,input!$A:$A,June!$B$2)</f>
        <v>0</v>
      </c>
      <c r="Y89" s="312">
        <f t="shared" si="9"/>
        <v>0</v>
      </c>
      <c r="Z89" s="315" cm="1">
        <f t="array" ref="Z89">_xlfn.IFS(Y89=0,0,Y89&gt;=1,Y89/$Y$116)</f>
        <v>0</v>
      </c>
    </row>
    <row r="90" spans="2:26" ht="92" hidden="1" customHeight="1" x14ac:dyDescent="0.25">
      <c r="B90" s="1196"/>
      <c r="C90" s="1197"/>
      <c r="D90" s="1200"/>
      <c r="E90" s="1200"/>
      <c r="F90" s="1200"/>
      <c r="G90" s="1202"/>
      <c r="H90" s="1202"/>
      <c r="I90" s="1204"/>
      <c r="J90" s="1202"/>
      <c r="K90" s="1202"/>
      <c r="L90" s="1206"/>
      <c r="M90" s="1208"/>
      <c r="N90" s="1065" t="s">
        <v>83</v>
      </c>
      <c r="O90" s="1065"/>
      <c r="P90" s="1066"/>
      <c r="Q90" s="316">
        <f>COUNTIFS(input!$O:$O,June!$Q$66,input!$G:$G,June!N90,input!$A:$A,June!$B$2)</f>
        <v>0</v>
      </c>
      <c r="R90" s="316">
        <f>COUNTIFS(input!$O:$O,June!$R$66,input!$G:$G,June!N90,input!$A:$A,June!$B$2)</f>
        <v>0</v>
      </c>
      <c r="S90" s="316">
        <f>COUNTIFS(input!$O:$O,June!$S$66,input!$G:$G,June!N90,input!$A:$A,June!$B$2)</f>
        <v>0</v>
      </c>
      <c r="T90" s="321">
        <f>COUNTIFS(input!$O:$O,June!$T$66,input!$G:$G,June!N90,input!$A:$A,June!$B$2)</f>
        <v>0</v>
      </c>
      <c r="U90" s="322">
        <f>COUNTIFS(input!$O:$O,June!$U$66,input!$G:$G,June!N90,input!$A:$A,June!$B$2)</f>
        <v>0</v>
      </c>
      <c r="V90" s="322">
        <f>COUNTIFS(input!$O:$O,June!$V$66,input!$G:$G,June!N90,input!$A:$A,June!$B$2)</f>
        <v>0</v>
      </c>
      <c r="W90" s="323">
        <f>COUNTIFS(input!$O:$O,June!$W$66,input!$G:$G,June!N90,input!$A:$A,June!$B$2)</f>
        <v>0</v>
      </c>
      <c r="X90" s="324">
        <f>COUNTIFS(input!$O:$O,June!$X$66,input!$G:$G,June!N90,input!$A:$A,June!$B$2)</f>
        <v>0</v>
      </c>
      <c r="Y90" s="312">
        <f t="shared" si="9"/>
        <v>0</v>
      </c>
      <c r="Z90" s="315" cm="1">
        <f t="array" ref="Z90">_xlfn.IFS(Y90=0,0,Y90&gt;=1,Y90/$Y$116)</f>
        <v>0</v>
      </c>
    </row>
    <row r="91" spans="2:26" ht="92" customHeight="1" x14ac:dyDescent="0.25">
      <c r="B91" s="1196"/>
      <c r="C91" s="1197"/>
      <c r="D91" s="1200"/>
      <c r="E91" s="1200"/>
      <c r="F91" s="1200"/>
      <c r="G91" s="1202"/>
      <c r="H91" s="1202"/>
      <c r="I91" s="1204"/>
      <c r="J91" s="1202"/>
      <c r="K91" s="1202"/>
      <c r="L91" s="1206"/>
      <c r="M91" s="1208"/>
      <c r="N91" s="1016" t="s">
        <v>1994</v>
      </c>
      <c r="O91" s="1016"/>
      <c r="P91" s="991"/>
      <c r="Q91" s="316">
        <f>COUNTIFS(input!$O:$O,June!$Q$66,input!$G:$G,June!N91,input!$A:$A,June!$B$2)</f>
        <v>0</v>
      </c>
      <c r="R91" s="316">
        <f>COUNTIFS(input!$O:$O,June!$R$66,input!$G:$G,June!N91,input!$A:$A,June!$B$2)</f>
        <v>0</v>
      </c>
      <c r="S91" s="316">
        <f>COUNTIFS(input!$O:$O,June!$S$66,input!$G:$G,June!N91,input!$A:$A,June!$B$2)</f>
        <v>0</v>
      </c>
      <c r="T91" s="321">
        <f>COUNTIFS(input!$O:$O,June!$T$66,input!$G:$G,June!N91,input!$A:$A,June!$B$2)</f>
        <v>0</v>
      </c>
      <c r="U91" s="322">
        <f>COUNTIFS(input!$O:$O,June!$U$66,input!$G:$G,June!N91,input!$A:$A,June!$B$2)</f>
        <v>0</v>
      </c>
      <c r="V91" s="322">
        <f>COUNTIFS(input!$O:$O,June!$V$66,input!$G:$G,June!N91,input!$A:$A,June!$B$2)</f>
        <v>0</v>
      </c>
      <c r="W91" s="323">
        <f>COUNTIFS(input!$O:$O,June!$W$66,input!$G:$G,June!N91,input!$A:$A,June!$B$2)</f>
        <v>0</v>
      </c>
      <c r="X91" s="324">
        <f>COUNTIFS(input!$O:$O,June!$X$66,input!$G:$G,June!N91,input!$A:$A,June!$B$2)</f>
        <v>1</v>
      </c>
      <c r="Y91" s="312">
        <f>SUM(Q91:X91)</f>
        <v>1</v>
      </c>
      <c r="Z91" s="315" cm="1">
        <f t="array" ref="Z91">_xlfn.IFS(Y91=0,0,Y91&gt;=1,Y91/$Y$116)</f>
        <v>0.1111111111111111</v>
      </c>
    </row>
    <row r="92" spans="2:26" ht="92" hidden="1" customHeight="1" x14ac:dyDescent="0.25">
      <c r="B92" s="1196"/>
      <c r="C92" s="1197"/>
      <c r="D92" s="1200"/>
      <c r="E92" s="1200"/>
      <c r="F92" s="1200"/>
      <c r="G92" s="1202"/>
      <c r="H92" s="1202"/>
      <c r="I92" s="1204"/>
      <c r="J92" s="1202"/>
      <c r="K92" s="1202"/>
      <c r="L92" s="1206"/>
      <c r="M92" s="1208"/>
      <c r="N92" s="1065" t="s">
        <v>1438</v>
      </c>
      <c r="O92" s="1065"/>
      <c r="P92" s="1066"/>
      <c r="Q92" s="316">
        <f>COUNTIFS(input!$O:$O,June!$Q$66,input!$G:$G,June!N92,input!$A:$A,June!$B$2)</f>
        <v>0</v>
      </c>
      <c r="R92" s="316">
        <f>COUNTIFS(input!$O:$O,June!$R$66,input!$G:$G,June!N92,input!$A:$A,June!$B$2)</f>
        <v>0</v>
      </c>
      <c r="S92" s="316">
        <f>COUNTIFS(input!$O:$O,June!$S$66,input!$G:$G,June!N92,input!$A:$A,June!$B$2)</f>
        <v>0</v>
      </c>
      <c r="T92" s="321">
        <f>COUNTIFS(input!$O:$O,June!$T$66,input!$G:$G,June!N92,input!$A:$A,June!$B$2)</f>
        <v>0</v>
      </c>
      <c r="U92" s="322">
        <f>COUNTIFS(input!$O:$O,June!$U$66,input!$G:$G,June!N92,input!$A:$A,June!$B$2)</f>
        <v>0</v>
      </c>
      <c r="V92" s="322">
        <f>COUNTIFS(input!$O:$O,June!$V$66,input!$G:$G,June!N92,input!$A:$A,June!$B$2)</f>
        <v>0</v>
      </c>
      <c r="W92" s="323">
        <f>COUNTIFS(input!$O:$O,June!$W$66,input!$G:$G,June!N92,input!$A:$A,June!$B$2)</f>
        <v>0</v>
      </c>
      <c r="X92" s="324">
        <f>COUNTIFS(input!$O:$O,June!$X$66,input!$G:$G,June!N92,input!$A:$A,June!$B$2)</f>
        <v>0</v>
      </c>
      <c r="Y92" s="312">
        <f t="shared" si="9"/>
        <v>0</v>
      </c>
      <c r="Z92" s="315" cm="1">
        <f t="array" ref="Z92">_xlfn.IFS(Y92=0,0,Y92&gt;=1,Y92/$Y$116)</f>
        <v>0</v>
      </c>
    </row>
    <row r="93" spans="2:26" ht="92" hidden="1" customHeight="1" x14ac:dyDescent="0.25">
      <c r="B93" s="1196"/>
      <c r="C93" s="1197"/>
      <c r="D93" s="1200"/>
      <c r="E93" s="1200"/>
      <c r="F93" s="1200"/>
      <c r="G93" s="1202"/>
      <c r="H93" s="1202"/>
      <c r="I93" s="1204"/>
      <c r="J93" s="1202"/>
      <c r="K93" s="1202"/>
      <c r="L93" s="1206"/>
      <c r="M93" s="1208"/>
      <c r="N93" s="1065" t="s">
        <v>876</v>
      </c>
      <c r="O93" s="1065"/>
      <c r="P93" s="1066"/>
      <c r="Q93" s="316">
        <f>COUNTIFS(input!$O:$O,June!$Q$66,input!$G:$G,June!N93,input!$A:$A,June!$B$2)</f>
        <v>0</v>
      </c>
      <c r="R93" s="316">
        <f>COUNTIFS(input!$O:$O,June!$R$66,input!$G:$G,June!N93,input!$A:$A,June!$B$2)</f>
        <v>0</v>
      </c>
      <c r="S93" s="316">
        <f>COUNTIFS(input!$O:$O,June!$S$66,input!$G:$G,June!N93,input!$A:$A,June!$B$2)</f>
        <v>0</v>
      </c>
      <c r="T93" s="321">
        <f>COUNTIFS(input!$O:$O,June!$T$66,input!$G:$G,June!N93,input!$A:$A,June!$B$2)</f>
        <v>0</v>
      </c>
      <c r="U93" s="322">
        <f>COUNTIFS(input!$O:$O,June!$U$66,input!$G:$G,June!N93,input!$A:$A,June!$B$2)</f>
        <v>0</v>
      </c>
      <c r="V93" s="322">
        <f>COUNTIFS(input!$O:$O,June!$V$66,input!$G:$G,June!N93,input!$A:$A,June!$B$2)</f>
        <v>0</v>
      </c>
      <c r="W93" s="323">
        <f>COUNTIFS(input!$O:$O,June!$W$66,input!$G:$G,June!N93,input!$A:$A,June!$B$2)</f>
        <v>0</v>
      </c>
      <c r="X93" s="324">
        <f>COUNTIFS(input!$O:$O,June!$X$66,input!$G:$G,June!N93,input!$A:$A,June!$B$2)</f>
        <v>0</v>
      </c>
      <c r="Y93" s="312">
        <f t="shared" si="9"/>
        <v>0</v>
      </c>
      <c r="Z93" s="315" cm="1">
        <f t="array" ref="Z93">_xlfn.IFS(Y93=0,0,Y93&gt;=1,Y93/$Y$116)</f>
        <v>0</v>
      </c>
    </row>
    <row r="94" spans="2:26" ht="92" hidden="1" customHeight="1" x14ac:dyDescent="0.25">
      <c r="B94" s="1196"/>
      <c r="C94" s="1197"/>
      <c r="D94" s="1200"/>
      <c r="E94" s="1200"/>
      <c r="F94" s="1200"/>
      <c r="G94" s="1202"/>
      <c r="H94" s="1202"/>
      <c r="I94" s="1204"/>
      <c r="J94" s="1202"/>
      <c r="K94" s="1202"/>
      <c r="L94" s="1206"/>
      <c r="M94" s="1208"/>
      <c r="N94" s="1065" t="s">
        <v>1492</v>
      </c>
      <c r="O94" s="1065"/>
      <c r="P94" s="1066"/>
      <c r="Q94" s="316">
        <f>COUNTIFS(input!$O:$O,June!$Q$66,input!$G:$G,June!N94,input!$A:$A,June!$B$2)</f>
        <v>0</v>
      </c>
      <c r="R94" s="316">
        <f>COUNTIFS(input!$O:$O,June!$R$66,input!$G:$G,June!N94,input!$A:$A,June!$B$2)</f>
        <v>0</v>
      </c>
      <c r="S94" s="316">
        <f>COUNTIFS(input!$O:$O,June!$S$66,input!$G:$G,June!N94,input!$A:$A,June!$B$2)</f>
        <v>0</v>
      </c>
      <c r="T94" s="321">
        <f>COUNTIFS(input!$O:$O,June!$T$66,input!$G:$G,June!N94,input!$A:$A,June!$B$2)</f>
        <v>0</v>
      </c>
      <c r="U94" s="322">
        <f>COUNTIFS(input!$O:$O,June!$U$66,input!$G:$G,June!N94,input!$A:$A,June!$B$2)</f>
        <v>0</v>
      </c>
      <c r="V94" s="322">
        <f>COUNTIFS(input!$O:$O,June!$V$66,input!$G:$G,June!N94,input!$A:$A,June!$B$2)</f>
        <v>0</v>
      </c>
      <c r="W94" s="323">
        <f>COUNTIFS(input!$O:$O,June!$W$66,input!$G:$G,June!N94,input!$A:$A,June!$B$2)</f>
        <v>0</v>
      </c>
      <c r="X94" s="324">
        <f>COUNTIFS(input!$O:$O,June!$X$66,input!$G:$G,June!N94,input!$A:$A,June!$B$2)</f>
        <v>0</v>
      </c>
      <c r="Y94" s="312">
        <f t="shared" si="9"/>
        <v>0</v>
      </c>
      <c r="Z94" s="315" cm="1">
        <f t="array" ref="Z94">_xlfn.IFS(Y94=0,0,Y94&gt;=1,Y94/$Y$116)</f>
        <v>0</v>
      </c>
    </row>
    <row r="95" spans="2:26" ht="92" hidden="1" customHeight="1" x14ac:dyDescent="0.25">
      <c r="B95" s="1196"/>
      <c r="C95" s="1197"/>
      <c r="D95" s="1200"/>
      <c r="E95" s="1200"/>
      <c r="F95" s="1200"/>
      <c r="G95" s="1202"/>
      <c r="H95" s="1202"/>
      <c r="I95" s="1204"/>
      <c r="J95" s="1202"/>
      <c r="K95" s="1202"/>
      <c r="L95" s="1206"/>
      <c r="M95" s="1208"/>
      <c r="N95" s="1065" t="s">
        <v>1839</v>
      </c>
      <c r="O95" s="1065"/>
      <c r="P95" s="1066"/>
      <c r="Q95" s="316">
        <f>COUNTIFS(input!$O:$O,June!$Q$66,input!$G:$G,June!N95,input!$A:$A,June!$B$2)</f>
        <v>0</v>
      </c>
      <c r="R95" s="316">
        <f>COUNTIFS(input!$O:$O,June!$R$66,input!$G:$G,June!N95,input!$A:$A,June!$B$2)</f>
        <v>0</v>
      </c>
      <c r="S95" s="316">
        <f>COUNTIFS(input!$O:$O,June!$S$66,input!$G:$G,June!N95,input!$A:$A,June!$B$2)</f>
        <v>0</v>
      </c>
      <c r="T95" s="321">
        <f>COUNTIFS(input!$O:$O,June!$T$66,input!$G:$G,June!N95,input!$A:$A,June!$B$2)</f>
        <v>0</v>
      </c>
      <c r="U95" s="322">
        <f>COUNTIFS(input!$O:$O,June!$U$66,input!$G:$G,June!N95,input!$A:$A,June!$B$2)</f>
        <v>0</v>
      </c>
      <c r="V95" s="322">
        <f>COUNTIFS(input!$O:$O,June!$V$66,input!$G:$G,June!N95,input!$A:$A,June!$B$2)</f>
        <v>0</v>
      </c>
      <c r="W95" s="323">
        <f>COUNTIFS(input!$O:$O,June!$W$66,input!$G:$G,June!N95,input!$A:$A,June!$B$2)</f>
        <v>0</v>
      </c>
      <c r="X95" s="324">
        <f>COUNTIFS(input!$O:$O,June!$X$66,input!$G:$G,June!N95,input!$A:$A,June!$B$2)</f>
        <v>0</v>
      </c>
      <c r="Y95" s="312">
        <f t="shared" si="9"/>
        <v>0</v>
      </c>
      <c r="Z95" s="315" cm="1">
        <f t="array" ref="Z95">_xlfn.IFS(Y95=0,0,Y95&gt;=1,Y95/$Y$116)</f>
        <v>0</v>
      </c>
    </row>
    <row r="96" spans="2:26" ht="92" hidden="1" customHeight="1" x14ac:dyDescent="0.25">
      <c r="B96" s="1196"/>
      <c r="C96" s="1197"/>
      <c r="D96" s="1200"/>
      <c r="E96" s="1200"/>
      <c r="F96" s="1200"/>
      <c r="G96" s="1202"/>
      <c r="H96" s="1202"/>
      <c r="I96" s="1204"/>
      <c r="J96" s="1202"/>
      <c r="K96" s="1202"/>
      <c r="L96" s="1206"/>
      <c r="M96" s="1208"/>
      <c r="N96" s="1065" t="s">
        <v>895</v>
      </c>
      <c r="O96" s="1065"/>
      <c r="P96" s="1066"/>
      <c r="Q96" s="316">
        <f>COUNTIFS(input!$O:$O,June!$Q$66,input!$G:$G,June!N96,input!$A:$A,June!$B$2)</f>
        <v>0</v>
      </c>
      <c r="R96" s="316">
        <f>COUNTIFS(input!$O:$O,June!$R$66,input!$G:$G,June!N96,input!$A:$A,June!$B$2)</f>
        <v>0</v>
      </c>
      <c r="S96" s="316">
        <f>COUNTIFS(input!$O:$O,June!$S$66,input!$G:$G,June!N96,input!$A:$A,June!$B$2)</f>
        <v>0</v>
      </c>
      <c r="T96" s="321">
        <f>COUNTIFS(input!$O:$O,June!$T$66,input!$G:$G,June!N96,input!$A:$A,June!$B$2)</f>
        <v>0</v>
      </c>
      <c r="U96" s="322">
        <f>COUNTIFS(input!$O:$O,June!$U$66,input!$G:$G,June!N96,input!$A:$A,June!$B$2)</f>
        <v>0</v>
      </c>
      <c r="V96" s="322">
        <f>COUNTIFS(input!$O:$O,June!$V$66,input!$G:$G,June!N96,input!$A:$A,June!$B$2)</f>
        <v>0</v>
      </c>
      <c r="W96" s="323">
        <f>COUNTIFS(input!$O:$O,June!$W$66,input!$G:$G,June!N96,input!$A:$A,June!$B$2)</f>
        <v>0</v>
      </c>
      <c r="X96" s="324">
        <f>COUNTIFS(input!$O:$O,June!$X$66,input!$G:$G,June!N96,input!$A:$A,June!$B$2)</f>
        <v>0</v>
      </c>
      <c r="Y96" s="312">
        <f t="shared" si="9"/>
        <v>0</v>
      </c>
      <c r="Z96" s="315" cm="1">
        <f t="array" ref="Z96">_xlfn.IFS(Y96=0,0,Y96&gt;=1,Y96/$Y$116)</f>
        <v>0</v>
      </c>
    </row>
    <row r="97" spans="2:26" ht="92" hidden="1" customHeight="1" x14ac:dyDescent="0.25">
      <c r="B97" s="1196"/>
      <c r="C97" s="1197"/>
      <c r="D97" s="1200"/>
      <c r="E97" s="1200"/>
      <c r="F97" s="1200"/>
      <c r="G97" s="1202"/>
      <c r="H97" s="1202"/>
      <c r="I97" s="1204"/>
      <c r="J97" s="1202"/>
      <c r="K97" s="1202"/>
      <c r="L97" s="1206"/>
      <c r="M97" s="1208"/>
      <c r="N97" s="1065" t="s">
        <v>1767</v>
      </c>
      <c r="O97" s="1065"/>
      <c r="P97" s="1066"/>
      <c r="Q97" s="316">
        <f>COUNTIFS(input!$O:$O,June!$Q$66,input!$G:$G,June!N97,input!$A:$A,June!$B$2)</f>
        <v>0</v>
      </c>
      <c r="R97" s="316">
        <f>COUNTIFS(input!$O:$O,June!$R$66,input!$G:$G,June!N97,input!$A:$A,June!$B$2)</f>
        <v>0</v>
      </c>
      <c r="S97" s="316">
        <f>COUNTIFS(input!$O:$O,June!$S$66,input!$G:$G,June!N97,input!$A:$A,June!$B$2)</f>
        <v>0</v>
      </c>
      <c r="T97" s="321">
        <f>COUNTIFS(input!$O:$O,June!$T$66,input!$G:$G,June!N97,input!$A:$A,June!$B$2)</f>
        <v>0</v>
      </c>
      <c r="U97" s="322">
        <f>COUNTIFS(input!$O:$O,June!$U$66,input!$G:$G,June!N97,input!$A:$A,June!$B$2)</f>
        <v>0</v>
      </c>
      <c r="V97" s="322">
        <f>COUNTIFS(input!$O:$O,June!$V$66,input!$G:$G,June!N97,input!$A:$A,June!$B$2)</f>
        <v>0</v>
      </c>
      <c r="W97" s="323">
        <f>COUNTIFS(input!$O:$O,June!$W$66,input!$G:$G,June!N97,input!$A:$A,June!$B$2)</f>
        <v>0</v>
      </c>
      <c r="X97" s="324">
        <f>COUNTIFS(input!$O:$O,June!$X$66,input!$G:$G,June!N97,input!$A:$A,June!$B$2)</f>
        <v>0</v>
      </c>
      <c r="Y97" s="312">
        <f t="shared" si="9"/>
        <v>0</v>
      </c>
      <c r="Z97" s="315" cm="1">
        <f t="array" ref="Z97">_xlfn.IFS(Y97=0,0,Y97&gt;=1,Y97/$Y$116)</f>
        <v>0</v>
      </c>
    </row>
    <row r="98" spans="2:26" ht="92" hidden="1" customHeight="1" x14ac:dyDescent="0.25">
      <c r="B98" s="1196"/>
      <c r="C98" s="1197"/>
      <c r="D98" s="1200"/>
      <c r="E98" s="1200"/>
      <c r="F98" s="1200"/>
      <c r="G98" s="1202"/>
      <c r="H98" s="1202"/>
      <c r="I98" s="1204"/>
      <c r="J98" s="1202"/>
      <c r="K98" s="1202"/>
      <c r="L98" s="435"/>
      <c r="M98" s="1208"/>
      <c r="N98" s="1065" t="s">
        <v>1889</v>
      </c>
      <c r="O98" s="1065"/>
      <c r="P98" s="1066"/>
      <c r="Q98" s="316">
        <f>COUNTIFS(input!$O:$O,June!$Q$66,input!$G:$G,June!N98,input!$A:$A,June!$B$2)</f>
        <v>0</v>
      </c>
      <c r="R98" s="316">
        <f>COUNTIFS(input!$O:$O,June!$R$66,input!$G:$G,June!N98,input!$A:$A,June!$B$2)</f>
        <v>0</v>
      </c>
      <c r="S98" s="316">
        <f>COUNTIFS(input!$O:$O,June!$S$66,input!$G:$G,June!N98,input!$A:$A,June!$B$2)</f>
        <v>0</v>
      </c>
      <c r="T98" s="321">
        <f>COUNTIFS(input!$O:$O,June!$T$66,input!$G:$G,June!N98,input!$A:$A,June!$B$2)</f>
        <v>0</v>
      </c>
      <c r="U98" s="322">
        <f>COUNTIFS(input!$O:$O,June!$U$66,input!$G:$G,June!N98,input!$A:$A,June!$B$2)</f>
        <v>0</v>
      </c>
      <c r="V98" s="322">
        <f>COUNTIFS(input!$O:$O,June!$V$66,input!$G:$G,June!N98,input!$A:$A,June!$B$2)</f>
        <v>0</v>
      </c>
      <c r="W98" s="323">
        <f>COUNTIFS(input!$O:$O,June!$W$66,input!$G:$G,June!N98,input!$A:$A,June!$B$2)</f>
        <v>0</v>
      </c>
      <c r="X98" s="324">
        <f>COUNTIFS(input!$O:$O,June!$X$66,input!$G:$G,June!N98,input!$A:$A,June!$B$2)</f>
        <v>0</v>
      </c>
      <c r="Y98" s="312">
        <f t="shared" si="9"/>
        <v>0</v>
      </c>
      <c r="Z98" s="315" cm="1">
        <f t="array" ref="Z98">_xlfn.IFS(Y98=0,0,Y98&gt;=1,Y98/$Y$116)</f>
        <v>0</v>
      </c>
    </row>
    <row r="99" spans="2:26" ht="92" hidden="1" customHeight="1" x14ac:dyDescent="0.25">
      <c r="B99" s="1196" t="s">
        <v>15</v>
      </c>
      <c r="C99" s="1197"/>
      <c r="D99" s="1200">
        <f>COUNTIFS(input!$O:$O,June!$D$66,input!$K:$K,June!B99,input!$A:$A,June!$B$2)</f>
        <v>0</v>
      </c>
      <c r="E99" s="1200">
        <f>COUNTIFS(input!$O:$O,June!$E$66,input!$K:$K,June!B99,input!$A:$A,June!$B$2)</f>
        <v>0</v>
      </c>
      <c r="F99" s="1200">
        <f>COUNTIFS(input!$O:$O,June!$F$66,input!$K:$K,June!B99,input!$A:$A,June!$B$2)</f>
        <v>0</v>
      </c>
      <c r="G99" s="1202">
        <f>COUNTIFS(input!$O:$O,June!$G$66,input!$K:$K,June!B99,input!$A:$A,June!$B$2)</f>
        <v>1</v>
      </c>
      <c r="H99" s="1202">
        <f>COUNTIFS(input!$O:$O,June!$H$66,input!$K:$K,June!B99,input!$A:$A,June!$B$2)</f>
        <v>0</v>
      </c>
      <c r="I99" s="1204">
        <f>COUNTIFS(input!$O:$O,June!$I$66,input!$K:$K,June!B99,input!$A:$A,June!$B$2)</f>
        <v>0</v>
      </c>
      <c r="J99" s="1202">
        <f>COUNTIFS(input!$O:$O,June!$J$66,input!$K:$K,June!B99,input!$A:$A,June!$B$2)</f>
        <v>0</v>
      </c>
      <c r="K99" s="1202">
        <f>COUNTIFS(input!$O:$O,June!$K$66,input!$K:$K,June!B99,input!$A:$A,June!$B$2)</f>
        <v>0</v>
      </c>
      <c r="L99" s="1206">
        <f>SUM(D99:K114)</f>
        <v>1</v>
      </c>
      <c r="M99" s="1208">
        <f>_xlfn.IFS(L99=0,0,L99&gt;=1,L99/L116)</f>
        <v>0.1111111111111111</v>
      </c>
      <c r="N99" s="1065" t="s">
        <v>55</v>
      </c>
      <c r="O99" s="1065"/>
      <c r="P99" s="1066"/>
      <c r="Q99" s="316">
        <f>COUNTIFS(input!$O:$O,June!$Q$66,input!$G:$G,June!N99,input!$A:$A,June!$B$2)</f>
        <v>0</v>
      </c>
      <c r="R99" s="316">
        <f>COUNTIFS(input!$O:$O,June!$R$66,input!$G:$G,June!N99,input!$A:$A,June!$B$2)</f>
        <v>0</v>
      </c>
      <c r="S99" s="316">
        <f>COUNTIFS(input!$O:$O,June!$S$66,input!$G:$G,June!N99,input!$A:$A,June!$B$2)</f>
        <v>0</v>
      </c>
      <c r="T99" s="321">
        <f>COUNTIFS(input!$O:$O,June!$T$66,input!$G:$G,June!N99,input!$A:$A,June!$B$2)</f>
        <v>0</v>
      </c>
      <c r="U99" s="322">
        <f>COUNTIFS(input!$O:$O,June!$U$66,input!$G:$G,June!N99,input!$A:$A,June!$B$2)</f>
        <v>0</v>
      </c>
      <c r="V99" s="322">
        <f>COUNTIFS(input!$O:$O,June!$V$66,input!$G:$G,June!N99,input!$A:$A,June!$B$2)</f>
        <v>0</v>
      </c>
      <c r="W99" s="323">
        <f>COUNTIFS(input!$O:$O,June!$W$66,input!$G:$G,June!N99,input!$A:$A,June!$B$2)</f>
        <v>0</v>
      </c>
      <c r="X99" s="324">
        <f>COUNTIFS(input!$O:$O,June!$X$66,input!$G:$G,June!N99,input!$A:$A,June!$B$2)</f>
        <v>0</v>
      </c>
      <c r="Y99" s="312">
        <f t="shared" si="9"/>
        <v>0</v>
      </c>
      <c r="Z99" s="315" cm="1">
        <f t="array" ref="Z99">_xlfn.IFS(Y99=0,0,Y99&gt;=1,Y99/$Y$116)</f>
        <v>0</v>
      </c>
    </row>
    <row r="100" spans="2:26" ht="92" hidden="1" customHeight="1" x14ac:dyDescent="0.25">
      <c r="B100" s="1196"/>
      <c r="C100" s="1197"/>
      <c r="D100" s="1200"/>
      <c r="E100" s="1200"/>
      <c r="F100" s="1200"/>
      <c r="G100" s="1202"/>
      <c r="H100" s="1202"/>
      <c r="I100" s="1204"/>
      <c r="J100" s="1202"/>
      <c r="K100" s="1202"/>
      <c r="L100" s="1206"/>
      <c r="M100" s="1208"/>
      <c r="N100" s="1065" t="s">
        <v>285</v>
      </c>
      <c r="O100" s="1065"/>
      <c r="P100" s="1066"/>
      <c r="Q100" s="316">
        <f>COUNTIFS(input!$O:$O,June!$Q$66,input!$G:$G,June!N100,input!$A:$A,June!$B$2)</f>
        <v>0</v>
      </c>
      <c r="R100" s="316">
        <f>COUNTIFS(input!$O:$O,June!$R$66,input!$G:$G,June!N100,input!$A:$A,June!$B$2)</f>
        <v>0</v>
      </c>
      <c r="S100" s="316">
        <f>COUNTIFS(input!$O:$O,June!$S$66,input!$G:$G,June!N100,input!$A:$A,June!$B$2)</f>
        <v>0</v>
      </c>
      <c r="T100" s="321">
        <f>COUNTIFS(input!$O:$O,June!$T$66,input!$G:$G,June!N100,input!$A:$A,June!$B$2)</f>
        <v>0</v>
      </c>
      <c r="U100" s="322">
        <f>COUNTIFS(input!$O:$O,June!$U$66,input!$G:$G,June!N100,input!$A:$A,June!$B$2)</f>
        <v>0</v>
      </c>
      <c r="V100" s="322">
        <f>COUNTIFS(input!$O:$O,June!$V$66,input!$G:$G,June!N100,input!$A:$A,June!$B$2)</f>
        <v>0</v>
      </c>
      <c r="W100" s="323">
        <f>COUNTIFS(input!$O:$O,June!$W$66,input!$G:$G,June!N100,input!$A:$A,June!$B$2)</f>
        <v>0</v>
      </c>
      <c r="X100" s="324">
        <f>COUNTIFS(input!$O:$O,June!$X$66,input!$G:$G,June!N100,input!$A:$A,June!$B$2)</f>
        <v>0</v>
      </c>
      <c r="Y100" s="312">
        <f t="shared" si="9"/>
        <v>0</v>
      </c>
      <c r="Z100" s="315" cm="1">
        <f t="array" ref="Z100">_xlfn.IFS(Y100=0,0,Y100&gt;=1,Y100/$Y$116)</f>
        <v>0</v>
      </c>
    </row>
    <row r="101" spans="2:26" ht="92" customHeight="1" x14ac:dyDescent="0.25">
      <c r="B101" s="1196"/>
      <c r="C101" s="1197"/>
      <c r="D101" s="1200"/>
      <c r="E101" s="1200"/>
      <c r="F101" s="1200"/>
      <c r="G101" s="1202"/>
      <c r="H101" s="1202"/>
      <c r="I101" s="1204"/>
      <c r="J101" s="1202"/>
      <c r="K101" s="1202"/>
      <c r="L101" s="1206"/>
      <c r="M101" s="1208"/>
      <c r="N101" s="1016" t="s">
        <v>142</v>
      </c>
      <c r="O101" s="1016"/>
      <c r="P101" s="991"/>
      <c r="Q101" s="316">
        <f>COUNTIFS(input!$O:$O,June!$Q$66,input!$G:$G,June!N101,input!$A:$A,June!$B$2)</f>
        <v>0</v>
      </c>
      <c r="R101" s="316">
        <f>COUNTIFS(input!$O:$O,June!$R$66,input!$G:$G,June!N101,input!$A:$A,June!$B$2)</f>
        <v>0</v>
      </c>
      <c r="S101" s="316">
        <f>COUNTIFS(input!$O:$O,June!$S$66,input!$G:$G,June!N101,input!$A:$A,June!$B$2)</f>
        <v>0</v>
      </c>
      <c r="T101" s="321">
        <f>COUNTIFS(input!$O:$O,June!$T$66,input!$G:$G,June!N101,input!$A:$A,June!$B$2)</f>
        <v>1</v>
      </c>
      <c r="U101" s="322">
        <f>COUNTIFS(input!$O:$O,June!$U$66,input!$G:$G,June!N101,input!$A:$A,June!$B$2)</f>
        <v>0</v>
      </c>
      <c r="V101" s="322">
        <f>COUNTIFS(input!$O:$O,June!$V$66,input!$G:$G,June!N101,input!$A:$A,June!$B$2)</f>
        <v>0</v>
      </c>
      <c r="W101" s="323">
        <f>COUNTIFS(input!$O:$O,June!$W$66,input!$G:$G,June!N101,input!$A:$A,June!$B$2)</f>
        <v>0</v>
      </c>
      <c r="X101" s="324">
        <f>COUNTIFS(input!$O:$O,June!$X$66,input!$G:$G,June!N101,input!$A:$A,June!$B$2)</f>
        <v>0</v>
      </c>
      <c r="Y101" s="312">
        <f t="shared" si="9"/>
        <v>1</v>
      </c>
      <c r="Z101" s="315" cm="1">
        <f t="array" ref="Z101">_xlfn.IFS(Y101=0,0,Y101&gt;=1,Y101/$Y$116)</f>
        <v>0.1111111111111111</v>
      </c>
    </row>
    <row r="102" spans="2:26" ht="92" hidden="1" customHeight="1" x14ac:dyDescent="0.25">
      <c r="B102" s="1196"/>
      <c r="C102" s="1197"/>
      <c r="D102" s="1200"/>
      <c r="E102" s="1200"/>
      <c r="F102" s="1200"/>
      <c r="G102" s="1202"/>
      <c r="H102" s="1202"/>
      <c r="I102" s="1204"/>
      <c r="J102" s="1202"/>
      <c r="K102" s="1202"/>
      <c r="L102" s="1206"/>
      <c r="M102" s="1208"/>
      <c r="N102" s="1065" t="s">
        <v>778</v>
      </c>
      <c r="O102" s="1065"/>
      <c r="P102" s="1066"/>
      <c r="Q102" s="316">
        <f>COUNTIFS(input!$O:$O,June!$Q$66,input!$G:$G,June!N102,input!$A:$A,June!$B$2)</f>
        <v>0</v>
      </c>
      <c r="R102" s="316">
        <f>COUNTIFS(input!$O:$O,June!$R$66,input!$G:$G,June!N102,input!$A:$A,June!$B$2)</f>
        <v>0</v>
      </c>
      <c r="S102" s="316">
        <f>COUNTIFS(input!$O:$O,June!$S$66,input!$G:$G,June!N102,input!$A:$A,June!$B$2)</f>
        <v>0</v>
      </c>
      <c r="T102" s="321">
        <f>COUNTIFS(input!$O:$O,June!$T$66,input!$G:$G,June!N102,input!$A:$A,June!$B$2)</f>
        <v>0</v>
      </c>
      <c r="U102" s="322">
        <f>COUNTIFS(input!$O:$O,June!$U$66,input!$G:$G,June!N102,input!$A:$A,June!$B$2)</f>
        <v>0</v>
      </c>
      <c r="V102" s="322">
        <f>COUNTIFS(input!$O:$O,June!$V$66,input!$G:$G,June!N102,input!$A:$A,June!$B$2)</f>
        <v>0</v>
      </c>
      <c r="W102" s="323">
        <f>COUNTIFS(input!$O:$O,June!$W$66,input!$G:$G,June!N102,input!$A:$A,June!$B$2)</f>
        <v>0</v>
      </c>
      <c r="X102" s="324">
        <f>COUNTIFS(input!$O:$O,June!$X$66,input!$G:$G,June!N102,input!$A:$A,June!$B$2)</f>
        <v>0</v>
      </c>
      <c r="Y102" s="312">
        <f t="shared" si="9"/>
        <v>0</v>
      </c>
      <c r="Z102" s="315" cm="1">
        <f t="array" ref="Z102">_xlfn.IFS(Y102=0,0,Y102&gt;=1,Y102/$Y$116)</f>
        <v>0</v>
      </c>
    </row>
    <row r="103" spans="2:26" ht="92" hidden="1" customHeight="1" x14ac:dyDescent="0.25">
      <c r="B103" s="1196"/>
      <c r="C103" s="1197"/>
      <c r="D103" s="1200"/>
      <c r="E103" s="1200"/>
      <c r="F103" s="1200"/>
      <c r="G103" s="1202"/>
      <c r="H103" s="1202"/>
      <c r="I103" s="1204"/>
      <c r="J103" s="1202"/>
      <c r="K103" s="1202"/>
      <c r="L103" s="1206"/>
      <c r="M103" s="1208"/>
      <c r="N103" s="1065" t="s">
        <v>1411</v>
      </c>
      <c r="O103" s="1065"/>
      <c r="P103" s="1066"/>
      <c r="Q103" s="316">
        <f>COUNTIFS(input!$O:$O,June!$Q$66,input!$G:$G,June!N103,input!$A:$A,June!$B$2)</f>
        <v>0</v>
      </c>
      <c r="R103" s="316">
        <f>COUNTIFS(input!$O:$O,June!$R$66,input!$G:$G,June!N103,input!$A:$A,June!$B$2)</f>
        <v>0</v>
      </c>
      <c r="S103" s="316">
        <f>COUNTIFS(input!$O:$O,June!$S$66,input!$G:$G,June!N103,input!$A:$A,June!$B$2)</f>
        <v>0</v>
      </c>
      <c r="T103" s="321">
        <f>COUNTIFS(input!$O:$O,June!$T$66,input!$G:$G,June!N103,input!$A:$A,June!$B$2)</f>
        <v>0</v>
      </c>
      <c r="U103" s="322">
        <f>COUNTIFS(input!$O:$O,June!$U$66,input!$G:$G,June!N103,input!$A:$A,June!$B$2)</f>
        <v>0</v>
      </c>
      <c r="V103" s="322">
        <f>COUNTIFS(input!$O:$O,June!$V$66,input!$G:$G,June!N103,input!$A:$A,June!$B$2)</f>
        <v>0</v>
      </c>
      <c r="W103" s="323">
        <f>COUNTIFS(input!$O:$O,June!$W$66,input!$G:$G,June!N103,input!$A:$A,June!$B$2)</f>
        <v>0</v>
      </c>
      <c r="X103" s="324">
        <f>COUNTIFS(input!$O:$O,June!$X$66,input!$G:$G,June!N103,input!$A:$A,June!$B$2)</f>
        <v>0</v>
      </c>
      <c r="Y103" s="312">
        <f t="shared" si="9"/>
        <v>0</v>
      </c>
      <c r="Z103" s="315" cm="1">
        <f t="array" ref="Z103">_xlfn.IFS(Y103=0,0,Y103&gt;=1,Y103/$Y$116)</f>
        <v>0</v>
      </c>
    </row>
    <row r="104" spans="2:26" ht="92" hidden="1" customHeight="1" x14ac:dyDescent="0.25">
      <c r="B104" s="1196"/>
      <c r="C104" s="1197"/>
      <c r="D104" s="1200"/>
      <c r="E104" s="1200"/>
      <c r="F104" s="1200"/>
      <c r="G104" s="1202"/>
      <c r="H104" s="1202"/>
      <c r="I104" s="1204"/>
      <c r="J104" s="1202"/>
      <c r="K104" s="1202"/>
      <c r="L104" s="1206"/>
      <c r="M104" s="1208"/>
      <c r="N104" s="1121" t="s">
        <v>877</v>
      </c>
      <c r="O104" s="1065"/>
      <c r="P104" s="1066"/>
      <c r="Q104" s="316">
        <f>COUNTIFS(input!$O:$O,June!$Q$66,input!$G:$G,June!N104,input!$A:$A,June!$B$2)</f>
        <v>0</v>
      </c>
      <c r="R104" s="316">
        <f>COUNTIFS(input!$O:$O,June!$R$66,input!$G:$G,June!N104,input!$A:$A,June!$B$2)</f>
        <v>0</v>
      </c>
      <c r="S104" s="316">
        <f>COUNTIFS(input!$O:$O,June!$S$66,input!$G:$G,June!N104,input!$A:$A,June!$B$2)</f>
        <v>0</v>
      </c>
      <c r="T104" s="321">
        <f>COUNTIFS(input!$O:$O,June!$T$66,input!$G:$G,June!N104,input!$A:$A,June!$B$2)</f>
        <v>0</v>
      </c>
      <c r="U104" s="322">
        <f>COUNTIFS(input!$O:$O,June!$U$66,input!$G:$G,June!N104,input!$A:$A,June!$B$2)</f>
        <v>0</v>
      </c>
      <c r="V104" s="322">
        <f>COUNTIFS(input!$O:$O,June!$V$66,input!$G:$G,June!N104,input!$A:$A,June!$B$2)</f>
        <v>0</v>
      </c>
      <c r="W104" s="323">
        <f>COUNTIFS(input!$O:$O,June!$W$66,input!$G:$G,June!N104,input!$A:$A,June!$B$2)</f>
        <v>0</v>
      </c>
      <c r="X104" s="324">
        <f>COUNTIFS(input!$O:$O,June!$X$66,input!$G:$G,June!N104,input!$A:$A,June!$B$2)</f>
        <v>0</v>
      </c>
      <c r="Y104" s="312">
        <f t="shared" si="9"/>
        <v>0</v>
      </c>
      <c r="Z104" s="315" cm="1">
        <f t="array" ref="Z104">_xlfn.IFS(Y104=0,0,Y104&gt;=1,Y104/$Y$116)</f>
        <v>0</v>
      </c>
    </row>
    <row r="105" spans="2:26" ht="92" hidden="1" customHeight="1" x14ac:dyDescent="0.25">
      <c r="B105" s="1196"/>
      <c r="C105" s="1197"/>
      <c r="D105" s="1200"/>
      <c r="E105" s="1200"/>
      <c r="F105" s="1200"/>
      <c r="G105" s="1202"/>
      <c r="H105" s="1202"/>
      <c r="I105" s="1204"/>
      <c r="J105" s="1202"/>
      <c r="K105" s="1202"/>
      <c r="L105" s="1206"/>
      <c r="M105" s="1208"/>
      <c r="N105" s="1065" t="s">
        <v>356</v>
      </c>
      <c r="O105" s="1065"/>
      <c r="P105" s="1066"/>
      <c r="Q105" s="316">
        <f>COUNTIFS(input!$O:$O,June!$Q$66,input!$G:$G,June!N105,input!$A:$A,June!$B$2)</f>
        <v>0</v>
      </c>
      <c r="R105" s="316">
        <f>COUNTIFS(input!$O:$O,June!$R$66,input!$G:$G,June!N105,input!$A:$A,June!$B$2)</f>
        <v>0</v>
      </c>
      <c r="S105" s="316">
        <f>COUNTIFS(input!$O:$O,June!$S$66,input!$G:$G,June!N105,input!$A:$A,June!$B$2)</f>
        <v>0</v>
      </c>
      <c r="T105" s="321">
        <f>COUNTIFS(input!$O:$O,June!$T$66,input!$G:$G,June!N105,input!$A:$A,June!$B$2)</f>
        <v>0</v>
      </c>
      <c r="U105" s="322">
        <f>COUNTIFS(input!$O:$O,June!$U$66,input!$G:$G,June!N105,input!$A:$A,June!$B$2)</f>
        <v>0</v>
      </c>
      <c r="V105" s="322">
        <f>COUNTIFS(input!$O:$O,June!$V$66,input!$G:$G,June!N105,input!$A:$A,June!$B$2)</f>
        <v>0</v>
      </c>
      <c r="W105" s="323">
        <f>COUNTIFS(input!$O:$O,June!$W$66,input!$G:$G,June!N105,input!$A:$A,June!$B$2)</f>
        <v>0</v>
      </c>
      <c r="X105" s="324">
        <f>COUNTIFS(input!$O:$O,June!$X$66,input!$G:$G,June!N105,input!$A:$A,June!$B$2)</f>
        <v>0</v>
      </c>
      <c r="Y105" s="312">
        <f t="shared" si="9"/>
        <v>0</v>
      </c>
      <c r="Z105" s="315" cm="1">
        <f t="array" ref="Z105">_xlfn.IFS(Y105=0,0,Y105&gt;=1,Y105/$Y$116)</f>
        <v>0</v>
      </c>
    </row>
    <row r="106" spans="2:26" ht="92" hidden="1" customHeight="1" x14ac:dyDescent="0.25">
      <c r="B106" s="1196"/>
      <c r="C106" s="1197"/>
      <c r="D106" s="1200"/>
      <c r="E106" s="1200"/>
      <c r="F106" s="1200"/>
      <c r="G106" s="1202"/>
      <c r="H106" s="1202"/>
      <c r="I106" s="1204"/>
      <c r="J106" s="1202"/>
      <c r="K106" s="1202"/>
      <c r="L106" s="1206"/>
      <c r="M106" s="1208"/>
      <c r="N106" s="1065" t="s">
        <v>760</v>
      </c>
      <c r="O106" s="1065"/>
      <c r="P106" s="1066"/>
      <c r="Q106" s="316">
        <f>COUNTIFS(input!$O:$O,June!$Q$66,input!$G:$G,June!N106,input!$A:$A,June!$B$2)</f>
        <v>0</v>
      </c>
      <c r="R106" s="316">
        <f>COUNTIFS(input!$O:$O,June!$R$66,input!$G:$G,June!N106,input!$A:$A,June!$B$2)</f>
        <v>0</v>
      </c>
      <c r="S106" s="316">
        <f>COUNTIFS(input!$O:$O,June!$S$66,input!$G:$G,June!N106,input!$A:$A,June!$B$2)</f>
        <v>0</v>
      </c>
      <c r="T106" s="321">
        <f>COUNTIFS(input!$O:$O,June!$T$66,input!$G:$G,June!N106,input!$A:$A,June!$B$2)</f>
        <v>0</v>
      </c>
      <c r="U106" s="322">
        <f>COUNTIFS(input!$O:$O,June!$U$66,input!$G:$G,June!N106,input!$A:$A,June!$B$2)</f>
        <v>0</v>
      </c>
      <c r="V106" s="322">
        <f>COUNTIFS(input!$O:$O,June!$V$66,input!$G:$G,June!N106,input!$A:$A,June!$B$2)</f>
        <v>0</v>
      </c>
      <c r="W106" s="323">
        <f>COUNTIFS(input!$O:$O,June!$W$66,input!$G:$G,June!N106,input!$A:$A,June!$B$2)</f>
        <v>0</v>
      </c>
      <c r="X106" s="324">
        <f>COUNTIFS(input!$O:$O,June!$X$66,input!$G:$G,June!N106,input!$A:$A,June!$B$2)</f>
        <v>0</v>
      </c>
      <c r="Y106" s="312">
        <f t="shared" si="9"/>
        <v>0</v>
      </c>
      <c r="Z106" s="315" cm="1">
        <f t="array" ref="Z106">_xlfn.IFS(Y106=0,0,Y106&gt;=1,Y106/$Y$116)</f>
        <v>0</v>
      </c>
    </row>
    <row r="107" spans="2:26" ht="92" hidden="1" customHeight="1" x14ac:dyDescent="0.25">
      <c r="B107" s="1196"/>
      <c r="C107" s="1197"/>
      <c r="D107" s="1200"/>
      <c r="E107" s="1200"/>
      <c r="F107" s="1200"/>
      <c r="G107" s="1202"/>
      <c r="H107" s="1202"/>
      <c r="I107" s="1204"/>
      <c r="J107" s="1202"/>
      <c r="K107" s="1202"/>
      <c r="L107" s="1206"/>
      <c r="M107" s="1208"/>
      <c r="N107" s="1065" t="s">
        <v>414</v>
      </c>
      <c r="O107" s="1065"/>
      <c r="P107" s="1066"/>
      <c r="Q107" s="316">
        <f>COUNTIFS(input!$O:$O,June!$Q$66,input!$G:$G,June!N107,input!$A:$A,June!$B$2)</f>
        <v>0</v>
      </c>
      <c r="R107" s="316">
        <f>COUNTIFS(input!$O:$O,June!$R$66,input!$G:$G,June!N107,input!$A:$A,June!$B$2)</f>
        <v>0</v>
      </c>
      <c r="S107" s="316">
        <f>COUNTIFS(input!$O:$O,June!$S$66,input!$G:$G,June!N107,input!$A:$A,June!$B$2)</f>
        <v>0</v>
      </c>
      <c r="T107" s="321">
        <f>COUNTIFS(input!$O:$O,June!$T$66,input!$G:$G,June!N107,input!$A:$A,June!$B$2)</f>
        <v>0</v>
      </c>
      <c r="U107" s="322">
        <f>COUNTIFS(input!$O:$O,June!$U$66,input!$G:$G,June!N107,input!$A:$A,June!$B$2)</f>
        <v>0</v>
      </c>
      <c r="V107" s="322">
        <f>COUNTIFS(input!$O:$O,June!$V$66,input!$G:$G,June!N107,input!$A:$A,June!$B$2)</f>
        <v>0</v>
      </c>
      <c r="W107" s="323">
        <f>COUNTIFS(input!$O:$O,June!$W$66,input!$G:$G,June!N107,input!$A:$A,June!$B$2)</f>
        <v>0</v>
      </c>
      <c r="X107" s="324">
        <f>COUNTIFS(input!$O:$O,June!$X$66,input!$G:$G,June!N107,input!$A:$A,June!$B$2)</f>
        <v>0</v>
      </c>
      <c r="Y107" s="312">
        <f t="shared" si="9"/>
        <v>0</v>
      </c>
      <c r="Z107" s="315" cm="1">
        <f t="array" ref="Z107">_xlfn.IFS(Y107=0,0,Y107&gt;=1,Y107/$Y$116)</f>
        <v>0</v>
      </c>
    </row>
    <row r="108" spans="2:26" ht="92" customHeight="1" x14ac:dyDescent="0.25">
      <c r="B108" s="1196"/>
      <c r="C108" s="1197"/>
      <c r="D108" s="1200"/>
      <c r="E108" s="1200"/>
      <c r="F108" s="1200"/>
      <c r="G108" s="1202"/>
      <c r="H108" s="1202"/>
      <c r="I108" s="1204"/>
      <c r="J108" s="1202"/>
      <c r="K108" s="1202"/>
      <c r="L108" s="1206"/>
      <c r="M108" s="1208"/>
      <c r="N108" s="1016" t="s">
        <v>23</v>
      </c>
      <c r="O108" s="1016"/>
      <c r="P108" s="991"/>
      <c r="Q108" s="316">
        <f>COUNTIFS(input!$O:$O,June!$Q$66,input!$G:$G,June!N108,input!$A:$A,June!$B$2)</f>
        <v>0</v>
      </c>
      <c r="R108" s="316">
        <f>COUNTIFS(input!$O:$O,June!$R$66,input!$G:$G,June!N108,input!$A:$A,June!$B$2)</f>
        <v>0</v>
      </c>
      <c r="S108" s="316">
        <f>COUNTIFS(input!$O:$O,June!$S$66,input!$G:$G,June!N108,input!$A:$A,June!$B$2)</f>
        <v>0</v>
      </c>
      <c r="T108" s="321">
        <f>COUNTIFS(input!$O:$O,June!$T$66,input!$G:$G,June!N108,input!$A:$A,June!$B$2)</f>
        <v>2</v>
      </c>
      <c r="U108" s="322">
        <f>COUNTIFS(input!$O:$O,June!$U$66,input!$G:$G,June!N108,input!$A:$A,June!$B$2)</f>
        <v>0</v>
      </c>
      <c r="V108" s="322">
        <f>COUNTIFS(input!$O:$O,June!$V$66,input!$G:$G,June!N108,input!$A:$A,June!$B$2)</f>
        <v>0</v>
      </c>
      <c r="W108" s="323">
        <f>COUNTIFS(input!$O:$O,June!$W$66,input!$G:$G,June!N108,input!$A:$A,June!$B$2)</f>
        <v>0</v>
      </c>
      <c r="X108" s="324">
        <f>COUNTIFS(input!$O:$O,June!$X$66,input!$G:$G,June!N108,input!$A:$A,June!$B$2)</f>
        <v>0</v>
      </c>
      <c r="Y108" s="312">
        <f t="shared" si="9"/>
        <v>2</v>
      </c>
      <c r="Z108" s="315" cm="1">
        <f t="array" ref="Z108">_xlfn.IFS(Y108=0,0,Y108&gt;=1,Y108/$Y$116)</f>
        <v>0.22222222222222221</v>
      </c>
    </row>
    <row r="109" spans="2:26" ht="92" hidden="1" customHeight="1" x14ac:dyDescent="0.25">
      <c r="B109" s="1196"/>
      <c r="C109" s="1197"/>
      <c r="D109" s="1200"/>
      <c r="E109" s="1200"/>
      <c r="F109" s="1200"/>
      <c r="G109" s="1202"/>
      <c r="H109" s="1202"/>
      <c r="I109" s="1204"/>
      <c r="J109" s="1202"/>
      <c r="K109" s="1202"/>
      <c r="L109" s="1206"/>
      <c r="M109" s="1208"/>
      <c r="N109" s="1065" t="s">
        <v>704</v>
      </c>
      <c r="O109" s="1065"/>
      <c r="P109" s="1066"/>
      <c r="Q109" s="316">
        <f>COUNTIFS(input!$O:$O,June!$Q$66,input!$G:$G,June!N109,input!$A:$A,June!$B$2)</f>
        <v>0</v>
      </c>
      <c r="R109" s="316">
        <f>COUNTIFS(input!$O:$O,June!$R$66,input!$G:$G,June!N109,input!$A:$A,June!$B$2)</f>
        <v>0</v>
      </c>
      <c r="S109" s="316">
        <f>COUNTIFS(input!$O:$O,June!$S$66,input!$G:$G,June!N109,input!$A:$A,June!$B$2)</f>
        <v>0</v>
      </c>
      <c r="T109" s="321">
        <f>COUNTIFS(input!$O:$O,June!$T$66,input!$G:$G,June!N109,input!$A:$A,June!$B$2)</f>
        <v>0</v>
      </c>
      <c r="U109" s="322">
        <f>COUNTIFS(input!$O:$O,June!$U$66,input!$G:$G,June!N109,input!$A:$A,June!$B$2)</f>
        <v>0</v>
      </c>
      <c r="V109" s="322">
        <f>COUNTIFS(input!$O:$O,June!$V$66,input!$G:$G,June!N109,input!$A:$A,June!$B$2)</f>
        <v>0</v>
      </c>
      <c r="W109" s="323">
        <f>COUNTIFS(input!$O:$O,June!$W$66,input!$G:$G,June!N109,input!$A:$A,June!$B$2)</f>
        <v>0</v>
      </c>
      <c r="X109" s="324">
        <f>COUNTIFS(input!$O:$O,June!$X$66,input!$G:$G,June!N109,input!$A:$A,June!$B$2)</f>
        <v>0</v>
      </c>
      <c r="Y109" s="312">
        <f t="shared" si="9"/>
        <v>0</v>
      </c>
      <c r="Z109" s="315" cm="1">
        <f t="array" ref="Z109">_xlfn.IFS(Y109=0,0,Y109&gt;=1,Y109/$Y$116)</f>
        <v>0</v>
      </c>
    </row>
    <row r="110" spans="2:26" ht="92" hidden="1" customHeight="1" x14ac:dyDescent="0.25">
      <c r="B110" s="1196"/>
      <c r="C110" s="1197"/>
      <c r="D110" s="1200"/>
      <c r="E110" s="1200"/>
      <c r="F110" s="1200"/>
      <c r="G110" s="1202"/>
      <c r="H110" s="1202"/>
      <c r="I110" s="1204"/>
      <c r="J110" s="1202"/>
      <c r="K110" s="1202"/>
      <c r="L110" s="1206"/>
      <c r="M110" s="1208"/>
      <c r="N110" s="1065" t="s">
        <v>710</v>
      </c>
      <c r="O110" s="1065"/>
      <c r="P110" s="1066"/>
      <c r="Q110" s="316">
        <f>COUNTIFS(input!$O:$O,June!$Q$66,input!$G:$G,June!N110,input!$A:$A,June!$B$2)</f>
        <v>0</v>
      </c>
      <c r="R110" s="316">
        <f>COUNTIFS(input!$O:$O,June!$R$66,input!$G:$G,June!N110,input!$A:$A,June!$B$2)</f>
        <v>0</v>
      </c>
      <c r="S110" s="316">
        <f>COUNTIFS(input!$O:$O,June!$S$66,input!$G:$G,June!N110,input!$A:$A,June!$B$2)</f>
        <v>0</v>
      </c>
      <c r="T110" s="321">
        <f>COUNTIFS(input!$O:$O,June!$T$66,input!$G:$G,June!N110,input!$A:$A,June!$B$2)</f>
        <v>0</v>
      </c>
      <c r="U110" s="322">
        <f>COUNTIFS(input!$O:$O,June!$U$66,input!$G:$G,June!N110,input!$A:$A,June!$B$2)</f>
        <v>0</v>
      </c>
      <c r="V110" s="322">
        <f>COUNTIFS(input!$O:$O,June!$V$66,input!$G:$G,June!N110,input!$A:$A,June!$B$2)</f>
        <v>0</v>
      </c>
      <c r="W110" s="323">
        <f>COUNTIFS(input!$O:$O,June!$W$66,input!$G:$G,June!N110,input!$A:$A,June!$B$2)</f>
        <v>0</v>
      </c>
      <c r="X110" s="324">
        <f>COUNTIFS(input!$O:$O,June!$X$66,input!$G:$G,June!N110,input!$A:$A,June!$B$2)</f>
        <v>0</v>
      </c>
      <c r="Y110" s="312">
        <f t="shared" si="9"/>
        <v>0</v>
      </c>
      <c r="Z110" s="315" cm="1">
        <f t="array" ref="Z110">_xlfn.IFS(Y110=0,0,Y110&gt;=1,Y110/$Y$116)</f>
        <v>0</v>
      </c>
    </row>
    <row r="111" spans="2:26" ht="92" hidden="1" customHeight="1" x14ac:dyDescent="0.25">
      <c r="B111" s="1196"/>
      <c r="C111" s="1197"/>
      <c r="D111" s="1200"/>
      <c r="E111" s="1200"/>
      <c r="F111" s="1200"/>
      <c r="G111" s="1202"/>
      <c r="H111" s="1202"/>
      <c r="I111" s="1204"/>
      <c r="J111" s="1202"/>
      <c r="K111" s="1202"/>
      <c r="L111" s="1206"/>
      <c r="M111" s="1208"/>
      <c r="N111" s="1065" t="s">
        <v>1407</v>
      </c>
      <c r="O111" s="1065"/>
      <c r="P111" s="1066"/>
      <c r="Q111" s="316">
        <f>COUNTIFS(input!$O:$O,June!$Q$66,input!$G:$G,June!N111,input!$A:$A,June!$B$2)</f>
        <v>0</v>
      </c>
      <c r="R111" s="316">
        <f>COUNTIFS(input!$O:$O,June!$R$66,input!$G:$G,June!N111,input!$A:$A,June!$B$2)</f>
        <v>0</v>
      </c>
      <c r="S111" s="316">
        <f>COUNTIFS(input!$O:$O,June!$S$66,input!$G:$G,June!N111,input!$A:$A,June!$B$2)</f>
        <v>0</v>
      </c>
      <c r="T111" s="321">
        <f>COUNTIFS(input!$O:$O,June!$T$66,input!$G:$G,June!N111,input!$A:$A,June!$B$2)</f>
        <v>0</v>
      </c>
      <c r="U111" s="322">
        <f>COUNTIFS(input!$O:$O,June!$U$66,input!$G:$G,June!N111,input!$A:$A,June!$B$2)</f>
        <v>0</v>
      </c>
      <c r="V111" s="322">
        <f>COUNTIFS(input!$O:$O,June!$V$66,input!$G:$G,June!N111,input!$A:$A,June!$B$2)</f>
        <v>0</v>
      </c>
      <c r="W111" s="323">
        <f>COUNTIFS(input!$O:$O,June!$W$66,input!$G:$G,June!N111,input!$A:$A,June!$B$2)</f>
        <v>0</v>
      </c>
      <c r="X111" s="324">
        <f>COUNTIFS(input!$O:$O,June!$X$66,input!$G:$G,June!N111,input!$A:$A,June!$B$2)</f>
        <v>0</v>
      </c>
      <c r="Y111" s="312">
        <f t="shared" si="9"/>
        <v>0</v>
      </c>
      <c r="Z111" s="315" cm="1">
        <f t="array" ref="Z111">_xlfn.IFS(Y111=0,0,Y111&gt;=1,Y111/$Y$116)</f>
        <v>0</v>
      </c>
    </row>
    <row r="112" spans="2:26" ht="92" hidden="1" customHeight="1" x14ac:dyDescent="0.25">
      <c r="B112" s="1196"/>
      <c r="C112" s="1197"/>
      <c r="D112" s="1200"/>
      <c r="E112" s="1200"/>
      <c r="F112" s="1200"/>
      <c r="G112" s="1202"/>
      <c r="H112" s="1202"/>
      <c r="I112" s="1204"/>
      <c r="J112" s="1202"/>
      <c r="K112" s="1202"/>
      <c r="L112" s="1206"/>
      <c r="M112" s="1208"/>
      <c r="N112" s="1065" t="s">
        <v>779</v>
      </c>
      <c r="O112" s="1065"/>
      <c r="P112" s="1066"/>
      <c r="Q112" s="316">
        <f>COUNTIFS(input!$O:$O,June!$Q$66,input!$G:$G,June!N112,input!$A:$A,June!$B$2)</f>
        <v>0</v>
      </c>
      <c r="R112" s="316">
        <f>COUNTIFS(input!$O:$O,June!$R$66,input!$G:$G,June!N112,input!$A:$A,June!$B$2)</f>
        <v>0</v>
      </c>
      <c r="S112" s="316">
        <f>COUNTIFS(input!$O:$O,June!$S$66,input!$G:$G,June!N112,input!$A:$A,June!$B$2)</f>
        <v>0</v>
      </c>
      <c r="T112" s="321">
        <f>COUNTIFS(input!$O:$O,June!$T$66,input!$G:$G,June!N112,input!$A:$A,June!$B$2)</f>
        <v>0</v>
      </c>
      <c r="U112" s="322">
        <f>COUNTIFS(input!$O:$O,June!$U$66,input!$G:$G,June!N112,input!$A:$A,June!$B$2)</f>
        <v>0</v>
      </c>
      <c r="V112" s="322">
        <f>COUNTIFS(input!$O:$O,June!$V$66,input!$G:$G,June!N112,input!$A:$A,June!$B$2)</f>
        <v>0</v>
      </c>
      <c r="W112" s="323">
        <f>COUNTIFS(input!$O:$O,June!$W$66,input!$G:$G,June!N112,input!$A:$A,June!$B$2)</f>
        <v>0</v>
      </c>
      <c r="X112" s="324">
        <f>COUNTIFS(input!$O:$O,June!$X$66,input!$G:$G,June!N112,input!$A:$A,June!$B$2)</f>
        <v>0</v>
      </c>
      <c r="Y112" s="312">
        <f t="shared" si="9"/>
        <v>0</v>
      </c>
      <c r="Z112" s="315" cm="1">
        <f t="array" ref="Z112">_xlfn.IFS(Y112=0,0,Y112&gt;=1,Y112/$Y$116)</f>
        <v>0</v>
      </c>
    </row>
    <row r="113" spans="2:26" ht="92" hidden="1" customHeight="1" x14ac:dyDescent="0.25">
      <c r="B113" s="1196"/>
      <c r="C113" s="1197"/>
      <c r="D113" s="1200"/>
      <c r="E113" s="1200"/>
      <c r="F113" s="1200"/>
      <c r="G113" s="1202"/>
      <c r="H113" s="1202"/>
      <c r="I113" s="1204"/>
      <c r="J113" s="1202"/>
      <c r="K113" s="1202"/>
      <c r="L113" s="1206"/>
      <c r="M113" s="1208"/>
      <c r="N113" s="1065" t="s">
        <v>1391</v>
      </c>
      <c r="O113" s="1065"/>
      <c r="P113" s="1066"/>
      <c r="Q113" s="316">
        <f>COUNTIFS(input!$O:$O,June!$Q$66,input!$G:$G,June!N113,input!$A:$A,June!$B$2)</f>
        <v>0</v>
      </c>
      <c r="R113" s="316">
        <f>COUNTIFS(input!$O:$O,June!$R$66,input!$G:$G,June!N113,input!$A:$A,June!$B$2)</f>
        <v>0</v>
      </c>
      <c r="S113" s="316">
        <f>COUNTIFS(input!$O:$O,June!$S$66,input!$G:$G,June!N113,input!$A:$A,June!$B$2)</f>
        <v>0</v>
      </c>
      <c r="T113" s="321">
        <f>COUNTIFS(input!$O:$O,June!$T$66,input!$G:$G,June!N113,input!$A:$A,June!$B$2)</f>
        <v>0</v>
      </c>
      <c r="U113" s="322">
        <f>COUNTIFS(input!$O:$O,June!$U$66,input!$G:$G,June!N113,input!$A:$A,June!$B$2)</f>
        <v>0</v>
      </c>
      <c r="V113" s="322">
        <f>COUNTIFS(input!$O:$O,June!$V$66,input!$G:$G,June!N113,input!$A:$A,June!$B$2)</f>
        <v>0</v>
      </c>
      <c r="W113" s="323">
        <f>COUNTIFS(input!$O:$O,June!$W$66,input!$G:$G,June!N113,input!$A:$A,June!$B$2)</f>
        <v>0</v>
      </c>
      <c r="X113" s="324">
        <f>COUNTIFS(input!$O:$O,June!$X$66,input!$G:$G,June!N113,input!$A:$A,June!$B$2)</f>
        <v>0</v>
      </c>
      <c r="Y113" s="312">
        <f t="shared" si="9"/>
        <v>0</v>
      </c>
      <c r="Z113" s="315" cm="1">
        <f t="array" ref="Z113">_xlfn.IFS(Y113=0,0,Y113&gt;=1,Y113/$Y$116)</f>
        <v>0</v>
      </c>
    </row>
    <row r="114" spans="2:26" ht="92" x14ac:dyDescent="0.25">
      <c r="B114" s="1196"/>
      <c r="C114" s="1197"/>
      <c r="D114" s="1200"/>
      <c r="E114" s="1200"/>
      <c r="F114" s="1200"/>
      <c r="G114" s="1202"/>
      <c r="H114" s="1202"/>
      <c r="I114" s="1204"/>
      <c r="J114" s="1202"/>
      <c r="K114" s="1202"/>
      <c r="L114" s="1206"/>
      <c r="M114" s="1208"/>
      <c r="N114" s="1016" t="s">
        <v>181</v>
      </c>
      <c r="O114" s="1016"/>
      <c r="P114" s="991"/>
      <c r="Q114" s="316">
        <f>COUNTIFS(input!$O:$O,June!$Q$66,input!$G:$G,June!N114,input!$A:$A,June!$B$2)</f>
        <v>0</v>
      </c>
      <c r="R114" s="316">
        <f>COUNTIFS(input!$O:$O,June!$R$66,input!$G:$G,June!N114,input!$A:$A,June!$B$2)</f>
        <v>0</v>
      </c>
      <c r="S114" s="316">
        <f>COUNTIFS(input!$O:$O,June!$S$66,input!$G:$G,June!N114,input!$A:$A,June!$B$2)</f>
        <v>0</v>
      </c>
      <c r="T114" s="321">
        <f>COUNTIFS(input!$O:$O,June!$T$66,input!$G:$G,June!N114,input!$A:$A,June!$B$2)</f>
        <v>1</v>
      </c>
      <c r="U114" s="322">
        <f>COUNTIFS(input!$O:$O,June!$U$66,input!$G:$G,June!N114,input!$A:$A,June!$B$2)</f>
        <v>0</v>
      </c>
      <c r="V114" s="322">
        <f>COUNTIFS(input!$O:$O,June!$V$66,input!$G:$G,June!N114,input!$A:$A,June!$B$2)</f>
        <v>0</v>
      </c>
      <c r="W114" s="323">
        <f>COUNTIFS(input!$O:$O,June!$W$66,input!$G:$G,June!N114,input!$A:$A,June!$B$2)</f>
        <v>0</v>
      </c>
      <c r="X114" s="324">
        <f>COUNTIFS(input!$O:$O,June!$X$66,input!$G:$G,June!N114,input!$A:$A,June!$B$2)</f>
        <v>0</v>
      </c>
      <c r="Y114" s="312">
        <f t="shared" si="9"/>
        <v>1</v>
      </c>
      <c r="Z114" s="315" cm="1">
        <f t="array" ref="Z114">_xlfn.IFS(Y114=0,0,Y114&gt;=1,Y114/$Y$116)</f>
        <v>0.1111111111111111</v>
      </c>
    </row>
    <row r="115" spans="2:26" ht="92" x14ac:dyDescent="0.25">
      <c r="B115" s="1198"/>
      <c r="C115" s="1199"/>
      <c r="D115" s="1201"/>
      <c r="E115" s="1201"/>
      <c r="F115" s="1201"/>
      <c r="G115" s="1203"/>
      <c r="H115" s="1203"/>
      <c r="I115" s="1205"/>
      <c r="J115" s="1203"/>
      <c r="K115" s="1203"/>
      <c r="L115" s="1207"/>
      <c r="M115" s="1209"/>
      <c r="N115" s="1016" t="s">
        <v>1828</v>
      </c>
      <c r="O115" s="1016"/>
      <c r="P115" s="991"/>
      <c r="Q115" s="316">
        <f>COUNTIFS(input!$O:$O,June!$Q$66,input!$G:$G,June!N115,input!$A:$A,June!$B$2)</f>
        <v>0</v>
      </c>
      <c r="R115" s="316">
        <f>COUNTIFS(input!$O:$O,June!$R$66,input!$G:$G,June!N115,input!$A:$A,June!$B$2)</f>
        <v>0</v>
      </c>
      <c r="S115" s="316">
        <f>COUNTIFS(input!$O:$O,June!$S$66,input!$G:$G,June!N115,input!$A:$A,June!$B$2)</f>
        <v>0</v>
      </c>
      <c r="T115" s="321">
        <f>COUNTIFS(input!$O:$O,June!$T$66,input!$G:$G,June!N115,input!$A:$A,June!$B$2)</f>
        <v>0</v>
      </c>
      <c r="U115" s="322">
        <f>COUNTIFS(input!$O:$O,June!$U$66,input!$G:$G,June!N115,input!$A:$A,June!$B$2)</f>
        <v>1</v>
      </c>
      <c r="V115" s="322">
        <f>COUNTIFS(input!$O:$O,June!$V$66,input!$G:$G,June!N115,input!$A:$A,June!$B$2)</f>
        <v>0</v>
      </c>
      <c r="W115" s="323">
        <f>COUNTIFS(input!$O:$O,June!$W$66,input!$G:$G,June!N115,input!$A:$A,June!$B$2)</f>
        <v>0</v>
      </c>
      <c r="X115" s="324">
        <f>COUNTIFS(input!$O:$O,June!$X$66,input!$G:$G,June!N115,input!$A:$A,June!$B$2)</f>
        <v>0</v>
      </c>
      <c r="Y115" s="312">
        <f t="shared" si="9"/>
        <v>1</v>
      </c>
      <c r="Z115" s="315" cm="1">
        <f t="array" ref="Z115">_xlfn.IFS(Y115=0,0,Y115&gt;=1,Y115/$Y$116)</f>
        <v>0.1111111111111111</v>
      </c>
    </row>
    <row r="116" spans="2:26" ht="90.5" thickBot="1" x14ac:dyDescent="0.3">
      <c r="B116" s="1005" t="s">
        <v>4</v>
      </c>
      <c r="C116" s="984"/>
      <c r="D116" s="340">
        <f t="shared" ref="D116:M116" si="10">SUM(D67:D106)</f>
        <v>0</v>
      </c>
      <c r="E116" s="340">
        <f t="shared" si="10"/>
        <v>0</v>
      </c>
      <c r="F116" s="340">
        <f t="shared" si="10"/>
        <v>0</v>
      </c>
      <c r="G116" s="340">
        <f t="shared" si="10"/>
        <v>6</v>
      </c>
      <c r="H116" s="340">
        <f t="shared" si="10"/>
        <v>1</v>
      </c>
      <c r="I116" s="340">
        <f t="shared" si="10"/>
        <v>1</v>
      </c>
      <c r="J116" s="340">
        <f t="shared" si="10"/>
        <v>0</v>
      </c>
      <c r="K116" s="340">
        <f t="shared" si="10"/>
        <v>1</v>
      </c>
      <c r="L116" s="340">
        <f t="shared" si="10"/>
        <v>9</v>
      </c>
      <c r="M116" s="341">
        <f t="shared" si="10"/>
        <v>1</v>
      </c>
      <c r="N116" s="983" t="s">
        <v>4</v>
      </c>
      <c r="O116" s="983"/>
      <c r="P116" s="984"/>
      <c r="Q116" s="340">
        <f t="shared" ref="Q116:W116" si="11">SUM(Q67:Q106)</f>
        <v>0</v>
      </c>
      <c r="R116" s="340">
        <f t="shared" si="11"/>
        <v>0</v>
      </c>
      <c r="S116" s="340">
        <f t="shared" si="11"/>
        <v>0</v>
      </c>
      <c r="T116" s="340">
        <f t="shared" si="11"/>
        <v>3</v>
      </c>
      <c r="U116" s="340">
        <f t="shared" si="11"/>
        <v>0</v>
      </c>
      <c r="V116" s="340">
        <f t="shared" si="11"/>
        <v>1</v>
      </c>
      <c r="W116" s="340">
        <f t="shared" si="11"/>
        <v>0</v>
      </c>
      <c r="X116" s="340">
        <f>SUM(X67:X114)</f>
        <v>1</v>
      </c>
      <c r="Y116" s="340">
        <f>SUM(Y67:Y115)</f>
        <v>9</v>
      </c>
      <c r="Z116" s="341">
        <f>SUM(Z67:Z115)</f>
        <v>1</v>
      </c>
    </row>
    <row r="117" spans="2:26" ht="270" x14ac:dyDescent="0.25">
      <c r="B117" s="1006" t="s">
        <v>44</v>
      </c>
      <c r="C117" s="1007"/>
      <c r="D117" s="308" t="s">
        <v>6</v>
      </c>
      <c r="E117" s="308" t="s">
        <v>2</v>
      </c>
      <c r="F117" s="308" t="s">
        <v>3</v>
      </c>
      <c r="G117" s="308" t="s">
        <v>1</v>
      </c>
      <c r="H117" s="308" t="s">
        <v>0</v>
      </c>
      <c r="I117" s="308" t="s">
        <v>53</v>
      </c>
      <c r="J117" s="308" t="s">
        <v>12</v>
      </c>
      <c r="K117" s="308" t="s">
        <v>693</v>
      </c>
      <c r="L117" s="308" t="s">
        <v>5</v>
      </c>
      <c r="M117" s="336" t="s">
        <v>40</v>
      </c>
      <c r="N117" s="1008" t="s">
        <v>70</v>
      </c>
      <c r="O117" s="1008"/>
      <c r="P117" s="1007"/>
      <c r="Q117" s="308" t="s">
        <v>6</v>
      </c>
      <c r="R117" s="308" t="s">
        <v>2</v>
      </c>
      <c r="S117" s="308" t="s">
        <v>3</v>
      </c>
      <c r="T117" s="308" t="s">
        <v>1</v>
      </c>
      <c r="U117" s="308" t="s">
        <v>0</v>
      </c>
      <c r="V117" s="308" t="s">
        <v>53</v>
      </c>
      <c r="W117" s="308" t="s">
        <v>12</v>
      </c>
      <c r="X117" s="308" t="s">
        <v>693</v>
      </c>
      <c r="Y117" s="308" t="s">
        <v>5</v>
      </c>
      <c r="Z117" s="309" t="s">
        <v>40</v>
      </c>
    </row>
    <row r="118" spans="2:26" ht="92" x14ac:dyDescent="0.25">
      <c r="B118" s="1121" t="s">
        <v>357</v>
      </c>
      <c r="C118" s="1066"/>
      <c r="D118" s="310">
        <f>COUNTIFS(input!$O:$O,June!$D$117,input!$W:$W,June!B118,input!$A:$A,June!$B$2)</f>
        <v>0</v>
      </c>
      <c r="E118" s="310">
        <f>COUNTIFS(input!$O:$O,June!$E$117,input!$W:$W,June!B118,input!$A:$A,June!$B$2)</f>
        <v>0</v>
      </c>
      <c r="F118" s="310">
        <f>COUNTIFS(input!$O:$O,June!$F$117,input!$W:$W,June!B118,input!$A:$A,June!$B$2)</f>
        <v>0</v>
      </c>
      <c r="G118" s="314">
        <f>COUNTIFS(input!$O:$O,June!$G$117,input!$W:$W,June!B118,input!$A:$A,June!$B$2)</f>
        <v>0</v>
      </c>
      <c r="H118" s="314">
        <f>COUNTIFS(input!$O:$O,June!$H$117,input!$W:$W,June!B118,input!$A:$A,June!$B$2)</f>
        <v>0</v>
      </c>
      <c r="I118" s="314">
        <f>COUNTIFS(input!$O:$O,June!$I$117,input!$W:$W,June!B118,input!$A:$A,June!$B$2)</f>
        <v>0</v>
      </c>
      <c r="J118" s="314">
        <f>COUNTIFS(input!$O:$O,June!$J$117,input!$W:$W,June!B118,input!$A:$A,June!$B$2)</f>
        <v>0</v>
      </c>
      <c r="K118" s="314">
        <f>COUNTIFS(input!$O:$O,June!$K$117,input!$W:$W,June!B118,input!$A:$A,June!$B$2)</f>
        <v>0</v>
      </c>
      <c r="L118" s="312">
        <f>SUM(D118:K118)</f>
        <v>0</v>
      </c>
      <c r="M118" s="313" cm="1">
        <f t="array" ref="M118">_xlfn.IFS(L118=0,0,L118&gt;=1,L118/$L$178)</f>
        <v>0</v>
      </c>
      <c r="N118" s="1009" t="s">
        <v>370</v>
      </c>
      <c r="O118" s="1009"/>
      <c r="P118" s="1010"/>
      <c r="Q118" s="310">
        <f>COUNTIFS(input!$O:$O,June!$Q$117,input!$X:$X,June!N118,input!$A:$A,June!$B$2)</f>
        <v>0</v>
      </c>
      <c r="R118" s="310">
        <f>COUNTIFS(input!$O:$O,June!$R$117,input!$X:$X,June!N118,input!$A:$A,June!$B$2)</f>
        <v>0</v>
      </c>
      <c r="S118" s="310">
        <f>COUNTIFS(input!$O:$O,June!$S$117,input!$X:$X,June!N118,input!$A:$A,June!$B$2)</f>
        <v>0</v>
      </c>
      <c r="T118" s="314">
        <f>COUNTIFS(input!$O:$O,June!$T$117,input!$X:$X,June!N118,input!$A:$A,June!$B$2)</f>
        <v>2</v>
      </c>
      <c r="U118" s="314">
        <f>COUNTIFS(input!$O:$O,June!$U$117,input!$X:$X,June!N118,input!$A:$A,June!$B$2)</f>
        <v>0</v>
      </c>
      <c r="V118" s="342">
        <f>COUNTIFS(input!$O:$O,June!$V$117,input!$X:$X,June!N118,input!$A:$A,June!$B$2)</f>
        <v>0</v>
      </c>
      <c r="W118" s="342">
        <f>COUNTIFS(input!$O:$O,June!$W$117,input!$X:$X,June!N118,input!$A:$A,June!$B$2)</f>
        <v>0</v>
      </c>
      <c r="X118" s="314">
        <f>COUNTIFS(input!$O:$O,June!$X$117,input!$X:$X,June!N118,input!$A:$A,June!$B$2)</f>
        <v>0</v>
      </c>
      <c r="Y118" s="312">
        <f t="shared" ref="Y118:Y129" si="12">SUM(Q118:X118)</f>
        <v>2</v>
      </c>
      <c r="Z118" s="315" cm="1">
        <f t="array" ref="Z118">_xlfn.IFS(Y118=0,0,Y118&gt;=1,Y118/$Y$178)</f>
        <v>0.22222222222222221</v>
      </c>
    </row>
    <row r="119" spans="2:26" ht="92" hidden="1" x14ac:dyDescent="0.25">
      <c r="B119" s="1121" t="s">
        <v>605</v>
      </c>
      <c r="C119" s="1066"/>
      <c r="D119" s="316">
        <f>COUNTIFS(input!$O:$O,June!$D$117,input!$W:$W,June!B119,input!$A:$A,June!$B$2)</f>
        <v>0</v>
      </c>
      <c r="E119" s="316">
        <f>COUNTIFS(input!$O:$O,June!$E$117,input!$W:$W,June!B119,input!$A:$A,June!$B$2)</f>
        <v>0</v>
      </c>
      <c r="F119" s="316">
        <f>COUNTIFS(input!$O:$O,June!$F$117,input!$W:$W,June!B119,input!$A:$A,June!$B$2)</f>
        <v>0</v>
      </c>
      <c r="G119" s="322">
        <f>COUNTIFS(input!$O:$O,June!$G$117,input!$W:$W,June!B119,input!$A:$A,June!$B$2)</f>
        <v>0</v>
      </c>
      <c r="H119" s="321">
        <f>COUNTIFS(input!$O:$O,June!$H$117,input!$W:$W,June!B119,input!$A:$A,June!$B$2)</f>
        <v>0</v>
      </c>
      <c r="I119" s="321">
        <f>COUNTIFS(input!$O:$O,June!$I$117,input!$W:$W,June!B119,input!$A:$A,June!$B$2)</f>
        <v>0</v>
      </c>
      <c r="J119" s="321">
        <f>COUNTIFS(input!$O:$O,June!$J$117,input!$W:$W,June!B119,input!$A:$A,June!$B$2)</f>
        <v>0</v>
      </c>
      <c r="K119" s="343">
        <f>COUNTIFS(input!$O:$O,June!$K$117,input!$W:$W,June!B119,input!$A:$A,June!$B$2)</f>
        <v>0</v>
      </c>
      <c r="L119" s="312">
        <f>SUM(D119:K119)</f>
        <v>0</v>
      </c>
      <c r="M119" s="320" cm="1">
        <f t="array" ref="M119">_xlfn.IFS(L119=0,0,L119&gt;=1,L119/$L$178)</f>
        <v>0</v>
      </c>
      <c r="N119" s="995" t="s">
        <v>371</v>
      </c>
      <c r="O119" s="996"/>
      <c r="P119" s="997"/>
      <c r="Q119" s="316">
        <f>COUNTIFS(input!$O:$O,June!$Q$117,input!$X:$X,June!N119,input!$A:$A,June!$B$2)</f>
        <v>0</v>
      </c>
      <c r="R119" s="316">
        <f>COUNTIFS(input!$O:$O,June!$R$117,input!$X:$X,June!N119,input!$A:$A,June!$B$2)</f>
        <v>0</v>
      </c>
      <c r="S119" s="316">
        <f>COUNTIFS(input!$O:$O,June!$S$117,input!$X:$X,June!N119,input!$A:$A,June!$B$2)</f>
        <v>0</v>
      </c>
      <c r="T119" s="322">
        <f>COUNTIFS(input!$O:$O,June!$T$117,input!$X:$X,June!N119,input!$A:$A,June!$B$2)</f>
        <v>0</v>
      </c>
      <c r="U119" s="322">
        <f>COUNTIFS(input!$O:$O,June!$U$117,input!$X:$X,June!N119,input!$A:$A,June!$B$2)</f>
        <v>0</v>
      </c>
      <c r="V119" s="323">
        <f>COUNTIFS(input!$O:$O,June!$V$117,input!$X:$X,June!N119,input!$A:$A,June!$B$2)</f>
        <v>0</v>
      </c>
      <c r="W119" s="323">
        <f>COUNTIFS(input!$O:$O,June!$W$117,input!$X:$X,June!N119,input!$A:$A,June!$B$2)</f>
        <v>0</v>
      </c>
      <c r="X119" s="324">
        <f>COUNTIFS(input!$O:$O,June!$X$117,input!$X:$X,June!N119,input!$A:$A,June!$B$2)</f>
        <v>0</v>
      </c>
      <c r="Y119" s="312">
        <f t="shared" si="12"/>
        <v>0</v>
      </c>
      <c r="Z119" s="315" cm="1">
        <f t="array" ref="Z119">_xlfn.IFS(Y119=0,0,Y119&gt;=1,Y119/$Y$178)</f>
        <v>0</v>
      </c>
    </row>
    <row r="120" spans="2:26" ht="92" hidden="1" x14ac:dyDescent="0.25">
      <c r="B120" s="1121" t="s">
        <v>359</v>
      </c>
      <c r="C120" s="1066"/>
      <c r="D120" s="316">
        <f>COUNTIFS(input!$O:$O,June!$D$117,input!$W:$W,June!B120,input!$A:$A,June!$B$2)</f>
        <v>0</v>
      </c>
      <c r="E120" s="316">
        <f>COUNTIFS(input!$O:$O,June!$E$117,input!$W:$W,June!B120,input!$A:$A,June!$B$2)</f>
        <v>0</v>
      </c>
      <c r="F120" s="316">
        <f>COUNTIFS(input!$O:$O,June!$F$117,input!$W:$W,June!B120,input!$A:$A,June!$B$2)</f>
        <v>0</v>
      </c>
      <c r="G120" s="322">
        <f>COUNTIFS(input!$O:$O,June!$G$117,input!$W:$W,June!B120,input!$A:$A,June!$B$2)</f>
        <v>0</v>
      </c>
      <c r="H120" s="321">
        <f>COUNTIFS(input!$O:$O,June!$H$117,input!$W:$W,June!B120,input!$A:$A,June!$B$2)</f>
        <v>0</v>
      </c>
      <c r="I120" s="321">
        <f>COUNTIFS(input!$O:$O,June!$I$117,input!$W:$W,June!B120,input!$A:$A,June!$B$2)</f>
        <v>0</v>
      </c>
      <c r="J120" s="321">
        <f>COUNTIFS(input!$O:$O,June!$J$117,input!$W:$W,June!B120,input!$A:$A,June!$B$2)</f>
        <v>0</v>
      </c>
      <c r="K120" s="343">
        <f>COUNTIFS(input!$O:$O,June!$K$117,input!$W:$W,June!B120,input!$A:$A,June!$B$2)</f>
        <v>0</v>
      </c>
      <c r="L120" s="312">
        <f t="shared" ref="L120:L177" si="13">SUM(D120:K120)</f>
        <v>0</v>
      </c>
      <c r="M120" s="320" cm="1">
        <f t="array" ref="M120">_xlfn.IFS(L120=0,0,L120&gt;=1,L120/$L$178)</f>
        <v>0</v>
      </c>
      <c r="N120" s="995" t="s">
        <v>372</v>
      </c>
      <c r="O120" s="996"/>
      <c r="P120" s="997"/>
      <c r="Q120" s="316">
        <f>COUNTIFS(input!$O:$O,June!$Q$117,input!$X:$X,June!N120,input!$A:$A,June!$B$2)</f>
        <v>0</v>
      </c>
      <c r="R120" s="316">
        <f>COUNTIFS(input!$O:$O,June!$R$117,input!$X:$X,June!N120,input!$A:$A,June!$B$2)</f>
        <v>0</v>
      </c>
      <c r="S120" s="316">
        <f>COUNTIFS(input!$O:$O,June!$S$117,input!$X:$X,June!N120,input!$A:$A,June!$B$2)</f>
        <v>0</v>
      </c>
      <c r="T120" s="322">
        <f>COUNTIFS(input!$O:$O,June!$T$117,input!$X:$X,June!N120,input!$A:$A,June!$B$2)</f>
        <v>0</v>
      </c>
      <c r="U120" s="322">
        <f>COUNTIFS(input!$O:$O,June!$U$117,input!$X:$X,June!N120,input!$A:$A,June!$B$2)</f>
        <v>0</v>
      </c>
      <c r="V120" s="323">
        <f>COUNTIFS(input!$O:$O,June!$V$117,input!$X:$X,June!N120,input!$A:$A,June!$B$2)</f>
        <v>0</v>
      </c>
      <c r="W120" s="323">
        <f>COUNTIFS(input!$O:$O,June!$W$117,input!$X:$X,June!N120,input!$A:$A,June!$B$2)</f>
        <v>0</v>
      </c>
      <c r="X120" s="324">
        <f>COUNTIFS(input!$O:$O,June!$X$117,input!$X:$X,June!N120,input!$A:$A,June!$B$2)</f>
        <v>0</v>
      </c>
      <c r="Y120" s="312">
        <f t="shared" si="12"/>
        <v>0</v>
      </c>
      <c r="Z120" s="315" cm="1">
        <f t="array" ref="Z120">_xlfn.IFS(Y120=0,0,Y120&gt;=1,Y120/$Y$178)</f>
        <v>0</v>
      </c>
    </row>
    <row r="121" spans="2:26" ht="92" hidden="1" customHeight="1" x14ac:dyDescent="0.25">
      <c r="B121" s="1121" t="s">
        <v>1542</v>
      </c>
      <c r="C121" s="1066"/>
      <c r="D121" s="316">
        <f>COUNTIFS(input!$O:$O,June!$D$117,input!$W:$W,June!B121,input!$A:$A,June!$B$2)</f>
        <v>0</v>
      </c>
      <c r="E121" s="316">
        <f>COUNTIFS(input!$O:$O,June!$E$117,input!$W:$W,June!B121,input!$A:$A,June!$B$2)</f>
        <v>0</v>
      </c>
      <c r="F121" s="316">
        <f>COUNTIFS(input!$O:$O,June!$F$117,input!$W:$W,June!B121,input!$A:$A,June!$B$2)</f>
        <v>0</v>
      </c>
      <c r="G121" s="322">
        <f>COUNTIFS(input!$O:$O,June!$G$117,input!$W:$W,June!B121,input!$A:$A,June!$B$2)</f>
        <v>0</v>
      </c>
      <c r="H121" s="321">
        <f>COUNTIFS(input!$O:$O,June!$H$117,input!$W:$W,June!B121,input!$A:$A,June!$B$2)</f>
        <v>0</v>
      </c>
      <c r="I121" s="321">
        <f>COUNTIFS(input!$O:$O,June!$I$117,input!$W:$W,June!B121,input!$A:$A,June!$B$2)</f>
        <v>0</v>
      </c>
      <c r="J121" s="321">
        <f>COUNTIFS(input!$O:$O,June!$J$117,input!$W:$W,June!B121,input!$A:$A,June!$B$2)</f>
        <v>0</v>
      </c>
      <c r="K121" s="343">
        <f>COUNTIFS(input!$O:$O,June!$K$117,input!$W:$W,June!B121,input!$A:$A,June!$B$2)</f>
        <v>0</v>
      </c>
      <c r="L121" s="312">
        <f t="shared" si="13"/>
        <v>0</v>
      </c>
      <c r="M121" s="320" cm="1">
        <f t="array" ref="M121">_xlfn.IFS(L121=0,0,L121&gt;=1,L121/$L$178)</f>
        <v>0</v>
      </c>
      <c r="N121" s="995" t="s">
        <v>373</v>
      </c>
      <c r="O121" s="996"/>
      <c r="P121" s="997"/>
      <c r="Q121" s="316">
        <f>COUNTIFS(input!$O:$O,June!$Q$117,input!$X:$X,June!N121,input!$A:$A,June!$B$2)</f>
        <v>0</v>
      </c>
      <c r="R121" s="316">
        <f>COUNTIFS(input!$O:$O,June!$R$117,input!$X:$X,June!N121,input!$A:$A,June!$B$2)</f>
        <v>0</v>
      </c>
      <c r="S121" s="316">
        <f>COUNTIFS(input!$O:$O,June!$S$117,input!$X:$X,June!N121,input!$A:$A,June!$B$2)</f>
        <v>0</v>
      </c>
      <c r="T121" s="322">
        <f>COUNTIFS(input!$O:$O,June!$T$117,input!$X:$X,June!N121,input!$A:$A,June!$B$2)</f>
        <v>0</v>
      </c>
      <c r="U121" s="322">
        <f>COUNTIFS(input!$O:$O,June!$U$117,input!$X:$X,June!N121,input!$A:$A,June!$B$2)</f>
        <v>0</v>
      </c>
      <c r="V121" s="323">
        <f>COUNTIFS(input!$O:$O,June!$V$117,input!$X:$X,June!N121,input!$A:$A,June!$B$2)</f>
        <v>0</v>
      </c>
      <c r="W121" s="323">
        <f>COUNTIFS(input!$O:$O,June!$W$117,input!$X:$X,June!N121,input!$A:$A,June!$B$2)</f>
        <v>0</v>
      </c>
      <c r="X121" s="324">
        <f>COUNTIFS(input!$O:$O,June!$X$117,input!$X:$X,June!N121,input!$A:$A,June!$B$2)</f>
        <v>0</v>
      </c>
      <c r="Y121" s="312">
        <f t="shared" si="12"/>
        <v>0</v>
      </c>
      <c r="Z121" s="315" cm="1">
        <f t="array" ref="Z121">_xlfn.IFS(Y121=0,0,Y121&gt;=1,Y121/$Y$178)</f>
        <v>0</v>
      </c>
    </row>
    <row r="122" spans="2:26" ht="92" hidden="1" customHeight="1" x14ac:dyDescent="0.25">
      <c r="B122" s="1121" t="s">
        <v>648</v>
      </c>
      <c r="C122" s="1066"/>
      <c r="D122" s="316">
        <f>COUNTIFS(input!$O:$O,June!$D$117,input!$W:$W,June!B122,input!$A:$A,June!$B$2)</f>
        <v>0</v>
      </c>
      <c r="E122" s="316">
        <f>COUNTIFS(input!$O:$O,June!$E$117,input!$W:$W,June!B122,input!$A:$A,June!$B$2)</f>
        <v>0</v>
      </c>
      <c r="F122" s="316">
        <f>COUNTIFS(input!$O:$O,June!$F$117,input!$W:$W,June!B122,input!$A:$A,June!$B$2)</f>
        <v>0</v>
      </c>
      <c r="G122" s="322">
        <f>COUNTIFS(input!$O:$O,June!$G$117,input!$W:$W,June!B122,input!$A:$A,June!$B$2)</f>
        <v>0</v>
      </c>
      <c r="H122" s="321">
        <f>COUNTIFS(input!$O:$O,June!$H$117,input!$W:$W,June!B122,input!$A:$A,June!$B$2)</f>
        <v>0</v>
      </c>
      <c r="I122" s="321">
        <f>COUNTIFS(input!$O:$O,June!$I$117,input!$W:$W,June!B122,input!$A:$A,June!$B$2)</f>
        <v>0</v>
      </c>
      <c r="J122" s="321">
        <f>COUNTIFS(input!$O:$O,June!$J$117,input!$W:$W,June!B122,input!$A:$A,June!$B$2)</f>
        <v>0</v>
      </c>
      <c r="K122" s="343">
        <f>COUNTIFS(input!$O:$O,June!$K$117,input!$W:$W,June!B122,input!$A:$A,June!$B$2)</f>
        <v>0</v>
      </c>
      <c r="L122" s="312">
        <f t="shared" si="13"/>
        <v>0</v>
      </c>
      <c r="M122" s="320" cm="1">
        <f t="array" ref="M122">_xlfn.IFS(L122=0,0,L122&gt;=1,L122/$L$178)</f>
        <v>0</v>
      </c>
      <c r="N122" s="995" t="s">
        <v>374</v>
      </c>
      <c r="O122" s="996"/>
      <c r="P122" s="997"/>
      <c r="Q122" s="316">
        <f>COUNTIFS(input!$O:$O,June!$Q$117,input!$X:$X,June!N122,input!$A:$A,June!$B$2)</f>
        <v>0</v>
      </c>
      <c r="R122" s="316">
        <f>COUNTIFS(input!$O:$O,June!$R$117,input!$X:$X,June!N122,input!$A:$A,June!$B$2)</f>
        <v>0</v>
      </c>
      <c r="S122" s="316">
        <f>COUNTIFS(input!$O:$O,June!$S$117,input!$X:$X,June!N122,input!$A:$A,June!$B$2)</f>
        <v>0</v>
      </c>
      <c r="T122" s="322">
        <f>COUNTIFS(input!$O:$O,June!$T$117,input!$X:$X,June!N122,input!$A:$A,June!$B$2)</f>
        <v>0</v>
      </c>
      <c r="U122" s="322">
        <f>COUNTIFS(input!$O:$O,June!$U$117,input!$X:$X,June!N122,input!$A:$A,June!$B$2)</f>
        <v>0</v>
      </c>
      <c r="V122" s="323">
        <f>COUNTIFS(input!$O:$O,June!$V$117,input!$X:$X,June!N122,input!$A:$A,June!$B$2)</f>
        <v>0</v>
      </c>
      <c r="W122" s="323">
        <f>COUNTIFS(input!$O:$O,June!$W$117,input!$X:$X,June!N122,input!$A:$A,June!$B$2)</f>
        <v>0</v>
      </c>
      <c r="X122" s="324">
        <f>COUNTIFS(input!$O:$O,June!$X$117,input!$X:$X,June!N122,input!$A:$A,June!$B$2)</f>
        <v>0</v>
      </c>
      <c r="Y122" s="312">
        <f t="shared" si="12"/>
        <v>0</v>
      </c>
      <c r="Z122" s="315" cm="1">
        <f t="array" ref="Z122">_xlfn.IFS(Y122=0,0,Y122&gt;=1,Y122/$Y$178)</f>
        <v>0</v>
      </c>
    </row>
    <row r="123" spans="2:26" ht="92" hidden="1" customHeight="1" x14ac:dyDescent="0.25">
      <c r="B123" s="1121" t="s">
        <v>827</v>
      </c>
      <c r="C123" s="1066"/>
      <c r="D123" s="316">
        <f>COUNTIFS(input!$O:$O,June!$D$117,input!$W:$W,June!B123,input!$A:$A,June!$B$2)</f>
        <v>0</v>
      </c>
      <c r="E123" s="316">
        <f>COUNTIFS(input!$O:$O,June!$E$117,input!$W:$W,June!B123,input!$A:$A,June!$B$2)</f>
        <v>0</v>
      </c>
      <c r="F123" s="316">
        <f>COUNTIFS(input!$O:$O,June!$F$117,input!$W:$W,June!B123,input!$A:$A,June!$B$2)</f>
        <v>0</v>
      </c>
      <c r="G123" s="322">
        <f>COUNTIFS(input!$O:$O,June!$G$117,input!$W:$W,June!B123,input!$A:$A,June!$B$2)</f>
        <v>0</v>
      </c>
      <c r="H123" s="321">
        <f>COUNTIFS(input!$O:$O,June!$H$117,input!$W:$W,June!B123,input!$A:$A,June!$B$2)</f>
        <v>0</v>
      </c>
      <c r="I123" s="321">
        <f>COUNTIFS(input!$O:$O,June!$I$117,input!$W:$W,June!B123,input!$A:$A,June!$B$2)</f>
        <v>0</v>
      </c>
      <c r="J123" s="321">
        <f>COUNTIFS(input!$O:$O,June!$J$117,input!$W:$W,June!B123,input!$A:$A,June!$B$2)</f>
        <v>0</v>
      </c>
      <c r="K123" s="343">
        <f>COUNTIFS(input!$O:$O,June!$K$117,input!$W:$W,June!B123,input!$A:$A,June!$B$2)</f>
        <v>0</v>
      </c>
      <c r="L123" s="312">
        <f t="shared" si="13"/>
        <v>0</v>
      </c>
      <c r="M123" s="320" cm="1">
        <f t="array" ref="M123">_xlfn.IFS(L123=0,0,L123&gt;=1,L123/$L$178)</f>
        <v>0</v>
      </c>
      <c r="N123" s="995" t="s">
        <v>375</v>
      </c>
      <c r="O123" s="996"/>
      <c r="P123" s="997"/>
      <c r="Q123" s="316">
        <f>COUNTIFS(input!$O:$O,June!$Q$117,input!$X:$X,June!N123,input!$A:$A,June!$B$2)</f>
        <v>0</v>
      </c>
      <c r="R123" s="316">
        <f>COUNTIFS(input!$O:$O,June!$R$117,input!$X:$X,June!N123,input!$A:$A,June!$B$2)</f>
        <v>0</v>
      </c>
      <c r="S123" s="316">
        <f>COUNTIFS(input!$O:$O,June!$S$117,input!$X:$X,June!N123,input!$A:$A,June!$B$2)</f>
        <v>0</v>
      </c>
      <c r="T123" s="322">
        <f>COUNTIFS(input!$O:$O,June!$T$117,input!$X:$X,June!N123,input!$A:$A,June!$B$2)</f>
        <v>0</v>
      </c>
      <c r="U123" s="322">
        <f>COUNTIFS(input!$O:$O,June!$U$117,input!$X:$X,June!N123,input!$A:$A,June!$B$2)</f>
        <v>0</v>
      </c>
      <c r="V123" s="323">
        <f>COUNTIFS(input!$O:$O,June!$V$117,input!$X:$X,June!N123,input!$A:$A,June!$B$2)</f>
        <v>0</v>
      </c>
      <c r="W123" s="323">
        <f>COUNTIFS(input!$O:$O,June!$W$117,input!$X:$X,June!N123,input!$A:$A,June!$B$2)</f>
        <v>0</v>
      </c>
      <c r="X123" s="324">
        <f>COUNTIFS(input!$O:$O,June!$X$117,input!$X:$X,June!N123,input!$A:$A,June!$B$2)</f>
        <v>0</v>
      </c>
      <c r="Y123" s="312">
        <f t="shared" si="12"/>
        <v>0</v>
      </c>
      <c r="Z123" s="315" cm="1">
        <f t="array" ref="Z123">_xlfn.IFS(Y123=0,0,Y123&gt;=1,Y123/$Y$178)</f>
        <v>0</v>
      </c>
    </row>
    <row r="124" spans="2:26" ht="92" customHeight="1" x14ac:dyDescent="0.25">
      <c r="B124" s="1121" t="s">
        <v>1834</v>
      </c>
      <c r="C124" s="1066"/>
      <c r="D124" s="316">
        <f>COUNTIFS(input!$O:$O,June!$D$117,input!$W:$W,June!B124,input!$A:$A,June!$B$2)</f>
        <v>0</v>
      </c>
      <c r="E124" s="316">
        <f>COUNTIFS(input!$O:$O,June!$E$117,input!$W:$W,June!B124,input!$A:$A,June!$B$2)</f>
        <v>0</v>
      </c>
      <c r="F124" s="316">
        <f>COUNTIFS(input!$O:$O,June!$F$117,input!$W:$W,June!B124,input!$A:$A,June!$B$2)</f>
        <v>0</v>
      </c>
      <c r="G124" s="322">
        <f>COUNTIFS(input!$O:$O,June!$G$117,input!$W:$W,June!B124,input!$A:$A,June!$B$2)</f>
        <v>0</v>
      </c>
      <c r="H124" s="321">
        <f>COUNTIFS(input!$O:$O,June!$H$117,input!$W:$W,June!B124,input!$A:$A,June!$B$2)</f>
        <v>0</v>
      </c>
      <c r="I124" s="321">
        <f>COUNTIFS(input!$O:$O,June!$I$117,input!$W:$W,June!B124,input!$A:$A,June!$B$2)</f>
        <v>0</v>
      </c>
      <c r="J124" s="321">
        <f>COUNTIFS(input!$O:$O,June!$J$117,input!$W:$W,June!B124,input!$A:$A,June!$B$2)</f>
        <v>0</v>
      </c>
      <c r="K124" s="343">
        <f>COUNTIFS(input!$O:$O,June!$K$117,input!$W:$W,June!B124,input!$A:$A,June!$B$2)</f>
        <v>0</v>
      </c>
      <c r="L124" s="312">
        <f t="shared" si="13"/>
        <v>0</v>
      </c>
      <c r="M124" s="320" cm="1">
        <f t="array" ref="M124">_xlfn.IFS(L124=0,0,L124&gt;=1,L124/$L$178)</f>
        <v>0</v>
      </c>
      <c r="N124" s="992" t="s">
        <v>376</v>
      </c>
      <c r="O124" s="993"/>
      <c r="P124" s="994"/>
      <c r="Q124" s="316">
        <f>COUNTIFS(input!$O:$O,June!$Q$117,input!$X:$X,June!N124,input!$A:$A,June!$B$2)</f>
        <v>0</v>
      </c>
      <c r="R124" s="316">
        <f>COUNTIFS(input!$O:$O,June!$R$117,input!$X:$X,June!N124,input!$A:$A,June!$B$2)</f>
        <v>0</v>
      </c>
      <c r="S124" s="316">
        <f>COUNTIFS(input!$O:$O,June!$S$117,input!$X:$X,June!N124,input!$A:$A,June!$B$2)</f>
        <v>0</v>
      </c>
      <c r="T124" s="322">
        <f>COUNTIFS(input!$O:$O,June!$T$117,input!$X:$X,June!N124,input!$A:$A,June!$B$2)</f>
        <v>1</v>
      </c>
      <c r="U124" s="322">
        <f>COUNTIFS(input!$O:$O,June!$U$117,input!$X:$X,June!N124,input!$A:$A,June!$B$2)</f>
        <v>0</v>
      </c>
      <c r="V124" s="323">
        <f>COUNTIFS(input!$O:$O,June!$V$117,input!$X:$X,June!N124,input!$A:$A,June!$B$2)</f>
        <v>0</v>
      </c>
      <c r="W124" s="323">
        <f>COUNTIFS(input!$O:$O,June!$W$117,input!$X:$X,June!N124,input!$A:$A,June!$B$2)</f>
        <v>0</v>
      </c>
      <c r="X124" s="324">
        <f>COUNTIFS(input!$O:$O,June!$X$117,input!$X:$X,June!N124,input!$A:$A,June!$B$2)</f>
        <v>0</v>
      </c>
      <c r="Y124" s="312">
        <f t="shared" si="12"/>
        <v>1</v>
      </c>
      <c r="Z124" s="315" cm="1">
        <f t="array" ref="Z124">_xlfn.IFS(Y124=0,0,Y124&gt;=1,Y124/$Y$178)</f>
        <v>0.1111111111111111</v>
      </c>
    </row>
    <row r="125" spans="2:26" ht="92" hidden="1" customHeight="1" x14ac:dyDescent="0.25">
      <c r="B125" s="1121" t="s">
        <v>358</v>
      </c>
      <c r="C125" s="1066"/>
      <c r="D125" s="316">
        <f>COUNTIFS(input!$O:$O,June!$D$117,input!$W:$W,June!B125,input!$A:$A,June!$B$2)</f>
        <v>0</v>
      </c>
      <c r="E125" s="316">
        <f>COUNTIFS(input!$O:$O,June!$E$117,input!$W:$W,June!B125,input!$A:$A,June!$B$2)</f>
        <v>0</v>
      </c>
      <c r="F125" s="316">
        <f>COUNTIFS(input!$O:$O,June!$F$117,input!$W:$W,June!B125,input!$A:$A,June!$B$2)</f>
        <v>0</v>
      </c>
      <c r="G125" s="322">
        <f>COUNTIFS(input!$O:$O,June!$G$117,input!$W:$W,June!B125,input!$A:$A,June!$B$2)</f>
        <v>0</v>
      </c>
      <c r="H125" s="321">
        <f>COUNTIFS(input!$O:$O,June!$H$117,input!$W:$W,June!B125,input!$A:$A,June!$B$2)</f>
        <v>0</v>
      </c>
      <c r="I125" s="321">
        <f>COUNTIFS(input!$O:$O,June!$I$117,input!$W:$W,June!B125,input!$A:$A,June!$B$2)</f>
        <v>0</v>
      </c>
      <c r="J125" s="321">
        <f>COUNTIFS(input!$O:$O,June!$J$117,input!$W:$W,June!B125,input!$A:$A,June!$B$2)</f>
        <v>0</v>
      </c>
      <c r="K125" s="343">
        <f>COUNTIFS(input!$O:$O,June!$K$117,input!$W:$W,June!B125,input!$A:$A,June!$B$2)</f>
        <v>0</v>
      </c>
      <c r="L125" s="312">
        <f t="shared" si="13"/>
        <v>0</v>
      </c>
      <c r="M125" s="320" cm="1">
        <f t="array" ref="M125">_xlfn.IFS(L125=0,0,L125&gt;=1,L125/$L$178)</f>
        <v>0</v>
      </c>
      <c r="N125" s="995" t="s">
        <v>378</v>
      </c>
      <c r="O125" s="996"/>
      <c r="P125" s="997"/>
      <c r="Q125" s="316">
        <f>COUNTIFS(input!$O:$O,June!$Q$117,input!$X:$X,June!N125,input!$A:$A,June!$B$2)</f>
        <v>0</v>
      </c>
      <c r="R125" s="316">
        <f>COUNTIFS(input!$O:$O,June!$R$117,input!$X:$X,June!N125,input!$A:$A,June!$B$2)</f>
        <v>0</v>
      </c>
      <c r="S125" s="316">
        <f>COUNTIFS(input!$O:$O,June!$S$117,input!$X:$X,June!N125,input!$A:$A,June!$B$2)</f>
        <v>0</v>
      </c>
      <c r="T125" s="322">
        <f>COUNTIFS(input!$O:$O,June!$T$117,input!$X:$X,June!N125,input!$A:$A,June!$B$2)</f>
        <v>0</v>
      </c>
      <c r="U125" s="322">
        <f>COUNTIFS(input!$O:$O,June!$U$117,input!$X:$X,June!N125,input!$A:$A,June!$B$2)</f>
        <v>0</v>
      </c>
      <c r="V125" s="323">
        <f>COUNTIFS(input!$O:$O,June!$V$117,input!$X:$X,June!N125,input!$A:$A,June!$B$2)</f>
        <v>0</v>
      </c>
      <c r="W125" s="323">
        <f>COUNTIFS(input!$O:$O,June!$W$117,input!$X:$X,June!N125,input!$A:$A,June!$B$2)</f>
        <v>0</v>
      </c>
      <c r="X125" s="324">
        <f>COUNTIFS(input!$O:$O,June!$X$117,input!$X:$X,June!N125,input!$A:$A,June!$B$2)</f>
        <v>0</v>
      </c>
      <c r="Y125" s="312">
        <f t="shared" si="12"/>
        <v>0</v>
      </c>
      <c r="Z125" s="315" cm="1">
        <f t="array" ref="Z125">_xlfn.IFS(Y125=0,0,Y125&gt;=1,Y125/$Y$178)</f>
        <v>0</v>
      </c>
    </row>
    <row r="126" spans="2:26" ht="92" hidden="1" customHeight="1" x14ac:dyDescent="0.25">
      <c r="B126" s="1122" t="s">
        <v>360</v>
      </c>
      <c r="C126" s="997"/>
      <c r="D126" s="316">
        <f>COUNTIFS(input!$O:$O,June!$D$117,input!$W:$W,June!B126,input!$A:$A,June!$B$2)</f>
        <v>0</v>
      </c>
      <c r="E126" s="316">
        <f>COUNTIFS(input!$O:$O,June!$E$117,input!$W:$W,June!B126,input!$A:$A,June!$B$2)</f>
        <v>0</v>
      </c>
      <c r="F126" s="316">
        <f>COUNTIFS(input!$O:$O,June!$F$117,input!$W:$W,June!B126,input!$A:$A,June!$B$2)</f>
        <v>0</v>
      </c>
      <c r="G126" s="322">
        <f>COUNTIFS(input!$O:$O,June!$G$117,input!$W:$W,June!B126,input!$A:$A,June!$B$2)</f>
        <v>0</v>
      </c>
      <c r="H126" s="321">
        <f>COUNTIFS(input!$O:$O,June!$H$117,input!$W:$W,June!B126,input!$A:$A,June!$B$2)</f>
        <v>0</v>
      </c>
      <c r="I126" s="321">
        <f>COUNTIFS(input!$O:$O,June!$I$117,input!$W:$W,June!B126,input!$A:$A,June!$B$2)</f>
        <v>0</v>
      </c>
      <c r="J126" s="321">
        <f>COUNTIFS(input!$O:$O,June!$J$117,input!$W:$W,June!B126,input!$A:$A,June!$B$2)</f>
        <v>0</v>
      </c>
      <c r="K126" s="343">
        <f>COUNTIFS(input!$O:$O,June!$K$117,input!$W:$W,June!B126,input!$A:$A,June!$B$2)</f>
        <v>0</v>
      </c>
      <c r="L126" s="312">
        <f t="shared" si="13"/>
        <v>0</v>
      </c>
      <c r="M126" s="320" cm="1">
        <f t="array" ref="M126">_xlfn.IFS(L126=0,0,L126&gt;=1,L126/$L$178)</f>
        <v>0</v>
      </c>
      <c r="N126" s="995" t="s">
        <v>379</v>
      </c>
      <c r="O126" s="996"/>
      <c r="P126" s="997"/>
      <c r="Q126" s="316">
        <f>COUNTIFS(input!$O:$O,June!$Q$117,input!$X:$X,June!N126,input!$A:$A,June!$B$2)</f>
        <v>0</v>
      </c>
      <c r="R126" s="316">
        <f>COUNTIFS(input!$O:$O,June!$R$117,input!$X:$X,June!N126,input!$A:$A,June!$B$2)</f>
        <v>0</v>
      </c>
      <c r="S126" s="316">
        <f>COUNTIFS(input!$O:$O,June!$S$117,input!$X:$X,June!N126,input!$A:$A,June!$B$2)</f>
        <v>0</v>
      </c>
      <c r="T126" s="322">
        <f>COUNTIFS(input!$O:$O,June!$T$117,input!$X:$X,June!N126,input!$A:$A,June!$B$2)</f>
        <v>0</v>
      </c>
      <c r="U126" s="322">
        <f>COUNTIFS(input!$O:$O,June!$U$117,input!$X:$X,June!N126,input!$A:$A,June!$B$2)</f>
        <v>0</v>
      </c>
      <c r="V126" s="323">
        <f>COUNTIFS(input!$O:$O,June!$V$117,input!$X:$X,June!N126,input!$A:$A,June!$B$2)</f>
        <v>0</v>
      </c>
      <c r="W126" s="323">
        <f>COUNTIFS(input!$O:$O,June!$W$117,input!$X:$X,June!N126,input!$A:$A,June!$B$2)</f>
        <v>0</v>
      </c>
      <c r="X126" s="324">
        <f>COUNTIFS(input!$O:$O,June!$X$117,input!$X:$X,June!N126,input!$A:$A,June!$B$2)</f>
        <v>0</v>
      </c>
      <c r="Y126" s="312">
        <f t="shared" si="12"/>
        <v>0</v>
      </c>
      <c r="Z126" s="315" cm="1">
        <f t="array" ref="Z126">_xlfn.IFS(Y126=0,0,Y126&gt;=1,Y126/$Y$178)</f>
        <v>0</v>
      </c>
    </row>
    <row r="127" spans="2:26" ht="92" hidden="1" customHeight="1" x14ac:dyDescent="0.25">
      <c r="B127" s="1122" t="s">
        <v>600</v>
      </c>
      <c r="C127" s="997"/>
      <c r="D127" s="316">
        <f>COUNTIFS(input!$O:$O,June!$D$117,input!$W:$W,June!B127,input!$A:$A,June!$B$2)</f>
        <v>0</v>
      </c>
      <c r="E127" s="316">
        <f>COUNTIFS(input!$O:$O,June!$E$117,input!$W:$W,June!B127,input!$A:$A,June!$B$2)</f>
        <v>0</v>
      </c>
      <c r="F127" s="316">
        <f>COUNTIFS(input!$O:$O,June!$F$117,input!$W:$W,June!B127,input!$A:$A,June!$B$2)</f>
        <v>0</v>
      </c>
      <c r="G127" s="322">
        <f>COUNTIFS(input!$O:$O,June!$G$117,input!$W:$W,June!B127,input!$A:$A,June!$B$2)</f>
        <v>0</v>
      </c>
      <c r="H127" s="321">
        <f>COUNTIFS(input!$O:$O,June!$H$117,input!$W:$W,June!B127,input!$A:$A,June!$B$2)</f>
        <v>0</v>
      </c>
      <c r="I127" s="321">
        <f>COUNTIFS(input!$O:$O,June!$I$117,input!$W:$W,June!B127,input!$A:$A,June!$B$2)</f>
        <v>0</v>
      </c>
      <c r="J127" s="321">
        <f>COUNTIFS(input!$O:$O,June!$J$117,input!$W:$W,June!B127,input!$A:$A,June!$B$2)</f>
        <v>0</v>
      </c>
      <c r="K127" s="343">
        <f>COUNTIFS(input!$O:$O,June!$K$117,input!$W:$W,June!B127,input!$A:$A,June!$B$2)</f>
        <v>0</v>
      </c>
      <c r="L127" s="312">
        <f t="shared" si="13"/>
        <v>0</v>
      </c>
      <c r="M127" s="320" cm="1">
        <f t="array" ref="M127">_xlfn.IFS(L127=0,0,L127&gt;=1,L127/$L$178)</f>
        <v>0</v>
      </c>
      <c r="N127" s="995" t="s">
        <v>606</v>
      </c>
      <c r="O127" s="996"/>
      <c r="P127" s="997"/>
      <c r="Q127" s="316">
        <f>COUNTIFS(input!$O:$O,June!$Q$117,input!$X:$X,June!N127,input!$A:$A,June!$B$2)</f>
        <v>0</v>
      </c>
      <c r="R127" s="316">
        <f>COUNTIFS(input!$O:$O,June!$R$117,input!$X:$X,June!N127,input!$A:$A,June!$B$2)</f>
        <v>0</v>
      </c>
      <c r="S127" s="316">
        <f>COUNTIFS(input!$O:$O,June!$S$117,input!$X:$X,June!N127,input!$A:$A,June!$B$2)</f>
        <v>0</v>
      </c>
      <c r="T127" s="322">
        <f>COUNTIFS(input!$O:$O,June!$T$117,input!$X:$X,June!N127,input!$A:$A,June!$B$2)</f>
        <v>0</v>
      </c>
      <c r="U127" s="322">
        <f>COUNTIFS(input!$O:$O,June!$U$117,input!$X:$X,June!N127,input!$A:$A,June!$B$2)</f>
        <v>0</v>
      </c>
      <c r="V127" s="323">
        <f>COUNTIFS(input!$O:$O,June!$V$117,input!$X:$X,June!N127,input!$A:$A,June!$B$2)</f>
        <v>0</v>
      </c>
      <c r="W127" s="323">
        <f>COUNTIFS(input!$O:$O,June!$W$117,input!$X:$X,June!N127,input!$A:$A,June!$B$2)</f>
        <v>0</v>
      </c>
      <c r="X127" s="324">
        <f>COUNTIFS(input!$O:$O,June!$X$117,input!$X:$X,June!N127,input!$A:$A,June!$B$2)</f>
        <v>0</v>
      </c>
      <c r="Y127" s="312">
        <f t="shared" si="12"/>
        <v>0</v>
      </c>
      <c r="Z127" s="315" cm="1">
        <f t="array" ref="Z127">_xlfn.IFS(Y127=0,0,Y127&gt;=1,Y127/$Y$178)</f>
        <v>0</v>
      </c>
    </row>
    <row r="128" spans="2:26" ht="92" hidden="1" customHeight="1" x14ac:dyDescent="0.25">
      <c r="B128" s="1122" t="s">
        <v>561</v>
      </c>
      <c r="C128" s="997"/>
      <c r="D128" s="316">
        <f>COUNTIFS(input!$O:$O,June!$D$117,input!$W:$W,June!B128,input!$A:$A,June!$B$2)</f>
        <v>0</v>
      </c>
      <c r="E128" s="316">
        <f>COUNTIFS(input!$O:$O,June!$E$117,input!$W:$W,June!B128,input!$A:$A,June!$B$2)</f>
        <v>0</v>
      </c>
      <c r="F128" s="316">
        <f>COUNTIFS(input!$O:$O,June!$F$117,input!$W:$W,June!B128,input!$A:$A,June!$B$2)</f>
        <v>0</v>
      </c>
      <c r="G128" s="322">
        <f>COUNTIFS(input!$O:$O,June!$G$117,input!$W:$W,June!B128,input!$A:$A,June!$B$2)</f>
        <v>0</v>
      </c>
      <c r="H128" s="321">
        <f>COUNTIFS(input!$O:$O,June!$H$117,input!$W:$W,June!B128,input!$A:$A,June!$B$2)</f>
        <v>0</v>
      </c>
      <c r="I128" s="321">
        <f>COUNTIFS(input!$O:$O,June!$I$117,input!$W:$W,June!B128,input!$A:$A,June!$B$2)</f>
        <v>0</v>
      </c>
      <c r="J128" s="321">
        <f>COUNTIFS(input!$O:$O,June!$J$117,input!$W:$W,June!B128,input!$A:$A,June!$B$2)</f>
        <v>0</v>
      </c>
      <c r="K128" s="343">
        <f>COUNTIFS(input!$O:$O,June!$K$117,input!$W:$W,June!B128,input!$A:$A,June!$B$2)</f>
        <v>0</v>
      </c>
      <c r="L128" s="312">
        <f t="shared" si="13"/>
        <v>0</v>
      </c>
      <c r="M128" s="320" cm="1">
        <f t="array" ref="M128">_xlfn.IFS(L128=0,0,L128&gt;=1,L128/$L$178)</f>
        <v>0</v>
      </c>
      <c r="N128" s="995" t="s">
        <v>380</v>
      </c>
      <c r="O128" s="996"/>
      <c r="P128" s="997"/>
      <c r="Q128" s="316">
        <f>COUNTIFS(input!$O:$O,June!$Q$117,input!$X:$X,June!N128,input!$A:$A,June!$B$2)</f>
        <v>0</v>
      </c>
      <c r="R128" s="316">
        <f>COUNTIFS(input!$O:$O,June!$R$117,input!$X:$X,June!N128,input!$A:$A,June!$B$2)</f>
        <v>0</v>
      </c>
      <c r="S128" s="316">
        <f>COUNTIFS(input!$O:$O,June!$S$117,input!$X:$X,June!N128,input!$A:$A,June!$B$2)</f>
        <v>0</v>
      </c>
      <c r="T128" s="322">
        <f>COUNTIFS(input!$O:$O,June!$T$117,input!$X:$X,June!N128,input!$A:$A,June!$B$2)</f>
        <v>0</v>
      </c>
      <c r="U128" s="322">
        <f>COUNTIFS(input!$O:$O,June!$U$117,input!$X:$X,June!N128,input!$A:$A,June!$B$2)</f>
        <v>0</v>
      </c>
      <c r="V128" s="323">
        <f>COUNTIFS(input!$O:$O,June!$V$117,input!$X:$X,June!N128,input!$A:$A,June!$B$2)</f>
        <v>0</v>
      </c>
      <c r="W128" s="323">
        <f>COUNTIFS(input!$O:$O,June!$W$117,input!$X:$X,June!N128,input!$A:$A,June!$B$2)</f>
        <v>0</v>
      </c>
      <c r="X128" s="324">
        <f>COUNTIFS(input!$O:$O,June!$X$117,input!$X:$X,June!N128,input!$A:$A,June!$B$2)</f>
        <v>0</v>
      </c>
      <c r="Y128" s="312">
        <f t="shared" si="12"/>
        <v>0</v>
      </c>
      <c r="Z128" s="315" cm="1">
        <f t="array" ref="Z128">_xlfn.IFS(Y128=0,0,Y128&gt;=1,Y128/$Y$178)</f>
        <v>0</v>
      </c>
    </row>
    <row r="129" spans="2:26" ht="92" customHeight="1" x14ac:dyDescent="0.25">
      <c r="B129" s="998" t="s">
        <v>2002</v>
      </c>
      <c r="C129" s="994"/>
      <c r="D129" s="316">
        <f>COUNTIFS(input!$O:$O,June!$D$117,input!$W:$W,June!B129,input!$A:$A,June!$B$2)</f>
        <v>0</v>
      </c>
      <c r="E129" s="316">
        <f>COUNTIFS(input!$O:$O,June!$E$117,input!$W:$W,June!B129,input!$A:$A,June!$B$2)</f>
        <v>0</v>
      </c>
      <c r="F129" s="316">
        <f>COUNTIFS(input!$O:$O,June!$F$117,input!$W:$W,June!B129,input!$A:$A,June!$B$2)</f>
        <v>0</v>
      </c>
      <c r="G129" s="322">
        <f>COUNTIFS(input!$O:$O,June!$G$117,input!$W:$W,June!B129,input!$A:$A,June!$B$2)</f>
        <v>1</v>
      </c>
      <c r="H129" s="321">
        <f>COUNTIFS(input!$O:$O,June!$H$117,input!$W:$W,June!B129,input!$A:$A,June!$B$2)</f>
        <v>0</v>
      </c>
      <c r="I129" s="321">
        <f>COUNTIFS(input!$O:$O,June!$I$117,input!$W:$W,June!B129,input!$A:$A,June!$B$2)</f>
        <v>0</v>
      </c>
      <c r="J129" s="321">
        <f>COUNTIFS(input!$O:$O,June!$J$117,input!$W:$W,June!B129,input!$A:$A,June!$B$2)</f>
        <v>0</v>
      </c>
      <c r="K129" s="343">
        <f>COUNTIFS(input!$O:$O,June!$K$117,input!$W:$W,June!B129,input!$A:$A,June!$B$2)</f>
        <v>0</v>
      </c>
      <c r="L129" s="312">
        <f>SUM(D129:K129)</f>
        <v>1</v>
      </c>
      <c r="M129" s="320" cm="1">
        <f t="array" ref="M129">_xlfn.IFS(L129=0,0,L129&gt;=1,L129/$L$178)</f>
        <v>0.1111111111111111</v>
      </c>
      <c r="N129" s="995" t="s">
        <v>381</v>
      </c>
      <c r="O129" s="996"/>
      <c r="P129" s="997"/>
      <c r="Q129" s="316">
        <f>COUNTIFS(input!$O:$O,June!$Q$117,input!$X:$X,June!N129,input!$A:$A,June!$B$2)</f>
        <v>0</v>
      </c>
      <c r="R129" s="316">
        <f>COUNTIFS(input!$O:$O,June!$R$117,input!$X:$X,June!N129,input!$A:$A,June!$B$2)</f>
        <v>0</v>
      </c>
      <c r="S129" s="316">
        <f>COUNTIFS(input!$O:$O,June!$S$117,input!$X:$X,June!N129,input!$A:$A,June!$B$2)</f>
        <v>0</v>
      </c>
      <c r="T129" s="322">
        <f>COUNTIFS(input!$O:$O,June!$T$117,input!$X:$X,June!N129,input!$A:$A,June!$B$2)</f>
        <v>0</v>
      </c>
      <c r="U129" s="322">
        <f>COUNTIFS(input!$O:$O,June!$U$117,input!$X:$X,June!N129,input!$A:$A,June!$B$2)</f>
        <v>0</v>
      </c>
      <c r="V129" s="323">
        <f>COUNTIFS(input!$O:$O,June!$V$117,input!$X:$X,June!N129,input!$A:$A,June!$B$2)</f>
        <v>0</v>
      </c>
      <c r="W129" s="323">
        <f>COUNTIFS(input!$O:$O,June!$W$117,input!$X:$X,June!N129,input!$A:$A,June!$B$2)</f>
        <v>0</v>
      </c>
      <c r="X129" s="324">
        <f>COUNTIFS(input!$O:$O,June!$X$117,input!$X:$X,June!N129,input!$A:$A,June!$B$2)</f>
        <v>0</v>
      </c>
      <c r="Y129" s="312">
        <f t="shared" si="12"/>
        <v>0</v>
      </c>
      <c r="Z129" s="315" cm="1">
        <f t="array" ref="Z129">_xlfn.IFS(Y129=0,0,Y129&gt;=1,Y129/$Y$178)</f>
        <v>0</v>
      </c>
    </row>
    <row r="130" spans="2:26" ht="92" customHeight="1" x14ac:dyDescent="0.25">
      <c r="B130" s="1122" t="s">
        <v>1837</v>
      </c>
      <c r="C130" s="997"/>
      <c r="D130" s="316">
        <f>COUNTIFS(input!$O:$O,June!$D$117,input!$W:$W,June!B130,input!$A:$A,June!$B$2)</f>
        <v>0</v>
      </c>
      <c r="E130" s="316">
        <f>COUNTIFS(input!$O:$O,June!$E$117,input!$W:$W,June!B130,input!$A:$A,June!$B$2)</f>
        <v>0</v>
      </c>
      <c r="F130" s="316">
        <f>COUNTIFS(input!$O:$O,June!$F$117,input!$W:$W,June!B130,input!$A:$A,June!$B$2)</f>
        <v>0</v>
      </c>
      <c r="G130" s="322">
        <f>COUNTIFS(input!$O:$O,June!$G$117,input!$W:$W,June!B130,input!$A:$A,June!$B$2)</f>
        <v>0</v>
      </c>
      <c r="H130" s="321">
        <f>COUNTIFS(input!$O:$O,June!$H$117,input!$W:$W,June!B130,input!$A:$A,June!$B$2)</f>
        <v>0</v>
      </c>
      <c r="I130" s="321">
        <f>COUNTIFS(input!$O:$O,June!$I$117,input!$W:$W,June!B130,input!$A:$A,June!$B$2)</f>
        <v>0</v>
      </c>
      <c r="J130" s="321">
        <f>COUNTIFS(input!$O:$O,June!$J$117,input!$W:$W,June!B130,input!$A:$A,June!$B$2)</f>
        <v>0</v>
      </c>
      <c r="K130" s="343">
        <f>COUNTIFS(input!$O:$O,June!$K$117,input!$W:$W,June!B130,input!$A:$A,June!$B$2)</f>
        <v>0</v>
      </c>
      <c r="L130" s="312">
        <f t="shared" si="13"/>
        <v>0</v>
      </c>
      <c r="M130" s="320" cm="1">
        <f t="array" ref="M130">_xlfn.IFS(L130=0,0,L130&gt;=1,L130/$L$178)</f>
        <v>0</v>
      </c>
      <c r="N130" s="992" t="s">
        <v>382</v>
      </c>
      <c r="O130" s="993"/>
      <c r="P130" s="994"/>
      <c r="Q130" s="316">
        <f>COUNTIFS(input!$O:$O,June!$Q$117,input!$X:$X,June!N130,input!$A:$A,June!$B$2)</f>
        <v>0</v>
      </c>
      <c r="R130" s="316">
        <f>COUNTIFS(input!$O:$O,June!$R$117,input!$X:$X,June!N130,input!$A:$A,June!$B$2)</f>
        <v>0</v>
      </c>
      <c r="S130" s="316">
        <f>COUNTIFS(input!$O:$O,June!$S$117,input!$X:$X,June!N130,input!$A:$A,June!$B$2)</f>
        <v>0</v>
      </c>
      <c r="T130" s="322">
        <f>COUNTIFS(input!$O:$O,June!$T$117,input!$X:$X,June!N130,input!$A:$A,June!$B$2)</f>
        <v>1</v>
      </c>
      <c r="U130" s="322">
        <f>COUNTIFS(input!$O:$O,June!$U$117,input!$X:$X,June!N130,input!$A:$A,June!$B$2)</f>
        <v>0</v>
      </c>
      <c r="V130" s="323">
        <f>COUNTIFS(input!$O:$O,June!$V$117,input!$X:$X,June!N130,input!$A:$A,June!$B$2)</f>
        <v>0</v>
      </c>
      <c r="W130" s="323">
        <f>COUNTIFS(input!$O:$O,June!$W$117,input!$X:$X,June!N130,input!$A:$A,June!$B$2)</f>
        <v>0</v>
      </c>
      <c r="X130" s="324">
        <f>COUNTIFS(input!$O:$O,June!$X$117,input!$X:$X,June!N130,input!$A:$A,June!$B$2)</f>
        <v>0</v>
      </c>
      <c r="Y130" s="312">
        <f t="shared" ref="Y130:Y150" si="14">SUM(Q130:X130)</f>
        <v>1</v>
      </c>
      <c r="Z130" s="315" cm="1">
        <f t="array" ref="Z130">_xlfn.IFS(Y130=0,0,Y130&gt;=1,Y130/$Y$178)</f>
        <v>0.1111111111111111</v>
      </c>
    </row>
    <row r="131" spans="2:26" ht="92" hidden="1" customHeight="1" x14ac:dyDescent="0.25">
      <c r="B131" s="1122" t="s">
        <v>601</v>
      </c>
      <c r="C131" s="997"/>
      <c r="D131" s="316">
        <f>COUNTIFS(input!$O:$O,June!$D$117,input!$W:$W,June!B131,input!$A:$A,June!$B$2)</f>
        <v>0</v>
      </c>
      <c r="E131" s="316">
        <f>COUNTIFS(input!$O:$O,June!$E$117,input!$W:$W,June!B131,input!$A:$A,June!$B$2)</f>
        <v>0</v>
      </c>
      <c r="F131" s="316">
        <f>COUNTIFS(input!$O:$O,June!$F$117,input!$W:$W,June!B131,input!$A:$A,June!$B$2)</f>
        <v>0</v>
      </c>
      <c r="G131" s="322">
        <f>COUNTIFS(input!$O:$O,June!$G$117,input!$W:$W,June!B131,input!$A:$A,June!$B$2)</f>
        <v>0</v>
      </c>
      <c r="H131" s="321">
        <f>COUNTIFS(input!$O:$O,June!$H$117,input!$W:$W,June!B131,input!$A:$A,June!$B$2)</f>
        <v>0</v>
      </c>
      <c r="I131" s="321">
        <f>COUNTIFS(input!$O:$O,June!$I$117,input!$W:$W,June!B131,input!$A:$A,June!$B$2)</f>
        <v>0</v>
      </c>
      <c r="J131" s="321">
        <f>COUNTIFS(input!$O:$O,June!$J$117,input!$W:$W,June!B131,input!$A:$A,June!$B$2)</f>
        <v>0</v>
      </c>
      <c r="K131" s="343">
        <f>COUNTIFS(input!$O:$O,June!$K$117,input!$W:$W,June!B131,input!$A:$A,June!$B$2)</f>
        <v>0</v>
      </c>
      <c r="L131" s="312">
        <f t="shared" si="13"/>
        <v>0</v>
      </c>
      <c r="M131" s="320" cm="1">
        <f t="array" ref="M131">_xlfn.IFS(L131=0,0,L131&gt;=1,L131/$L$178)</f>
        <v>0</v>
      </c>
      <c r="N131" s="995" t="s">
        <v>1842</v>
      </c>
      <c r="O131" s="996"/>
      <c r="P131" s="997"/>
      <c r="Q131" s="316">
        <f>COUNTIFS(input!$O:$O,June!$Q$117,input!$X:$X,June!N131,input!$A:$A,June!$B$2)</f>
        <v>0</v>
      </c>
      <c r="R131" s="316">
        <f>COUNTIFS(input!$O:$O,June!$R$117,input!$X:$X,June!N131,input!$A:$A,June!$B$2)</f>
        <v>0</v>
      </c>
      <c r="S131" s="316">
        <f>COUNTIFS(input!$O:$O,June!$S$117,input!$X:$X,June!N131,input!$A:$A,June!$B$2)</f>
        <v>0</v>
      </c>
      <c r="T131" s="322">
        <f>COUNTIFS(input!$O:$O,June!$T$117,input!$X:$X,June!N131,input!$A:$A,June!$B$2)</f>
        <v>0</v>
      </c>
      <c r="U131" s="322">
        <f>COUNTIFS(input!$O:$O,June!$U$117,input!$X:$X,June!N131,input!$A:$A,June!$B$2)</f>
        <v>0</v>
      </c>
      <c r="V131" s="323">
        <f>COUNTIFS(input!$O:$O,June!$V$117,input!$X:$X,June!N131,input!$A:$A,June!$B$2)</f>
        <v>0</v>
      </c>
      <c r="W131" s="323">
        <f>COUNTIFS(input!$O:$O,June!$W$117,input!$X:$X,June!N131,input!$A:$A,June!$B$2)</f>
        <v>0</v>
      </c>
      <c r="X131" s="324">
        <f>COUNTIFS(input!$O:$O,June!$X$117,input!$X:$X,June!N131,input!$A:$A,June!$B$2)</f>
        <v>0</v>
      </c>
      <c r="Y131" s="312">
        <f t="shared" si="14"/>
        <v>0</v>
      </c>
      <c r="Z131" s="315" cm="1">
        <f t="array" ref="Z131">_xlfn.IFS(Y131=0,0,Y131&gt;=1,Y131/$Y$178)</f>
        <v>0</v>
      </c>
    </row>
    <row r="132" spans="2:26" ht="92" customHeight="1" x14ac:dyDescent="0.25">
      <c r="B132" s="998" t="s">
        <v>645</v>
      </c>
      <c r="C132" s="994"/>
      <c r="D132" s="316">
        <f>COUNTIFS(input!$O:$O,June!$D$117,input!$W:$W,June!B132,input!$A:$A,June!$B$2)</f>
        <v>0</v>
      </c>
      <c r="E132" s="316">
        <f>COUNTIFS(input!$O:$O,June!$E$117,input!$W:$W,June!B132,input!$A:$A,June!$B$2)</f>
        <v>0</v>
      </c>
      <c r="F132" s="316">
        <f>COUNTIFS(input!$O:$O,June!$F$117,input!$W:$W,June!B132,input!$A:$A,June!$B$2)</f>
        <v>0</v>
      </c>
      <c r="G132" s="322">
        <f>COUNTIFS(input!$O:$O,June!$G$117,input!$W:$W,June!B132,input!$A:$A,June!$B$2)</f>
        <v>1</v>
      </c>
      <c r="H132" s="321">
        <f>COUNTIFS(input!$O:$O,June!$H$117,input!$W:$W,June!B132,input!$A:$A,June!$B$2)</f>
        <v>0</v>
      </c>
      <c r="I132" s="321">
        <f>COUNTIFS(input!$O:$O,June!$I$117,input!$W:$W,June!B132,input!$A:$A,June!$B$2)</f>
        <v>0</v>
      </c>
      <c r="J132" s="321">
        <f>COUNTIFS(input!$O:$O,June!$J$117,input!$W:$W,June!B132,input!$A:$A,June!$B$2)</f>
        <v>0</v>
      </c>
      <c r="K132" s="343">
        <f>COUNTIFS(input!$O:$O,June!$K$117,input!$W:$W,June!B132,input!$A:$A,June!$B$2)</f>
        <v>0</v>
      </c>
      <c r="L132" s="312">
        <f t="shared" si="13"/>
        <v>1</v>
      </c>
      <c r="M132" s="320" cm="1">
        <f t="array" ref="M132">_xlfn.IFS(L132=0,0,L132&gt;=1,L132/$L$178)</f>
        <v>0.1111111111111111</v>
      </c>
      <c r="N132" s="995" t="s">
        <v>1843</v>
      </c>
      <c r="O132" s="996"/>
      <c r="P132" s="997"/>
      <c r="Q132" s="316">
        <f>COUNTIFS(input!$O:$O,June!$Q$117,input!$X:$X,June!N132,input!$A:$A,June!$B$2)</f>
        <v>0</v>
      </c>
      <c r="R132" s="316">
        <f>COUNTIFS(input!$O:$O,June!$R$117,input!$X:$X,June!N132,input!$A:$A,June!$B$2)</f>
        <v>0</v>
      </c>
      <c r="S132" s="316">
        <f>COUNTIFS(input!$O:$O,June!$S$117,input!$X:$X,June!N132,input!$A:$A,June!$B$2)</f>
        <v>0</v>
      </c>
      <c r="T132" s="322">
        <f>COUNTIFS(input!$O:$O,June!$T$117,input!$X:$X,June!N132,input!$A:$A,June!$B$2)</f>
        <v>0</v>
      </c>
      <c r="U132" s="322">
        <f>COUNTIFS(input!$O:$O,June!$U$117,input!$X:$X,June!N132,input!$A:$A,June!$B$2)</f>
        <v>0</v>
      </c>
      <c r="V132" s="323">
        <f>COUNTIFS(input!$O:$O,June!$V$117,input!$X:$X,June!N132,input!$A:$A,June!$B$2)</f>
        <v>0</v>
      </c>
      <c r="W132" s="323">
        <f>COUNTIFS(input!$O:$O,June!$W$117,input!$X:$X,June!N132,input!$A:$A,June!$B$2)</f>
        <v>0</v>
      </c>
      <c r="X132" s="324">
        <f>COUNTIFS(input!$O:$O,June!$X$117,input!$X:$X,June!N132,input!$A:$A,June!$B$2)</f>
        <v>0</v>
      </c>
      <c r="Y132" s="312">
        <f t="shared" si="14"/>
        <v>0</v>
      </c>
      <c r="Z132" s="315" cm="1">
        <f t="array" ref="Z132">_xlfn.IFS(Y132=0,0,Y132&gt;=1,Y132/$Y$178)</f>
        <v>0</v>
      </c>
    </row>
    <row r="133" spans="2:26" ht="92" hidden="1" customHeight="1" x14ac:dyDescent="0.25">
      <c r="B133" s="1122" t="s">
        <v>829</v>
      </c>
      <c r="C133" s="997"/>
      <c r="D133" s="316">
        <f>COUNTIFS(input!$O:$O,June!$D$117,input!$W:$W,June!B133,input!$A:$A,June!$B$2)</f>
        <v>0</v>
      </c>
      <c r="E133" s="316">
        <f>COUNTIFS(input!$O:$O,June!$E$117,input!$W:$W,June!B133,input!$A:$A,June!$B$2)</f>
        <v>0</v>
      </c>
      <c r="F133" s="316">
        <f>COUNTIFS(input!$O:$O,June!$F$117,input!$W:$W,June!B133,input!$A:$A,June!$B$2)</f>
        <v>0</v>
      </c>
      <c r="G133" s="322">
        <f>COUNTIFS(input!$O:$O,June!$G$117,input!$W:$W,June!B133,input!$A:$A,June!$B$2)</f>
        <v>0</v>
      </c>
      <c r="H133" s="321">
        <f>COUNTIFS(input!$O:$O,June!$H$117,input!$W:$W,June!B133,input!$A:$A,June!$B$2)</f>
        <v>0</v>
      </c>
      <c r="I133" s="321">
        <f>COUNTIFS(input!$O:$O,June!$I$117,input!$W:$W,June!B133,input!$A:$A,June!$B$2)</f>
        <v>0</v>
      </c>
      <c r="J133" s="321">
        <f>COUNTIFS(input!$O:$O,June!$J$117,input!$W:$W,June!B133,input!$A:$A,June!$B$2)</f>
        <v>0</v>
      </c>
      <c r="K133" s="343">
        <f>COUNTIFS(input!$O:$O,June!$K$117,input!$W:$W,June!B133,input!$A:$A,June!$B$2)</f>
        <v>0</v>
      </c>
      <c r="L133" s="312">
        <f t="shared" si="13"/>
        <v>0</v>
      </c>
      <c r="M133" s="320" cm="1">
        <f t="array" ref="M133">_xlfn.IFS(L133=0,0,L133&gt;=1,L133/$L$178)</f>
        <v>0</v>
      </c>
      <c r="N133" s="995" t="s">
        <v>72</v>
      </c>
      <c r="O133" s="996"/>
      <c r="P133" s="997"/>
      <c r="Q133" s="316">
        <f>COUNTIFS(input!$O:$O,June!$Q$117,input!$X:$X,June!N133,input!$A:$A,June!$B$2)</f>
        <v>0</v>
      </c>
      <c r="R133" s="316">
        <f>COUNTIFS(input!$O:$O,June!$R$117,input!$X:$X,June!N133,input!$A:$A,June!$B$2)</f>
        <v>0</v>
      </c>
      <c r="S133" s="316">
        <f>COUNTIFS(input!$O:$O,June!$S$117,input!$X:$X,June!N133,input!$A:$A,June!$B$2)</f>
        <v>0</v>
      </c>
      <c r="T133" s="322">
        <f>COUNTIFS(input!$O:$O,June!$T$117,input!$X:$X,June!N133,input!$A:$A,June!$B$2)</f>
        <v>0</v>
      </c>
      <c r="U133" s="322">
        <f>COUNTIFS(input!$O:$O,June!$U$117,input!$X:$X,June!N133,input!$A:$A,June!$B$2)</f>
        <v>0</v>
      </c>
      <c r="V133" s="323">
        <f>COUNTIFS(input!$O:$O,June!$V$117,input!$X:$X,June!N133,input!$A:$A,June!$B$2)</f>
        <v>0</v>
      </c>
      <c r="W133" s="323">
        <f>COUNTIFS(input!$O:$O,June!$W$117,input!$X:$X,June!N133,input!$A:$A,June!$B$2)</f>
        <v>0</v>
      </c>
      <c r="X133" s="324">
        <f>COUNTIFS(input!$O:$O,June!$X$117,input!$X:$X,June!N133,input!$A:$A,June!$B$2)</f>
        <v>0</v>
      </c>
      <c r="Y133" s="312">
        <f t="shared" si="14"/>
        <v>0</v>
      </c>
      <c r="Z133" s="315" cm="1">
        <f t="array" ref="Z133">_xlfn.IFS(Y133=0,0,Y133&gt;=1,Y133/$Y$178)</f>
        <v>0</v>
      </c>
    </row>
    <row r="134" spans="2:26" ht="92" hidden="1" customHeight="1" x14ac:dyDescent="0.25">
      <c r="B134" s="1122" t="s">
        <v>604</v>
      </c>
      <c r="C134" s="997"/>
      <c r="D134" s="316">
        <f>COUNTIFS(input!$O:$O,June!$D$117,input!$W:$W,June!B134,input!$A:$A,June!$B$2)</f>
        <v>0</v>
      </c>
      <c r="E134" s="316">
        <f>COUNTIFS(input!$O:$O,June!$E$117,input!$W:$W,June!B134,input!$A:$A,June!$B$2)</f>
        <v>0</v>
      </c>
      <c r="F134" s="316">
        <f>COUNTIFS(input!$O:$O,June!$F$117,input!$W:$W,June!B134,input!$A:$A,June!$B$2)</f>
        <v>0</v>
      </c>
      <c r="G134" s="322">
        <f>COUNTIFS(input!$O:$O,June!$G$117,input!$W:$W,June!B134,input!$A:$A,June!$B$2)</f>
        <v>0</v>
      </c>
      <c r="H134" s="321">
        <f>COUNTIFS(input!$O:$O,June!$H$117,input!$W:$W,June!B134,input!$A:$A,June!$B$2)</f>
        <v>0</v>
      </c>
      <c r="I134" s="321">
        <f>COUNTIFS(input!$O:$O,June!$I$117,input!$W:$W,June!B134,input!$A:$A,June!$B$2)</f>
        <v>0</v>
      </c>
      <c r="J134" s="321">
        <f>COUNTIFS(input!$O:$O,June!$J$117,input!$W:$W,June!B134,input!$A:$A,June!$B$2)</f>
        <v>0</v>
      </c>
      <c r="K134" s="343">
        <f>COUNTIFS(input!$O:$O,June!$K$117,input!$W:$W,June!B134,input!$A:$A,June!$B$2)</f>
        <v>0</v>
      </c>
      <c r="L134" s="312">
        <f t="shared" si="13"/>
        <v>0</v>
      </c>
      <c r="M134" s="320" cm="1">
        <f t="array" ref="M134">_xlfn.IFS(L134=0,0,L134&gt;=1,L134/$L$178)</f>
        <v>0</v>
      </c>
      <c r="N134" s="995" t="s">
        <v>73</v>
      </c>
      <c r="O134" s="996"/>
      <c r="P134" s="997"/>
      <c r="Q134" s="316">
        <f>COUNTIFS(input!$O:$O,June!$Q$117,input!$X:$X,June!N134,input!$A:$A,June!$B$2)</f>
        <v>0</v>
      </c>
      <c r="R134" s="316">
        <f>COUNTIFS(input!$O:$O,June!$R$117,input!$X:$X,June!N134,input!$A:$A,June!$B$2)</f>
        <v>0</v>
      </c>
      <c r="S134" s="316">
        <f>COUNTIFS(input!$O:$O,June!$S$117,input!$X:$X,June!N134,input!$A:$A,June!$B$2)</f>
        <v>0</v>
      </c>
      <c r="T134" s="322">
        <f>COUNTIFS(input!$O:$O,June!$T$117,input!$X:$X,June!N134,input!$A:$A,June!$B$2)</f>
        <v>0</v>
      </c>
      <c r="U134" s="322">
        <f>COUNTIFS(input!$O:$O,June!$U$117,input!$X:$X,June!N134,input!$A:$A,June!$B$2)</f>
        <v>0</v>
      </c>
      <c r="V134" s="323">
        <f>COUNTIFS(input!$O:$O,June!$V$117,input!$X:$X,June!N134,input!$A:$A,June!$B$2)</f>
        <v>0</v>
      </c>
      <c r="W134" s="323">
        <f>COUNTIFS(input!$O:$O,June!$W$117,input!$X:$X,June!N134,input!$A:$A,June!$B$2)</f>
        <v>0</v>
      </c>
      <c r="X134" s="324">
        <f>COUNTIFS(input!$O:$O,June!$X$117,input!$X:$X,June!N134,input!$A:$A,June!$B$2)</f>
        <v>0</v>
      </c>
      <c r="Y134" s="312">
        <f t="shared" si="14"/>
        <v>0</v>
      </c>
      <c r="Z134" s="315" cm="1">
        <f t="array" ref="Z134">_xlfn.IFS(Y134=0,0,Y134&gt;=1,Y134/$Y$178)</f>
        <v>0</v>
      </c>
    </row>
    <row r="135" spans="2:26" ht="92" hidden="1" customHeight="1" x14ac:dyDescent="0.25">
      <c r="B135" s="1122" t="s">
        <v>1541</v>
      </c>
      <c r="C135" s="997"/>
      <c r="D135" s="316">
        <f>COUNTIFS(input!$O:$O,June!$D$117,input!$W:$W,June!B135,input!$A:$A,June!$B$2)</f>
        <v>0</v>
      </c>
      <c r="E135" s="316">
        <f>COUNTIFS(input!$O:$O,June!$E$117,input!$W:$W,June!B135,input!$A:$A,June!$B$2)</f>
        <v>0</v>
      </c>
      <c r="F135" s="316">
        <f>COUNTIFS(input!$O:$O,June!$F$117,input!$W:$W,June!B135,input!$A:$A,June!$B$2)</f>
        <v>0</v>
      </c>
      <c r="G135" s="322">
        <f>COUNTIFS(input!$O:$O,June!$G$117,input!$W:$W,June!B135,input!$A:$A,June!$B$2)</f>
        <v>0</v>
      </c>
      <c r="H135" s="321">
        <f>COUNTIFS(input!$O:$O,June!$H$117,input!$W:$W,June!B135,input!$A:$A,June!$B$2)</f>
        <v>0</v>
      </c>
      <c r="I135" s="321">
        <f>COUNTIFS(input!$O:$O,June!$I$117,input!$W:$W,June!B135,input!$A:$A,June!$B$2)</f>
        <v>0</v>
      </c>
      <c r="J135" s="321">
        <f>COUNTIFS(input!$O:$O,June!$J$117,input!$W:$W,June!B135,input!$A:$A,June!$B$2)</f>
        <v>0</v>
      </c>
      <c r="K135" s="343">
        <f>COUNTIFS(input!$O:$O,June!$K$117,input!$W:$W,June!B135,input!$A:$A,June!$B$2)</f>
        <v>0</v>
      </c>
      <c r="L135" s="312">
        <f t="shared" si="13"/>
        <v>0</v>
      </c>
      <c r="M135" s="320" cm="1">
        <f t="array" ref="M135">_xlfn.IFS(L135=0,0,L135&gt;=1,L135/$L$178)</f>
        <v>0</v>
      </c>
      <c r="N135" s="995" t="s">
        <v>744</v>
      </c>
      <c r="O135" s="996"/>
      <c r="P135" s="997"/>
      <c r="Q135" s="316">
        <f>COUNTIFS(input!$O:$O,June!$Q$117,input!$X:$X,June!N135,input!$A:$A,June!$B$2)</f>
        <v>0</v>
      </c>
      <c r="R135" s="316">
        <f>COUNTIFS(input!$O:$O,June!$R$117,input!$X:$X,June!N135,input!$A:$A,June!$B$2)</f>
        <v>0</v>
      </c>
      <c r="S135" s="316">
        <f>COUNTIFS(input!$O:$O,June!$S$117,input!$X:$X,June!N135,input!$A:$A,June!$B$2)</f>
        <v>0</v>
      </c>
      <c r="T135" s="322">
        <f>COUNTIFS(input!$O:$O,June!$T$117,input!$X:$X,June!N135,input!$A:$A,June!$B$2)</f>
        <v>0</v>
      </c>
      <c r="U135" s="322">
        <f>COUNTIFS(input!$O:$O,June!$U$117,input!$X:$X,June!N135,input!$A:$A,June!$B$2)</f>
        <v>0</v>
      </c>
      <c r="V135" s="323">
        <f>COUNTIFS(input!$O:$O,June!$V$117,input!$X:$X,June!N135,input!$A:$A,June!$B$2)</f>
        <v>0</v>
      </c>
      <c r="W135" s="323">
        <f>COUNTIFS(input!$O:$O,June!$W$117,input!$X:$X,June!N135,input!$A:$A,June!$B$2)</f>
        <v>0</v>
      </c>
      <c r="X135" s="324">
        <f>COUNTIFS(input!$O:$O,June!$X$117,input!$X:$X,June!N135,input!$A:$A,June!$B$2)</f>
        <v>0</v>
      </c>
      <c r="Y135" s="312">
        <f t="shared" si="14"/>
        <v>0</v>
      </c>
      <c r="Z135" s="315" cm="1">
        <f t="array" ref="Z135">_xlfn.IFS(Y135=0,0,Y135&gt;=1,Y135/$Y$178)</f>
        <v>0</v>
      </c>
    </row>
    <row r="136" spans="2:26" ht="92" hidden="1" customHeight="1" x14ac:dyDescent="0.25">
      <c r="B136" s="1122" t="s">
        <v>646</v>
      </c>
      <c r="C136" s="997"/>
      <c r="D136" s="316">
        <f>COUNTIFS(input!$O:$O,June!$D$117,input!$W:$W,June!B136,input!$A:$A,June!$B$2)</f>
        <v>0</v>
      </c>
      <c r="E136" s="316">
        <f>COUNTIFS(input!$O:$O,June!$E$117,input!$W:$W,June!B136,input!$A:$A,June!$B$2)</f>
        <v>0</v>
      </c>
      <c r="F136" s="316">
        <f>COUNTIFS(input!$O:$O,June!$F$117,input!$W:$W,June!B136,input!$A:$A,June!$B$2)</f>
        <v>0</v>
      </c>
      <c r="G136" s="322">
        <f>COUNTIFS(input!$O:$O,June!$G$117,input!$W:$W,June!B136,input!$A:$A,June!$B$2)</f>
        <v>0</v>
      </c>
      <c r="H136" s="321">
        <f>COUNTIFS(input!$O:$O,June!$H$117,input!$W:$W,June!B136,input!$A:$A,June!$B$2)</f>
        <v>0</v>
      </c>
      <c r="I136" s="321">
        <f>COUNTIFS(input!$O:$O,June!$I$117,input!$W:$W,June!B136,input!$A:$A,June!$B$2)</f>
        <v>0</v>
      </c>
      <c r="J136" s="321">
        <f>COUNTIFS(input!$O:$O,June!$J$117,input!$W:$W,June!B136,input!$A:$A,June!$B$2)</f>
        <v>0</v>
      </c>
      <c r="K136" s="343">
        <f>COUNTIFS(input!$O:$O,June!$K$117,input!$W:$W,June!B136,input!$A:$A,June!$B$2)</f>
        <v>0</v>
      </c>
      <c r="L136" s="312">
        <f t="shared" si="13"/>
        <v>0</v>
      </c>
      <c r="M136" s="320" cm="1">
        <f t="array" ref="M136">_xlfn.IFS(L136=0,0,L136&gt;=1,L136/$L$178)</f>
        <v>0</v>
      </c>
      <c r="N136" s="995" t="s">
        <v>444</v>
      </c>
      <c r="O136" s="996"/>
      <c r="P136" s="997"/>
      <c r="Q136" s="316">
        <f>COUNTIFS(input!$O:$O,June!$Q$117,input!$X:$X,June!N136,input!$A:$A,June!$B$2)</f>
        <v>0</v>
      </c>
      <c r="R136" s="316">
        <f>COUNTIFS(input!$O:$O,June!$R$117,input!$X:$X,June!N136,input!$A:$A,June!$B$2)</f>
        <v>0</v>
      </c>
      <c r="S136" s="316">
        <f>COUNTIFS(input!$O:$O,June!$S$117,input!$X:$X,June!N136,input!$A:$A,June!$B$2)</f>
        <v>0</v>
      </c>
      <c r="T136" s="322">
        <f>COUNTIFS(input!$O:$O,June!$T$117,input!$X:$X,June!N136,input!$A:$A,June!$B$2)</f>
        <v>0</v>
      </c>
      <c r="U136" s="322">
        <f>COUNTIFS(input!$O:$O,June!$U$117,input!$X:$X,June!N136,input!$A:$A,June!$B$2)</f>
        <v>0</v>
      </c>
      <c r="V136" s="323">
        <f>COUNTIFS(input!$O:$O,June!$V$117,input!$X:$X,June!N136,input!$A:$A,June!$B$2)</f>
        <v>0</v>
      </c>
      <c r="W136" s="323">
        <f>COUNTIFS(input!$O:$O,June!$W$117,input!$X:$X,June!N136,input!$A:$A,June!$B$2)</f>
        <v>0</v>
      </c>
      <c r="X136" s="324">
        <f>COUNTIFS(input!$O:$O,June!$X$117,input!$X:$X,June!N136,input!$A:$A,June!$B$2)</f>
        <v>0</v>
      </c>
      <c r="Y136" s="312">
        <f t="shared" si="14"/>
        <v>0</v>
      </c>
      <c r="Z136" s="315" cm="1">
        <f t="array" ref="Z136">_xlfn.IFS(Y136=0,0,Y136&gt;=1,Y136/$Y$178)</f>
        <v>0</v>
      </c>
    </row>
    <row r="137" spans="2:26" ht="92" hidden="1" customHeight="1" x14ac:dyDescent="0.25">
      <c r="B137" s="1122" t="s">
        <v>1840</v>
      </c>
      <c r="C137" s="997"/>
      <c r="D137" s="316">
        <f>COUNTIFS(input!$O:$O,June!$D$117,input!$W:$W,June!B137,input!$A:$A,June!$B$2)</f>
        <v>0</v>
      </c>
      <c r="E137" s="316">
        <f>COUNTIFS(input!$O:$O,June!$E$117,input!$W:$W,June!B137,input!$A:$A,June!$B$2)</f>
        <v>0</v>
      </c>
      <c r="F137" s="316">
        <f>COUNTIFS(input!$O:$O,June!$F$117,input!$W:$W,June!B137,input!$A:$A,June!$B$2)</f>
        <v>0</v>
      </c>
      <c r="G137" s="322">
        <f>COUNTIFS(input!$O:$O,June!$G$117,input!$W:$W,June!B137,input!$A:$A,June!$B$2)</f>
        <v>0</v>
      </c>
      <c r="H137" s="321">
        <f>COUNTIFS(input!$O:$O,June!$H$117,input!$W:$W,June!B137,input!$A:$A,June!$B$2)</f>
        <v>0</v>
      </c>
      <c r="I137" s="321">
        <f>COUNTIFS(input!$O:$O,June!$I$117,input!$W:$W,June!B137,input!$A:$A,June!$B$2)</f>
        <v>0</v>
      </c>
      <c r="J137" s="321">
        <f>COUNTIFS(input!$O:$O,June!$J$117,input!$W:$W,June!B137,input!$A:$A,June!$B$2)</f>
        <v>0</v>
      </c>
      <c r="K137" s="343">
        <f>COUNTIFS(input!$O:$O,June!$K$117,input!$W:$W,June!B137,input!$A:$A,June!$B$2)</f>
        <v>0</v>
      </c>
      <c r="L137" s="312">
        <f t="shared" si="13"/>
        <v>0</v>
      </c>
      <c r="M137" s="320" cm="1">
        <f t="array" ref="M137">_xlfn.IFS(L137=0,0,L137&gt;=1,L137/$L$178)</f>
        <v>0</v>
      </c>
      <c r="N137" s="995" t="s">
        <v>507</v>
      </c>
      <c r="O137" s="996"/>
      <c r="P137" s="997"/>
      <c r="Q137" s="316">
        <f>COUNTIFS(input!$O:$O,June!$Q$117,input!$X:$X,June!N137,input!$A:$A,June!$B$2)</f>
        <v>0</v>
      </c>
      <c r="R137" s="316">
        <f>COUNTIFS(input!$O:$O,June!$R$117,input!$X:$X,June!N137,input!$A:$A,June!$B$2)</f>
        <v>0</v>
      </c>
      <c r="S137" s="316">
        <f>COUNTIFS(input!$O:$O,June!$S$117,input!$X:$X,June!N137,input!$A:$A,June!$B$2)</f>
        <v>0</v>
      </c>
      <c r="T137" s="322">
        <f>COUNTIFS(input!$O:$O,June!$T$117,input!$X:$X,June!N137,input!$A:$A,June!$B$2)</f>
        <v>0</v>
      </c>
      <c r="U137" s="322">
        <f>COUNTIFS(input!$O:$O,June!$U$117,input!$X:$X,June!N137,input!$A:$A,June!$B$2)</f>
        <v>0</v>
      </c>
      <c r="V137" s="323">
        <f>COUNTIFS(input!$O:$O,June!$V$117,input!$X:$X,June!N137,input!$A:$A,June!$B$2)</f>
        <v>0</v>
      </c>
      <c r="W137" s="323">
        <f>COUNTIFS(input!$O:$O,June!$W$117,input!$X:$X,June!N137,input!$A:$A,June!$B$2)</f>
        <v>0</v>
      </c>
      <c r="X137" s="324">
        <f>COUNTIFS(input!$O:$O,June!$X$117,input!$X:$X,June!N137,input!$A:$A,June!$B$2)</f>
        <v>0</v>
      </c>
      <c r="Y137" s="312">
        <f t="shared" si="14"/>
        <v>0</v>
      </c>
      <c r="Z137" s="315" cm="1">
        <f t="array" ref="Z137">_xlfn.IFS(Y137=0,0,Y137&gt;=1,Y137/$Y$178)</f>
        <v>0</v>
      </c>
    </row>
    <row r="138" spans="2:26" ht="92" customHeight="1" x14ac:dyDescent="0.25">
      <c r="B138" s="1122" t="s">
        <v>366</v>
      </c>
      <c r="C138" s="997"/>
      <c r="D138" s="316">
        <f>COUNTIFS(input!$O:$O,June!$D$117,input!$W:$W,June!B138,input!$A:$A,June!$B$2)</f>
        <v>0</v>
      </c>
      <c r="E138" s="316">
        <f>COUNTIFS(input!$O:$O,June!$E$117,input!$W:$W,June!B138,input!$A:$A,June!$B$2)</f>
        <v>0</v>
      </c>
      <c r="F138" s="316">
        <f>COUNTIFS(input!$O:$O,June!$F$117,input!$W:$W,June!B138,input!$A:$A,June!$B$2)</f>
        <v>0</v>
      </c>
      <c r="G138" s="322">
        <f>COUNTIFS(input!$O:$O,June!$G$117,input!$W:$W,June!B138,input!$A:$A,June!$B$2)</f>
        <v>0</v>
      </c>
      <c r="H138" s="321">
        <f>COUNTIFS(input!$O:$O,June!$H$117,input!$W:$W,June!B138,input!$A:$A,June!$B$2)</f>
        <v>0</v>
      </c>
      <c r="I138" s="321">
        <f>COUNTIFS(input!$O:$O,June!$I$117,input!$W:$W,June!B138,input!$A:$A,June!$B$2)</f>
        <v>0</v>
      </c>
      <c r="J138" s="321">
        <f>COUNTIFS(input!$O:$O,June!$J$117,input!$W:$W,June!B138,input!$A:$A,June!$B$2)</f>
        <v>0</v>
      </c>
      <c r="K138" s="343">
        <f>COUNTIFS(input!$O:$O,June!$K$117,input!$W:$W,June!B138,input!$A:$A,June!$B$2)</f>
        <v>0</v>
      </c>
      <c r="L138" s="312">
        <f t="shared" si="13"/>
        <v>0</v>
      </c>
      <c r="M138" s="320" cm="1">
        <f t="array" ref="M138">_xlfn.IFS(L138=0,0,L138&gt;=1,L138/$L$178)</f>
        <v>0</v>
      </c>
      <c r="N138" s="992" t="s">
        <v>443</v>
      </c>
      <c r="O138" s="993"/>
      <c r="P138" s="994"/>
      <c r="Q138" s="316">
        <f>COUNTIFS(input!$O:$O,June!$Q$117,input!$X:$X,June!N138,input!$A:$A,June!$B$2)</f>
        <v>0</v>
      </c>
      <c r="R138" s="316">
        <f>COUNTIFS(input!$O:$O,June!$R$117,input!$X:$X,June!N138,input!$A:$A,June!$B$2)</f>
        <v>0</v>
      </c>
      <c r="S138" s="316">
        <f>COUNTIFS(input!$O:$O,June!$S$117,input!$X:$X,June!N138,input!$A:$A,June!$B$2)</f>
        <v>0</v>
      </c>
      <c r="T138" s="322">
        <f>COUNTIFS(input!$O:$O,June!$T$117,input!$X:$X,June!N138,input!$A:$A,June!$B$2)</f>
        <v>1</v>
      </c>
      <c r="U138" s="322">
        <f>COUNTIFS(input!$O:$O,June!$U$117,input!$X:$X,June!N138,input!$A:$A,June!$B$2)</f>
        <v>0</v>
      </c>
      <c r="V138" s="323">
        <f>COUNTIFS(input!$O:$O,June!$V$117,input!$X:$X,June!N138,input!$A:$A,June!$B$2)</f>
        <v>0</v>
      </c>
      <c r="W138" s="323">
        <f>COUNTIFS(input!$O:$O,June!$W$117,input!$X:$X,June!N138,input!$A:$A,June!$B$2)</f>
        <v>0</v>
      </c>
      <c r="X138" s="324">
        <f>COUNTIFS(input!$O:$O,June!$X$117,input!$X:$X,June!N138,input!$A:$A,June!$B$2)</f>
        <v>0</v>
      </c>
      <c r="Y138" s="312">
        <f t="shared" si="14"/>
        <v>1</v>
      </c>
      <c r="Z138" s="315" cm="1">
        <f t="array" ref="Z138">_xlfn.IFS(Y138=0,0,Y138&gt;=1,Y138/$Y$178)</f>
        <v>0.1111111111111111</v>
      </c>
    </row>
    <row r="139" spans="2:26" ht="92" hidden="1" customHeight="1" x14ac:dyDescent="0.25">
      <c r="B139" s="1122" t="s">
        <v>1539</v>
      </c>
      <c r="C139" s="997"/>
      <c r="D139" s="316">
        <f>COUNTIFS(input!$O:$O,June!$D$117,input!$W:$W,June!B139,input!$A:$A,June!$B$2)</f>
        <v>0</v>
      </c>
      <c r="E139" s="316">
        <f>COUNTIFS(input!$O:$O,June!$E$117,input!$W:$W,June!B139,input!$A:$A,June!$B$2)</f>
        <v>0</v>
      </c>
      <c r="F139" s="316">
        <f>COUNTIFS(input!$O:$O,June!$F$117,input!$W:$W,June!B139,input!$A:$A,June!$B$2)</f>
        <v>0</v>
      </c>
      <c r="G139" s="322">
        <f>COUNTIFS(input!$O:$O,June!$G$117,input!$W:$W,June!B139,input!$A:$A,June!$B$2)</f>
        <v>0</v>
      </c>
      <c r="H139" s="321">
        <f>COUNTIFS(input!$O:$O,June!$H$117,input!$W:$W,June!B139,input!$A:$A,June!$B$2)</f>
        <v>0</v>
      </c>
      <c r="I139" s="321">
        <f>COUNTIFS(input!$O:$O,June!$I$117,input!$W:$W,June!B139,input!$A:$A,June!$B$2)</f>
        <v>0</v>
      </c>
      <c r="J139" s="321">
        <f>COUNTIFS(input!$O:$O,June!$J$117,input!$W:$W,June!B139,input!$A:$A,June!$B$2)</f>
        <v>0</v>
      </c>
      <c r="K139" s="343">
        <f>COUNTIFS(input!$O:$O,June!$K$117,input!$W:$W,June!B139,input!$A:$A,June!$B$2)</f>
        <v>0</v>
      </c>
      <c r="L139" s="312">
        <f t="shared" si="13"/>
        <v>0</v>
      </c>
      <c r="M139" s="320" cm="1">
        <f t="array" ref="M139">_xlfn.IFS(L139=0,0,L139&gt;=1,L139/$L$178)</f>
        <v>0</v>
      </c>
      <c r="N139" s="995" t="s">
        <v>75</v>
      </c>
      <c r="O139" s="996"/>
      <c r="P139" s="997"/>
      <c r="Q139" s="316">
        <f>COUNTIFS(input!$O:$O,June!$Q$117,input!$X:$X,June!N139,input!$A:$A,June!$B$2)</f>
        <v>0</v>
      </c>
      <c r="R139" s="316">
        <f>COUNTIFS(input!$O:$O,June!$R$117,input!$X:$X,June!N139,input!$A:$A,June!$B$2)</f>
        <v>0</v>
      </c>
      <c r="S139" s="316">
        <f>COUNTIFS(input!$O:$O,June!$S$117,input!$X:$X,June!N139,input!$A:$A,June!$B$2)</f>
        <v>0</v>
      </c>
      <c r="T139" s="322">
        <f>COUNTIFS(input!$O:$O,June!$T$117,input!$X:$X,June!N139,input!$A:$A,June!$B$2)</f>
        <v>0</v>
      </c>
      <c r="U139" s="322">
        <f>COUNTIFS(input!$O:$O,June!$U$117,input!$X:$X,June!N139,input!$A:$A,June!$B$2)</f>
        <v>0</v>
      </c>
      <c r="V139" s="323">
        <f>COUNTIFS(input!$O:$O,June!$V$117,input!$X:$X,June!N139,input!$A:$A,June!$B$2)</f>
        <v>0</v>
      </c>
      <c r="W139" s="323">
        <f>COUNTIFS(input!$O:$O,June!$W$117,input!$X:$X,June!N139,input!$A:$A,June!$B$2)</f>
        <v>0</v>
      </c>
      <c r="X139" s="324">
        <f>COUNTIFS(input!$O:$O,June!$X$117,input!$X:$X,June!N139,input!$A:$A,June!$B$2)</f>
        <v>0</v>
      </c>
      <c r="Y139" s="312">
        <f t="shared" si="14"/>
        <v>0</v>
      </c>
      <c r="Z139" s="315" cm="1">
        <f t="array" ref="Z139">_xlfn.IFS(Y139=0,0,Y139&gt;=1,Y139/$Y$178)</f>
        <v>0</v>
      </c>
    </row>
    <row r="140" spans="2:26" ht="92" customHeight="1" x14ac:dyDescent="0.25">
      <c r="B140" s="998" t="s">
        <v>2003</v>
      </c>
      <c r="C140" s="994"/>
      <c r="D140" s="316">
        <f>COUNTIFS(input!$O:$O,June!$D$117,input!$W:$W,June!B140,input!$A:$A,June!$B$2)</f>
        <v>0</v>
      </c>
      <c r="E140" s="316">
        <f>COUNTIFS(input!$O:$O,June!$E$117,input!$W:$W,June!B140,input!$A:$A,June!$B$2)</f>
        <v>0</v>
      </c>
      <c r="F140" s="316">
        <f>COUNTIFS(input!$O:$O,June!$F$117,input!$W:$W,June!B140,input!$A:$A,June!$B$2)</f>
        <v>0</v>
      </c>
      <c r="G140" s="322">
        <f>COUNTIFS(input!$O:$O,June!$G$117,input!$W:$W,June!B140,input!$A:$A,June!$B$2)</f>
        <v>1</v>
      </c>
      <c r="H140" s="321">
        <f>COUNTIFS(input!$O:$O,June!$H$117,input!$W:$W,June!B140,input!$A:$A,June!$B$2)</f>
        <v>0</v>
      </c>
      <c r="I140" s="321">
        <f>COUNTIFS(input!$O:$O,June!$I$117,input!$W:$W,June!B140,input!$A:$A,June!$B$2)</f>
        <v>0</v>
      </c>
      <c r="J140" s="321">
        <f>COUNTIFS(input!$O:$O,June!$J$117,input!$W:$W,June!B140,input!$A:$A,June!$B$2)</f>
        <v>0</v>
      </c>
      <c r="K140" s="343">
        <f>COUNTIFS(input!$O:$O,June!$K$117,input!$W:$W,June!B140,input!$A:$A,June!$B$2)</f>
        <v>0</v>
      </c>
      <c r="L140" s="312">
        <f>SUM(D140:K140)</f>
        <v>1</v>
      </c>
      <c r="M140" s="320" cm="1">
        <f t="array" ref="M140">_xlfn.IFS(L140=0,0,L140&gt;=1,L140/$L$178)</f>
        <v>0.1111111111111111</v>
      </c>
      <c r="N140" s="995" t="s">
        <v>76</v>
      </c>
      <c r="O140" s="996"/>
      <c r="P140" s="997"/>
      <c r="Q140" s="316">
        <f>COUNTIFS(input!$O:$O,June!$Q$117,input!$X:$X,June!N140,input!$A:$A,June!$B$2)</f>
        <v>0</v>
      </c>
      <c r="R140" s="316">
        <f>COUNTIFS(input!$O:$O,June!$R$117,input!$X:$X,June!N140,input!$A:$A,June!$B$2)</f>
        <v>0</v>
      </c>
      <c r="S140" s="316">
        <f>COUNTIFS(input!$O:$O,June!$S$117,input!$X:$X,June!N140,input!$A:$A,June!$B$2)</f>
        <v>0</v>
      </c>
      <c r="T140" s="322">
        <f>COUNTIFS(input!$O:$O,June!$T$117,input!$X:$X,June!N140,input!$A:$A,June!$B$2)</f>
        <v>0</v>
      </c>
      <c r="U140" s="322">
        <f>COUNTIFS(input!$O:$O,June!$U$117,input!$X:$X,June!N140,input!$A:$A,June!$B$2)</f>
        <v>0</v>
      </c>
      <c r="V140" s="323">
        <f>COUNTIFS(input!$O:$O,June!$V$117,input!$X:$X,June!N140,input!$A:$A,June!$B$2)</f>
        <v>0</v>
      </c>
      <c r="W140" s="323">
        <f>COUNTIFS(input!$O:$O,June!$W$117,input!$X:$X,June!N140,input!$A:$A,June!$B$2)</f>
        <v>0</v>
      </c>
      <c r="X140" s="324">
        <f>COUNTIFS(input!$O:$O,June!$X$117,input!$X:$X,June!N140,input!$A:$A,June!$B$2)</f>
        <v>0</v>
      </c>
      <c r="Y140" s="312">
        <f t="shared" si="14"/>
        <v>0</v>
      </c>
      <c r="Z140" s="315" cm="1">
        <f t="array" ref="Z140">_xlfn.IFS(Y140=0,0,Y140&gt;=1,Y140/$Y$178)</f>
        <v>0</v>
      </c>
    </row>
    <row r="141" spans="2:26" ht="92" hidden="1" customHeight="1" x14ac:dyDescent="0.25">
      <c r="B141" s="1122" t="s">
        <v>498</v>
      </c>
      <c r="C141" s="997"/>
      <c r="D141" s="316">
        <f>COUNTIFS(input!$O:$O,June!$D$117,input!$W:$W,June!B141,input!$A:$A,June!$B$2)</f>
        <v>0</v>
      </c>
      <c r="E141" s="316">
        <f>COUNTIFS(input!$O:$O,June!$E$117,input!$W:$W,June!B141,input!$A:$A,June!$B$2)</f>
        <v>0</v>
      </c>
      <c r="F141" s="316">
        <f>COUNTIFS(input!$O:$O,June!$F$117,input!$W:$W,June!B141,input!$A:$A,June!$B$2)</f>
        <v>0</v>
      </c>
      <c r="G141" s="322">
        <f>COUNTIFS(input!$O:$O,June!$G$117,input!$W:$W,June!B141,input!$A:$A,June!$B$2)</f>
        <v>0</v>
      </c>
      <c r="H141" s="321">
        <f>COUNTIFS(input!$O:$O,June!$H$117,input!$W:$W,June!B141,input!$A:$A,June!$B$2)</f>
        <v>0</v>
      </c>
      <c r="I141" s="321">
        <f>COUNTIFS(input!$O:$O,June!$I$117,input!$W:$W,June!B141,input!$A:$A,June!$B$2)</f>
        <v>0</v>
      </c>
      <c r="J141" s="321">
        <f>COUNTIFS(input!$O:$O,June!$J$117,input!$W:$W,June!B141,input!$A:$A,June!$B$2)</f>
        <v>0</v>
      </c>
      <c r="K141" s="343">
        <f>COUNTIFS(input!$O:$O,June!$K$117,input!$W:$W,June!B141,input!$A:$A,June!$B$2)</f>
        <v>0</v>
      </c>
      <c r="L141" s="312">
        <f t="shared" si="13"/>
        <v>0</v>
      </c>
      <c r="M141" s="320" cm="1">
        <f t="array" ref="M141">_xlfn.IFS(L141=0,0,L141&gt;=1,L141/$L$178)</f>
        <v>0</v>
      </c>
      <c r="N141" s="995" t="s">
        <v>77</v>
      </c>
      <c r="O141" s="996"/>
      <c r="P141" s="997"/>
      <c r="Q141" s="316">
        <f>COUNTIFS(input!$O:$O,June!$Q$117,input!$X:$X,June!N141,input!$A:$A,June!$B$2)</f>
        <v>0</v>
      </c>
      <c r="R141" s="316">
        <f>COUNTIFS(input!$O:$O,June!$R$117,input!$X:$X,June!N141,input!$A:$A,June!$B$2)</f>
        <v>0</v>
      </c>
      <c r="S141" s="316">
        <f>COUNTIFS(input!$O:$O,June!$S$117,input!$X:$X,June!N141,input!$A:$A,June!$B$2)</f>
        <v>0</v>
      </c>
      <c r="T141" s="322">
        <f>COUNTIFS(input!$O:$O,June!$T$117,input!$X:$X,June!N141,input!$A:$A,June!$B$2)</f>
        <v>0</v>
      </c>
      <c r="U141" s="322">
        <f>COUNTIFS(input!$O:$O,June!$U$117,input!$X:$X,June!N141,input!$A:$A,June!$B$2)</f>
        <v>0</v>
      </c>
      <c r="V141" s="323">
        <f>COUNTIFS(input!$O:$O,June!$V$117,input!$X:$X,June!N141,input!$A:$A,June!$B$2)</f>
        <v>0</v>
      </c>
      <c r="W141" s="323">
        <f>COUNTIFS(input!$O:$O,June!$W$117,input!$X:$X,June!N141,input!$A:$A,June!$B$2)</f>
        <v>0</v>
      </c>
      <c r="X141" s="324">
        <f>COUNTIFS(input!$O:$O,June!$X$117,input!$X:$X,June!N141,input!$A:$A,June!$B$2)</f>
        <v>0</v>
      </c>
      <c r="Y141" s="312">
        <f t="shared" si="14"/>
        <v>0</v>
      </c>
      <c r="Z141" s="315" cm="1">
        <f t="array" ref="Z141">_xlfn.IFS(Y141=0,0,Y141&gt;=1,Y141/$Y$178)</f>
        <v>0</v>
      </c>
    </row>
    <row r="142" spans="2:26" ht="92" hidden="1" customHeight="1" x14ac:dyDescent="0.25">
      <c r="B142" s="1122" t="s">
        <v>864</v>
      </c>
      <c r="C142" s="997"/>
      <c r="D142" s="316">
        <f>COUNTIFS(input!$O:$O,June!$D$117,input!$W:$W,June!B142,input!$A:$A,June!$B$2)</f>
        <v>0</v>
      </c>
      <c r="E142" s="316">
        <f>COUNTIFS(input!$O:$O,June!$E$117,input!$W:$W,June!B142,input!$A:$A,June!$B$2)</f>
        <v>0</v>
      </c>
      <c r="F142" s="316">
        <f>COUNTIFS(input!$O:$O,June!$F$117,input!$W:$W,June!B142,input!$A:$A,June!$B$2)</f>
        <v>0</v>
      </c>
      <c r="G142" s="322">
        <f>COUNTIFS(input!$O:$O,June!$G$117,input!$W:$W,June!B142,input!$A:$A,June!$B$2)</f>
        <v>0</v>
      </c>
      <c r="H142" s="321">
        <f>COUNTIFS(input!$O:$O,June!$H$117,input!$W:$W,June!B142,input!$A:$A,June!$B$2)</f>
        <v>0</v>
      </c>
      <c r="I142" s="321">
        <f>COUNTIFS(input!$O:$O,June!$I$117,input!$W:$W,June!B142,input!$A:$A,June!$B$2)</f>
        <v>0</v>
      </c>
      <c r="J142" s="321">
        <f>COUNTIFS(input!$O:$O,June!$J$117,input!$W:$W,June!B142,input!$A:$A,June!$B$2)</f>
        <v>0</v>
      </c>
      <c r="K142" s="343">
        <f>COUNTIFS(input!$O:$O,June!$K$117,input!$W:$W,June!B142,input!$A:$A,June!$B$2)</f>
        <v>0</v>
      </c>
      <c r="L142" s="312">
        <f t="shared" si="13"/>
        <v>0</v>
      </c>
      <c r="M142" s="320" cm="1">
        <f t="array" ref="M142">_xlfn.IFS(L142=0,0,L142&gt;=1,L142/$L$178)</f>
        <v>0</v>
      </c>
      <c r="N142" s="995" t="s">
        <v>78</v>
      </c>
      <c r="O142" s="996"/>
      <c r="P142" s="997"/>
      <c r="Q142" s="316">
        <f>COUNTIFS(input!$O:$O,June!$Q$117,input!$X:$X,June!N142,input!$A:$A,June!$B$2)</f>
        <v>0</v>
      </c>
      <c r="R142" s="316">
        <f>COUNTIFS(input!$O:$O,June!$R$117,input!$X:$X,June!N142,input!$A:$A,June!$B$2)</f>
        <v>0</v>
      </c>
      <c r="S142" s="316">
        <f>COUNTIFS(input!$O:$O,June!$S$117,input!$X:$X,June!N142,input!$A:$A,June!$B$2)</f>
        <v>0</v>
      </c>
      <c r="T142" s="322">
        <f>COUNTIFS(input!$O:$O,June!$T$117,input!$X:$X,June!N142,input!$A:$A,June!$B$2)</f>
        <v>0</v>
      </c>
      <c r="U142" s="322">
        <f>COUNTIFS(input!$O:$O,June!$U$117,input!$X:$X,June!N142,input!$A:$A,June!$B$2)</f>
        <v>0</v>
      </c>
      <c r="V142" s="323">
        <f>COUNTIFS(input!$O:$O,June!$V$117,input!$X:$X,June!N142,input!$A:$A,June!$B$2)</f>
        <v>0</v>
      </c>
      <c r="W142" s="323">
        <f>COUNTIFS(input!$O:$O,June!$W$117,input!$X:$X,June!N142,input!$A:$A,June!$B$2)</f>
        <v>0</v>
      </c>
      <c r="X142" s="324">
        <f>COUNTIFS(input!$O:$O,June!$X$117,input!$X:$X,June!N142,input!$A:$A,June!$B$2)</f>
        <v>0</v>
      </c>
      <c r="Y142" s="312">
        <f t="shared" si="14"/>
        <v>0</v>
      </c>
      <c r="Z142" s="315" cm="1">
        <f t="array" ref="Z142">_xlfn.IFS(Y142=0,0,Y142&gt;=1,Y142/$Y$178)</f>
        <v>0</v>
      </c>
    </row>
    <row r="143" spans="2:26" ht="92" hidden="1" customHeight="1" x14ac:dyDescent="0.25">
      <c r="B143" s="1122" t="s">
        <v>489</v>
      </c>
      <c r="C143" s="997"/>
      <c r="D143" s="316">
        <f>COUNTIFS(input!$O:$O,June!$D$117,input!$W:$W,June!B143,input!$A:$A,June!$B$2)</f>
        <v>0</v>
      </c>
      <c r="E143" s="316">
        <f>COUNTIFS(input!$O:$O,June!$E$117,input!$W:$W,June!B143,input!$A:$A,June!$B$2)</f>
        <v>0</v>
      </c>
      <c r="F143" s="316">
        <f>COUNTIFS(input!$O:$O,June!$F$117,input!$W:$W,June!B143,input!$A:$A,June!$B$2)</f>
        <v>0</v>
      </c>
      <c r="G143" s="322">
        <f>COUNTIFS(input!$O:$O,June!$G$117,input!$W:$W,June!B143,input!$A:$A,June!$B$2)</f>
        <v>0</v>
      </c>
      <c r="H143" s="321">
        <f>COUNTIFS(input!$O:$O,June!$H$117,input!$W:$W,June!B143,input!$A:$A,June!$B$2)</f>
        <v>0</v>
      </c>
      <c r="I143" s="321">
        <f>COUNTIFS(input!$O:$O,June!$I$117,input!$W:$W,June!B143,input!$A:$A,June!$B$2)</f>
        <v>0</v>
      </c>
      <c r="J143" s="321">
        <f>COUNTIFS(input!$O:$O,June!$J$117,input!$W:$W,June!B143,input!$A:$A,June!$B$2)</f>
        <v>0</v>
      </c>
      <c r="K143" s="343">
        <f>COUNTIFS(input!$O:$O,June!$K$117,input!$W:$W,June!B143,input!$A:$A,June!$B$2)</f>
        <v>0</v>
      </c>
      <c r="L143" s="312">
        <f t="shared" si="13"/>
        <v>0</v>
      </c>
      <c r="M143" s="320" cm="1">
        <f t="array" ref="M143">_xlfn.IFS(L143=0,0,L143&gt;=1,L143/$L$178)</f>
        <v>0</v>
      </c>
      <c r="N143" s="995" t="s">
        <v>764</v>
      </c>
      <c r="O143" s="996"/>
      <c r="P143" s="997"/>
      <c r="Q143" s="316">
        <f>COUNTIFS(input!$O:$O,June!$Q$117,input!$X:$X,June!N143,input!$A:$A,June!$B$2)</f>
        <v>0</v>
      </c>
      <c r="R143" s="316">
        <f>COUNTIFS(input!$O:$O,June!$R$117,input!$X:$X,June!N143,input!$A:$A,June!$B$2)</f>
        <v>0</v>
      </c>
      <c r="S143" s="316">
        <f>COUNTIFS(input!$O:$O,June!$S$117,input!$X:$X,June!N143,input!$A:$A,June!$B$2)</f>
        <v>0</v>
      </c>
      <c r="T143" s="322">
        <f>COUNTIFS(input!$O:$O,June!$T$117,input!$X:$X,June!N143,input!$A:$A,June!$B$2)</f>
        <v>0</v>
      </c>
      <c r="U143" s="322">
        <f>COUNTIFS(input!$O:$O,June!$U$117,input!$X:$X,June!N143,input!$A:$A,June!$B$2)</f>
        <v>0</v>
      </c>
      <c r="V143" s="323">
        <f>COUNTIFS(input!$O:$O,June!$V$117,input!$X:$X,June!N143,input!$A:$A,June!$B$2)</f>
        <v>0</v>
      </c>
      <c r="W143" s="323">
        <f>COUNTIFS(input!$O:$O,June!$W$117,input!$X:$X,June!N143,input!$A:$A,June!$B$2)</f>
        <v>0</v>
      </c>
      <c r="X143" s="324">
        <f>COUNTIFS(input!$O:$O,June!$X$117,input!$X:$X,June!N143,input!$A:$A,June!$B$2)</f>
        <v>0</v>
      </c>
      <c r="Y143" s="312">
        <f t="shared" si="14"/>
        <v>0</v>
      </c>
      <c r="Z143" s="315" cm="1">
        <f t="array" ref="Z143">_xlfn.IFS(Y143=0,0,Y143&gt;=1,Y143/$Y$178)</f>
        <v>0</v>
      </c>
    </row>
    <row r="144" spans="2:26" ht="92" hidden="1" customHeight="1" x14ac:dyDescent="0.25">
      <c r="B144" s="1121" t="s">
        <v>466</v>
      </c>
      <c r="C144" s="1066"/>
      <c r="D144" s="316">
        <f>COUNTIFS(input!$O:$O,June!$D$117,input!$W:$W,June!B144,input!$A:$A,June!$B$2)</f>
        <v>0</v>
      </c>
      <c r="E144" s="316">
        <f>COUNTIFS(input!$O:$O,June!$E$117,input!$W:$W,June!B144,input!$A:$A,June!$B$2)</f>
        <v>0</v>
      </c>
      <c r="F144" s="316">
        <f>COUNTIFS(input!$O:$O,June!$F$117,input!$W:$W,June!B144,input!$A:$A,June!$B$2)</f>
        <v>0</v>
      </c>
      <c r="G144" s="322">
        <f>COUNTIFS(input!$O:$O,June!$G$117,input!$W:$W,June!B144,input!$A:$A,June!$B$2)</f>
        <v>0</v>
      </c>
      <c r="H144" s="321">
        <f>COUNTIFS(input!$O:$O,June!$H$117,input!$W:$W,June!B144,input!$A:$A,June!$B$2)</f>
        <v>0</v>
      </c>
      <c r="I144" s="321">
        <f>COUNTIFS(input!$O:$O,June!$I$117,input!$W:$W,June!B144,input!$A:$A,June!$B$2)</f>
        <v>0</v>
      </c>
      <c r="J144" s="321">
        <f>COUNTIFS(input!$O:$O,June!$J$117,input!$W:$W,June!B144,input!$A:$A,June!$B$2)</f>
        <v>0</v>
      </c>
      <c r="K144" s="343">
        <f>COUNTIFS(input!$O:$O,June!$K$117,input!$W:$W,June!B144,input!$A:$A,June!$B$2)</f>
        <v>0</v>
      </c>
      <c r="L144" s="312">
        <f t="shared" si="13"/>
        <v>0</v>
      </c>
      <c r="M144" s="320" cm="1">
        <f t="array" ref="M144">_xlfn.IFS(L144=0,0,L144&gt;=1,L144/$L$178)</f>
        <v>0</v>
      </c>
      <c r="N144" s="995" t="s">
        <v>390</v>
      </c>
      <c r="O144" s="996"/>
      <c r="P144" s="997"/>
      <c r="Q144" s="316">
        <f>COUNTIFS(input!$O:$O,June!$Q$117,input!$X:$X,June!N144,input!$A:$A,June!$B$2)</f>
        <v>0</v>
      </c>
      <c r="R144" s="316">
        <f>COUNTIFS(input!$O:$O,June!$R$117,input!$X:$X,June!N144,input!$A:$A,June!$B$2)</f>
        <v>0</v>
      </c>
      <c r="S144" s="316">
        <f>COUNTIFS(input!$O:$O,June!$S$117,input!$X:$X,June!N144,input!$A:$A,June!$B$2)</f>
        <v>0</v>
      </c>
      <c r="T144" s="322">
        <f>COUNTIFS(input!$O:$O,June!$T$117,input!$X:$X,June!N144,input!$A:$A,June!$B$2)</f>
        <v>0</v>
      </c>
      <c r="U144" s="322">
        <f>COUNTIFS(input!$O:$O,June!$U$117,input!$X:$X,June!N144,input!$A:$A,June!$B$2)</f>
        <v>0</v>
      </c>
      <c r="V144" s="323">
        <f>COUNTIFS(input!$O:$O,June!$V$117,input!$X:$X,June!N144,input!$A:$A,June!$B$2)</f>
        <v>0</v>
      </c>
      <c r="W144" s="323">
        <f>COUNTIFS(input!$O:$O,June!$W$117,input!$X:$X,June!N144,input!$A:$A,June!$B$2)</f>
        <v>0</v>
      </c>
      <c r="X144" s="324">
        <f>COUNTIFS(input!$O:$O,June!$X$117,input!$X:$X,June!N144,input!$A:$A,June!$B$2)</f>
        <v>0</v>
      </c>
      <c r="Y144" s="312">
        <f t="shared" si="14"/>
        <v>0</v>
      </c>
      <c r="Z144" s="315" cm="1">
        <f t="array" ref="Z144">_xlfn.IFS(Y144=0,0,Y144&gt;=1,Y144/$Y$178)</f>
        <v>0</v>
      </c>
    </row>
    <row r="145" spans="2:26" ht="92" hidden="1" customHeight="1" x14ac:dyDescent="0.25">
      <c r="B145" s="1121" t="s">
        <v>458</v>
      </c>
      <c r="C145" s="1066"/>
      <c r="D145" s="316">
        <f>COUNTIFS(input!$O:$O,June!$D$117,input!$W:$W,June!B145,input!$A:$A,June!$B$2)</f>
        <v>0</v>
      </c>
      <c r="E145" s="316">
        <f>COUNTIFS(input!$O:$O,June!$E$117,input!$W:$W,June!B145,input!$A:$A,June!$B$2)</f>
        <v>0</v>
      </c>
      <c r="F145" s="316">
        <f>COUNTIFS(input!$O:$O,June!$F$117,input!$W:$W,June!B145,input!$A:$A,June!$B$2)</f>
        <v>0</v>
      </c>
      <c r="G145" s="322">
        <f>COUNTIFS(input!$O:$O,June!$G$117,input!$W:$W,June!B145,input!$A:$A,June!$B$2)</f>
        <v>0</v>
      </c>
      <c r="H145" s="321">
        <f>COUNTIFS(input!$O:$O,June!$H$117,input!$W:$W,June!B145,input!$A:$A,June!$B$2)</f>
        <v>0</v>
      </c>
      <c r="I145" s="321">
        <f>COUNTIFS(input!$O:$O,June!$I$117,input!$W:$W,June!B145,input!$A:$A,June!$B$2)</f>
        <v>0</v>
      </c>
      <c r="J145" s="321">
        <f>COUNTIFS(input!$O:$O,June!$J$117,input!$W:$W,June!B145,input!$A:$A,June!$B$2)</f>
        <v>0</v>
      </c>
      <c r="K145" s="343">
        <f>COUNTIFS(input!$O:$O,June!$K$117,input!$W:$W,June!B145,input!$A:$A,June!$B$2)</f>
        <v>0</v>
      </c>
      <c r="L145" s="312">
        <f t="shared" si="13"/>
        <v>0</v>
      </c>
      <c r="M145" s="320" cm="1">
        <f t="array" ref="M145">_xlfn.IFS(L145=0,0,L145&gt;=1,L145/$L$178)</f>
        <v>0</v>
      </c>
      <c r="N145" s="995" t="s">
        <v>177</v>
      </c>
      <c r="O145" s="996"/>
      <c r="P145" s="997"/>
      <c r="Q145" s="316">
        <f>COUNTIFS(input!$O:$O,June!$Q$117,input!$X:$X,June!N145,input!$A:$A,June!$B$2)</f>
        <v>0</v>
      </c>
      <c r="R145" s="316">
        <f>COUNTIFS(input!$O:$O,June!$R$117,input!$X:$X,June!N145,input!$A:$A,June!$B$2)</f>
        <v>0</v>
      </c>
      <c r="S145" s="316">
        <f>COUNTIFS(input!$O:$O,June!$S$117,input!$X:$X,June!N145,input!$A:$A,June!$B$2)</f>
        <v>0</v>
      </c>
      <c r="T145" s="322">
        <f>COUNTIFS(input!$O:$O,June!$T$117,input!$X:$X,June!N145,input!$A:$A,June!$B$2)</f>
        <v>0</v>
      </c>
      <c r="U145" s="322">
        <f>COUNTIFS(input!$O:$O,June!$U$117,input!$X:$X,June!N145,input!$A:$A,June!$B$2)</f>
        <v>0</v>
      </c>
      <c r="V145" s="323">
        <f>COUNTIFS(input!$O:$O,June!$V$117,input!$X:$X,June!N145,input!$A:$A,June!$B$2)</f>
        <v>0</v>
      </c>
      <c r="W145" s="323">
        <f>COUNTIFS(input!$O:$O,June!$W$117,input!$X:$X,June!N145,input!$A:$A,June!$B$2)</f>
        <v>0</v>
      </c>
      <c r="X145" s="324">
        <f>COUNTIFS(input!$O:$O,June!$X$117,input!$X:$X,June!N145,input!$A:$A,June!$B$2)</f>
        <v>0</v>
      </c>
      <c r="Y145" s="312">
        <f t="shared" si="14"/>
        <v>0</v>
      </c>
      <c r="Z145" s="315" cm="1">
        <f t="array" ref="Z145">_xlfn.IFS(Y145=0,0,Y145&gt;=1,Y145/$Y$178)</f>
        <v>0</v>
      </c>
    </row>
    <row r="146" spans="2:26" ht="92" hidden="1" customHeight="1" x14ac:dyDescent="0.25">
      <c r="B146" s="1121" t="s">
        <v>647</v>
      </c>
      <c r="C146" s="1066"/>
      <c r="D146" s="316">
        <f>COUNTIFS(input!$O:$O,June!$D$117,input!$W:$W,June!B146,input!$A:$A,June!$B$2)</f>
        <v>0</v>
      </c>
      <c r="E146" s="316">
        <f>COUNTIFS(input!$O:$O,June!$E$117,input!$W:$W,June!B146,input!$A:$A,June!$B$2)</f>
        <v>0</v>
      </c>
      <c r="F146" s="316">
        <f>COUNTIFS(input!$O:$O,June!$F$117,input!$W:$W,June!B146,input!$A:$A,June!$B$2)</f>
        <v>0</v>
      </c>
      <c r="G146" s="322">
        <f>COUNTIFS(input!$O:$O,June!$G$117,input!$W:$W,June!B146,input!$A:$A,June!$B$2)</f>
        <v>0</v>
      </c>
      <c r="H146" s="321">
        <f>COUNTIFS(input!$O:$O,June!$H$117,input!$W:$W,June!B146,input!$A:$A,June!$B$2)</f>
        <v>0</v>
      </c>
      <c r="I146" s="321">
        <f>COUNTIFS(input!$O:$O,June!$I$117,input!$W:$W,June!B146,input!$A:$A,June!$B$2)</f>
        <v>0</v>
      </c>
      <c r="J146" s="321">
        <f>COUNTIFS(input!$O:$O,June!$J$117,input!$W:$W,June!B146,input!$A:$A,June!$B$2)</f>
        <v>0</v>
      </c>
      <c r="K146" s="343">
        <f>COUNTIFS(input!$O:$O,June!$K$117,input!$W:$W,June!B146,input!$A:$A,June!$B$2)</f>
        <v>0</v>
      </c>
      <c r="L146" s="312">
        <f t="shared" si="13"/>
        <v>0</v>
      </c>
      <c r="M146" s="320" cm="1">
        <f t="array" ref="M146">_xlfn.IFS(L146=0,0,L146&gt;=1,L146/$L$178)</f>
        <v>0</v>
      </c>
      <c r="N146" s="995" t="s">
        <v>1740</v>
      </c>
      <c r="O146" s="996"/>
      <c r="P146" s="997"/>
      <c r="Q146" s="316">
        <f>COUNTIFS(input!$O:$O,June!$Q$117,input!$X:$X,June!N146,input!$A:$A,June!$B$2)</f>
        <v>0</v>
      </c>
      <c r="R146" s="316">
        <f>COUNTIFS(input!$O:$O,June!$R$117,input!$X:$X,June!N146,input!$A:$A,June!$B$2)</f>
        <v>0</v>
      </c>
      <c r="S146" s="316">
        <f>COUNTIFS(input!$O:$O,June!$S$117,input!$X:$X,June!N146,input!$A:$A,June!$B$2)</f>
        <v>0</v>
      </c>
      <c r="T146" s="322">
        <f>COUNTIFS(input!$O:$O,June!$T$117,input!$X:$X,June!N146,input!$A:$A,June!$B$2)</f>
        <v>0</v>
      </c>
      <c r="U146" s="322">
        <f>COUNTIFS(input!$O:$O,June!$U$117,input!$X:$X,June!N146,input!$A:$A,June!$B$2)</f>
        <v>0</v>
      </c>
      <c r="V146" s="323">
        <f>COUNTIFS(input!$O:$O,June!$V$117,input!$X:$X,June!N146,input!$A:$A,June!$B$2)</f>
        <v>0</v>
      </c>
      <c r="W146" s="323">
        <f>COUNTIFS(input!$O:$O,June!$W$117,input!$X:$X,June!N146,input!$A:$A,June!$B$2)</f>
        <v>0</v>
      </c>
      <c r="X146" s="324">
        <f>COUNTIFS(input!$O:$O,June!$X$117,input!$X:$X,June!N146,input!$A:$A,June!$B$2)</f>
        <v>0</v>
      </c>
      <c r="Y146" s="312">
        <f t="shared" si="14"/>
        <v>0</v>
      </c>
      <c r="Z146" s="315" cm="1">
        <f t="array" ref="Z146">_xlfn.IFS(Y146=0,0,Y146&gt;=1,Y146/$Y$178)</f>
        <v>0</v>
      </c>
    </row>
    <row r="147" spans="2:26" ht="92" hidden="1" customHeight="1" x14ac:dyDescent="0.25">
      <c r="B147" s="1122" t="s">
        <v>826</v>
      </c>
      <c r="C147" s="997"/>
      <c r="D147" s="316">
        <f>COUNTIFS(input!$O:$O,June!$D$117,input!$W:$W,June!B147,input!$A:$A,June!$B$2)</f>
        <v>0</v>
      </c>
      <c r="E147" s="316">
        <f>COUNTIFS(input!$O:$O,June!$E$117,input!$W:$W,June!B147,input!$A:$A,June!$B$2)</f>
        <v>0</v>
      </c>
      <c r="F147" s="316">
        <f>COUNTIFS(input!$O:$O,June!$F$117,input!$W:$W,June!B147,input!$A:$A,June!$B$2)</f>
        <v>0</v>
      </c>
      <c r="G147" s="322">
        <f>COUNTIFS(input!$O:$O,June!$G$117,input!$W:$W,June!B147,input!$A:$A,June!$B$2)</f>
        <v>0</v>
      </c>
      <c r="H147" s="321">
        <f>COUNTIFS(input!$O:$O,June!$H$117,input!$W:$W,June!B147,input!$A:$A,June!$B$2)</f>
        <v>0</v>
      </c>
      <c r="I147" s="321">
        <f>COUNTIFS(input!$O:$O,June!$I$117,input!$W:$W,June!B147,input!$A:$A,June!$B$2)</f>
        <v>0</v>
      </c>
      <c r="J147" s="321">
        <f>COUNTIFS(input!$O:$O,June!$J$117,input!$W:$W,June!B147,input!$A:$A,June!$B$2)</f>
        <v>0</v>
      </c>
      <c r="K147" s="343">
        <f>COUNTIFS(input!$O:$O,June!$K$117,input!$W:$W,June!B147,input!$A:$A,June!$B$2)</f>
        <v>0</v>
      </c>
      <c r="L147" s="312">
        <f t="shared" si="13"/>
        <v>0</v>
      </c>
      <c r="M147" s="320" cm="1">
        <f t="array" ref="M147">_xlfn.IFS(L147=0,0,L147&gt;=1,L147/$L$178)</f>
        <v>0</v>
      </c>
      <c r="N147" s="995" t="s">
        <v>1741</v>
      </c>
      <c r="O147" s="996"/>
      <c r="P147" s="997"/>
      <c r="Q147" s="316">
        <f>COUNTIFS(input!$O:$O,June!$Q$117,input!$X:$X,June!N147,input!$A:$A,June!$B$2)</f>
        <v>0</v>
      </c>
      <c r="R147" s="316">
        <f>COUNTIFS(input!$O:$O,June!$R$117,input!$X:$X,June!N147,input!$A:$A,June!$B$2)</f>
        <v>0</v>
      </c>
      <c r="S147" s="316">
        <f>COUNTIFS(input!$O:$O,June!$S$117,input!$X:$X,June!N147,input!$A:$A,June!$B$2)</f>
        <v>0</v>
      </c>
      <c r="T147" s="322">
        <f>COUNTIFS(input!$O:$O,June!$T$117,input!$X:$X,June!N147,input!$A:$A,June!$B$2)</f>
        <v>0</v>
      </c>
      <c r="U147" s="322">
        <f>COUNTIFS(input!$O:$O,June!$U$117,input!$X:$X,June!N147,input!$A:$A,June!$B$2)</f>
        <v>0</v>
      </c>
      <c r="V147" s="323">
        <f>COUNTIFS(input!$O:$O,June!$V$117,input!$X:$X,June!N147,input!$A:$A,June!$B$2)</f>
        <v>0</v>
      </c>
      <c r="W147" s="323">
        <f>COUNTIFS(input!$O:$O,June!$W$117,input!$X:$X,June!N147,input!$A:$A,June!$B$2)</f>
        <v>0</v>
      </c>
      <c r="X147" s="324">
        <f>COUNTIFS(input!$O:$O,June!$X$117,input!$X:$X,June!N147,input!$A:$A,June!$B$2)</f>
        <v>0</v>
      </c>
      <c r="Y147" s="312">
        <f t="shared" si="14"/>
        <v>0</v>
      </c>
      <c r="Z147" s="315" cm="1">
        <f t="array" ref="Z147">_xlfn.IFS(Y147=0,0,Y147&gt;=1,Y147/$Y$178)</f>
        <v>0</v>
      </c>
    </row>
    <row r="148" spans="2:26" ht="92" hidden="1" customHeight="1" x14ac:dyDescent="0.25">
      <c r="B148" s="1122" t="s">
        <v>1537</v>
      </c>
      <c r="C148" s="997"/>
      <c r="D148" s="316">
        <f>COUNTIFS(input!$O:$O,June!$D$117,input!$W:$W,June!B148,input!$A:$A,June!$B$2)</f>
        <v>0</v>
      </c>
      <c r="E148" s="316">
        <f>COUNTIFS(input!$O:$O,June!$E$117,input!$W:$W,June!B148,input!$A:$A,June!$B$2)</f>
        <v>0</v>
      </c>
      <c r="F148" s="316">
        <f>COUNTIFS(input!$O:$O,June!$F$117,input!$W:$W,June!B148,input!$A:$A,June!$B$2)</f>
        <v>0</v>
      </c>
      <c r="G148" s="322">
        <f>COUNTIFS(input!$O:$O,June!$G$117,input!$W:$W,June!B148,input!$A:$A,June!$B$2)</f>
        <v>0</v>
      </c>
      <c r="H148" s="321">
        <f>COUNTIFS(input!$O:$O,June!$H$117,input!$W:$W,June!B148,input!$A:$A,June!$B$2)</f>
        <v>0</v>
      </c>
      <c r="I148" s="321">
        <f>COUNTIFS(input!$O:$O,June!$I$117,input!$W:$W,June!B148,input!$A:$A,June!$B$2)</f>
        <v>0</v>
      </c>
      <c r="J148" s="321">
        <f>COUNTIFS(input!$O:$O,June!$J$117,input!$W:$W,June!B148,input!$A:$A,June!$B$2)</f>
        <v>0</v>
      </c>
      <c r="K148" s="343">
        <f>COUNTIFS(input!$O:$O,June!$K$117,input!$W:$W,June!B148,input!$A:$A,June!$B$2)</f>
        <v>0</v>
      </c>
      <c r="L148" s="312">
        <f t="shared" si="13"/>
        <v>0</v>
      </c>
      <c r="M148" s="320" cm="1">
        <f t="array" ref="M148">_xlfn.IFS(L148=0,0,L148&gt;=1,L148/$L$178)</f>
        <v>0</v>
      </c>
      <c r="N148" s="995" t="s">
        <v>481</v>
      </c>
      <c r="O148" s="996"/>
      <c r="P148" s="997"/>
      <c r="Q148" s="316">
        <f>COUNTIFS(input!$O:$O,June!$Q$117,input!$X:$X,June!N148,input!$A:$A,June!$B$2)</f>
        <v>0</v>
      </c>
      <c r="R148" s="316">
        <f>COUNTIFS(input!$O:$O,June!$R$117,input!$X:$X,June!N148,input!$A:$A,June!$B$2)</f>
        <v>0</v>
      </c>
      <c r="S148" s="316">
        <f>COUNTIFS(input!$O:$O,June!$S$117,input!$X:$X,June!N148,input!$A:$A,June!$B$2)</f>
        <v>0</v>
      </c>
      <c r="T148" s="322">
        <f>COUNTIFS(input!$O:$O,June!$T$117,input!$X:$X,June!N148,input!$A:$A,June!$B$2)</f>
        <v>0</v>
      </c>
      <c r="U148" s="322">
        <f>COUNTIFS(input!$O:$O,June!$U$117,input!$X:$X,June!N148,input!$A:$A,June!$B$2)</f>
        <v>0</v>
      </c>
      <c r="V148" s="323">
        <f>COUNTIFS(input!$O:$O,June!$V$117,input!$X:$X,June!N148,input!$A:$A,June!$B$2)</f>
        <v>0</v>
      </c>
      <c r="W148" s="323">
        <f>COUNTIFS(input!$O:$O,June!$W$117,input!$X:$X,June!N148,input!$A:$A,June!$B$2)</f>
        <v>0</v>
      </c>
      <c r="X148" s="324">
        <f>COUNTIFS(input!$O:$O,June!$X$117,input!$X:$X,June!N148,input!$A:$A,June!$B$2)</f>
        <v>0</v>
      </c>
      <c r="Y148" s="312">
        <f t="shared" si="14"/>
        <v>0</v>
      </c>
      <c r="Z148" s="315" cm="1">
        <f t="array" ref="Z148">_xlfn.IFS(Y148=0,0,Y148&gt;=1,Y148/$Y$178)</f>
        <v>0</v>
      </c>
    </row>
    <row r="149" spans="2:26" ht="92" hidden="1" customHeight="1" x14ac:dyDescent="0.25">
      <c r="B149" s="1121" t="s">
        <v>603</v>
      </c>
      <c r="C149" s="1066"/>
      <c r="D149" s="316">
        <f>COUNTIFS(input!$O:$O,June!$D$117,input!$W:$W,June!B149,input!$A:$A,June!$B$2)</f>
        <v>0</v>
      </c>
      <c r="E149" s="316">
        <f>COUNTIFS(input!$O:$O,June!$E$117,input!$W:$W,June!B149,input!$A:$A,June!$B$2)</f>
        <v>0</v>
      </c>
      <c r="F149" s="316">
        <f>COUNTIFS(input!$O:$O,June!$F$117,input!$W:$W,June!B149,input!$A:$A,June!$B$2)</f>
        <v>0</v>
      </c>
      <c r="G149" s="322">
        <f>COUNTIFS(input!$O:$O,June!$G$117,input!$W:$W,June!B149,input!$A:$A,June!$B$2)</f>
        <v>0</v>
      </c>
      <c r="H149" s="321">
        <f>COUNTIFS(input!$O:$O,June!$H$117,input!$W:$W,June!B149,input!$A:$A,June!$B$2)</f>
        <v>0</v>
      </c>
      <c r="I149" s="321">
        <f>COUNTIFS(input!$O:$O,June!$I$117,input!$W:$W,June!B149,input!$A:$A,June!$B$2)</f>
        <v>0</v>
      </c>
      <c r="J149" s="321">
        <f>COUNTIFS(input!$O:$O,June!$J$117,input!$W:$W,June!B149,input!$A:$A,June!$B$2)</f>
        <v>0</v>
      </c>
      <c r="K149" s="343">
        <f>COUNTIFS(input!$O:$O,June!$K$117,input!$W:$W,June!B149,input!$A:$A,June!$B$2)</f>
        <v>0</v>
      </c>
      <c r="L149" s="312">
        <f t="shared" si="13"/>
        <v>0</v>
      </c>
      <c r="M149" s="320" cm="1">
        <f t="array" ref="M149">_xlfn.IFS(L149=0,0,L149&gt;=1,L149/$L$178)</f>
        <v>0</v>
      </c>
      <c r="N149" s="995" t="s">
        <v>467</v>
      </c>
      <c r="O149" s="996"/>
      <c r="P149" s="997"/>
      <c r="Q149" s="316">
        <f>COUNTIFS(input!$O:$O,June!$Q$117,input!$X:$X,June!N149,input!$A:$A,June!$B$2)</f>
        <v>0</v>
      </c>
      <c r="R149" s="316">
        <f>COUNTIFS(input!$O:$O,June!$R$117,input!$X:$X,June!N149,input!$A:$A,June!$B$2)</f>
        <v>0</v>
      </c>
      <c r="S149" s="316">
        <f>COUNTIFS(input!$O:$O,June!$S$117,input!$X:$X,June!N149,input!$A:$A,June!$B$2)</f>
        <v>0</v>
      </c>
      <c r="T149" s="322">
        <f>COUNTIFS(input!$O:$O,June!$T$117,input!$X:$X,June!N149,input!$A:$A,June!$B$2)</f>
        <v>0</v>
      </c>
      <c r="U149" s="322">
        <f>COUNTIFS(input!$O:$O,June!$U$117,input!$X:$X,June!N149,input!$A:$A,June!$B$2)</f>
        <v>0</v>
      </c>
      <c r="V149" s="323">
        <f>COUNTIFS(input!$O:$O,June!$V$117,input!$X:$X,June!N149,input!$A:$A,June!$B$2)</f>
        <v>0</v>
      </c>
      <c r="W149" s="323">
        <f>COUNTIFS(input!$O:$O,June!$W$117,input!$X:$X,June!N149,input!$A:$A,June!$B$2)</f>
        <v>0</v>
      </c>
      <c r="X149" s="324">
        <f>COUNTIFS(input!$O:$O,June!$X$117,input!$X:$X,June!N149,input!$A:$A,June!$B$2)</f>
        <v>0</v>
      </c>
      <c r="Y149" s="312">
        <f t="shared" si="14"/>
        <v>0</v>
      </c>
      <c r="Z149" s="315" cm="1">
        <f t="array" ref="Z149">_xlfn.IFS(Y149=0,0,Y149&gt;=1,Y149/$Y$178)</f>
        <v>0</v>
      </c>
    </row>
    <row r="150" spans="2:26" ht="92" customHeight="1" x14ac:dyDescent="0.25">
      <c r="B150" s="990" t="s">
        <v>1990</v>
      </c>
      <c r="C150" s="991"/>
      <c r="D150" s="316">
        <f>COUNTIFS(input!$O:$O,June!$D$117,input!$W:$W,June!B150,input!$A:$A,June!$B$2)</f>
        <v>0</v>
      </c>
      <c r="E150" s="316">
        <f>COUNTIFS(input!$O:$O,June!$E$117,input!$W:$W,June!B150,input!$A:$A,June!$B$2)</f>
        <v>0</v>
      </c>
      <c r="F150" s="316">
        <f>COUNTIFS(input!$O:$O,June!$F$117,input!$W:$W,June!B150,input!$A:$A,June!$B$2)</f>
        <v>0</v>
      </c>
      <c r="G150" s="322">
        <f>COUNTIFS(input!$O:$O,June!$G$117,input!$W:$W,June!B150,input!$A:$A,June!$B$2)</f>
        <v>1</v>
      </c>
      <c r="H150" s="321">
        <f>COUNTIFS(input!$O:$O,June!$H$117,input!$W:$W,June!B150,input!$A:$A,June!$B$2)</f>
        <v>0</v>
      </c>
      <c r="I150" s="321">
        <f>COUNTIFS(input!$O:$O,June!$I$117,input!$W:$W,June!B150,input!$A:$A,June!$B$2)</f>
        <v>0</v>
      </c>
      <c r="J150" s="321">
        <f>COUNTIFS(input!$O:$O,June!$J$117,input!$W:$W,June!B150,input!$A:$A,June!$B$2)</f>
        <v>0</v>
      </c>
      <c r="K150" s="343">
        <f>COUNTIFS(input!$O:$O,June!$K$117,input!$W:$W,June!B150,input!$A:$A,June!$B$2)</f>
        <v>0</v>
      </c>
      <c r="L150" s="312">
        <f>SUM(D150:K150)</f>
        <v>1</v>
      </c>
      <c r="M150" s="320" cm="1">
        <f t="array" ref="M150">_xlfn.IFS(L150=0,0,L150&gt;=1,L150/$L$178)</f>
        <v>0.1111111111111111</v>
      </c>
      <c r="N150" s="992" t="s">
        <v>1927</v>
      </c>
      <c r="O150" s="993"/>
      <c r="P150" s="994"/>
      <c r="Q150" s="316">
        <f>COUNTIFS(input!$O:$O,June!$Q$117,input!$X:$X,June!N150,input!$A:$A,June!$B$2)</f>
        <v>0</v>
      </c>
      <c r="R150" s="316">
        <f>COUNTIFS(input!$O:$O,June!$R$117,input!$X:$X,June!N150,input!$A:$A,June!$B$2)</f>
        <v>0</v>
      </c>
      <c r="S150" s="316">
        <f>COUNTIFS(input!$O:$O,June!$S$117,input!$X:$X,June!N150,input!$A:$A,June!$B$2)</f>
        <v>0</v>
      </c>
      <c r="T150" s="322">
        <f>COUNTIFS(input!$O:$O,June!$T$117,input!$X:$X,June!N150,input!$A:$A,June!$B$2)</f>
        <v>0</v>
      </c>
      <c r="U150" s="322">
        <f>COUNTIFS(input!$O:$O,June!$U$117,input!$X:$X,June!N150,input!$A:$A,June!$B$2)</f>
        <v>0</v>
      </c>
      <c r="V150" s="323">
        <f>COUNTIFS(input!$O:$O,June!$V$117,input!$X:$X,June!N150,input!$A:$A,June!$B$2)</f>
        <v>1</v>
      </c>
      <c r="W150" s="323">
        <f>COUNTIFS(input!$O:$O,June!$W$117,input!$X:$X,June!N150,input!$A:$A,June!$B$2)</f>
        <v>0</v>
      </c>
      <c r="X150" s="324">
        <f>COUNTIFS(input!$O:$O,June!$X$117,input!$X:$X,June!N150,input!$A:$A,June!$B$2)</f>
        <v>0</v>
      </c>
      <c r="Y150" s="312">
        <f t="shared" si="14"/>
        <v>1</v>
      </c>
      <c r="Z150" s="315" cm="1">
        <f t="array" ref="Z150">_xlfn.IFS(Y150=0,0,Y150&gt;=1,Y150/$Y$178)</f>
        <v>0.1111111111111111</v>
      </c>
    </row>
    <row r="151" spans="2:26" ht="92" customHeight="1" x14ac:dyDescent="0.25">
      <c r="B151" s="1122" t="s">
        <v>828</v>
      </c>
      <c r="C151" s="997"/>
      <c r="D151" s="316">
        <f>COUNTIFS(input!$O:$O,June!$D$117,input!$W:$W,June!B151,input!$A:$A,June!$B$2)</f>
        <v>0</v>
      </c>
      <c r="E151" s="316">
        <f>COUNTIFS(input!$O:$O,June!$E$117,input!$W:$W,June!B151,input!$A:$A,June!$B$2)</f>
        <v>0</v>
      </c>
      <c r="F151" s="316">
        <f>COUNTIFS(input!$O:$O,June!$F$117,input!$W:$W,June!B151,input!$A:$A,June!$B$2)</f>
        <v>0</v>
      </c>
      <c r="G151" s="322">
        <f>COUNTIFS(input!$O:$O,June!$G$117,input!$W:$W,June!B151,input!$A:$A,June!$B$2)</f>
        <v>0</v>
      </c>
      <c r="H151" s="321">
        <f>COUNTIFS(input!$O:$O,June!$H$117,input!$W:$W,June!B151,input!$A:$A,June!$B$2)</f>
        <v>0</v>
      </c>
      <c r="I151" s="321">
        <f>COUNTIFS(input!$O:$O,June!$I$117,input!$W:$W,June!B151,input!$A:$A,June!$B$2)</f>
        <v>0</v>
      </c>
      <c r="J151" s="321">
        <f>COUNTIFS(input!$O:$O,June!$J$117,input!$W:$W,June!B151,input!$A:$A,June!$B$2)</f>
        <v>0</v>
      </c>
      <c r="K151" s="343">
        <f>COUNTIFS(input!$O:$O,June!$K$117,input!$W:$W,June!B151,input!$A:$A,June!$B$2)</f>
        <v>0</v>
      </c>
      <c r="L151" s="312">
        <f t="shared" si="13"/>
        <v>0</v>
      </c>
      <c r="M151" s="320" cm="1">
        <f t="array" ref="M151">_xlfn.IFS(L151=0,0,L151&gt;=1,L151/$L$178)</f>
        <v>0</v>
      </c>
      <c r="N151" s="992" t="s">
        <v>2004</v>
      </c>
      <c r="O151" s="993"/>
      <c r="P151" s="994"/>
      <c r="Q151" s="316">
        <f>COUNTIFS(input!$O:$O,June!$Q$117,input!$X:$X,June!N151,input!$A:$A,June!$B$2)</f>
        <v>0</v>
      </c>
      <c r="R151" s="316">
        <f>COUNTIFS(input!$O:$O,June!$R$117,input!$X:$X,June!N151,input!$A:$A,June!$B$2)</f>
        <v>0</v>
      </c>
      <c r="S151" s="316">
        <f>COUNTIFS(input!$O:$O,June!$S$117,input!$X:$X,June!N151,input!$A:$A,June!$B$2)</f>
        <v>0</v>
      </c>
      <c r="T151" s="322">
        <f>COUNTIFS(input!$O:$O,June!$T$117,input!$X:$X,June!N151,input!$A:$A,June!$B$2)</f>
        <v>1</v>
      </c>
      <c r="U151" s="322">
        <f>COUNTIFS(input!$O:$O,June!$U$117,input!$X:$X,June!N151,input!$A:$A,June!$B$2)</f>
        <v>0</v>
      </c>
      <c r="V151" s="323">
        <f>COUNTIFS(input!$O:$O,June!$V$117,input!$X:$X,June!N151,input!$A:$A,June!$B$2)</f>
        <v>0</v>
      </c>
      <c r="W151" s="323">
        <f>COUNTIFS(input!$O:$O,June!$W$117,input!$X:$X,June!N151,input!$A:$A,June!$B$2)</f>
        <v>0</v>
      </c>
      <c r="X151" s="324">
        <f>COUNTIFS(input!$O:$O,June!$X$117,input!$X:$X,June!N151,input!$A:$A,June!$B$2)</f>
        <v>0</v>
      </c>
      <c r="Y151" s="312">
        <f t="shared" ref="Y151:Y163" si="15">SUM(Q151:X151)</f>
        <v>1</v>
      </c>
      <c r="Z151" s="315" cm="1">
        <f t="array" ref="Z151">_xlfn.IFS(Y151=0,0,Y151&gt;=1,Y151/$Y$178)</f>
        <v>0.1111111111111111</v>
      </c>
    </row>
    <row r="152" spans="2:26" ht="92" x14ac:dyDescent="0.25">
      <c r="B152" s="1122" t="s">
        <v>1543</v>
      </c>
      <c r="C152" s="997"/>
      <c r="D152" s="316">
        <f>COUNTIFS(input!$O:$O,June!$D$117,input!$W:$W,June!B152,input!$A:$A,June!$B$2)</f>
        <v>0</v>
      </c>
      <c r="E152" s="316">
        <f>COUNTIFS(input!$O:$O,June!$E$117,input!$W:$W,June!B152,input!$A:$A,June!$B$2)</f>
        <v>0</v>
      </c>
      <c r="F152" s="316">
        <f>COUNTIFS(input!$O:$O,June!$F$117,input!$W:$W,June!B152,input!$A:$A,June!$B$2)</f>
        <v>0</v>
      </c>
      <c r="G152" s="322">
        <f>COUNTIFS(input!$O:$O,June!$G$117,input!$W:$W,June!B152,input!$A:$A,June!$B$2)</f>
        <v>0</v>
      </c>
      <c r="H152" s="321">
        <f>COUNTIFS(input!$O:$O,June!$H$117,input!$W:$W,June!B152,input!$A:$A,June!$B$2)</f>
        <v>0</v>
      </c>
      <c r="I152" s="321">
        <f>COUNTIFS(input!$O:$O,June!$I$117,input!$W:$W,June!B152,input!$A:$A,June!$B$2)</f>
        <v>0</v>
      </c>
      <c r="J152" s="321">
        <f>COUNTIFS(input!$O:$O,June!$J$117,input!$W:$W,June!B152,input!$A:$A,June!$B$2)</f>
        <v>0</v>
      </c>
      <c r="K152" s="343">
        <f>COUNTIFS(input!$O:$O,June!$K$117,input!$W:$W,June!B152,input!$A:$A,June!$B$2)</f>
        <v>0</v>
      </c>
      <c r="L152" s="312">
        <f t="shared" si="13"/>
        <v>0</v>
      </c>
      <c r="M152" s="320" cm="1">
        <f t="array" ref="M152">_xlfn.IFS(L152=0,0,L152&gt;=1,L152/$L$178)</f>
        <v>0</v>
      </c>
      <c r="N152" s="992" t="s">
        <v>2011</v>
      </c>
      <c r="O152" s="993"/>
      <c r="P152" s="994"/>
      <c r="Q152" s="316">
        <f>COUNTIFS(input!$O:$O,June!$Q$117,input!$X:$X,June!N152,input!$A:$A,June!$B$2)</f>
        <v>0</v>
      </c>
      <c r="R152" s="316">
        <f>COUNTIFS(input!$O:$O,June!$R$117,input!$X:$X,June!N152,input!$A:$A,June!$B$2)</f>
        <v>0</v>
      </c>
      <c r="S152" s="316">
        <f>COUNTIFS(input!$O:$O,June!$S$117,input!$X:$X,June!N152,input!$A:$A,June!$B$2)</f>
        <v>0</v>
      </c>
      <c r="T152" s="322">
        <f>COUNTIFS(input!$O:$O,June!$T$117,input!$X:$X,June!N152,input!$A:$A,June!$B$2)</f>
        <v>0</v>
      </c>
      <c r="U152" s="322">
        <f>COUNTIFS(input!$O:$O,June!$U$117,input!$X:$X,June!N152,input!$A:$A,June!$B$2)</f>
        <v>1</v>
      </c>
      <c r="V152" s="323">
        <f>COUNTIFS(input!$O:$O,June!$V$117,input!$X:$X,June!N152,input!$A:$A,June!$B$2)</f>
        <v>0</v>
      </c>
      <c r="W152" s="323">
        <f>COUNTIFS(input!$O:$O,June!$W$117,input!$X:$X,June!N152,input!$A:$A,June!$B$2)</f>
        <v>0</v>
      </c>
      <c r="X152" s="324">
        <f>COUNTIFS(input!$O:$O,June!$X$117,input!$X:$X,June!N152,input!$A:$A,June!$B$2)</f>
        <v>0</v>
      </c>
      <c r="Y152" s="312">
        <f t="shared" si="15"/>
        <v>1</v>
      </c>
      <c r="Z152" s="315" cm="1">
        <f t="array" ref="Z152">_xlfn.IFS(Y152=0,0,Y152&gt;=1,Y152/$Y$178)</f>
        <v>0.1111111111111111</v>
      </c>
    </row>
    <row r="153" spans="2:26" ht="92" hidden="1" x14ac:dyDescent="0.25">
      <c r="B153" s="1122" t="s">
        <v>1540</v>
      </c>
      <c r="C153" s="997"/>
      <c r="D153" s="316">
        <f>COUNTIFS(input!$O:$O,June!$D$117,input!$W:$W,June!B153,input!$A:$A,June!$B$2)</f>
        <v>0</v>
      </c>
      <c r="E153" s="316">
        <f>COUNTIFS(input!$O:$O,June!$E$117,input!$W:$W,June!B153,input!$A:$A,June!$B$2)</f>
        <v>0</v>
      </c>
      <c r="F153" s="316">
        <f>COUNTIFS(input!$O:$O,June!$F$117,input!$W:$W,June!B153,input!$A:$A,June!$B$2)</f>
        <v>0</v>
      </c>
      <c r="G153" s="322">
        <f>COUNTIFS(input!$O:$O,June!$G$117,input!$W:$W,June!B153,input!$A:$A,June!$B$2)</f>
        <v>0</v>
      </c>
      <c r="H153" s="321">
        <f>COUNTIFS(input!$O:$O,June!$H$117,input!$W:$W,June!B153,input!$A:$A,June!$B$2)</f>
        <v>0</v>
      </c>
      <c r="I153" s="321">
        <f>COUNTIFS(input!$O:$O,June!$I$117,input!$W:$W,June!B153,input!$A:$A,June!$B$2)</f>
        <v>0</v>
      </c>
      <c r="J153" s="321">
        <f>COUNTIFS(input!$O:$O,June!$J$117,input!$W:$W,June!B153,input!$A:$A,June!$B$2)</f>
        <v>0</v>
      </c>
      <c r="K153" s="343">
        <f>COUNTIFS(input!$O:$O,June!$K$117,input!$W:$W,June!B153,input!$A:$A,June!$B$2)</f>
        <v>0</v>
      </c>
      <c r="L153" s="312">
        <f t="shared" si="13"/>
        <v>0</v>
      </c>
      <c r="M153" s="320" cm="1">
        <f t="array" ref="M153">_xlfn.IFS(L153=0,0,L153&gt;=1,L153/$L$178)</f>
        <v>0</v>
      </c>
      <c r="N153" s="995" t="s">
        <v>188</v>
      </c>
      <c r="O153" s="996"/>
      <c r="P153" s="997"/>
      <c r="Q153" s="316">
        <f>COUNTIFS(input!$O:$O,June!$Q$117,input!$X:$X,June!N153,input!$A:$A,June!$B$2)</f>
        <v>0</v>
      </c>
      <c r="R153" s="316">
        <f>COUNTIFS(input!$O:$O,June!$R$117,input!$X:$X,June!N153,input!$A:$A,June!$B$2)</f>
        <v>0</v>
      </c>
      <c r="S153" s="316">
        <f>COUNTIFS(input!$O:$O,June!$S$117,input!$X:$X,June!N153,input!$A:$A,June!$B$2)</f>
        <v>0</v>
      </c>
      <c r="T153" s="322">
        <f>COUNTIFS(input!$O:$O,June!$T$117,input!$X:$X,June!N153,input!$A:$A,June!$B$2)</f>
        <v>0</v>
      </c>
      <c r="U153" s="322">
        <f>COUNTIFS(input!$O:$O,June!$U$117,input!$X:$X,June!N153,input!$A:$A,June!$B$2)</f>
        <v>0</v>
      </c>
      <c r="V153" s="323">
        <f>COUNTIFS(input!$O:$O,June!$V$117,input!$X:$X,June!N153,input!$A:$A,June!$B$2)</f>
        <v>0</v>
      </c>
      <c r="W153" s="323">
        <f>COUNTIFS(input!$O:$O,June!$W$117,input!$X:$X,June!N153,input!$A:$A,June!$B$2)</f>
        <v>0</v>
      </c>
      <c r="X153" s="324">
        <f>COUNTIFS(input!$O:$O,June!$X$117,input!$X:$X,June!N153,input!$A:$A,June!$B$2)</f>
        <v>0</v>
      </c>
      <c r="Y153" s="312">
        <f t="shared" si="15"/>
        <v>0</v>
      </c>
      <c r="Z153" s="315" cm="1">
        <f t="array" ref="Z153">_xlfn.IFS(Y153=0,0,Y153&gt;=1,Y153/$Y$178)</f>
        <v>0</v>
      </c>
    </row>
    <row r="154" spans="2:26" ht="92" hidden="1" x14ac:dyDescent="0.25">
      <c r="B154" s="1122" t="s">
        <v>1538</v>
      </c>
      <c r="C154" s="997"/>
      <c r="D154" s="316">
        <f>COUNTIFS(input!$O:$O,June!$D$117,input!$W:$W,June!B154,input!$A:$A,June!$B$2)</f>
        <v>0</v>
      </c>
      <c r="E154" s="316">
        <f>COUNTIFS(input!$O:$O,June!$E$117,input!$W:$W,June!B154,input!$A:$A,June!$B$2)</f>
        <v>0</v>
      </c>
      <c r="F154" s="316">
        <f>COUNTIFS(input!$O:$O,June!$F$117,input!$W:$W,June!B154,input!$A:$A,June!$B$2)</f>
        <v>0</v>
      </c>
      <c r="G154" s="322">
        <f>COUNTIFS(input!$O:$O,June!$G$117,input!$W:$W,June!B154,input!$A:$A,June!$B$2)</f>
        <v>0</v>
      </c>
      <c r="H154" s="321">
        <f>COUNTIFS(input!$O:$O,June!$H$117,input!$W:$W,June!B154,input!$A:$A,June!$B$2)</f>
        <v>0</v>
      </c>
      <c r="I154" s="321">
        <f>COUNTIFS(input!$O:$O,June!$I$117,input!$W:$W,June!B154,input!$A:$A,June!$B$2)</f>
        <v>0</v>
      </c>
      <c r="J154" s="321">
        <f>COUNTIFS(input!$O:$O,June!$J$117,input!$W:$W,June!B154,input!$A:$A,June!$B$2)</f>
        <v>0</v>
      </c>
      <c r="K154" s="343">
        <f>COUNTIFS(input!$O:$O,June!$K$117,input!$W:$W,June!B154,input!$A:$A,June!$B$2)</f>
        <v>0</v>
      </c>
      <c r="L154" s="312">
        <f t="shared" si="13"/>
        <v>0</v>
      </c>
      <c r="M154" s="320" cm="1">
        <f t="array" ref="M154">_xlfn.IFS(L154=0,0,L154&gt;=1,L154/$L$178)</f>
        <v>0</v>
      </c>
      <c r="N154" s="382"/>
      <c r="O154" s="383"/>
      <c r="P154" s="384"/>
      <c r="Q154" s="316">
        <f>COUNTIFS(input!$O:$O,June!$Q$117,input!$X:$X,June!N154,input!$A:$A,June!$B$2)</f>
        <v>0</v>
      </c>
      <c r="R154" s="316">
        <f>COUNTIFS(input!$O:$O,June!$R$117,input!$X:$X,June!N154,input!$A:$A,June!$B$2)</f>
        <v>0</v>
      </c>
      <c r="S154" s="316">
        <f>COUNTIFS(input!$O:$O,June!$S$117,input!$X:$X,June!N154,input!$A:$A,June!$B$2)</f>
        <v>0</v>
      </c>
      <c r="T154" s="322">
        <f>COUNTIFS(input!$O:$O,June!$T$117,input!$X:$X,June!N154,input!$A:$A,June!$B$2)</f>
        <v>0</v>
      </c>
      <c r="U154" s="322">
        <f>COUNTIFS(input!$O:$O,June!$U$117,input!$X:$X,June!N154,input!$A:$A,June!$B$2)</f>
        <v>0</v>
      </c>
      <c r="V154" s="323">
        <f>COUNTIFS(input!$O:$O,June!$V$117,input!$X:$X,June!N154,input!$A:$A,June!$B$2)</f>
        <v>0</v>
      </c>
      <c r="W154" s="323">
        <f>COUNTIFS(input!$O:$O,June!$W$117,input!$X:$X,June!N154,input!$A:$A,June!$B$2)</f>
        <v>0</v>
      </c>
      <c r="X154" s="324">
        <f>COUNTIFS(input!$O:$O,June!$X$117,input!$X:$X,June!N154,input!$A:$A,June!$B$2)</f>
        <v>0</v>
      </c>
      <c r="Y154" s="312">
        <f t="shared" si="15"/>
        <v>0</v>
      </c>
      <c r="Z154" s="315" cm="1">
        <f t="array" ref="Z154">_xlfn.IFS(Y154=0,0,Y154&gt;=1,Y154/$Y$178)</f>
        <v>0</v>
      </c>
    </row>
    <row r="155" spans="2:26" ht="92" hidden="1" x14ac:dyDescent="0.25">
      <c r="B155" s="1121" t="s">
        <v>666</v>
      </c>
      <c r="C155" s="1066"/>
      <c r="D155" s="316">
        <f>COUNTIFS(input!$O:$O,June!$D$117,input!$W:$W,June!B155,input!$A:$A,June!$B$2)</f>
        <v>0</v>
      </c>
      <c r="E155" s="316">
        <f>COUNTIFS(input!$O:$O,June!$E$117,input!$W:$W,June!B155,input!$A:$A,June!$B$2)</f>
        <v>0</v>
      </c>
      <c r="F155" s="316">
        <f>COUNTIFS(input!$O:$O,June!$F$117,input!$W:$W,June!B155,input!$A:$A,June!$B$2)</f>
        <v>0</v>
      </c>
      <c r="G155" s="322">
        <f>COUNTIFS(input!$O:$O,June!$G$117,input!$W:$W,June!B155,input!$A:$A,June!$B$2)</f>
        <v>0</v>
      </c>
      <c r="H155" s="321">
        <f>COUNTIFS(input!$O:$O,June!$H$117,input!$W:$W,June!B155,input!$A:$A,June!$B$2)</f>
        <v>0</v>
      </c>
      <c r="I155" s="321">
        <f>COUNTIFS(input!$O:$O,June!$I$117,input!$W:$W,June!B155,input!$A:$A,June!$B$2)</f>
        <v>0</v>
      </c>
      <c r="J155" s="321">
        <f>COUNTIFS(input!$O:$O,June!$J$117,input!$W:$W,June!B155,input!$A:$A,June!$B$2)</f>
        <v>0</v>
      </c>
      <c r="K155" s="343">
        <f>COUNTIFS(input!$O:$O,June!$K$117,input!$W:$W,June!B155,input!$A:$A,June!$B$2)</f>
        <v>0</v>
      </c>
      <c r="L155" s="312">
        <f t="shared" si="13"/>
        <v>0</v>
      </c>
      <c r="M155" s="320" cm="1">
        <f t="array" ref="M155">_xlfn.IFS(L155=0,0,L155&gt;=1,L155/$L$178)</f>
        <v>0</v>
      </c>
      <c r="N155" s="992"/>
      <c r="O155" s="993"/>
      <c r="P155" s="994"/>
      <c r="Q155" s="316">
        <f>COUNTIFS(input!$O:$O,June!$Q$117,input!$X:$X,June!N155,input!$A:$A,June!$B$2)</f>
        <v>0</v>
      </c>
      <c r="R155" s="316">
        <f>COUNTIFS(input!$O:$O,June!$R$117,input!$X:$X,June!N155,input!$A:$A,June!$B$2)</f>
        <v>0</v>
      </c>
      <c r="S155" s="316">
        <f>COUNTIFS(input!$O:$O,June!$S$117,input!$X:$X,June!N155,input!$A:$A,June!$B$2)</f>
        <v>0</v>
      </c>
      <c r="T155" s="322">
        <f>COUNTIFS(input!$O:$O,June!$T$117,input!$X:$X,June!N155,input!$A:$A,June!$B$2)</f>
        <v>0</v>
      </c>
      <c r="U155" s="322">
        <f>COUNTIFS(input!$O:$O,June!$U$117,input!$X:$X,June!N155,input!$A:$A,June!$B$2)</f>
        <v>0</v>
      </c>
      <c r="V155" s="323">
        <f>COUNTIFS(input!$O:$O,June!$V$117,input!$X:$X,June!N155,input!$A:$A,June!$B$2)</f>
        <v>0</v>
      </c>
      <c r="W155" s="323">
        <f>COUNTIFS(input!$O:$O,June!$W$117,input!$X:$X,June!N155,input!$A:$A,June!$B$2)</f>
        <v>0</v>
      </c>
      <c r="X155" s="324">
        <f>COUNTIFS(input!$O:$O,June!$X$117,input!$X:$X,June!N155,input!$A:$A,June!$B$2)</f>
        <v>0</v>
      </c>
      <c r="Y155" s="312">
        <f t="shared" si="15"/>
        <v>0</v>
      </c>
      <c r="Z155" s="315" cm="1">
        <f t="array" ref="Z155">_xlfn.IFS(Y155=0,0,Y155&gt;=1,Y155/$Y$178)</f>
        <v>0</v>
      </c>
    </row>
    <row r="156" spans="2:26" ht="92" hidden="1" x14ac:dyDescent="0.25">
      <c r="B156" s="1121" t="s">
        <v>765</v>
      </c>
      <c r="C156" s="1066"/>
      <c r="D156" s="316">
        <f>COUNTIFS(input!$O:$O,June!$D$117,input!$W:$W,June!B156,input!$A:$A,June!$B$2)</f>
        <v>0</v>
      </c>
      <c r="E156" s="316">
        <f>COUNTIFS(input!$O:$O,June!$E$117,input!$W:$W,June!B156,input!$A:$A,June!$B$2)</f>
        <v>0</v>
      </c>
      <c r="F156" s="316">
        <f>COUNTIFS(input!$O:$O,June!$F$117,input!$W:$W,June!B156,input!$A:$A,June!$B$2)</f>
        <v>0</v>
      </c>
      <c r="G156" s="322">
        <f>COUNTIFS(input!$O:$O,June!$G$117,input!$W:$W,June!B156,input!$A:$A,June!$B$2)</f>
        <v>0</v>
      </c>
      <c r="H156" s="321">
        <f>COUNTIFS(input!$O:$O,June!$H$117,input!$W:$W,June!B156,input!$A:$A,June!$B$2)</f>
        <v>0</v>
      </c>
      <c r="I156" s="321">
        <f>COUNTIFS(input!$O:$O,June!$I$117,input!$W:$W,June!B156,input!$A:$A,June!$B$2)</f>
        <v>0</v>
      </c>
      <c r="J156" s="321">
        <f>COUNTIFS(input!$O:$O,June!$J$117,input!$W:$W,June!B156,input!$A:$A,June!$B$2)</f>
        <v>0</v>
      </c>
      <c r="K156" s="343">
        <f>COUNTIFS(input!$O:$O,June!$K$117,input!$W:$W,June!B156,input!$A:$A,June!$B$2)</f>
        <v>0</v>
      </c>
      <c r="L156" s="312">
        <f t="shared" si="13"/>
        <v>0</v>
      </c>
      <c r="M156" s="320" cm="1">
        <f t="array" ref="M156">_xlfn.IFS(L156=0,0,L156&gt;=1,L156/$L$178)</f>
        <v>0</v>
      </c>
      <c r="N156" s="992"/>
      <c r="O156" s="993"/>
      <c r="P156" s="994"/>
      <c r="Q156" s="316">
        <f>COUNTIFS(input!$O:$O,June!$Q$117,input!$X:$X,June!N156,input!$A:$A,June!$B$2)</f>
        <v>0</v>
      </c>
      <c r="R156" s="316">
        <f>COUNTIFS(input!$O:$O,June!$R$117,input!$X:$X,June!N156,input!$A:$A,June!$B$2)</f>
        <v>0</v>
      </c>
      <c r="S156" s="316">
        <f>COUNTIFS(input!$O:$O,June!$S$117,input!$X:$X,June!N156,input!$A:$A,June!$B$2)</f>
        <v>0</v>
      </c>
      <c r="T156" s="322">
        <f>COUNTIFS(input!$O:$O,June!$T$117,input!$X:$X,June!N156,input!$A:$A,June!$B$2)</f>
        <v>0</v>
      </c>
      <c r="U156" s="322">
        <f>COUNTIFS(input!$O:$O,June!$U$117,input!$X:$X,June!N156,input!$A:$A,June!$B$2)</f>
        <v>0</v>
      </c>
      <c r="V156" s="323">
        <f>COUNTIFS(input!$O:$O,June!$V$117,input!$X:$X,June!N156,input!$A:$A,June!$B$2)</f>
        <v>0</v>
      </c>
      <c r="W156" s="323">
        <f>COUNTIFS(input!$O:$O,June!$W$117,input!$X:$X,June!N156,input!$A:$A,June!$B$2)</f>
        <v>0</v>
      </c>
      <c r="X156" s="324">
        <f>COUNTIFS(input!$O:$O,June!$X$117,input!$X:$X,June!N156,input!$A:$A,June!$B$2)</f>
        <v>0</v>
      </c>
      <c r="Y156" s="312">
        <f t="shared" si="15"/>
        <v>0</v>
      </c>
      <c r="Z156" s="315" cm="1">
        <f t="array" ref="Z156">_xlfn.IFS(Y156=0,0,Y156&gt;=1,Y156/$Y$178)</f>
        <v>0</v>
      </c>
    </row>
    <row r="157" spans="2:26" ht="92" hidden="1" x14ac:dyDescent="0.25">
      <c r="B157" s="1121" t="s">
        <v>1787</v>
      </c>
      <c r="C157" s="1066"/>
      <c r="D157" s="316">
        <f>COUNTIFS(input!$O:$O,June!$D$117,input!$W:$W,June!B157,input!$A:$A,June!$B$2)</f>
        <v>0</v>
      </c>
      <c r="E157" s="316">
        <f>COUNTIFS(input!$O:$O,June!$E$117,input!$W:$W,June!B157,input!$A:$A,June!$B$2)</f>
        <v>0</v>
      </c>
      <c r="F157" s="316">
        <f>COUNTIFS(input!$O:$O,June!$F$117,input!$W:$W,June!B157,input!$A:$A,June!$B$2)</f>
        <v>0</v>
      </c>
      <c r="G157" s="322">
        <f>COUNTIFS(input!$O:$O,June!$G$117,input!$W:$W,June!B157,input!$A:$A,June!$B$2)</f>
        <v>0</v>
      </c>
      <c r="H157" s="321">
        <f>COUNTIFS(input!$O:$O,June!$H$117,input!$W:$W,June!B157,input!$A:$A,June!$B$2)</f>
        <v>0</v>
      </c>
      <c r="I157" s="321">
        <f>COUNTIFS(input!$O:$O,June!$I$117,input!$W:$W,June!B157,input!$A:$A,June!$B$2)</f>
        <v>0</v>
      </c>
      <c r="J157" s="321">
        <f>COUNTIFS(input!$O:$O,June!$J$117,input!$W:$W,June!B157,input!$A:$A,June!$B$2)</f>
        <v>0</v>
      </c>
      <c r="K157" s="343">
        <f>COUNTIFS(input!$O:$O,June!$K$117,input!$W:$W,June!B157,input!$A:$A,June!$B$2)</f>
        <v>0</v>
      </c>
      <c r="L157" s="312">
        <f t="shared" si="13"/>
        <v>0</v>
      </c>
      <c r="M157" s="320" cm="1">
        <f t="array" ref="M157">_xlfn.IFS(L157=0,0,L157&gt;=1,L157/$L$178)</f>
        <v>0</v>
      </c>
      <c r="N157" s="992" t="s">
        <v>1544</v>
      </c>
      <c r="O157" s="993"/>
      <c r="P157" s="994"/>
      <c r="Q157" s="316">
        <f>COUNTIFS(input!$O:$O,June!$Q$117,input!$X:$X,June!N157,input!$A:$A,June!$B$2)</f>
        <v>0</v>
      </c>
      <c r="R157" s="316">
        <f>COUNTIFS(input!$O:$O,June!$R$117,input!$X:$X,June!N157,input!$A:$A,June!$B$2)</f>
        <v>0</v>
      </c>
      <c r="S157" s="316">
        <f>COUNTIFS(input!$O:$O,June!$S$117,input!$X:$X,June!N157,input!$A:$A,June!$B$2)</f>
        <v>0</v>
      </c>
      <c r="T157" s="322">
        <f>COUNTIFS(input!$O:$O,June!$T$117,input!$X:$X,June!N157,input!$A:$A,June!$B$2)</f>
        <v>0</v>
      </c>
      <c r="U157" s="322">
        <f>COUNTIFS(input!$O:$O,June!$U$117,input!$X:$X,June!N157,input!$A:$A,June!$B$2)</f>
        <v>0</v>
      </c>
      <c r="V157" s="323">
        <f>COUNTIFS(input!$O:$O,June!$V$117,input!$X:$X,June!N157,input!$A:$A,June!$B$2)</f>
        <v>0</v>
      </c>
      <c r="W157" s="323">
        <f>COUNTIFS(input!$O:$O,June!$W$117,input!$X:$X,June!N157,input!$A:$A,June!$B$2)</f>
        <v>0</v>
      </c>
      <c r="X157" s="324">
        <f>COUNTIFS(input!$O:$O,June!$X$117,input!$X:$X,June!N157,input!$A:$A,June!$B$2)</f>
        <v>0</v>
      </c>
      <c r="Y157" s="312">
        <f t="shared" si="15"/>
        <v>0</v>
      </c>
      <c r="Z157" s="315" cm="1">
        <f t="array" ref="Z157">_xlfn.IFS(Y157=0,0,Y157&gt;=1,Y157/$Y$178)</f>
        <v>0</v>
      </c>
    </row>
    <row r="158" spans="2:26" ht="92" hidden="1" x14ac:dyDescent="0.25">
      <c r="B158" s="1121" t="s">
        <v>1560</v>
      </c>
      <c r="C158" s="1066"/>
      <c r="D158" s="316">
        <f>COUNTIFS(input!$O:$O,June!$D$117,input!$W:$W,June!B158,input!$A:$A,June!$B$2)</f>
        <v>0</v>
      </c>
      <c r="E158" s="316">
        <f>COUNTIFS(input!$O:$O,June!$E$117,input!$W:$W,June!B158,input!$A:$A,June!$B$2)</f>
        <v>0</v>
      </c>
      <c r="F158" s="316">
        <f>COUNTIFS(input!$O:$O,June!$F$117,input!$W:$W,June!B158,input!$A:$A,June!$B$2)</f>
        <v>0</v>
      </c>
      <c r="G158" s="322">
        <f>COUNTIFS(input!$O:$O,June!$G$117,input!$W:$W,June!B158,input!$A:$A,June!$B$2)</f>
        <v>0</v>
      </c>
      <c r="H158" s="321">
        <f>COUNTIFS(input!$O:$O,June!$H$117,input!$W:$W,June!B158,input!$A:$A,June!$B$2)</f>
        <v>0</v>
      </c>
      <c r="I158" s="321">
        <f>COUNTIFS(input!$O:$O,June!$I$117,input!$W:$W,June!B158,input!$A:$A,June!$B$2)</f>
        <v>0</v>
      </c>
      <c r="J158" s="321">
        <f>COUNTIFS(input!$O:$O,June!$J$117,input!$W:$W,June!B158,input!$A:$A,June!$B$2)</f>
        <v>0</v>
      </c>
      <c r="K158" s="343">
        <f>COUNTIFS(input!$O:$O,June!$K$117,input!$W:$W,June!B158,input!$A:$A,June!$B$2)</f>
        <v>0</v>
      </c>
      <c r="L158" s="312">
        <f t="shared" si="13"/>
        <v>0</v>
      </c>
      <c r="M158" s="320" cm="1">
        <f t="array" ref="M158">_xlfn.IFS(L158=0,0,L158&gt;=1,L158/$L$178)</f>
        <v>0</v>
      </c>
      <c r="N158" s="385"/>
      <c r="O158" s="386"/>
      <c r="P158" s="387"/>
      <c r="Q158" s="316">
        <f>COUNTIFS(input!$O:$O,June!$Q$117,input!$X:$X,June!N158,input!$A:$A,June!$B$2)</f>
        <v>0</v>
      </c>
      <c r="R158" s="316">
        <f>COUNTIFS(input!$O:$O,June!$R$117,input!$X:$X,June!N158,input!$A:$A,June!$B$2)</f>
        <v>0</v>
      </c>
      <c r="S158" s="316">
        <f>COUNTIFS(input!$O:$O,June!$S$117,input!$X:$X,June!N158,input!$A:$A,June!$B$2)</f>
        <v>0</v>
      </c>
      <c r="T158" s="322">
        <f>COUNTIFS(input!$O:$O,June!$T$117,input!$X:$X,June!N158,input!$A:$A,June!$B$2)</f>
        <v>0</v>
      </c>
      <c r="U158" s="322">
        <f>COUNTIFS(input!$O:$O,June!$U$117,input!$X:$X,June!N158,input!$A:$A,June!$B$2)</f>
        <v>0</v>
      </c>
      <c r="V158" s="323">
        <f>COUNTIFS(input!$O:$O,June!$V$117,input!$X:$X,June!N158,input!$A:$A,June!$B$2)</f>
        <v>0</v>
      </c>
      <c r="W158" s="323">
        <f>COUNTIFS(input!$O:$O,June!$W$117,input!$X:$X,June!N158,input!$A:$A,June!$B$2)</f>
        <v>0</v>
      </c>
      <c r="X158" s="324">
        <f>COUNTIFS(input!$O:$O,June!$X$117,input!$X:$X,June!N158,input!$A:$A,June!$B$2)</f>
        <v>0</v>
      </c>
      <c r="Y158" s="312">
        <f t="shared" si="15"/>
        <v>0</v>
      </c>
      <c r="Z158" s="315" cm="1">
        <f t="array" ref="Z158">_xlfn.IFS(Y158=0,0,Y158&gt;=1,Y158/$Y$178)</f>
        <v>0</v>
      </c>
    </row>
    <row r="159" spans="2:26" ht="92" hidden="1" x14ac:dyDescent="0.25">
      <c r="B159" s="1121" t="s">
        <v>1838</v>
      </c>
      <c r="C159" s="1066"/>
      <c r="D159" s="316">
        <f>COUNTIFS(input!$O:$O,June!$D$117,input!$W:$W,June!B159,input!$A:$A,June!$B$2)</f>
        <v>0</v>
      </c>
      <c r="E159" s="316">
        <f>COUNTIFS(input!$O:$O,June!$E$117,input!$W:$W,June!B159,input!$A:$A,June!$B$2)</f>
        <v>0</v>
      </c>
      <c r="F159" s="316">
        <f>COUNTIFS(input!$O:$O,June!$F$117,input!$W:$W,June!B159,input!$A:$A,June!$B$2)</f>
        <v>0</v>
      </c>
      <c r="G159" s="322">
        <f>COUNTIFS(input!$O:$O,June!$G$117,input!$W:$W,June!B159,input!$A:$A,June!$B$2)</f>
        <v>0</v>
      </c>
      <c r="H159" s="321">
        <f>COUNTIFS(input!$O:$O,June!$H$117,input!$W:$W,June!B159,input!$A:$A,June!$B$2)</f>
        <v>0</v>
      </c>
      <c r="I159" s="321">
        <f>COUNTIFS(input!$O:$O,June!$I$117,input!$W:$W,June!B159,input!$A:$A,June!$B$2)</f>
        <v>0</v>
      </c>
      <c r="J159" s="321">
        <f>COUNTIFS(input!$O:$O,June!$J$117,input!$W:$W,June!B159,input!$A:$A,June!$B$2)</f>
        <v>0</v>
      </c>
      <c r="K159" s="343">
        <f>COUNTIFS(input!$O:$O,June!$K$117,input!$W:$W,June!B159,input!$A:$A,June!$B$2)</f>
        <v>0</v>
      </c>
      <c r="L159" s="312">
        <f t="shared" si="13"/>
        <v>0</v>
      </c>
      <c r="M159" s="320" cm="1">
        <f t="array" ref="M159">_xlfn.IFS(L159=0,0,L159&gt;=1,L159/$L$178)</f>
        <v>0</v>
      </c>
      <c r="N159" s="385"/>
      <c r="O159" s="386"/>
      <c r="P159" s="387"/>
      <c r="Q159" s="316">
        <f>COUNTIFS(input!$O:$O,June!$Q$117,input!$X:$X,June!N159,input!$A:$A,June!$B$2)</f>
        <v>0</v>
      </c>
      <c r="R159" s="316">
        <f>COUNTIFS(input!$O:$O,June!$R$117,input!$X:$X,June!N159,input!$A:$A,June!$B$2)</f>
        <v>0</v>
      </c>
      <c r="S159" s="316">
        <f>COUNTIFS(input!$O:$O,June!$S$117,input!$X:$X,June!N159,input!$A:$A,June!$B$2)</f>
        <v>0</v>
      </c>
      <c r="T159" s="322">
        <f>COUNTIFS(input!$O:$O,June!$T$117,input!$X:$X,June!N159,input!$A:$A,June!$B$2)</f>
        <v>0</v>
      </c>
      <c r="U159" s="322">
        <f>COUNTIFS(input!$O:$O,June!$U$117,input!$X:$X,June!N159,input!$A:$A,June!$B$2)</f>
        <v>0</v>
      </c>
      <c r="V159" s="323">
        <f>COUNTIFS(input!$O:$O,June!$V$117,input!$X:$X,June!N159,input!$A:$A,June!$B$2)</f>
        <v>0</v>
      </c>
      <c r="W159" s="323">
        <f>COUNTIFS(input!$O:$O,June!$W$117,input!$X:$X,June!N159,input!$A:$A,June!$B$2)</f>
        <v>0</v>
      </c>
      <c r="X159" s="324">
        <f>COUNTIFS(input!$O:$O,June!$X$117,input!$X:$X,June!N159,input!$A:$A,June!$B$2)</f>
        <v>0</v>
      </c>
      <c r="Y159" s="312">
        <f t="shared" si="15"/>
        <v>0</v>
      </c>
      <c r="Z159" s="315" cm="1">
        <f t="array" ref="Z159">_xlfn.IFS(Y159=0,0,Y159&gt;=1,Y159/$Y$178)</f>
        <v>0</v>
      </c>
    </row>
    <row r="160" spans="2:26" ht="92" hidden="1" x14ac:dyDescent="0.25">
      <c r="B160" s="1121" t="s">
        <v>1561</v>
      </c>
      <c r="C160" s="1066"/>
      <c r="D160" s="316">
        <f>COUNTIFS(input!$O:$O,June!$D$117,input!$W:$W,June!B160,input!$A:$A,June!$B$2)</f>
        <v>0</v>
      </c>
      <c r="E160" s="316">
        <f>COUNTIFS(input!$O:$O,June!$E$117,input!$W:$W,June!B160,input!$A:$A,June!$B$2)</f>
        <v>0</v>
      </c>
      <c r="F160" s="316">
        <f>COUNTIFS(input!$O:$O,June!$F$117,input!$W:$W,June!B160,input!$A:$A,June!$B$2)</f>
        <v>0</v>
      </c>
      <c r="G160" s="322">
        <f>COUNTIFS(input!$O:$O,June!$G$117,input!$W:$W,June!B160,input!$A:$A,June!$B$2)</f>
        <v>0</v>
      </c>
      <c r="H160" s="321">
        <f>COUNTIFS(input!$O:$O,June!$H$117,input!$W:$W,June!B160,input!$A:$A,June!$B$2)</f>
        <v>0</v>
      </c>
      <c r="I160" s="321">
        <f>COUNTIFS(input!$O:$O,June!$I$117,input!$W:$W,June!B160,input!$A:$A,June!$B$2)</f>
        <v>0</v>
      </c>
      <c r="J160" s="321">
        <f>COUNTIFS(input!$O:$O,June!$J$117,input!$W:$W,June!B160,input!$A:$A,June!$B$2)</f>
        <v>0</v>
      </c>
      <c r="K160" s="343">
        <f>COUNTIFS(input!$O:$O,June!$K$117,input!$W:$W,June!B160,input!$A:$A,June!$B$2)</f>
        <v>0</v>
      </c>
      <c r="L160" s="312">
        <f t="shared" si="13"/>
        <v>0</v>
      </c>
      <c r="M160" s="320" cm="1">
        <f t="array" ref="M160">_xlfn.IFS(L160=0,0,L160&gt;=1,L160/$L$178)</f>
        <v>0</v>
      </c>
      <c r="N160" s="385"/>
      <c r="O160" s="386"/>
      <c r="P160" s="387"/>
      <c r="Q160" s="316">
        <f>COUNTIFS(input!$O:$O,June!$Q$117,input!$X:$X,June!N160,input!$A:$A,June!$B$2)</f>
        <v>0</v>
      </c>
      <c r="R160" s="316">
        <f>COUNTIFS(input!$O:$O,June!$R$117,input!$X:$X,June!N160,input!$A:$A,June!$B$2)</f>
        <v>0</v>
      </c>
      <c r="S160" s="316">
        <f>COUNTIFS(input!$O:$O,June!$S$117,input!$X:$X,June!N160,input!$A:$A,June!$B$2)</f>
        <v>0</v>
      </c>
      <c r="T160" s="322">
        <f>COUNTIFS(input!$O:$O,June!$T$117,input!$X:$X,June!N160,input!$A:$A,June!$B$2)</f>
        <v>0</v>
      </c>
      <c r="U160" s="322">
        <f>COUNTIFS(input!$O:$O,June!$U$117,input!$X:$X,June!N160,input!$A:$A,June!$B$2)</f>
        <v>0</v>
      </c>
      <c r="V160" s="323">
        <f>COUNTIFS(input!$O:$O,June!$V$117,input!$X:$X,June!N160,input!$A:$A,June!$B$2)</f>
        <v>0</v>
      </c>
      <c r="W160" s="323">
        <f>COUNTIFS(input!$O:$O,June!$W$117,input!$X:$X,June!N160,input!$A:$A,June!$B$2)</f>
        <v>0</v>
      </c>
      <c r="X160" s="324">
        <f>COUNTIFS(input!$O:$O,June!$X$117,input!$X:$X,June!N160,input!$A:$A,June!$B$2)</f>
        <v>0</v>
      </c>
      <c r="Y160" s="312">
        <f t="shared" si="15"/>
        <v>0</v>
      </c>
      <c r="Z160" s="315" cm="1">
        <f t="array" ref="Z160">_xlfn.IFS(Y160=0,0,Y160&gt;=1,Y160/$Y$178)</f>
        <v>0</v>
      </c>
    </row>
    <row r="161" spans="2:26" ht="92" hidden="1" x14ac:dyDescent="0.25">
      <c r="B161" s="1121" t="s">
        <v>1797</v>
      </c>
      <c r="C161" s="1066"/>
      <c r="D161" s="316">
        <f>COUNTIFS(input!$O:$O,June!$D$117,input!$W:$W,June!B161,input!$A:$A,June!$B$2)</f>
        <v>0</v>
      </c>
      <c r="E161" s="316">
        <f>COUNTIFS(input!$O:$O,June!$E$117,input!$W:$W,June!B161,input!$A:$A,June!$B$2)</f>
        <v>0</v>
      </c>
      <c r="F161" s="316">
        <f>COUNTIFS(input!$O:$O,June!$F$117,input!$W:$W,June!B161,input!$A:$A,June!$B$2)</f>
        <v>0</v>
      </c>
      <c r="G161" s="322">
        <f>COUNTIFS(input!$O:$O,June!$G$117,input!$W:$W,June!B161,input!$A:$A,June!$B$2)</f>
        <v>0</v>
      </c>
      <c r="H161" s="321">
        <f>COUNTIFS(input!$O:$O,June!$H$117,input!$W:$W,June!B161,input!$A:$A,June!$B$2)</f>
        <v>0</v>
      </c>
      <c r="I161" s="321">
        <f>COUNTIFS(input!$O:$O,June!$I$117,input!$W:$W,June!B161,input!$A:$A,June!$B$2)</f>
        <v>0</v>
      </c>
      <c r="J161" s="321">
        <f>COUNTIFS(input!$O:$O,June!$J$117,input!$W:$W,June!B161,input!$A:$A,June!$B$2)</f>
        <v>0</v>
      </c>
      <c r="K161" s="343">
        <f>COUNTIFS(input!$O:$O,June!$K$117,input!$W:$W,June!B161,input!$A:$A,June!$B$2)</f>
        <v>0</v>
      </c>
      <c r="L161" s="312">
        <f t="shared" si="13"/>
        <v>0</v>
      </c>
      <c r="M161" s="320" cm="1">
        <f t="array" ref="M161">_xlfn.IFS(L161=0,0,L161&gt;=1,L161/$L$178)</f>
        <v>0</v>
      </c>
      <c r="N161" s="385"/>
      <c r="O161" s="386"/>
      <c r="P161" s="387"/>
      <c r="Q161" s="316">
        <f>COUNTIFS(input!$O:$O,June!$Q$117,input!$X:$X,June!N161,input!$A:$A,June!$B$2)</f>
        <v>0</v>
      </c>
      <c r="R161" s="316">
        <f>COUNTIFS(input!$O:$O,June!$R$117,input!$X:$X,June!N161,input!$A:$A,June!$B$2)</f>
        <v>0</v>
      </c>
      <c r="S161" s="316">
        <f>COUNTIFS(input!$O:$O,June!$S$117,input!$X:$X,June!N161,input!$A:$A,June!$B$2)</f>
        <v>0</v>
      </c>
      <c r="T161" s="322">
        <f>COUNTIFS(input!$O:$O,June!$T$117,input!$X:$X,June!N161,input!$A:$A,June!$B$2)</f>
        <v>0</v>
      </c>
      <c r="U161" s="322">
        <f>COUNTIFS(input!$O:$O,June!$U$117,input!$X:$X,June!N161,input!$A:$A,June!$B$2)</f>
        <v>0</v>
      </c>
      <c r="V161" s="323">
        <f>COUNTIFS(input!$O:$O,June!$V$117,input!$X:$X,June!N161,input!$A:$A,June!$B$2)</f>
        <v>0</v>
      </c>
      <c r="W161" s="323">
        <f>COUNTIFS(input!$O:$O,June!$W$117,input!$X:$X,June!N161,input!$A:$A,June!$B$2)</f>
        <v>0</v>
      </c>
      <c r="X161" s="324">
        <f>COUNTIFS(input!$O:$O,June!$X$117,input!$X:$X,June!N161,input!$A:$A,June!$B$2)</f>
        <v>0</v>
      </c>
      <c r="Y161" s="312">
        <f t="shared" si="15"/>
        <v>0</v>
      </c>
      <c r="Z161" s="315" cm="1">
        <f t="array" ref="Z161">_xlfn.IFS(Y161=0,0,Y161&gt;=1,Y161/$Y$178)</f>
        <v>0</v>
      </c>
    </row>
    <row r="162" spans="2:26" ht="92" hidden="1" x14ac:dyDescent="0.25">
      <c r="B162" s="1122" t="s">
        <v>862</v>
      </c>
      <c r="C162" s="997"/>
      <c r="D162" s="316">
        <f>COUNTIFS(input!$O:$O,June!$D$117,input!$W:$W,June!B162,input!$A:$A,June!$B$2)</f>
        <v>0</v>
      </c>
      <c r="E162" s="316">
        <f>COUNTIFS(input!$O:$O,June!$E$117,input!$W:$W,June!B162,input!$A:$A,June!$B$2)</f>
        <v>0</v>
      </c>
      <c r="F162" s="316">
        <f>COUNTIFS(input!$O:$O,June!$F$117,input!$W:$W,June!B162,input!$A:$A,June!$B$2)</f>
        <v>0</v>
      </c>
      <c r="G162" s="322">
        <f>COUNTIFS(input!$O:$O,June!$G$117,input!$W:$W,June!B162,input!$A:$A,June!$B$2)</f>
        <v>0</v>
      </c>
      <c r="H162" s="321">
        <f>COUNTIFS(input!$O:$O,June!$H$117,input!$W:$W,June!B162,input!$A:$A,June!$B$2)</f>
        <v>0</v>
      </c>
      <c r="I162" s="321">
        <f>COUNTIFS(input!$O:$O,June!$I$117,input!$W:$W,June!B162,input!$A:$A,June!$B$2)</f>
        <v>0</v>
      </c>
      <c r="J162" s="321">
        <f>COUNTIFS(input!$O:$O,June!$J$117,input!$W:$W,June!B162,input!$A:$A,June!$B$2)</f>
        <v>0</v>
      </c>
      <c r="K162" s="343">
        <f>COUNTIFS(input!$O:$O,June!$K$117,input!$W:$W,June!B162,input!$A:$A,June!$B$2)</f>
        <v>0</v>
      </c>
      <c r="L162" s="312">
        <f t="shared" si="13"/>
        <v>0</v>
      </c>
      <c r="M162" s="320" cm="1">
        <f t="array" ref="M162">_xlfn.IFS(L162=0,0,L162&gt;=1,L162/$L$178)</f>
        <v>0</v>
      </c>
      <c r="N162" s="992"/>
      <c r="O162" s="993"/>
      <c r="P162" s="994"/>
      <c r="Q162" s="316">
        <f>COUNTIFS(input!$O:$O,June!$Q$117,input!$X:$X,June!N162,input!$A:$A,June!$B$2)</f>
        <v>0</v>
      </c>
      <c r="R162" s="316">
        <f>COUNTIFS(input!$O:$O,June!$R$117,input!$X:$X,June!N162,input!$A:$A,June!$B$2)</f>
        <v>0</v>
      </c>
      <c r="S162" s="316">
        <f>COUNTIFS(input!$O:$O,June!$S$117,input!$X:$X,June!N162,input!$A:$A,June!$B$2)</f>
        <v>0</v>
      </c>
      <c r="T162" s="322">
        <f>COUNTIFS(input!$O:$O,June!$T$117,input!$X:$X,June!N162,input!$A:$A,June!$B$2)</f>
        <v>0</v>
      </c>
      <c r="U162" s="322">
        <f>COUNTIFS(input!$O:$O,June!$U$117,input!$X:$X,June!N162,input!$A:$A,June!$B$2)</f>
        <v>0</v>
      </c>
      <c r="V162" s="323">
        <f>COUNTIFS(input!$O:$O,June!$V$117,input!$X:$X,June!N162,input!$A:$A,June!$B$2)</f>
        <v>0</v>
      </c>
      <c r="W162" s="323">
        <f>COUNTIFS(input!$O:$O,June!$W$117,input!$X:$X,June!N162,input!$A:$A,June!$B$2)</f>
        <v>0</v>
      </c>
      <c r="X162" s="324">
        <f>COUNTIFS(input!$O:$O,June!$X$117,input!$X:$X,June!N162,input!$A:$A,June!$B$2)</f>
        <v>0</v>
      </c>
      <c r="Y162" s="312">
        <f t="shared" si="15"/>
        <v>0</v>
      </c>
      <c r="Z162" s="315" cm="1">
        <f t="array" ref="Z162">_xlfn.IFS(Y162=0,0,Y162&gt;=1,Y162/$Y$178)</f>
        <v>0</v>
      </c>
    </row>
    <row r="163" spans="2:26" ht="92" hidden="1" x14ac:dyDescent="0.25">
      <c r="B163" s="1122" t="s">
        <v>859</v>
      </c>
      <c r="C163" s="997"/>
      <c r="D163" s="316">
        <f>COUNTIFS(input!$O:$O,June!$D$117,input!$W:$W,June!B163,input!$A:$A,June!$B$2)</f>
        <v>0</v>
      </c>
      <c r="E163" s="316">
        <f>COUNTIFS(input!$O:$O,June!$E$117,input!$W:$W,June!B163,input!$A:$A,June!$B$2)</f>
        <v>0</v>
      </c>
      <c r="F163" s="316">
        <f>COUNTIFS(input!$O:$O,June!$F$117,input!$W:$W,June!B163,input!$A:$A,June!$B$2)</f>
        <v>0</v>
      </c>
      <c r="G163" s="322">
        <f>COUNTIFS(input!$O:$O,June!$G$117,input!$W:$W,June!B163,input!$A:$A,June!$B$2)</f>
        <v>0</v>
      </c>
      <c r="H163" s="321">
        <f>COUNTIFS(input!$O:$O,June!$H$117,input!$W:$W,June!B163,input!$A:$A,June!$B$2)</f>
        <v>0</v>
      </c>
      <c r="I163" s="321">
        <f>COUNTIFS(input!$O:$O,June!$I$117,input!$W:$W,June!B163,input!$A:$A,June!$B$2)</f>
        <v>0</v>
      </c>
      <c r="J163" s="321">
        <f>COUNTIFS(input!$O:$O,June!$J$117,input!$W:$W,June!B163,input!$A:$A,June!$B$2)</f>
        <v>0</v>
      </c>
      <c r="K163" s="343">
        <f>COUNTIFS(input!$O:$O,June!$K$117,input!$W:$W,June!B163,input!$A:$A,June!$B$2)</f>
        <v>0</v>
      </c>
      <c r="L163" s="312">
        <f t="shared" si="13"/>
        <v>0</v>
      </c>
      <c r="M163" s="320" cm="1">
        <f t="array" ref="M163">_xlfn.IFS(L163=0,0,L163&gt;=1,L163/$L$178)</f>
        <v>0</v>
      </c>
      <c r="N163" s="992"/>
      <c r="O163" s="993"/>
      <c r="P163" s="994"/>
      <c r="Q163" s="316">
        <f>COUNTIFS(input!$O:$O,June!$Q$117,input!$X:$X,June!N163,input!$A:$A,June!$B$2)</f>
        <v>0</v>
      </c>
      <c r="R163" s="316">
        <f>COUNTIFS(input!$O:$O,June!$R$117,input!$X:$X,June!N163,input!$A:$A,June!$B$2)</f>
        <v>0</v>
      </c>
      <c r="S163" s="316">
        <f>COUNTIFS(input!$O:$O,June!$S$117,input!$X:$X,June!N163,input!$A:$A,June!$B$2)</f>
        <v>0</v>
      </c>
      <c r="T163" s="322">
        <f>COUNTIFS(input!$O:$O,June!$T$117,input!$X:$X,June!N163,input!$A:$A,June!$B$2)</f>
        <v>0</v>
      </c>
      <c r="U163" s="322">
        <f>COUNTIFS(input!$O:$O,June!$U$117,input!$X:$X,June!N163,input!$A:$A,June!$B$2)</f>
        <v>0</v>
      </c>
      <c r="V163" s="323">
        <f>COUNTIFS(input!$O:$O,June!$V$117,input!$X:$X,June!N163,input!$A:$A,June!$B$2)</f>
        <v>0</v>
      </c>
      <c r="W163" s="323">
        <f>COUNTIFS(input!$O:$O,June!$W$117,input!$X:$X,June!N163,input!$A:$A,June!$B$2)</f>
        <v>0</v>
      </c>
      <c r="X163" s="324">
        <f>COUNTIFS(input!$O:$O,June!$X$117,input!$X:$X,June!N163,input!$A:$A,June!$B$2)</f>
        <v>0</v>
      </c>
      <c r="Y163" s="312">
        <f t="shared" si="15"/>
        <v>0</v>
      </c>
      <c r="Z163" s="315" cm="1">
        <f t="array" ref="Z163">_xlfn.IFS(Y163=0,0,Y163&gt;=1,Y163/$Y$178)</f>
        <v>0</v>
      </c>
    </row>
    <row r="164" spans="2:26" ht="92" x14ac:dyDescent="0.25">
      <c r="B164" s="998" t="s">
        <v>1991</v>
      </c>
      <c r="C164" s="994"/>
      <c r="D164" s="316">
        <f>COUNTIFS(input!$O:$O,June!$D$117,input!$W:$W,June!B164,input!$A:$A,June!$B$2)</f>
        <v>0</v>
      </c>
      <c r="E164" s="316">
        <f>COUNTIFS(input!$O:$O,June!$E$117,input!$W:$W,June!B164,input!$A:$A,June!$B$2)</f>
        <v>0</v>
      </c>
      <c r="F164" s="316">
        <f>COUNTIFS(input!$O:$O,June!$F$117,input!$W:$W,June!B164,input!$A:$A,June!$B$2)</f>
        <v>0</v>
      </c>
      <c r="G164" s="322">
        <f>COUNTIFS(input!$O:$O,June!$G$117,input!$W:$W,June!B164,input!$A:$A,June!$B$2)</f>
        <v>1</v>
      </c>
      <c r="H164" s="321">
        <f>COUNTIFS(input!$O:$O,June!$H$117,input!$W:$W,June!B164,input!$A:$A,June!$B$2)</f>
        <v>0</v>
      </c>
      <c r="I164" s="321">
        <f>COUNTIFS(input!$O:$O,June!$I$117,input!$W:$W,June!B164,input!$A:$A,June!$B$2)</f>
        <v>0</v>
      </c>
      <c r="J164" s="321">
        <f>COUNTIFS(input!$O:$O,June!$J$117,input!$W:$W,June!B164,input!$A:$A,June!$B$2)</f>
        <v>0</v>
      </c>
      <c r="K164" s="343">
        <f>COUNTIFS(input!$O:$O,June!$K$117,input!$W:$W,June!B164,input!$A:$A,June!$B$2)</f>
        <v>0</v>
      </c>
      <c r="L164" s="312">
        <f>SUM(D164:K164)</f>
        <v>1</v>
      </c>
      <c r="M164" s="320" cm="1">
        <f t="array" ref="M164">_xlfn.IFS(L164=0,0,L164&gt;=1,L164/$L$178)</f>
        <v>0.1111111111111111</v>
      </c>
      <c r="N164" s="385"/>
      <c r="O164" s="386"/>
      <c r="P164" s="387"/>
      <c r="Q164" s="316">
        <f>COUNTIFS(input!$O:$O,June!$Q$117,input!$X:$X,June!N164,input!$A:$A,June!$B$2)</f>
        <v>0</v>
      </c>
      <c r="R164" s="316">
        <f>COUNTIFS(input!$O:$O,June!$R$117,input!$X:$X,June!N164,input!$A:$A,June!$B$2)</f>
        <v>0</v>
      </c>
      <c r="S164" s="316">
        <f>COUNTIFS(input!$O:$O,June!$S$117,input!$X:$X,June!N164,input!$A:$A,June!$B$2)</f>
        <v>0</v>
      </c>
      <c r="T164" s="322">
        <f>COUNTIFS(input!$O:$O,June!$T$117,input!$X:$X,June!N164,input!$A:$A,June!$B$2)</f>
        <v>0</v>
      </c>
      <c r="U164" s="322">
        <f>COUNTIFS(input!$O:$O,June!$U$117,input!$X:$X,June!N164,input!$A:$A,June!$B$2)</f>
        <v>0</v>
      </c>
      <c r="V164" s="323">
        <f>COUNTIFS(input!$O:$O,June!$V$117,input!$X:$X,June!N164,input!$A:$A,June!$B$2)</f>
        <v>0</v>
      </c>
      <c r="W164" s="323">
        <f>COUNTIFS(input!$O:$O,June!$W$117,input!$X:$X,June!N164,input!$A:$A,June!$B$2)</f>
        <v>0</v>
      </c>
      <c r="X164" s="324">
        <f>COUNTIFS(input!$O:$O,June!$X$117,input!$X:$X,June!N164,input!$A:$A,June!$B$2)</f>
        <v>0</v>
      </c>
      <c r="Y164" s="312">
        <f t="shared" ref="Y164:Y174" si="16">SUM(Q164:X164)</f>
        <v>0</v>
      </c>
      <c r="Z164" s="315" cm="1">
        <f t="array" ref="Z164">_xlfn.IFS(Y164=0,0,Y164&gt;=1,Y164/$Y$178)</f>
        <v>0</v>
      </c>
    </row>
    <row r="165" spans="2:26" ht="92" hidden="1" x14ac:dyDescent="0.25">
      <c r="B165" s="1121" t="s">
        <v>825</v>
      </c>
      <c r="C165" s="1066"/>
      <c r="D165" s="316">
        <f>COUNTIFS(input!$O:$O,June!$D$117,input!$W:$W,June!B165,input!$A:$A,June!$B$2)</f>
        <v>0</v>
      </c>
      <c r="E165" s="316">
        <f>COUNTIFS(input!$O:$O,June!$E$117,input!$W:$W,June!B165,input!$A:$A,June!$B$2)</f>
        <v>0</v>
      </c>
      <c r="F165" s="316">
        <f>COUNTIFS(input!$O:$O,June!$F$117,input!$W:$W,June!B165,input!$A:$A,June!$B$2)</f>
        <v>0</v>
      </c>
      <c r="G165" s="322">
        <f>COUNTIFS(input!$O:$O,June!$G$117,input!$W:$W,June!B165,input!$A:$A,June!$B$2)</f>
        <v>0</v>
      </c>
      <c r="H165" s="321">
        <f>COUNTIFS(input!$O:$O,June!$H$117,input!$W:$W,June!B165,input!$A:$A,June!$B$2)</f>
        <v>0</v>
      </c>
      <c r="I165" s="321">
        <f>COUNTIFS(input!$O:$O,June!$I$117,input!$W:$W,June!B165,input!$A:$A,June!$B$2)</f>
        <v>0</v>
      </c>
      <c r="J165" s="321">
        <f>COUNTIFS(input!$O:$O,June!$J$117,input!$W:$W,June!B165,input!$A:$A,June!$B$2)</f>
        <v>0</v>
      </c>
      <c r="K165" s="343">
        <f>COUNTIFS(input!$O:$O,June!$K$117,input!$W:$W,June!B165,input!$A:$A,June!$B$2)</f>
        <v>0</v>
      </c>
      <c r="L165" s="312">
        <f t="shared" si="13"/>
        <v>0</v>
      </c>
      <c r="M165" s="320" cm="1">
        <f t="array" ref="M165">_xlfn.IFS(L165=0,0,L165&gt;=1,L165/$L$178)</f>
        <v>0</v>
      </c>
      <c r="N165" s="995"/>
      <c r="O165" s="996"/>
      <c r="P165" s="997"/>
      <c r="Q165" s="316">
        <f>COUNTIFS(input!$O:$O,June!$Q$117,input!$X:$X,June!N165,input!$A:$A,June!$B$2)</f>
        <v>0</v>
      </c>
      <c r="R165" s="316">
        <f>COUNTIFS(input!$O:$O,June!$R$117,input!$X:$X,June!N165,input!$A:$A,June!$B$2)</f>
        <v>0</v>
      </c>
      <c r="S165" s="316">
        <f>COUNTIFS(input!$O:$O,June!$S$117,input!$X:$X,June!N165,input!$A:$A,June!$B$2)</f>
        <v>0</v>
      </c>
      <c r="T165" s="322">
        <f>COUNTIFS(input!$O:$O,June!$T$117,input!$X:$X,June!N165,input!$A:$A,June!$B$2)</f>
        <v>0</v>
      </c>
      <c r="U165" s="322">
        <f>COUNTIFS(input!$O:$O,June!$U$117,input!$X:$X,June!N165,input!$A:$A,June!$B$2)</f>
        <v>0</v>
      </c>
      <c r="V165" s="323">
        <f>COUNTIFS(input!$O:$O,June!$V$117,input!$X:$X,June!N165,input!$A:$A,June!$B$2)</f>
        <v>0</v>
      </c>
      <c r="W165" s="323">
        <f>COUNTIFS(input!$O:$O,June!$W$117,input!$X:$X,June!N165,input!$A:$A,June!$B$2)</f>
        <v>0</v>
      </c>
      <c r="X165" s="324">
        <f>COUNTIFS(input!$O:$O,June!$X$117,input!$X:$X,June!N165,input!$A:$A,June!$B$2)</f>
        <v>0</v>
      </c>
      <c r="Y165" s="312">
        <f t="shared" si="16"/>
        <v>0</v>
      </c>
      <c r="Z165" s="315" cm="1">
        <f t="array" ref="Z165">_xlfn.IFS(Y165=0,0,Y165&gt;=1,Y165/$Y$178)</f>
        <v>0</v>
      </c>
    </row>
    <row r="166" spans="2:26" ht="92" hidden="1" x14ac:dyDescent="0.25">
      <c r="B166" s="1121" t="s">
        <v>889</v>
      </c>
      <c r="C166" s="1066"/>
      <c r="D166" s="316">
        <f>COUNTIFS(input!$O:$O,June!$D$117,input!$W:$W,June!B166,input!$A:$A,June!$B$2)</f>
        <v>0</v>
      </c>
      <c r="E166" s="316">
        <f>COUNTIFS(input!$O:$O,June!$E$117,input!$W:$W,June!B166,input!$A:$A,June!$B$2)</f>
        <v>0</v>
      </c>
      <c r="F166" s="316">
        <f>COUNTIFS(input!$O:$O,June!$F$117,input!$W:$W,June!B166,input!$A:$A,June!$B$2)</f>
        <v>0</v>
      </c>
      <c r="G166" s="322">
        <f>COUNTIFS(input!$O:$O,June!$G$117,input!$W:$W,June!B166,input!$A:$A,June!$B$2)</f>
        <v>0</v>
      </c>
      <c r="H166" s="321">
        <f>COUNTIFS(input!$O:$O,June!$H$117,input!$W:$W,June!B166,input!$A:$A,June!$B$2)</f>
        <v>0</v>
      </c>
      <c r="I166" s="321">
        <f>COUNTIFS(input!$O:$O,June!$I$117,input!$W:$W,June!B166,input!$A:$A,June!$B$2)</f>
        <v>0</v>
      </c>
      <c r="J166" s="321">
        <f>COUNTIFS(input!$O:$O,June!$J$117,input!$W:$W,June!B166,input!$A:$A,June!$B$2)</f>
        <v>0</v>
      </c>
      <c r="K166" s="343">
        <f>COUNTIFS(input!$O:$O,June!$K$117,input!$W:$W,June!B166,input!$A:$A,June!$B$2)</f>
        <v>0</v>
      </c>
      <c r="L166" s="312">
        <f t="shared" si="13"/>
        <v>0</v>
      </c>
      <c r="M166" s="320" cm="1">
        <f t="array" ref="M166">_xlfn.IFS(L166=0,0,L166&gt;=1,L166/$L$178)</f>
        <v>0</v>
      </c>
      <c r="N166" s="995"/>
      <c r="O166" s="996"/>
      <c r="P166" s="997"/>
      <c r="Q166" s="316">
        <f>COUNTIFS(input!$O:$O,June!$Q$117,input!$X:$X,June!N166,input!$A:$A,June!$B$2)</f>
        <v>0</v>
      </c>
      <c r="R166" s="316">
        <f>COUNTIFS(input!$O:$O,June!$R$117,input!$X:$X,June!N166,input!$A:$A,June!$B$2)</f>
        <v>0</v>
      </c>
      <c r="S166" s="316">
        <f>COUNTIFS(input!$O:$O,June!$S$117,input!$X:$X,June!N166,input!$A:$A,June!$B$2)</f>
        <v>0</v>
      </c>
      <c r="T166" s="322">
        <f>COUNTIFS(input!$O:$O,June!$T$117,input!$X:$X,June!N166,input!$A:$A,June!$B$2)</f>
        <v>0</v>
      </c>
      <c r="U166" s="322">
        <f>COUNTIFS(input!$O:$O,June!$U$117,input!$X:$X,June!N166,input!$A:$A,June!$B$2)</f>
        <v>0</v>
      </c>
      <c r="V166" s="323">
        <f>COUNTIFS(input!$O:$O,June!$V$117,input!$X:$X,June!N166,input!$A:$A,June!$B$2)</f>
        <v>0</v>
      </c>
      <c r="W166" s="323">
        <f>COUNTIFS(input!$O:$O,June!$W$117,input!$X:$X,June!N166,input!$A:$A,June!$B$2)</f>
        <v>0</v>
      </c>
      <c r="X166" s="324">
        <f>COUNTIFS(input!$O:$O,June!$X$117,input!$X:$X,June!N166,input!$A:$A,June!$B$2)</f>
        <v>0</v>
      </c>
      <c r="Y166" s="312">
        <f t="shared" si="16"/>
        <v>0</v>
      </c>
      <c r="Z166" s="315" cm="1">
        <f t="array" ref="Z166">_xlfn.IFS(Y166=0,0,Y166&gt;=1,Y166/$Y$178)</f>
        <v>0</v>
      </c>
    </row>
    <row r="167" spans="2:26" ht="92" hidden="1" x14ac:dyDescent="0.25">
      <c r="B167" s="1121" t="s">
        <v>1841</v>
      </c>
      <c r="C167" s="1066"/>
      <c r="D167" s="316">
        <f>COUNTIFS(input!$O:$O,June!$D$117,input!$W:$W,June!B167,input!$A:$A,June!$B$2)</f>
        <v>0</v>
      </c>
      <c r="E167" s="316">
        <f>COUNTIFS(input!$O:$O,June!$E$117,input!$W:$W,June!B167,input!$A:$A,June!$B$2)</f>
        <v>0</v>
      </c>
      <c r="F167" s="316">
        <f>COUNTIFS(input!$O:$O,June!$F$117,input!$W:$W,June!B167,input!$A:$A,June!$B$2)</f>
        <v>0</v>
      </c>
      <c r="G167" s="322">
        <f>COUNTIFS(input!$O:$O,June!$G$117,input!$W:$W,June!B167,input!$A:$A,June!$B$2)</f>
        <v>0</v>
      </c>
      <c r="H167" s="321">
        <f>COUNTIFS(input!$O:$O,June!$H$117,input!$W:$W,June!B167,input!$A:$A,June!$B$2)</f>
        <v>0</v>
      </c>
      <c r="I167" s="321">
        <f>COUNTIFS(input!$O:$O,June!$I$117,input!$W:$W,June!B167,input!$A:$A,June!$B$2)</f>
        <v>0</v>
      </c>
      <c r="J167" s="321">
        <f>COUNTIFS(input!$O:$O,June!$J$117,input!$W:$W,June!B167,input!$A:$A,June!$B$2)</f>
        <v>0</v>
      </c>
      <c r="K167" s="343">
        <f>COUNTIFS(input!$O:$O,June!$K$117,input!$W:$W,June!B167,input!$A:$A,June!$B$2)</f>
        <v>0</v>
      </c>
      <c r="L167" s="312">
        <f t="shared" si="13"/>
        <v>0</v>
      </c>
      <c r="M167" s="320" cm="1">
        <f t="array" ref="M167">_xlfn.IFS(L167=0,0,L167&gt;=1,L167/$L$178)</f>
        <v>0</v>
      </c>
      <c r="N167" s="995"/>
      <c r="O167" s="996"/>
      <c r="P167" s="997"/>
      <c r="Q167" s="316">
        <f>COUNTIFS(input!$O:$O,June!$Q$117,input!$X:$X,June!N167,input!$A:$A,June!$B$2)</f>
        <v>0</v>
      </c>
      <c r="R167" s="316">
        <f>COUNTIFS(input!$O:$O,June!$R$117,input!$X:$X,June!N167,input!$A:$A,June!$B$2)</f>
        <v>0</v>
      </c>
      <c r="S167" s="316">
        <f>COUNTIFS(input!$O:$O,June!$S$117,input!$X:$X,June!N167,input!$A:$A,June!$B$2)</f>
        <v>0</v>
      </c>
      <c r="T167" s="322">
        <f>COUNTIFS(input!$O:$O,June!$T$117,input!$X:$X,June!N167,input!$A:$A,June!$B$2)</f>
        <v>0</v>
      </c>
      <c r="U167" s="322">
        <f>COUNTIFS(input!$O:$O,June!$U$117,input!$X:$X,June!N167,input!$A:$A,June!$B$2)</f>
        <v>0</v>
      </c>
      <c r="V167" s="323">
        <f>COUNTIFS(input!$O:$O,June!$V$117,input!$X:$X,June!N167,input!$A:$A,June!$B$2)</f>
        <v>0</v>
      </c>
      <c r="W167" s="323">
        <f>COUNTIFS(input!$O:$O,June!$W$117,input!$X:$X,June!N167,input!$A:$A,June!$B$2)</f>
        <v>0</v>
      </c>
      <c r="X167" s="324">
        <f>COUNTIFS(input!$O:$O,June!$X$117,input!$X:$X,June!N167,input!$A:$A,June!$B$2)</f>
        <v>0</v>
      </c>
      <c r="Y167" s="312">
        <f t="shared" si="16"/>
        <v>0</v>
      </c>
      <c r="Z167" s="315" cm="1">
        <f t="array" ref="Z167">_xlfn.IFS(Y167=0,0,Y167&gt;=1,Y167/$Y$178)</f>
        <v>0</v>
      </c>
    </row>
    <row r="168" spans="2:26" ht="92" hidden="1" x14ac:dyDescent="0.25">
      <c r="B168" s="1122" t="s">
        <v>863</v>
      </c>
      <c r="C168" s="997"/>
      <c r="D168" s="316">
        <f>COUNTIFS(input!$O:$O,June!$D$117,input!$W:$W,June!B168,input!$A:$A,June!$B$2)</f>
        <v>0</v>
      </c>
      <c r="E168" s="316">
        <f>COUNTIFS(input!$O:$O,June!$E$117,input!$W:$W,June!B168,input!$A:$A,June!$B$2)</f>
        <v>0</v>
      </c>
      <c r="F168" s="316">
        <f>COUNTIFS(input!$O:$O,June!$F$117,input!$W:$W,June!B168,input!$A:$A,June!$B$2)</f>
        <v>0</v>
      </c>
      <c r="G168" s="322">
        <f>COUNTIFS(input!$O:$O,June!$G$117,input!$W:$W,June!B168,input!$A:$A,June!$B$2)</f>
        <v>0</v>
      </c>
      <c r="H168" s="321">
        <f>COUNTIFS(input!$O:$O,June!$H$117,input!$W:$W,June!B168,input!$A:$A,June!$B$2)</f>
        <v>0</v>
      </c>
      <c r="I168" s="321">
        <f>COUNTIFS(input!$O:$O,June!$I$117,input!$W:$W,June!B168,input!$A:$A,June!$B$2)</f>
        <v>0</v>
      </c>
      <c r="J168" s="321">
        <f>COUNTIFS(input!$O:$O,June!$J$117,input!$W:$W,June!B168,input!$A:$A,June!$B$2)</f>
        <v>0</v>
      </c>
      <c r="K168" s="343">
        <f>COUNTIFS(input!$O:$O,June!$K$117,input!$W:$W,June!B168,input!$A:$A,June!$B$2)</f>
        <v>0</v>
      </c>
      <c r="L168" s="312">
        <f t="shared" si="13"/>
        <v>0</v>
      </c>
      <c r="M168" s="320" cm="1">
        <f t="array" ref="M168">_xlfn.IFS(L168=0,0,L168&gt;=1,L168/$L$178)</f>
        <v>0</v>
      </c>
      <c r="N168" s="995"/>
      <c r="O168" s="996"/>
      <c r="P168" s="997"/>
      <c r="Q168" s="316">
        <f>COUNTIFS(input!$O:$O,June!$Q$117,input!$X:$X,June!N168,input!$A:$A,June!$B$2)</f>
        <v>0</v>
      </c>
      <c r="R168" s="316">
        <f>COUNTIFS(input!$O:$O,June!$R$117,input!$X:$X,June!N168,input!$A:$A,June!$B$2)</f>
        <v>0</v>
      </c>
      <c r="S168" s="316">
        <f>COUNTIFS(input!$O:$O,June!$S$117,input!$X:$X,June!N168,input!$A:$A,June!$B$2)</f>
        <v>0</v>
      </c>
      <c r="T168" s="322">
        <f>COUNTIFS(input!$O:$O,June!$T$117,input!$X:$X,June!N168,input!$A:$A,June!$B$2)</f>
        <v>0</v>
      </c>
      <c r="U168" s="322">
        <f>COUNTIFS(input!$O:$O,June!$U$117,input!$X:$X,June!N168,input!$A:$A,June!$B$2)</f>
        <v>0</v>
      </c>
      <c r="V168" s="323">
        <f>COUNTIFS(input!$O:$O,June!$V$117,input!$X:$X,June!N168,input!$A:$A,June!$B$2)</f>
        <v>0</v>
      </c>
      <c r="W168" s="323">
        <f>COUNTIFS(input!$O:$O,June!$W$117,input!$X:$X,June!N168,input!$A:$A,June!$B$2)</f>
        <v>0</v>
      </c>
      <c r="X168" s="324">
        <f>COUNTIFS(input!$O:$O,June!$X$117,input!$X:$X,June!N168,input!$A:$A,June!$B$2)</f>
        <v>0</v>
      </c>
      <c r="Y168" s="312">
        <f t="shared" si="16"/>
        <v>0</v>
      </c>
      <c r="Z168" s="315" cm="1">
        <f t="array" ref="Z168">_xlfn.IFS(Y168=0,0,Y168&gt;=1,Y168/$Y$178)</f>
        <v>0</v>
      </c>
    </row>
    <row r="169" spans="2:26" ht="92" hidden="1" x14ac:dyDescent="0.25">
      <c r="B169" s="1122" t="s">
        <v>1760</v>
      </c>
      <c r="C169" s="997"/>
      <c r="D169" s="316">
        <f>COUNTIFS(input!$O:$O,June!$D$117,input!$W:$W,June!B169,input!$A:$A,June!$B$2)</f>
        <v>0</v>
      </c>
      <c r="E169" s="316">
        <f>COUNTIFS(input!$O:$O,June!$E$117,input!$W:$W,June!B169,input!$A:$A,June!$B$2)</f>
        <v>0</v>
      </c>
      <c r="F169" s="316">
        <f>COUNTIFS(input!$O:$O,June!$F$117,input!$W:$W,June!B169,input!$A:$A,June!$B$2)</f>
        <v>0</v>
      </c>
      <c r="G169" s="322">
        <f>COUNTIFS(input!$O:$O,June!$G$117,input!$W:$W,June!B169,input!$A:$A,June!$B$2)</f>
        <v>0</v>
      </c>
      <c r="H169" s="321">
        <f>COUNTIFS(input!$O:$O,June!$H$117,input!$W:$W,June!B169,input!$A:$A,June!$B$2)</f>
        <v>0</v>
      </c>
      <c r="I169" s="321">
        <f>COUNTIFS(input!$O:$O,June!$I$117,input!$W:$W,June!B169,input!$A:$A,June!$B$2)</f>
        <v>0</v>
      </c>
      <c r="J169" s="321">
        <f>COUNTIFS(input!$O:$O,June!$J$117,input!$W:$W,June!B169,input!$A:$A,June!$B$2)</f>
        <v>0</v>
      </c>
      <c r="K169" s="343">
        <f>COUNTIFS(input!$O:$O,June!$K$117,input!$W:$W,June!B169,input!$A:$A,June!$B$2)</f>
        <v>0</v>
      </c>
      <c r="L169" s="312">
        <f t="shared" si="13"/>
        <v>0</v>
      </c>
      <c r="M169" s="320" cm="1">
        <f t="array" ref="M169">_xlfn.IFS(L169=0,0,L169&gt;=1,L169/$L$178)</f>
        <v>0</v>
      </c>
      <c r="N169" s="995"/>
      <c r="O169" s="996"/>
      <c r="P169" s="997"/>
      <c r="Q169" s="316">
        <f>COUNTIFS(input!$O:$O,June!$Q$117,input!$X:$X,June!N169,input!$A:$A,June!$B$2)</f>
        <v>0</v>
      </c>
      <c r="R169" s="316">
        <f>COUNTIFS(input!$O:$O,June!$R$117,input!$X:$X,June!N169,input!$A:$A,June!$B$2)</f>
        <v>0</v>
      </c>
      <c r="S169" s="316">
        <f>COUNTIFS(input!$O:$O,June!$S$117,input!$X:$X,June!N169,input!$A:$A,June!$B$2)</f>
        <v>0</v>
      </c>
      <c r="T169" s="322">
        <f>COUNTIFS(input!$O:$O,June!$T$117,input!$X:$X,June!N169,input!$A:$A,June!$B$2)</f>
        <v>0</v>
      </c>
      <c r="U169" s="322">
        <f>COUNTIFS(input!$O:$O,June!$U$117,input!$X:$X,June!N169,input!$A:$A,June!$B$2)</f>
        <v>0</v>
      </c>
      <c r="V169" s="323">
        <f>COUNTIFS(input!$O:$O,June!$V$117,input!$X:$X,June!N169,input!$A:$A,June!$B$2)</f>
        <v>0</v>
      </c>
      <c r="W169" s="323">
        <f>COUNTIFS(input!$O:$O,June!$W$117,input!$X:$X,June!N169,input!$A:$A,June!$B$2)</f>
        <v>0</v>
      </c>
      <c r="X169" s="324">
        <f>COUNTIFS(input!$O:$O,June!$X$117,input!$X:$X,June!N169,input!$A:$A,June!$B$2)</f>
        <v>0</v>
      </c>
      <c r="Y169" s="312">
        <f t="shared" si="16"/>
        <v>0</v>
      </c>
      <c r="Z169" s="315" cm="1">
        <f t="array" ref="Z169">_xlfn.IFS(Y169=0,0,Y169&gt;=1,Y169/$Y$178)</f>
        <v>0</v>
      </c>
    </row>
    <row r="170" spans="2:26" ht="92" hidden="1" x14ac:dyDescent="0.25">
      <c r="B170" s="1122" t="s">
        <v>1894</v>
      </c>
      <c r="C170" s="997"/>
      <c r="D170" s="316">
        <f>COUNTIFS(input!$O:$O,June!$D$117,input!$W:$W,June!B170,input!$A:$A,June!$B$2)</f>
        <v>0</v>
      </c>
      <c r="E170" s="316">
        <f>COUNTIFS(input!$O:$O,June!$E$117,input!$W:$W,June!B170,input!$A:$A,June!$B$2)</f>
        <v>0</v>
      </c>
      <c r="F170" s="316">
        <f>COUNTIFS(input!$O:$O,June!$F$117,input!$W:$W,June!B170,input!$A:$A,June!$B$2)</f>
        <v>0</v>
      </c>
      <c r="G170" s="322">
        <f>COUNTIFS(input!$O:$O,June!$G$117,input!$W:$W,June!B170,input!$A:$A,June!$B$2)</f>
        <v>0</v>
      </c>
      <c r="H170" s="321">
        <f>COUNTIFS(input!$O:$O,June!$H$117,input!$W:$W,June!B170,input!$A:$A,June!$B$2)</f>
        <v>0</v>
      </c>
      <c r="I170" s="321">
        <f>COUNTIFS(input!$O:$O,June!$I$117,input!$W:$W,June!B170,input!$A:$A,June!$B$2)</f>
        <v>0</v>
      </c>
      <c r="J170" s="321">
        <f>COUNTIFS(input!$O:$O,June!$J$117,input!$W:$W,June!B170,input!$A:$A,June!$B$2)</f>
        <v>0</v>
      </c>
      <c r="K170" s="343">
        <f>COUNTIFS(input!$O:$O,June!$K$117,input!$W:$W,June!B170,input!$A:$A,June!$B$2)</f>
        <v>0</v>
      </c>
      <c r="L170" s="312">
        <f t="shared" si="13"/>
        <v>0</v>
      </c>
      <c r="M170" s="320" cm="1">
        <f t="array" ref="M170">_xlfn.IFS(L170=0,0,L170&gt;=1,L170/$L$178)</f>
        <v>0</v>
      </c>
      <c r="N170" s="995"/>
      <c r="O170" s="996"/>
      <c r="P170" s="997"/>
      <c r="Q170" s="316">
        <f>COUNTIFS(input!$O:$O,June!$Q$117,input!$X:$X,June!N170,input!$A:$A,June!$B$2)</f>
        <v>0</v>
      </c>
      <c r="R170" s="316">
        <f>COUNTIFS(input!$O:$O,June!$R$117,input!$X:$X,June!N170,input!$A:$A,June!$B$2)</f>
        <v>0</v>
      </c>
      <c r="S170" s="316">
        <f>COUNTIFS(input!$O:$O,June!$S$117,input!$X:$X,June!N170,input!$A:$A,June!$B$2)</f>
        <v>0</v>
      </c>
      <c r="T170" s="322">
        <f>COUNTIFS(input!$O:$O,June!$T$117,input!$X:$X,June!N170,input!$A:$A,June!$B$2)</f>
        <v>0</v>
      </c>
      <c r="U170" s="322">
        <f>COUNTIFS(input!$O:$O,June!$U$117,input!$X:$X,June!N170,input!$A:$A,June!$B$2)</f>
        <v>0</v>
      </c>
      <c r="V170" s="323">
        <f>COUNTIFS(input!$O:$O,June!$V$117,input!$X:$X,June!N170,input!$A:$A,June!$B$2)</f>
        <v>0</v>
      </c>
      <c r="W170" s="323">
        <f>COUNTIFS(input!$O:$O,June!$W$117,input!$X:$X,June!N170,input!$A:$A,June!$B$2)</f>
        <v>0</v>
      </c>
      <c r="X170" s="324">
        <f>COUNTIFS(input!$O:$O,June!$X$117,input!$X:$X,June!N170,input!$A:$A,June!$B$2)</f>
        <v>0</v>
      </c>
      <c r="Y170" s="312">
        <f t="shared" si="16"/>
        <v>0</v>
      </c>
      <c r="Z170" s="315" cm="1">
        <f t="array" ref="Z170">_xlfn.IFS(Y170=0,0,Y170&gt;=1,Y170/$Y$178)</f>
        <v>0</v>
      </c>
    </row>
    <row r="171" spans="2:26" ht="92" x14ac:dyDescent="0.25">
      <c r="B171" s="1122" t="s">
        <v>1780</v>
      </c>
      <c r="C171" s="997"/>
      <c r="D171" s="316">
        <f>COUNTIFS(input!$O:$O,June!$D$117,input!$W:$W,June!B171,input!$A:$A,June!$B$2)</f>
        <v>0</v>
      </c>
      <c r="E171" s="316">
        <f>COUNTIFS(input!$O:$O,June!$E$117,input!$W:$W,June!B171,input!$A:$A,June!$B$2)</f>
        <v>0</v>
      </c>
      <c r="F171" s="316">
        <f>COUNTIFS(input!$O:$O,June!$F$117,input!$W:$W,June!B171,input!$A:$A,June!$B$2)</f>
        <v>0</v>
      </c>
      <c r="G171" s="322">
        <f>COUNTIFS(input!$O:$O,June!$G$117,input!$W:$W,June!B171,input!$A:$A,June!$B$2)</f>
        <v>0</v>
      </c>
      <c r="H171" s="321">
        <f>COUNTIFS(input!$O:$O,June!$H$117,input!$W:$W,June!B171,input!$A:$A,June!$B$2)</f>
        <v>1</v>
      </c>
      <c r="I171" s="321">
        <f>COUNTIFS(input!$O:$O,June!$I$117,input!$W:$W,June!B171,input!$A:$A,June!$B$2)</f>
        <v>0</v>
      </c>
      <c r="J171" s="321">
        <f>COUNTIFS(input!$O:$O,June!$J$117,input!$W:$W,June!B171,input!$A:$A,June!$B$2)</f>
        <v>0</v>
      </c>
      <c r="K171" s="343">
        <f>COUNTIFS(input!$O:$O,June!$K$117,input!$W:$W,June!B171,input!$A:$A,June!$B$2)</f>
        <v>0</v>
      </c>
      <c r="L171" s="312">
        <f t="shared" si="13"/>
        <v>1</v>
      </c>
      <c r="M171" s="320" cm="1">
        <f t="array" ref="M171">_xlfn.IFS(L171=0,0,L171&gt;=1,L171/$L$178)</f>
        <v>0.1111111111111111</v>
      </c>
      <c r="N171" s="995"/>
      <c r="O171" s="996"/>
      <c r="P171" s="997"/>
      <c r="Q171" s="316">
        <f>COUNTIFS(input!$O:$O,June!$Q$117,input!$X:$X,June!N171,input!$A:$A,June!$B$2)</f>
        <v>0</v>
      </c>
      <c r="R171" s="316">
        <f>COUNTIFS(input!$O:$O,June!$R$117,input!$X:$X,June!N171,input!$A:$A,June!$B$2)</f>
        <v>0</v>
      </c>
      <c r="S171" s="316">
        <f>COUNTIFS(input!$O:$O,June!$S$117,input!$X:$X,June!N171,input!$A:$A,June!$B$2)</f>
        <v>0</v>
      </c>
      <c r="T171" s="322">
        <f>COUNTIFS(input!$O:$O,June!$T$117,input!$X:$X,June!N171,input!$A:$A,June!$B$2)</f>
        <v>0</v>
      </c>
      <c r="U171" s="322">
        <f>COUNTIFS(input!$O:$O,June!$U$117,input!$X:$X,June!N171,input!$A:$A,June!$B$2)</f>
        <v>0</v>
      </c>
      <c r="V171" s="323">
        <f>COUNTIFS(input!$O:$O,June!$V$117,input!$X:$X,June!N171,input!$A:$A,June!$B$2)</f>
        <v>0</v>
      </c>
      <c r="W171" s="323">
        <f>COUNTIFS(input!$O:$O,June!$W$117,input!$X:$X,June!N171,input!$A:$A,June!$B$2)</f>
        <v>0</v>
      </c>
      <c r="X171" s="324">
        <f>COUNTIFS(input!$O:$O,June!$X$117,input!$X:$X,June!N171,input!$A:$A,June!$B$2)</f>
        <v>0</v>
      </c>
      <c r="Y171" s="312">
        <f t="shared" si="16"/>
        <v>0</v>
      </c>
      <c r="Z171" s="315" cm="1">
        <f t="array" ref="Z171">_xlfn.IFS(Y171=0,0,Y171&gt;=1,Y171/$Y$178)</f>
        <v>0</v>
      </c>
    </row>
    <row r="172" spans="2:26" ht="92" hidden="1" x14ac:dyDescent="0.25">
      <c r="B172" s="1122" t="s">
        <v>1836</v>
      </c>
      <c r="C172" s="997"/>
      <c r="D172" s="316">
        <f>COUNTIFS(input!$O:$O,June!$D$117,input!$W:$W,June!B172,input!$A:$A,June!$B$2)</f>
        <v>0</v>
      </c>
      <c r="E172" s="316">
        <f>COUNTIFS(input!$O:$O,June!$E$117,input!$W:$W,June!B172,input!$A:$A,June!$B$2)</f>
        <v>0</v>
      </c>
      <c r="F172" s="316">
        <f>COUNTIFS(input!$O:$O,June!$F$117,input!$W:$W,June!B172,input!$A:$A,June!$B$2)</f>
        <v>0</v>
      </c>
      <c r="G172" s="322">
        <f>COUNTIFS(input!$O:$O,June!$G$117,input!$W:$W,June!B172,input!$A:$A,June!$B$2)</f>
        <v>0</v>
      </c>
      <c r="H172" s="321">
        <f>COUNTIFS(input!$O:$O,June!$H$117,input!$W:$W,June!B172,input!$A:$A,June!$B$2)</f>
        <v>0</v>
      </c>
      <c r="I172" s="321">
        <f>COUNTIFS(input!$O:$O,June!$I$117,input!$W:$W,June!B172,input!$A:$A,June!$B$2)</f>
        <v>0</v>
      </c>
      <c r="J172" s="321">
        <f>COUNTIFS(input!$O:$O,June!$J$117,input!$W:$W,June!B172,input!$A:$A,June!$B$2)</f>
        <v>0</v>
      </c>
      <c r="K172" s="343">
        <f>COUNTIFS(input!$O:$O,June!$K$117,input!$W:$W,June!B172,input!$A:$A,June!$B$2)</f>
        <v>0</v>
      </c>
      <c r="L172" s="312">
        <f t="shared" si="13"/>
        <v>0</v>
      </c>
      <c r="M172" s="320" cm="1">
        <f t="array" ref="M172">_xlfn.IFS(L172=0,0,L172&gt;=1,L172/$L$178)</f>
        <v>0</v>
      </c>
      <c r="N172" s="995"/>
      <c r="O172" s="996"/>
      <c r="P172" s="997"/>
      <c r="Q172" s="316">
        <f>COUNTIFS(input!$O:$O,June!$Q$117,input!$X:$X,June!N172,input!$A:$A,June!$B$2)</f>
        <v>0</v>
      </c>
      <c r="R172" s="316">
        <f>COUNTIFS(input!$O:$O,June!$R$117,input!$X:$X,June!N172,input!$A:$A,June!$B$2)</f>
        <v>0</v>
      </c>
      <c r="S172" s="316">
        <f>COUNTIFS(input!$O:$O,June!$S$117,input!$X:$X,June!N172,input!$A:$A,June!$B$2)</f>
        <v>0</v>
      </c>
      <c r="T172" s="322">
        <f>COUNTIFS(input!$O:$O,June!$T$117,input!$X:$X,June!N172,input!$A:$A,June!$B$2)</f>
        <v>0</v>
      </c>
      <c r="U172" s="322">
        <f>COUNTIFS(input!$O:$O,June!$U$117,input!$X:$X,June!N172,input!$A:$A,June!$B$2)</f>
        <v>0</v>
      </c>
      <c r="V172" s="323">
        <f>COUNTIFS(input!$O:$O,June!$V$117,input!$X:$X,June!N172,input!$A:$A,June!$B$2)</f>
        <v>0</v>
      </c>
      <c r="W172" s="323">
        <f>COUNTIFS(input!$O:$O,June!$W$117,input!$X:$X,June!N172,input!$A:$A,June!$B$2)</f>
        <v>0</v>
      </c>
      <c r="X172" s="324">
        <f>COUNTIFS(input!$O:$O,June!$X$117,input!$X:$X,June!N172,input!$A:$A,June!$B$2)</f>
        <v>0</v>
      </c>
      <c r="Y172" s="312">
        <f t="shared" si="16"/>
        <v>0</v>
      </c>
      <c r="Z172" s="315" cm="1">
        <f t="array" ref="Z172">_xlfn.IFS(Y172=0,0,Y172&gt;=1,Y172/$Y$178)</f>
        <v>0</v>
      </c>
    </row>
    <row r="173" spans="2:26" ht="92" x14ac:dyDescent="0.25">
      <c r="B173" s="998" t="s">
        <v>1926</v>
      </c>
      <c r="C173" s="994"/>
      <c r="D173" s="316">
        <f>COUNTIFS(input!$O:$O,June!$D$117,input!$W:$W,June!B173,input!$A:$A,June!$B$2)</f>
        <v>0</v>
      </c>
      <c r="E173" s="316">
        <f>COUNTIFS(input!$O:$O,June!$E$117,input!$W:$W,June!B173,input!$A:$A,June!$B$2)</f>
        <v>0</v>
      </c>
      <c r="F173" s="316">
        <f>COUNTIFS(input!$O:$O,June!$F$117,input!$W:$W,June!B173,input!$A:$A,June!$B$2)</f>
        <v>0</v>
      </c>
      <c r="G173" s="322">
        <f>COUNTIFS(input!$O:$O,June!$G$117,input!$W:$W,June!B173,input!$A:$A,June!$B$2)</f>
        <v>0</v>
      </c>
      <c r="H173" s="321">
        <f>COUNTIFS(input!$O:$O,June!$H$117,input!$W:$W,June!B173,input!$A:$A,June!$B$2)</f>
        <v>0</v>
      </c>
      <c r="I173" s="321">
        <f>COUNTIFS(input!$O:$O,June!$I$117,input!$W:$W,June!B173,input!$A:$A,June!$B$2)</f>
        <v>1</v>
      </c>
      <c r="J173" s="321">
        <f>COUNTIFS(input!$O:$O,June!$J$117,input!$W:$W,June!B173,input!$A:$A,June!$B$2)</f>
        <v>0</v>
      </c>
      <c r="K173" s="343">
        <f>COUNTIFS(input!$O:$O,June!$K$117,input!$W:$W,June!B173,input!$A:$A,June!$B$2)</f>
        <v>0</v>
      </c>
      <c r="L173" s="312">
        <f>SUM(D173:K173)</f>
        <v>1</v>
      </c>
      <c r="M173" s="320" cm="1">
        <f t="array" ref="M173">_xlfn.IFS(L173=0,0,L173&gt;=1,L173/$L$178)</f>
        <v>0.1111111111111111</v>
      </c>
      <c r="N173" s="382"/>
      <c r="O173" s="383"/>
      <c r="P173" s="384"/>
      <c r="Q173" s="316">
        <f>COUNTIFS(input!$O:$O,June!$Q$117,input!$X:$X,June!N173,input!$A:$A,June!$B$2)</f>
        <v>0</v>
      </c>
      <c r="R173" s="316">
        <f>COUNTIFS(input!$O:$O,June!$R$117,input!$X:$X,June!N173,input!$A:$A,June!$B$2)</f>
        <v>0</v>
      </c>
      <c r="S173" s="316">
        <f>COUNTIFS(input!$O:$O,June!$S$117,input!$X:$X,June!N173,input!$A:$A,June!$B$2)</f>
        <v>0</v>
      </c>
      <c r="T173" s="322">
        <f>COUNTIFS(input!$O:$O,June!$T$117,input!$X:$X,June!N173,input!$A:$A,June!$B$2)</f>
        <v>0</v>
      </c>
      <c r="U173" s="322">
        <f>COUNTIFS(input!$O:$O,June!$U$117,input!$X:$X,June!N173,input!$A:$A,June!$B$2)</f>
        <v>0</v>
      </c>
      <c r="V173" s="323">
        <f>COUNTIFS(input!$O:$O,June!$V$117,input!$X:$X,June!N173,input!$A:$A,June!$B$2)</f>
        <v>0</v>
      </c>
      <c r="W173" s="323">
        <f>COUNTIFS(input!$O:$O,June!$W$117,input!$X:$X,June!N173,input!$A:$A,June!$B$2)</f>
        <v>0</v>
      </c>
      <c r="X173" s="324">
        <f>COUNTIFS(input!$O:$O,June!$X$117,input!$X:$X,June!N173,input!$A:$A,June!$B$2)</f>
        <v>0</v>
      </c>
      <c r="Y173" s="312">
        <f t="shared" si="16"/>
        <v>0</v>
      </c>
      <c r="Z173" s="315" cm="1">
        <f t="array" ref="Z173">_xlfn.IFS(Y173=0,0,Y173&gt;=1,Y173/$Y$178)</f>
        <v>0</v>
      </c>
    </row>
    <row r="174" spans="2:26" ht="92" x14ac:dyDescent="0.25">
      <c r="B174" s="998" t="s">
        <v>1992</v>
      </c>
      <c r="C174" s="994"/>
      <c r="D174" s="316">
        <f>COUNTIFS(input!$O:$O,June!$D$117,input!$W:$W,June!B174,input!$A:$A,June!$B$2)</f>
        <v>0</v>
      </c>
      <c r="E174" s="316">
        <f>COUNTIFS(input!$O:$O,June!$E$117,input!$W:$W,June!B174,input!$A:$A,June!$B$2)</f>
        <v>0</v>
      </c>
      <c r="F174" s="316">
        <f>COUNTIFS(input!$O:$O,June!$F$117,input!$W:$W,June!B174,input!$A:$A,June!$B$2)</f>
        <v>0</v>
      </c>
      <c r="G174" s="322">
        <f>COUNTIFS(input!$O:$O,June!$G$117,input!$W:$W,June!B174,input!$A:$A,June!$B$2)</f>
        <v>1</v>
      </c>
      <c r="H174" s="321">
        <f>COUNTIFS(input!$O:$O,June!$H$117,input!$W:$W,June!B174,input!$A:$A,June!$B$2)</f>
        <v>0</v>
      </c>
      <c r="I174" s="321">
        <f>COUNTIFS(input!$O:$O,June!$I$117,input!$W:$W,June!B174,input!$A:$A,June!$B$2)</f>
        <v>0</v>
      </c>
      <c r="J174" s="321">
        <f>COUNTIFS(input!$O:$O,June!$J$117,input!$W:$W,June!B174,input!$A:$A,June!$B$2)</f>
        <v>0</v>
      </c>
      <c r="K174" s="343">
        <f>COUNTIFS(input!$O:$O,June!$K$117,input!$W:$W,June!B174,input!$A:$A,June!$B$2)</f>
        <v>0</v>
      </c>
      <c r="L174" s="312">
        <f>SUM(D174:K174)</f>
        <v>1</v>
      </c>
      <c r="M174" s="320" cm="1">
        <f t="array" ref="M174">_xlfn.IFS(L174=0,0,L174&gt;=1,L174/$L$178)</f>
        <v>0.1111111111111111</v>
      </c>
      <c r="N174" s="382"/>
      <c r="O174" s="383"/>
      <c r="P174" s="384"/>
      <c r="Q174" s="316">
        <f>COUNTIFS(input!$O:$O,June!$Q$117,input!$X:$X,June!N174,input!$A:$A,June!$B$2)</f>
        <v>0</v>
      </c>
      <c r="R174" s="316">
        <f>COUNTIFS(input!$O:$O,June!$R$117,input!$X:$X,June!N174,input!$A:$A,June!$B$2)</f>
        <v>0</v>
      </c>
      <c r="S174" s="316">
        <f>COUNTIFS(input!$O:$O,June!$S$117,input!$X:$X,June!N174,input!$A:$A,June!$B$2)</f>
        <v>0</v>
      </c>
      <c r="T174" s="322">
        <f>COUNTIFS(input!$O:$O,June!$T$117,input!$X:$X,June!N174,input!$A:$A,June!$B$2)</f>
        <v>0</v>
      </c>
      <c r="U174" s="322">
        <f>COUNTIFS(input!$O:$O,June!$U$117,input!$X:$X,June!N174,input!$A:$A,June!$B$2)</f>
        <v>0</v>
      </c>
      <c r="V174" s="323">
        <f>COUNTIFS(input!$O:$O,June!$V$117,input!$X:$X,June!N174,input!$A:$A,June!$B$2)</f>
        <v>0</v>
      </c>
      <c r="W174" s="323">
        <f>COUNTIFS(input!$O:$O,June!$W$117,input!$X:$X,June!N174,input!$A:$A,June!$B$2)</f>
        <v>0</v>
      </c>
      <c r="X174" s="324">
        <f>COUNTIFS(input!$O:$O,June!$X$117,input!$X:$X,June!N174,input!$A:$A,June!$B$2)</f>
        <v>0</v>
      </c>
      <c r="Y174" s="312">
        <f t="shared" si="16"/>
        <v>0</v>
      </c>
      <c r="Z174" s="315" cm="1">
        <f t="array" ref="Z174">_xlfn.IFS(Y174=0,0,Y174&gt;=1,Y174/$Y$178)</f>
        <v>0</v>
      </c>
    </row>
    <row r="175" spans="2:26" ht="92" hidden="1" x14ac:dyDescent="0.25">
      <c r="B175" s="1121" t="s">
        <v>361</v>
      </c>
      <c r="C175" s="1066"/>
      <c r="D175" s="316">
        <f>COUNTIFS(input!$O:$O,June!$D$117,input!$W:$W,June!B175,input!$A:$A,June!$B$2)</f>
        <v>0</v>
      </c>
      <c r="E175" s="316">
        <f>COUNTIFS(input!$O:$O,June!$E$117,input!$W:$W,June!B175,input!$A:$A,June!$B$2)</f>
        <v>0</v>
      </c>
      <c r="F175" s="316">
        <f>COUNTIFS(input!$O:$O,June!$F$117,input!$W:$W,June!B175,input!$A:$A,June!$B$2)</f>
        <v>0</v>
      </c>
      <c r="G175" s="322">
        <f>COUNTIFS(input!$O:$O,June!$G$117,input!$W:$W,June!B175,input!$A:$A,June!$B$2)</f>
        <v>0</v>
      </c>
      <c r="H175" s="321">
        <f>COUNTIFS(input!$O:$O,June!$H$117,input!$W:$W,June!B175,input!$A:$A,June!$B$2)</f>
        <v>0</v>
      </c>
      <c r="I175" s="321">
        <f>COUNTIFS(input!$O:$O,June!$I$117,input!$W:$W,June!B175,input!$A:$A,June!$B$2)</f>
        <v>0</v>
      </c>
      <c r="J175" s="321">
        <f>COUNTIFS(input!$O:$O,June!$J$117,input!$W:$W,June!B175,input!$A:$A,June!$B$2)</f>
        <v>0</v>
      </c>
      <c r="K175" s="343">
        <f>COUNTIFS(input!$O:$O,June!$K$117,input!$W:$W,June!B175,input!$A:$A,June!$B$2)</f>
        <v>0</v>
      </c>
      <c r="L175" s="312">
        <f t="shared" si="13"/>
        <v>0</v>
      </c>
      <c r="M175" s="320" cm="1">
        <f t="array" ref="M175">_xlfn.IFS(L175=0,0,L175&gt;=1,L175/$L$178)</f>
        <v>0</v>
      </c>
      <c r="N175" s="382"/>
      <c r="O175" s="383"/>
      <c r="P175" s="384"/>
      <c r="Q175" s="316">
        <f>COUNTIFS(input!$O:$O,June!$Q$117,input!$X:$X,June!N175,input!$A:$A,June!$B$2)</f>
        <v>0</v>
      </c>
      <c r="R175" s="316">
        <f>COUNTIFS(input!$O:$O,June!$R$117,input!$X:$X,June!N175,input!$A:$A,June!$B$2)</f>
        <v>0</v>
      </c>
      <c r="S175" s="316">
        <f>COUNTIFS(input!$O:$O,June!$S$117,input!$X:$X,June!N175,input!$A:$A,June!$B$2)</f>
        <v>0</v>
      </c>
      <c r="T175" s="322">
        <f>COUNTIFS(input!$O:$O,June!$T$117,input!$X:$X,June!N175,input!$A:$A,June!$B$2)</f>
        <v>0</v>
      </c>
      <c r="U175" s="322">
        <f>COUNTIFS(input!$O:$O,June!$U$117,input!$X:$X,June!N175,input!$A:$A,June!$B$2)</f>
        <v>0</v>
      </c>
      <c r="V175" s="323">
        <f>COUNTIFS(input!$O:$O,June!$V$117,input!$X:$X,June!N175,input!$A:$A,June!$B$2)</f>
        <v>0</v>
      </c>
      <c r="W175" s="323">
        <f>COUNTIFS(input!$O:$O,June!$W$117,input!$X:$X,June!N175,input!$A:$A,June!$B$2)</f>
        <v>0</v>
      </c>
      <c r="X175" s="324">
        <f>COUNTIFS(input!$O:$O,June!$X$117,input!$X:$X,June!N175,input!$A:$A,June!$B$2)</f>
        <v>0</v>
      </c>
      <c r="Y175" s="312">
        <f>SUM(Q175:X175)</f>
        <v>0</v>
      </c>
      <c r="Z175" s="315" cm="1">
        <f t="array" ref="Z175">_xlfn.IFS(Y175=0,0,Y175&gt;=1,Y175/$Y$178)</f>
        <v>0</v>
      </c>
    </row>
    <row r="176" spans="2:26" ht="92" hidden="1" x14ac:dyDescent="0.25">
      <c r="B176" s="1121" t="s">
        <v>188</v>
      </c>
      <c r="C176" s="1066"/>
      <c r="D176" s="316">
        <f>COUNTIFS(input!$O:$O,June!$D$117,input!$W:$W,June!B176,input!$A:$A,June!$B$2)</f>
        <v>0</v>
      </c>
      <c r="E176" s="316">
        <f>COUNTIFS(input!$O:$O,June!$E$117,input!$W:$W,June!B176,input!$A:$A,June!$B$2)</f>
        <v>0</v>
      </c>
      <c r="F176" s="316">
        <f>COUNTIFS(input!$O:$O,June!$F$117,input!$W:$W,June!B176,input!$A:$A,June!$B$2)</f>
        <v>0</v>
      </c>
      <c r="G176" s="322">
        <f>COUNTIFS(input!$O:$O,June!$G$117,input!$W:$W,June!B176,input!$A:$A,June!$B$2)</f>
        <v>0</v>
      </c>
      <c r="H176" s="321">
        <f>COUNTIFS(input!$O:$O,June!$H$117,input!$W:$W,June!B176,input!$A:$A,June!$B$2)</f>
        <v>0</v>
      </c>
      <c r="I176" s="321">
        <f>COUNTIFS(input!$O:$O,June!$I$117,input!$W:$W,June!B176,input!$A:$A,June!$B$2)</f>
        <v>0</v>
      </c>
      <c r="J176" s="321">
        <f>COUNTIFS(input!$O:$O,June!$J$117,input!$W:$W,June!B176,input!$A:$A,June!$B$2)</f>
        <v>0</v>
      </c>
      <c r="K176" s="343">
        <f>COUNTIFS(input!$O:$O,June!$K$117,input!$W:$W,June!B176,input!$A:$A,June!$B$2)</f>
        <v>0</v>
      </c>
      <c r="L176" s="312">
        <f t="shared" si="13"/>
        <v>0</v>
      </c>
      <c r="M176" s="320" cm="1">
        <f t="array" ref="M176">_xlfn.IFS(L176=0,0,L176&gt;=1,L176/$L$178)</f>
        <v>0</v>
      </c>
      <c r="N176" s="995"/>
      <c r="O176" s="996"/>
      <c r="P176" s="997"/>
      <c r="Q176" s="316">
        <f>COUNTIFS(input!$O:$O,June!$Q$117,input!$X:$X,June!N176,input!$A:$A,June!$B$2)</f>
        <v>0</v>
      </c>
      <c r="R176" s="316">
        <f>COUNTIFS(input!$O:$O,June!$R$117,input!$X:$X,June!N176,input!$A:$A,June!$B$2)</f>
        <v>0</v>
      </c>
      <c r="S176" s="316">
        <f>COUNTIFS(input!$O:$O,June!$S$117,input!$X:$X,June!N176,input!$A:$A,June!$B$2)</f>
        <v>0</v>
      </c>
      <c r="T176" s="322">
        <f>COUNTIFS(input!$O:$O,June!$T$117,input!$X:$X,June!N176,input!$A:$A,June!$B$2)</f>
        <v>0</v>
      </c>
      <c r="U176" s="322">
        <f>COUNTIFS(input!$O:$O,June!$U$117,input!$X:$X,June!N176,input!$A:$A,June!$B$2)</f>
        <v>0</v>
      </c>
      <c r="V176" s="323">
        <f>COUNTIFS(input!$O:$O,June!$V$117,input!$X:$X,June!N176,input!$A:$A,June!$B$2)</f>
        <v>0</v>
      </c>
      <c r="W176" s="323">
        <f>COUNTIFS(input!$O:$O,June!$W$117,input!$X:$X,June!N176,input!$A:$A,June!$B$2)</f>
        <v>0</v>
      </c>
      <c r="X176" s="324">
        <f>COUNTIFS(input!$O:$O,June!$X$117,input!$X:$X,June!N176,input!$A:$A,June!$B$2)</f>
        <v>0</v>
      </c>
      <c r="Y176" s="312">
        <f>SUM(Q176:X176)</f>
        <v>0</v>
      </c>
      <c r="Z176" s="315" cm="1">
        <f t="array" ref="Z176">_xlfn.IFS(Y176=0,0,Y176&gt;=1,Y176/$Y$178)</f>
        <v>0</v>
      </c>
    </row>
    <row r="177" spans="2:52" ht="92" x14ac:dyDescent="0.25">
      <c r="B177" s="999" t="s">
        <v>57</v>
      </c>
      <c r="C177" s="1000"/>
      <c r="D177" s="316">
        <f>COUNTIFS(input!$O:$O,June!$D$117,input!$W:$W,June!B177,input!$A:$A,June!$B$2)</f>
        <v>0</v>
      </c>
      <c r="E177" s="316">
        <f>COUNTIFS(input!$O:$O,June!$E$117,input!$W:$W,June!B177,input!$A:$A,June!$B$2)</f>
        <v>0</v>
      </c>
      <c r="F177" s="316">
        <f>COUNTIFS(input!$O:$O,June!$F$117,input!$W:$W,June!B177,input!$A:$A,June!$B$2)</f>
        <v>0</v>
      </c>
      <c r="G177" s="322">
        <f>COUNTIFS(input!$O:$O,June!$G$117,input!$W:$W,June!B177,input!$A:$A,June!$B$2)</f>
        <v>0</v>
      </c>
      <c r="H177" s="321">
        <f>COUNTIFS(input!$O:$O,June!$H$117,input!$W:$W,June!B177,input!$A:$A,June!$B$2)</f>
        <v>0</v>
      </c>
      <c r="I177" s="321">
        <f>COUNTIFS(input!$O:$O,June!$I$117,input!$W:$W,June!B177,input!$A:$A,June!$B$2)</f>
        <v>0</v>
      </c>
      <c r="J177" s="321">
        <f>COUNTIFS(input!$O:$O,June!$J$117,input!$W:$W,June!B177,input!$A:$A,June!$B$2)</f>
        <v>0</v>
      </c>
      <c r="K177" s="343">
        <f>COUNTIFS(input!$O:$O,June!$K$117,input!$W:$W,June!B177,input!$A:$A,June!$B$2)</f>
        <v>1</v>
      </c>
      <c r="L177" s="312">
        <f t="shared" si="13"/>
        <v>1</v>
      </c>
      <c r="M177" s="344" cm="1">
        <f t="array" ref="M177">_xlfn.IFS(L177=0,0,L177&gt;=1,L177/$L$178)</f>
        <v>0.1111111111111111</v>
      </c>
      <c r="N177" s="1001" t="s">
        <v>706</v>
      </c>
      <c r="O177" s="1002"/>
      <c r="P177" s="1003"/>
      <c r="Q177" s="316">
        <f>COUNTIFS(input!$O:$O,June!$Q$117,input!$X:$X,June!N177,input!$A:$A,June!$B$2)</f>
        <v>0</v>
      </c>
      <c r="R177" s="316">
        <f>COUNTIFS(input!$O:$O,June!$R$117,input!$X:$X,June!N177,input!$A:$A,June!$B$2)</f>
        <v>0</v>
      </c>
      <c r="S177" s="316">
        <f>COUNTIFS(input!$O:$O,June!$S$117,input!$X:$X,June!N177,input!$A:$A,June!$B$2)</f>
        <v>0</v>
      </c>
      <c r="T177" s="322">
        <f>COUNTIFS(input!$O:$O,June!$T$117,input!$X:$X,June!N177,input!$A:$A,June!$B$2)</f>
        <v>0</v>
      </c>
      <c r="U177" s="322">
        <f>COUNTIFS(input!$O:$O,June!$U$117,input!$X:$X,June!N177,input!$A:$A,June!$B$2)</f>
        <v>0</v>
      </c>
      <c r="V177" s="323">
        <f>COUNTIFS(input!$O:$O,June!$V$117,input!$X:$X,June!N177,input!$A:$A,June!$B$2)</f>
        <v>0</v>
      </c>
      <c r="W177" s="323">
        <f>COUNTIFS(input!$O:$O,June!$W$117,input!$X:$X,June!N177,input!$A:$A,June!$B$2)</f>
        <v>0</v>
      </c>
      <c r="X177" s="324">
        <f>COUNTIFS(input!$O:$O,June!$X$117,input!$X:$X,June!N177,input!$A:$A,June!$B$2)</f>
        <v>1</v>
      </c>
      <c r="Y177" s="312">
        <f>SUM(Q177:X177)</f>
        <v>1</v>
      </c>
      <c r="Z177" s="315" cm="1">
        <f t="array" ref="Z177">_xlfn.IFS(Y177=0,0,Y177&gt;=1,Y177/$Y$178)</f>
        <v>0.1111111111111111</v>
      </c>
    </row>
    <row r="178" spans="2:52" ht="90.5" thickBot="1" x14ac:dyDescent="0.3">
      <c r="B178" s="981" t="s">
        <v>4</v>
      </c>
      <c r="C178" s="982"/>
      <c r="D178" s="340">
        <f t="shared" ref="D178:M178" si="17">SUM(D118:D177)</f>
        <v>0</v>
      </c>
      <c r="E178" s="340">
        <f t="shared" si="17"/>
        <v>0</v>
      </c>
      <c r="F178" s="340">
        <f t="shared" si="17"/>
        <v>0</v>
      </c>
      <c r="G178" s="340">
        <f t="shared" si="17"/>
        <v>6</v>
      </c>
      <c r="H178" s="340">
        <f t="shared" si="17"/>
        <v>1</v>
      </c>
      <c r="I178" s="340">
        <f t="shared" si="17"/>
        <v>1</v>
      </c>
      <c r="J178" s="340">
        <f t="shared" si="17"/>
        <v>0</v>
      </c>
      <c r="K178" s="340">
        <f t="shared" si="17"/>
        <v>1</v>
      </c>
      <c r="L178" s="340">
        <f t="shared" si="17"/>
        <v>9</v>
      </c>
      <c r="M178" s="347">
        <f t="shared" si="17"/>
        <v>1.0000000000000002</v>
      </c>
      <c r="N178" s="983" t="s">
        <v>4</v>
      </c>
      <c r="O178" s="983"/>
      <c r="P178" s="984"/>
      <c r="Q178" s="348">
        <f>SUM(Q118:Q177)</f>
        <v>0</v>
      </c>
      <c r="R178" s="348">
        <f t="shared" ref="R178:X178" si="18">SUM(R118:R177)</f>
        <v>0</v>
      </c>
      <c r="S178" s="348">
        <f t="shared" si="18"/>
        <v>0</v>
      </c>
      <c r="T178" s="348">
        <f t="shared" si="18"/>
        <v>6</v>
      </c>
      <c r="U178" s="348">
        <f t="shared" si="18"/>
        <v>1</v>
      </c>
      <c r="V178" s="348">
        <f t="shared" si="18"/>
        <v>1</v>
      </c>
      <c r="W178" s="348">
        <f t="shared" si="18"/>
        <v>0</v>
      </c>
      <c r="X178" s="348">
        <f t="shared" si="18"/>
        <v>1</v>
      </c>
      <c r="Y178" s="340">
        <f>SUM(Y118:Y177)</f>
        <v>9</v>
      </c>
      <c r="Z178" s="349">
        <f>SUM(Z118:Z177)</f>
        <v>1.0000000000000002</v>
      </c>
    </row>
    <row r="179" spans="2:52" s="133" customFormat="1" ht="90.5" customHeight="1" thickBot="1" x14ac:dyDescent="0.3">
      <c r="B179" s="985"/>
      <c r="C179" s="986"/>
      <c r="D179" s="987" t="s">
        <v>16</v>
      </c>
      <c r="E179" s="988"/>
      <c r="F179" s="988"/>
      <c r="G179" s="988"/>
      <c r="H179" s="988"/>
      <c r="I179" s="988"/>
      <c r="J179" s="988"/>
      <c r="K179" s="988"/>
      <c r="L179" s="988"/>
      <c r="M179" s="989"/>
      <c r="N179" s="987" t="s">
        <v>182</v>
      </c>
      <c r="O179" s="988"/>
      <c r="P179" s="988"/>
      <c r="Q179" s="988"/>
      <c r="R179" s="988"/>
      <c r="S179" s="988"/>
      <c r="T179" s="988"/>
      <c r="U179" s="988"/>
      <c r="V179" s="988"/>
      <c r="W179" s="988"/>
      <c r="X179" s="988"/>
      <c r="Y179" s="988"/>
      <c r="Z179" s="989"/>
    </row>
    <row r="180" spans="2:52" s="130" customFormat="1" ht="362.5" customHeight="1" x14ac:dyDescent="0.25">
      <c r="B180" s="975" t="str">
        <f>'Description of Incidents'!A268</f>
        <v>LUMASOK, JOHANNAH SHAYNE T.</v>
      </c>
      <c r="C180" s="976"/>
      <c r="D180" s="965" t="s">
        <v>1974</v>
      </c>
      <c r="E180" s="966"/>
      <c r="F180" s="966"/>
      <c r="G180" s="966"/>
      <c r="H180" s="966"/>
      <c r="I180" s="966"/>
      <c r="J180" s="966"/>
      <c r="K180" s="966"/>
      <c r="L180" s="966"/>
      <c r="M180" s="967"/>
      <c r="N180" s="965" t="s">
        <v>2099</v>
      </c>
      <c r="O180" s="966"/>
      <c r="P180" s="966"/>
      <c r="Q180" s="966"/>
      <c r="R180" s="966"/>
      <c r="S180" s="966"/>
      <c r="T180" s="966"/>
      <c r="U180" s="966"/>
      <c r="V180" s="966"/>
      <c r="W180" s="966"/>
      <c r="X180" s="966"/>
      <c r="Y180" s="966"/>
      <c r="Z180" s="967"/>
    </row>
    <row r="181" spans="2:52" s="130" customFormat="1" ht="362.5" customHeight="1" x14ac:dyDescent="0.25">
      <c r="B181" s="977" t="str">
        <f>'Description of Incidents'!A269</f>
        <v>OI</v>
      </c>
      <c r="C181" s="978"/>
      <c r="D181" s="968"/>
      <c r="E181" s="969"/>
      <c r="F181" s="969"/>
      <c r="G181" s="969"/>
      <c r="H181" s="969"/>
      <c r="I181" s="969"/>
      <c r="J181" s="969"/>
      <c r="K181" s="969"/>
      <c r="L181" s="969"/>
      <c r="M181" s="970"/>
      <c r="N181" s="968"/>
      <c r="O181" s="969"/>
      <c r="P181" s="969"/>
      <c r="Q181" s="969"/>
      <c r="R181" s="969"/>
      <c r="S181" s="969"/>
      <c r="T181" s="969"/>
      <c r="U181" s="969"/>
      <c r="V181" s="969"/>
      <c r="W181" s="969"/>
      <c r="X181" s="969"/>
      <c r="Y181" s="969"/>
      <c r="Z181" s="970"/>
      <c r="AC181" s="131"/>
    </row>
    <row r="182" spans="2:52" s="130" customFormat="1" ht="362.5" customHeight="1" thickBot="1" x14ac:dyDescent="0.3">
      <c r="B182" s="979" t="str">
        <f>'Description of Incidents'!A270</f>
        <v>1150L Hoist Room</v>
      </c>
      <c r="C182" s="980"/>
      <c r="D182" s="971"/>
      <c r="E182" s="972"/>
      <c r="F182" s="972"/>
      <c r="G182" s="972"/>
      <c r="H182" s="972"/>
      <c r="I182" s="972"/>
      <c r="J182" s="972"/>
      <c r="K182" s="972"/>
      <c r="L182" s="972"/>
      <c r="M182" s="973"/>
      <c r="N182" s="971"/>
      <c r="O182" s="972"/>
      <c r="P182" s="972"/>
      <c r="Q182" s="972"/>
      <c r="R182" s="972"/>
      <c r="S182" s="972"/>
      <c r="T182" s="972"/>
      <c r="U182" s="972"/>
      <c r="V182" s="972"/>
      <c r="W182" s="972"/>
      <c r="X182" s="972"/>
      <c r="Y182" s="972"/>
      <c r="Z182" s="973"/>
    </row>
    <row r="183" spans="2:52" s="130" customFormat="1" ht="343" customHeight="1" x14ac:dyDescent="0.25">
      <c r="B183" s="952" t="str">
        <f>'Description of Incidents'!A271</f>
        <v>GAMMONG, ROLLY B.</v>
      </c>
      <c r="C183" s="953"/>
      <c r="D183" s="956" t="s">
        <v>1972</v>
      </c>
      <c r="E183" s="957"/>
      <c r="F183" s="957"/>
      <c r="G183" s="957"/>
      <c r="H183" s="957"/>
      <c r="I183" s="957"/>
      <c r="J183" s="957"/>
      <c r="K183" s="957"/>
      <c r="L183" s="957"/>
      <c r="M183" s="958"/>
      <c r="N183" s="956" t="s">
        <v>2100</v>
      </c>
      <c r="O183" s="957"/>
      <c r="P183" s="957"/>
      <c r="Q183" s="957"/>
      <c r="R183" s="957"/>
      <c r="S183" s="957"/>
      <c r="T183" s="957"/>
      <c r="U183" s="957"/>
      <c r="V183" s="957"/>
      <c r="W183" s="957"/>
      <c r="X183" s="957"/>
      <c r="Y183" s="957"/>
      <c r="Z183" s="958"/>
    </row>
    <row r="184" spans="2:52" s="130" customFormat="1" ht="343" customHeight="1" x14ac:dyDescent="0.25">
      <c r="B184" s="948" t="str">
        <f>'Description of Incidents'!A272</f>
        <v>FAC</v>
      </c>
      <c r="C184" s="954"/>
      <c r="D184" s="959"/>
      <c r="E184" s="960"/>
      <c r="F184" s="960"/>
      <c r="G184" s="960"/>
      <c r="H184" s="960"/>
      <c r="I184" s="960"/>
      <c r="J184" s="960"/>
      <c r="K184" s="960"/>
      <c r="L184" s="960"/>
      <c r="M184" s="961"/>
      <c r="N184" s="959"/>
      <c r="O184" s="960"/>
      <c r="P184" s="960"/>
      <c r="Q184" s="960"/>
      <c r="R184" s="960"/>
      <c r="S184" s="960"/>
      <c r="T184" s="960"/>
      <c r="U184" s="960"/>
      <c r="V184" s="960"/>
      <c r="W184" s="960"/>
      <c r="X184" s="960"/>
      <c r="Y184" s="960"/>
      <c r="Z184" s="961"/>
      <c r="AC184" s="131"/>
      <c r="AZ184" s="131"/>
    </row>
    <row r="185" spans="2:52" s="130" customFormat="1" ht="343" customHeight="1" thickBot="1" x14ac:dyDescent="0.3">
      <c r="B185" s="950" t="str">
        <f>'Description of Incidents'!A273</f>
        <v>2487 8M2</v>
      </c>
      <c r="C185" s="955"/>
      <c r="D185" s="962"/>
      <c r="E185" s="963"/>
      <c r="F185" s="963"/>
      <c r="G185" s="963"/>
      <c r="H185" s="963"/>
      <c r="I185" s="963"/>
      <c r="J185" s="963"/>
      <c r="K185" s="963"/>
      <c r="L185" s="963"/>
      <c r="M185" s="964"/>
      <c r="N185" s="962"/>
      <c r="O185" s="963"/>
      <c r="P185" s="963"/>
      <c r="Q185" s="963"/>
      <c r="R185" s="963"/>
      <c r="S185" s="963"/>
      <c r="T185" s="963"/>
      <c r="U185" s="963"/>
      <c r="V185" s="963"/>
      <c r="W185" s="963"/>
      <c r="X185" s="963"/>
      <c r="Y185" s="963"/>
      <c r="Z185" s="964"/>
    </row>
    <row r="186" spans="2:52" s="130" customFormat="1" ht="353" customHeight="1" x14ac:dyDescent="0.25">
      <c r="B186" s="975" t="str">
        <f>'Description of Incidents'!A274</f>
        <v>LUGAO, KYLE RUSSEL T</v>
      </c>
      <c r="C186" s="976"/>
      <c r="D186" s="965" t="s">
        <v>1973</v>
      </c>
      <c r="E186" s="966"/>
      <c r="F186" s="966"/>
      <c r="G186" s="966"/>
      <c r="H186" s="966"/>
      <c r="I186" s="966"/>
      <c r="J186" s="966"/>
      <c r="K186" s="966"/>
      <c r="L186" s="966"/>
      <c r="M186" s="967"/>
      <c r="N186" s="965" t="s">
        <v>2101</v>
      </c>
      <c r="O186" s="966"/>
      <c r="P186" s="966"/>
      <c r="Q186" s="966"/>
      <c r="R186" s="966"/>
      <c r="S186" s="966"/>
      <c r="T186" s="966"/>
      <c r="U186" s="966"/>
      <c r="V186" s="966"/>
      <c r="W186" s="966"/>
      <c r="X186" s="966"/>
      <c r="Y186" s="966"/>
      <c r="Z186" s="967"/>
    </row>
    <row r="187" spans="2:52" s="130" customFormat="1" ht="353" customHeight="1" x14ac:dyDescent="0.25">
      <c r="B187" s="977" t="str">
        <f>'Description of Incidents'!A275</f>
        <v>FAC</v>
      </c>
      <c r="C187" s="978"/>
      <c r="D187" s="968"/>
      <c r="E187" s="969"/>
      <c r="F187" s="969"/>
      <c r="G187" s="969"/>
      <c r="H187" s="969"/>
      <c r="I187" s="969"/>
      <c r="J187" s="969"/>
      <c r="K187" s="969"/>
      <c r="L187" s="969"/>
      <c r="M187" s="970"/>
      <c r="N187" s="968"/>
      <c r="O187" s="969"/>
      <c r="P187" s="969"/>
      <c r="Q187" s="969"/>
      <c r="R187" s="969"/>
      <c r="S187" s="969"/>
      <c r="T187" s="969"/>
      <c r="U187" s="969"/>
      <c r="V187" s="969"/>
      <c r="W187" s="969"/>
      <c r="X187" s="969"/>
      <c r="Y187" s="969"/>
      <c r="Z187" s="970"/>
      <c r="AC187" s="131"/>
    </row>
    <row r="188" spans="2:52" s="130" customFormat="1" ht="353" customHeight="1" thickBot="1" x14ac:dyDescent="0.3">
      <c r="B188" s="935" t="str">
        <f>'Description of Incidents'!A276</f>
        <v xml:space="preserve">2490 8M2 </v>
      </c>
      <c r="C188" s="936"/>
      <c r="D188" s="971"/>
      <c r="E188" s="972"/>
      <c r="F188" s="972"/>
      <c r="G188" s="972"/>
      <c r="H188" s="972"/>
      <c r="I188" s="972"/>
      <c r="J188" s="972"/>
      <c r="K188" s="972"/>
      <c r="L188" s="972"/>
      <c r="M188" s="973"/>
      <c r="N188" s="971"/>
      <c r="O188" s="972"/>
      <c r="P188" s="972"/>
      <c r="Q188" s="972"/>
      <c r="R188" s="972"/>
      <c r="S188" s="972"/>
      <c r="T188" s="972"/>
      <c r="U188" s="972"/>
      <c r="V188" s="972"/>
      <c r="W188" s="972"/>
      <c r="X188" s="972"/>
      <c r="Y188" s="972"/>
      <c r="Z188" s="973"/>
    </row>
    <row r="189" spans="2:52" s="130" customFormat="1" ht="352.5" customHeight="1" x14ac:dyDescent="0.25">
      <c r="B189" s="952" t="str">
        <f>'Description of Incidents'!A277</f>
        <v xml:space="preserve">OMERAG, FRIELAND F. </v>
      </c>
      <c r="C189" s="953"/>
      <c r="D189" s="956" t="s">
        <v>1975</v>
      </c>
      <c r="E189" s="957"/>
      <c r="F189" s="957"/>
      <c r="G189" s="957"/>
      <c r="H189" s="957"/>
      <c r="I189" s="957"/>
      <c r="J189" s="957"/>
      <c r="K189" s="957"/>
      <c r="L189" s="957"/>
      <c r="M189" s="958"/>
      <c r="N189" s="956" t="s">
        <v>1980</v>
      </c>
      <c r="O189" s="957"/>
      <c r="P189" s="957"/>
      <c r="Q189" s="957"/>
      <c r="R189" s="957"/>
      <c r="S189" s="957"/>
      <c r="T189" s="957"/>
      <c r="U189" s="957"/>
      <c r="V189" s="957"/>
      <c r="W189" s="957"/>
      <c r="X189" s="957"/>
      <c r="Y189" s="957"/>
      <c r="Z189" s="958"/>
    </row>
    <row r="190" spans="2:52" s="130" customFormat="1" ht="352.5" customHeight="1" x14ac:dyDescent="0.25">
      <c r="B190" s="948" t="str">
        <f>'Description of Incidents'!A278</f>
        <v>FAC</v>
      </c>
      <c r="C190" s="954"/>
      <c r="D190" s="959"/>
      <c r="E190" s="960"/>
      <c r="F190" s="960"/>
      <c r="G190" s="960"/>
      <c r="H190" s="960"/>
      <c r="I190" s="960"/>
      <c r="J190" s="960"/>
      <c r="K190" s="960"/>
      <c r="L190" s="960"/>
      <c r="M190" s="961"/>
      <c r="N190" s="959"/>
      <c r="O190" s="960"/>
      <c r="P190" s="960"/>
      <c r="Q190" s="960"/>
      <c r="R190" s="960"/>
      <c r="S190" s="960"/>
      <c r="T190" s="960"/>
      <c r="U190" s="960"/>
      <c r="V190" s="960"/>
      <c r="W190" s="960"/>
      <c r="X190" s="960"/>
      <c r="Y190" s="960"/>
      <c r="Z190" s="961"/>
      <c r="AC190" s="131"/>
      <c r="AZ190" s="131"/>
    </row>
    <row r="191" spans="2:52" s="130" customFormat="1" ht="352.5" customHeight="1" thickBot="1" x14ac:dyDescent="0.3">
      <c r="B191" s="950" t="str">
        <f>'Description of Incidents'!A279</f>
        <v>1150L Repair Bay</v>
      </c>
      <c r="C191" s="955"/>
      <c r="D191" s="962"/>
      <c r="E191" s="963"/>
      <c r="F191" s="963"/>
      <c r="G191" s="963"/>
      <c r="H191" s="963"/>
      <c r="I191" s="963"/>
      <c r="J191" s="963"/>
      <c r="K191" s="963"/>
      <c r="L191" s="963"/>
      <c r="M191" s="964"/>
      <c r="N191" s="962"/>
      <c r="O191" s="963"/>
      <c r="P191" s="963"/>
      <c r="Q191" s="963"/>
      <c r="R191" s="963"/>
      <c r="S191" s="963"/>
      <c r="T191" s="963"/>
      <c r="U191" s="963"/>
      <c r="V191" s="963"/>
      <c r="W191" s="963"/>
      <c r="X191" s="963"/>
      <c r="Y191" s="963"/>
      <c r="Z191" s="964"/>
    </row>
    <row r="192" spans="2:52" s="130" customFormat="1" ht="352.5" customHeight="1" x14ac:dyDescent="0.25">
      <c r="B192" s="922" t="str">
        <f>'Description of Incidents'!A280</f>
        <v>ESCAYO, BENCIO W.</v>
      </c>
      <c r="C192" s="923"/>
      <c r="D192" s="965" t="s">
        <v>1976</v>
      </c>
      <c r="E192" s="966"/>
      <c r="F192" s="966"/>
      <c r="G192" s="966"/>
      <c r="H192" s="966"/>
      <c r="I192" s="966"/>
      <c r="J192" s="966"/>
      <c r="K192" s="966"/>
      <c r="L192" s="966"/>
      <c r="M192" s="967"/>
      <c r="N192" s="965" t="s">
        <v>1981</v>
      </c>
      <c r="O192" s="966"/>
      <c r="P192" s="966"/>
      <c r="Q192" s="966"/>
      <c r="R192" s="966"/>
      <c r="S192" s="966"/>
      <c r="T192" s="966"/>
      <c r="U192" s="966"/>
      <c r="V192" s="966"/>
      <c r="W192" s="966"/>
      <c r="X192" s="966"/>
      <c r="Y192" s="966"/>
      <c r="Z192" s="967"/>
    </row>
    <row r="193" spans="2:52" s="130" customFormat="1" ht="352.5" customHeight="1" x14ac:dyDescent="0.25">
      <c r="B193" s="933" t="str">
        <f>'Description of Incidents'!A281</f>
        <v>FAC</v>
      </c>
      <c r="C193" s="934"/>
      <c r="D193" s="968"/>
      <c r="E193" s="969"/>
      <c r="F193" s="969"/>
      <c r="G193" s="969"/>
      <c r="H193" s="969"/>
      <c r="I193" s="969"/>
      <c r="J193" s="969"/>
      <c r="K193" s="969"/>
      <c r="L193" s="969"/>
      <c r="M193" s="970"/>
      <c r="N193" s="968"/>
      <c r="O193" s="969"/>
      <c r="P193" s="969"/>
      <c r="Q193" s="969"/>
      <c r="R193" s="969"/>
      <c r="S193" s="969"/>
      <c r="T193" s="969"/>
      <c r="U193" s="969"/>
      <c r="V193" s="969"/>
      <c r="W193" s="969"/>
      <c r="X193" s="969"/>
      <c r="Y193" s="969"/>
      <c r="Z193" s="970"/>
      <c r="AC193" s="131"/>
    </row>
    <row r="194" spans="2:52" s="130" customFormat="1" ht="352.5" customHeight="1" thickBot="1" x14ac:dyDescent="0.3">
      <c r="B194" s="935" t="str">
        <f>'Description of Incidents'!A282</f>
        <v>UG Crusher</v>
      </c>
      <c r="C194" s="936"/>
      <c r="D194" s="971"/>
      <c r="E194" s="972"/>
      <c r="F194" s="972"/>
      <c r="G194" s="972"/>
      <c r="H194" s="972"/>
      <c r="I194" s="972"/>
      <c r="J194" s="972"/>
      <c r="K194" s="972"/>
      <c r="L194" s="972"/>
      <c r="M194" s="973"/>
      <c r="N194" s="971"/>
      <c r="O194" s="972"/>
      <c r="P194" s="972"/>
      <c r="Q194" s="972"/>
      <c r="R194" s="972"/>
      <c r="S194" s="972"/>
      <c r="T194" s="972"/>
      <c r="U194" s="972"/>
      <c r="V194" s="972"/>
      <c r="W194" s="972"/>
      <c r="X194" s="972"/>
      <c r="Y194" s="972"/>
      <c r="Z194" s="973"/>
    </row>
    <row r="195" spans="2:52" s="130" customFormat="1" ht="262.5" customHeight="1" x14ac:dyDescent="0.25">
      <c r="B195" s="952" t="str">
        <f>'Description of Incidents'!A283</f>
        <v>GALAO, MARK ANTHONY J.</v>
      </c>
      <c r="C195" s="953"/>
      <c r="D195" s="956" t="s">
        <v>2013</v>
      </c>
      <c r="E195" s="957"/>
      <c r="F195" s="957"/>
      <c r="G195" s="957"/>
      <c r="H195" s="957"/>
      <c r="I195" s="957"/>
      <c r="J195" s="957"/>
      <c r="K195" s="957"/>
      <c r="L195" s="957"/>
      <c r="M195" s="958"/>
      <c r="N195" s="956" t="s">
        <v>2012</v>
      </c>
      <c r="O195" s="957"/>
      <c r="P195" s="957"/>
      <c r="Q195" s="957"/>
      <c r="R195" s="957"/>
      <c r="S195" s="957"/>
      <c r="T195" s="957"/>
      <c r="U195" s="957"/>
      <c r="V195" s="957"/>
      <c r="W195" s="957"/>
      <c r="X195" s="957"/>
      <c r="Y195" s="957"/>
      <c r="Z195" s="958"/>
    </row>
    <row r="196" spans="2:52" s="130" customFormat="1" ht="262.5" customHeight="1" x14ac:dyDescent="0.25">
      <c r="B196" s="948" t="str">
        <f>'Description of Incidents'!A284</f>
        <v>FAC</v>
      </c>
      <c r="C196" s="954"/>
      <c r="D196" s="959"/>
      <c r="E196" s="960"/>
      <c r="F196" s="960"/>
      <c r="G196" s="960"/>
      <c r="H196" s="960"/>
      <c r="I196" s="960"/>
      <c r="J196" s="960"/>
      <c r="K196" s="960"/>
      <c r="L196" s="960"/>
      <c r="M196" s="961"/>
      <c r="N196" s="959"/>
      <c r="O196" s="960"/>
      <c r="P196" s="960"/>
      <c r="Q196" s="960"/>
      <c r="R196" s="960"/>
      <c r="S196" s="960"/>
      <c r="T196" s="960"/>
      <c r="U196" s="960"/>
      <c r="V196" s="960"/>
      <c r="W196" s="960"/>
      <c r="X196" s="960"/>
      <c r="Y196" s="960"/>
      <c r="Z196" s="961"/>
      <c r="AC196" s="131"/>
      <c r="AZ196" s="131"/>
    </row>
    <row r="197" spans="2:52" s="130" customFormat="1" ht="262.5" customHeight="1" thickBot="1" x14ac:dyDescent="0.3">
      <c r="B197" s="950" t="str">
        <f>'Description of Incidents'!A285</f>
        <v>Elution Column 1 3rd Floor</v>
      </c>
      <c r="C197" s="955"/>
      <c r="D197" s="962"/>
      <c r="E197" s="963"/>
      <c r="F197" s="963"/>
      <c r="G197" s="963"/>
      <c r="H197" s="963"/>
      <c r="I197" s="963"/>
      <c r="J197" s="963"/>
      <c r="K197" s="963"/>
      <c r="L197" s="963"/>
      <c r="M197" s="964"/>
      <c r="N197" s="962"/>
      <c r="O197" s="963"/>
      <c r="P197" s="963"/>
      <c r="Q197" s="963"/>
      <c r="R197" s="963"/>
      <c r="S197" s="963"/>
      <c r="T197" s="963"/>
      <c r="U197" s="963"/>
      <c r="V197" s="963"/>
      <c r="W197" s="963"/>
      <c r="X197" s="963"/>
      <c r="Y197" s="963"/>
      <c r="Z197" s="964"/>
    </row>
    <row r="198" spans="2:52" s="130" customFormat="1" ht="257.5" customHeight="1" x14ac:dyDescent="0.25">
      <c r="B198" s="975" t="str">
        <f>'Description of Incidents'!A286</f>
        <v>WALLIS, MAYNARD</v>
      </c>
      <c r="C198" s="976"/>
      <c r="D198" s="1187" t="s">
        <v>2014</v>
      </c>
      <c r="E198" s="1188"/>
      <c r="F198" s="1188"/>
      <c r="G198" s="1188"/>
      <c r="H198" s="1188"/>
      <c r="I198" s="1188"/>
      <c r="J198" s="1188"/>
      <c r="K198" s="1188"/>
      <c r="L198" s="1188"/>
      <c r="M198" s="1189"/>
      <c r="N198" s="1187" t="s">
        <v>2015</v>
      </c>
      <c r="O198" s="1188"/>
      <c r="P198" s="1188"/>
      <c r="Q198" s="1188"/>
      <c r="R198" s="1188"/>
      <c r="S198" s="1188"/>
      <c r="T198" s="1188"/>
      <c r="U198" s="1188"/>
      <c r="V198" s="1188"/>
      <c r="W198" s="1188"/>
      <c r="X198" s="1188"/>
      <c r="Y198" s="1188"/>
      <c r="Z198" s="1189"/>
    </row>
    <row r="199" spans="2:52" s="130" customFormat="1" ht="257.5" customHeight="1" x14ac:dyDescent="0.25">
      <c r="B199" s="977" t="str">
        <f>'Description of Incidents'!A287</f>
        <v>FAC</v>
      </c>
      <c r="C199" s="978"/>
      <c r="D199" s="1190"/>
      <c r="E199" s="1191"/>
      <c r="F199" s="1191"/>
      <c r="G199" s="1191"/>
      <c r="H199" s="1191"/>
      <c r="I199" s="1191"/>
      <c r="J199" s="1191"/>
      <c r="K199" s="1191"/>
      <c r="L199" s="1191"/>
      <c r="M199" s="1192"/>
      <c r="N199" s="1190"/>
      <c r="O199" s="1191"/>
      <c r="P199" s="1191"/>
      <c r="Q199" s="1191"/>
      <c r="R199" s="1191"/>
      <c r="S199" s="1191"/>
      <c r="T199" s="1191"/>
      <c r="U199" s="1191"/>
      <c r="V199" s="1191"/>
      <c r="W199" s="1191"/>
      <c r="X199" s="1191"/>
      <c r="Y199" s="1191"/>
      <c r="Z199" s="1192"/>
      <c r="AC199" s="131"/>
      <c r="AZ199" s="131"/>
    </row>
    <row r="200" spans="2:52" s="130" customFormat="1" ht="257.5" customHeight="1" thickBot="1" x14ac:dyDescent="0.3">
      <c r="B200" s="979" t="str">
        <f>'Description of Incidents'!A288</f>
        <v>St. Albans Church</v>
      </c>
      <c r="C200" s="980"/>
      <c r="D200" s="1193"/>
      <c r="E200" s="1194"/>
      <c r="F200" s="1194"/>
      <c r="G200" s="1194"/>
      <c r="H200" s="1194"/>
      <c r="I200" s="1194"/>
      <c r="J200" s="1194"/>
      <c r="K200" s="1194"/>
      <c r="L200" s="1194"/>
      <c r="M200" s="1195"/>
      <c r="N200" s="1193"/>
      <c r="O200" s="1194"/>
      <c r="P200" s="1194"/>
      <c r="Q200" s="1194"/>
      <c r="R200" s="1194"/>
      <c r="S200" s="1194"/>
      <c r="T200" s="1194"/>
      <c r="U200" s="1194"/>
      <c r="V200" s="1194"/>
      <c r="W200" s="1194"/>
      <c r="X200" s="1194"/>
      <c r="Y200" s="1194"/>
      <c r="Z200" s="1195"/>
    </row>
    <row r="201" spans="2:52" s="130" customFormat="1" ht="272.5" customHeight="1" x14ac:dyDescent="0.25">
      <c r="B201" s="1176" t="str">
        <f>'Description of Incidents'!A289</f>
        <v>DAO-WOK, KELVIN</v>
      </c>
      <c r="C201" s="1177"/>
      <c r="D201" s="956" t="s">
        <v>1979</v>
      </c>
      <c r="E201" s="957"/>
      <c r="F201" s="957"/>
      <c r="G201" s="957"/>
      <c r="H201" s="957"/>
      <c r="I201" s="957"/>
      <c r="J201" s="957"/>
      <c r="K201" s="957"/>
      <c r="L201" s="957"/>
      <c r="M201" s="958"/>
      <c r="N201" s="956" t="s">
        <v>2016</v>
      </c>
      <c r="O201" s="957"/>
      <c r="P201" s="957"/>
      <c r="Q201" s="957"/>
      <c r="R201" s="957"/>
      <c r="S201" s="957"/>
      <c r="T201" s="957"/>
      <c r="U201" s="957"/>
      <c r="V201" s="957"/>
      <c r="W201" s="957"/>
      <c r="X201" s="957"/>
      <c r="Y201" s="957"/>
      <c r="Z201" s="958"/>
    </row>
    <row r="202" spans="2:52" s="130" customFormat="1" ht="272.5" customHeight="1" x14ac:dyDescent="0.25">
      <c r="B202" s="948" t="str">
        <f>'Description of Incidents'!A290</f>
        <v>NM</v>
      </c>
      <c r="C202" s="954"/>
      <c r="D202" s="959"/>
      <c r="E202" s="960"/>
      <c r="F202" s="960"/>
      <c r="G202" s="960"/>
      <c r="H202" s="960"/>
      <c r="I202" s="960"/>
      <c r="J202" s="960"/>
      <c r="K202" s="960"/>
      <c r="L202" s="960"/>
      <c r="M202" s="961"/>
      <c r="N202" s="959"/>
      <c r="O202" s="960"/>
      <c r="P202" s="960"/>
      <c r="Q202" s="960"/>
      <c r="R202" s="960"/>
      <c r="S202" s="960"/>
      <c r="T202" s="960"/>
      <c r="U202" s="960"/>
      <c r="V202" s="960"/>
      <c r="W202" s="960"/>
      <c r="X202" s="960"/>
      <c r="Y202" s="960"/>
      <c r="Z202" s="961"/>
      <c r="AC202" s="131"/>
    </row>
    <row r="203" spans="2:52" s="130" customFormat="1" ht="272.5" customHeight="1" thickBot="1" x14ac:dyDescent="0.3">
      <c r="B203" s="950" t="str">
        <f>'Description of Incidents'!A291</f>
        <v>Upper Tram</v>
      </c>
      <c r="C203" s="955"/>
      <c r="D203" s="962"/>
      <c r="E203" s="963"/>
      <c r="F203" s="963"/>
      <c r="G203" s="963"/>
      <c r="H203" s="963"/>
      <c r="I203" s="963"/>
      <c r="J203" s="963"/>
      <c r="K203" s="963"/>
      <c r="L203" s="963"/>
      <c r="M203" s="964"/>
      <c r="N203" s="962"/>
      <c r="O203" s="963"/>
      <c r="P203" s="963"/>
      <c r="Q203" s="963"/>
      <c r="R203" s="963"/>
      <c r="S203" s="963"/>
      <c r="T203" s="963"/>
      <c r="U203" s="963"/>
      <c r="V203" s="963"/>
      <c r="W203" s="963"/>
      <c r="X203" s="963"/>
      <c r="Y203" s="963"/>
      <c r="Z203" s="964"/>
    </row>
    <row r="204" spans="2:52" s="130" customFormat="1" ht="407.5" customHeight="1" x14ac:dyDescent="0.25">
      <c r="B204" s="975" t="str">
        <f>'Description of Incidents'!A292</f>
        <v>FOREST FIRE</v>
      </c>
      <c r="C204" s="976"/>
      <c r="D204" s="1178" t="s">
        <v>1997</v>
      </c>
      <c r="E204" s="1179"/>
      <c r="F204" s="1179"/>
      <c r="G204" s="1179"/>
      <c r="H204" s="1179"/>
      <c r="I204" s="1179"/>
      <c r="J204" s="1179"/>
      <c r="K204" s="1179"/>
      <c r="L204" s="1179"/>
      <c r="M204" s="1180"/>
      <c r="N204" s="1178" t="s">
        <v>1998</v>
      </c>
      <c r="O204" s="1179"/>
      <c r="P204" s="1179"/>
      <c r="Q204" s="1179"/>
      <c r="R204" s="1179"/>
      <c r="S204" s="1179"/>
      <c r="T204" s="1179"/>
      <c r="U204" s="1179"/>
      <c r="V204" s="1179"/>
      <c r="W204" s="1179"/>
      <c r="X204" s="1179"/>
      <c r="Y204" s="1179"/>
      <c r="Z204" s="1180"/>
    </row>
    <row r="205" spans="2:52" s="130" customFormat="1" ht="407.5" customHeight="1" x14ac:dyDescent="0.25">
      <c r="B205" s="977" t="str">
        <f>'Description of Incidents'!A293</f>
        <v>EI</v>
      </c>
      <c r="C205" s="978"/>
      <c r="D205" s="1181"/>
      <c r="E205" s="1182"/>
      <c r="F205" s="1182"/>
      <c r="G205" s="1182"/>
      <c r="H205" s="1182"/>
      <c r="I205" s="1182"/>
      <c r="J205" s="1182"/>
      <c r="K205" s="1182"/>
      <c r="L205" s="1182"/>
      <c r="M205" s="1183"/>
      <c r="N205" s="1181"/>
      <c r="O205" s="1182"/>
      <c r="P205" s="1182"/>
      <c r="Q205" s="1182"/>
      <c r="R205" s="1182"/>
      <c r="S205" s="1182"/>
      <c r="T205" s="1182"/>
      <c r="U205" s="1182"/>
      <c r="V205" s="1182"/>
      <c r="W205" s="1182"/>
      <c r="X205" s="1182"/>
      <c r="Y205" s="1182"/>
      <c r="Z205" s="1183"/>
      <c r="AC205" s="131"/>
      <c r="AZ205" s="131"/>
    </row>
    <row r="206" spans="2:52" s="130" customFormat="1" ht="407.5" customHeight="1" thickBot="1" x14ac:dyDescent="0.3">
      <c r="B206" s="979" t="str">
        <f>'Description of Incidents'!A294</f>
        <v>Along Marivic Road</v>
      </c>
      <c r="C206" s="980"/>
      <c r="D206" s="1184"/>
      <c r="E206" s="1185"/>
      <c r="F206" s="1185"/>
      <c r="G206" s="1185"/>
      <c r="H206" s="1185"/>
      <c r="I206" s="1185"/>
      <c r="J206" s="1185"/>
      <c r="K206" s="1185"/>
      <c r="L206" s="1185"/>
      <c r="M206" s="1186"/>
      <c r="N206" s="1184"/>
      <c r="O206" s="1185"/>
      <c r="P206" s="1185"/>
      <c r="Q206" s="1185"/>
      <c r="R206" s="1185"/>
      <c r="S206" s="1185"/>
      <c r="T206" s="1185"/>
      <c r="U206" s="1185"/>
      <c r="V206" s="1185"/>
      <c r="W206" s="1185"/>
      <c r="X206" s="1185"/>
      <c r="Y206" s="1185"/>
      <c r="Z206" s="1186"/>
    </row>
    <row r="207" spans="2:52" s="130" customFormat="1" ht="87.5" x14ac:dyDescent="0.25">
      <c r="B207" s="922"/>
      <c r="C207" s="923"/>
      <c r="D207" s="965"/>
      <c r="E207" s="966"/>
      <c r="F207" s="966"/>
      <c r="G207" s="966"/>
      <c r="H207" s="966"/>
      <c r="I207" s="966"/>
      <c r="J207" s="966"/>
      <c r="K207" s="966"/>
      <c r="L207" s="966"/>
      <c r="M207" s="967"/>
      <c r="N207" s="924"/>
      <c r="O207" s="925"/>
      <c r="P207" s="925"/>
      <c r="Q207" s="925"/>
      <c r="R207" s="925"/>
      <c r="S207" s="925"/>
      <c r="T207" s="925"/>
      <c r="U207" s="925"/>
      <c r="V207" s="925"/>
      <c r="W207" s="925"/>
      <c r="X207" s="925"/>
      <c r="Y207" s="925"/>
      <c r="Z207" s="926"/>
    </row>
    <row r="208" spans="2:52" s="130" customFormat="1" ht="89.5" x14ac:dyDescent="0.25">
      <c r="B208" s="933"/>
      <c r="C208" s="934"/>
      <c r="D208" s="968"/>
      <c r="E208" s="969"/>
      <c r="F208" s="969"/>
      <c r="G208" s="969"/>
      <c r="H208" s="969"/>
      <c r="I208" s="969"/>
      <c r="J208" s="969"/>
      <c r="K208" s="969"/>
      <c r="L208" s="969"/>
      <c r="M208" s="970"/>
      <c r="N208" s="927"/>
      <c r="O208" s="928"/>
      <c r="P208" s="928"/>
      <c r="Q208" s="928"/>
      <c r="R208" s="928"/>
      <c r="S208" s="928"/>
      <c r="T208" s="928"/>
      <c r="U208" s="928"/>
      <c r="V208" s="928"/>
      <c r="W208" s="928"/>
      <c r="X208" s="928"/>
      <c r="Y208" s="928"/>
      <c r="Z208" s="929"/>
      <c r="AC208" s="131"/>
    </row>
    <row r="209" spans="2:52" s="130" customFormat="1" ht="90" thickBot="1" x14ac:dyDescent="0.3">
      <c r="B209" s="935"/>
      <c r="C209" s="936"/>
      <c r="D209" s="971"/>
      <c r="E209" s="972"/>
      <c r="F209" s="972"/>
      <c r="G209" s="972"/>
      <c r="H209" s="972"/>
      <c r="I209" s="972"/>
      <c r="J209" s="972"/>
      <c r="K209" s="972"/>
      <c r="L209" s="972"/>
      <c r="M209" s="973"/>
      <c r="N209" s="930"/>
      <c r="O209" s="931"/>
      <c r="P209" s="931"/>
      <c r="Q209" s="931"/>
      <c r="R209" s="931"/>
      <c r="S209" s="931"/>
      <c r="T209" s="931"/>
      <c r="U209" s="931"/>
      <c r="V209" s="931"/>
      <c r="W209" s="931"/>
      <c r="X209" s="931"/>
      <c r="Y209" s="931"/>
      <c r="Z209" s="932"/>
    </row>
    <row r="210" spans="2:52" s="130" customFormat="1" ht="87.5" x14ac:dyDescent="0.25">
      <c r="B210" s="952"/>
      <c r="C210" s="953"/>
      <c r="D210" s="956"/>
      <c r="E210" s="957"/>
      <c r="F210" s="957"/>
      <c r="G210" s="957"/>
      <c r="H210" s="957"/>
      <c r="I210" s="957"/>
      <c r="J210" s="957"/>
      <c r="K210" s="957"/>
      <c r="L210" s="957"/>
      <c r="M210" s="958"/>
      <c r="N210" s="956"/>
      <c r="O210" s="957"/>
      <c r="P210" s="957"/>
      <c r="Q210" s="957"/>
      <c r="R210" s="957"/>
      <c r="S210" s="957"/>
      <c r="T210" s="957"/>
      <c r="U210" s="957"/>
      <c r="V210" s="957"/>
      <c r="W210" s="957"/>
      <c r="X210" s="957"/>
      <c r="Y210" s="957"/>
      <c r="Z210" s="958"/>
    </row>
    <row r="211" spans="2:52" s="130" customFormat="1" ht="89.5" x14ac:dyDescent="0.25">
      <c r="B211" s="948"/>
      <c r="C211" s="954"/>
      <c r="D211" s="959"/>
      <c r="E211" s="960"/>
      <c r="F211" s="960"/>
      <c r="G211" s="960"/>
      <c r="H211" s="960"/>
      <c r="I211" s="960"/>
      <c r="J211" s="960"/>
      <c r="K211" s="960"/>
      <c r="L211" s="960"/>
      <c r="M211" s="961"/>
      <c r="N211" s="959"/>
      <c r="O211" s="960"/>
      <c r="P211" s="960"/>
      <c r="Q211" s="960"/>
      <c r="R211" s="960"/>
      <c r="S211" s="960"/>
      <c r="T211" s="960"/>
      <c r="U211" s="960"/>
      <c r="V211" s="960"/>
      <c r="W211" s="960"/>
      <c r="X211" s="960"/>
      <c r="Y211" s="960"/>
      <c r="Z211" s="961"/>
      <c r="AC211" s="131"/>
      <c r="AZ211" s="131"/>
    </row>
    <row r="212" spans="2:52" s="130" customFormat="1" ht="90" thickBot="1" x14ac:dyDescent="0.3">
      <c r="B212" s="950"/>
      <c r="C212" s="955"/>
      <c r="D212" s="962"/>
      <c r="E212" s="963"/>
      <c r="F212" s="963"/>
      <c r="G212" s="963"/>
      <c r="H212" s="963"/>
      <c r="I212" s="963"/>
      <c r="J212" s="963"/>
      <c r="K212" s="963"/>
      <c r="L212" s="963"/>
      <c r="M212" s="964"/>
      <c r="N212" s="962"/>
      <c r="O212" s="963"/>
      <c r="P212" s="963"/>
      <c r="Q212" s="963"/>
      <c r="R212" s="963"/>
      <c r="S212" s="963"/>
      <c r="T212" s="963"/>
      <c r="U212" s="963"/>
      <c r="V212" s="963"/>
      <c r="W212" s="963"/>
      <c r="X212" s="963"/>
      <c r="Y212" s="963"/>
      <c r="Z212" s="964"/>
    </row>
    <row r="213" spans="2:52" s="130" customFormat="1" ht="87.5" x14ac:dyDescent="0.25">
      <c r="B213" s="922"/>
      <c r="C213" s="923"/>
      <c r="D213" s="965"/>
      <c r="E213" s="966"/>
      <c r="F213" s="966"/>
      <c r="G213" s="966"/>
      <c r="H213" s="966"/>
      <c r="I213" s="966"/>
      <c r="J213" s="966"/>
      <c r="K213" s="966"/>
      <c r="L213" s="966"/>
      <c r="M213" s="967"/>
      <c r="N213" s="924"/>
      <c r="O213" s="925"/>
      <c r="P213" s="925"/>
      <c r="Q213" s="925"/>
      <c r="R213" s="925"/>
      <c r="S213" s="925"/>
      <c r="T213" s="925"/>
      <c r="U213" s="925"/>
      <c r="V213" s="925"/>
      <c r="W213" s="925"/>
      <c r="X213" s="925"/>
      <c r="Y213" s="925"/>
      <c r="Z213" s="926"/>
    </row>
    <row r="214" spans="2:52" s="130" customFormat="1" ht="89.5" x14ac:dyDescent="0.25">
      <c r="B214" s="933"/>
      <c r="C214" s="934"/>
      <c r="D214" s="968"/>
      <c r="E214" s="969"/>
      <c r="F214" s="969"/>
      <c r="G214" s="969"/>
      <c r="H214" s="969"/>
      <c r="I214" s="969"/>
      <c r="J214" s="969"/>
      <c r="K214" s="969"/>
      <c r="L214" s="969"/>
      <c r="M214" s="970"/>
      <c r="N214" s="927"/>
      <c r="O214" s="928"/>
      <c r="P214" s="928"/>
      <c r="Q214" s="928"/>
      <c r="R214" s="928"/>
      <c r="S214" s="928"/>
      <c r="T214" s="928"/>
      <c r="U214" s="928"/>
      <c r="V214" s="928"/>
      <c r="W214" s="928"/>
      <c r="X214" s="928"/>
      <c r="Y214" s="928"/>
      <c r="Z214" s="929"/>
      <c r="AC214" s="131"/>
    </row>
    <row r="215" spans="2:52" s="130" customFormat="1" ht="90" thickBot="1" x14ac:dyDescent="0.3">
      <c r="B215" s="935"/>
      <c r="C215" s="936"/>
      <c r="D215" s="971"/>
      <c r="E215" s="972"/>
      <c r="F215" s="972"/>
      <c r="G215" s="972"/>
      <c r="H215" s="972"/>
      <c r="I215" s="972"/>
      <c r="J215" s="972"/>
      <c r="K215" s="972"/>
      <c r="L215" s="972"/>
      <c r="M215" s="973"/>
      <c r="N215" s="930"/>
      <c r="O215" s="931"/>
      <c r="P215" s="931"/>
      <c r="Q215" s="931"/>
      <c r="R215" s="931"/>
      <c r="S215" s="931"/>
      <c r="T215" s="931"/>
      <c r="U215" s="931"/>
      <c r="V215" s="931"/>
      <c r="W215" s="931"/>
      <c r="X215" s="931"/>
      <c r="Y215" s="931"/>
      <c r="Z215" s="932"/>
    </row>
    <row r="216" spans="2:52" s="130" customFormat="1" ht="87.5" x14ac:dyDescent="0.25">
      <c r="B216" s="937"/>
      <c r="C216" s="938"/>
      <c r="D216" s="939"/>
      <c r="E216" s="940"/>
      <c r="F216" s="940"/>
      <c r="G216" s="940"/>
      <c r="H216" s="940"/>
      <c r="I216" s="940"/>
      <c r="J216" s="940"/>
      <c r="K216" s="940"/>
      <c r="L216" s="940"/>
      <c r="M216" s="941"/>
      <c r="N216" s="956"/>
      <c r="O216" s="957"/>
      <c r="P216" s="957"/>
      <c r="Q216" s="957"/>
      <c r="R216" s="957"/>
      <c r="S216" s="957"/>
      <c r="T216" s="957"/>
      <c r="U216" s="957"/>
      <c r="V216" s="957"/>
      <c r="W216" s="957"/>
      <c r="X216" s="957"/>
      <c r="Y216" s="957"/>
      <c r="Z216" s="958"/>
    </row>
    <row r="217" spans="2:52" s="130" customFormat="1" ht="89.5" x14ac:dyDescent="0.25">
      <c r="B217" s="948"/>
      <c r="C217" s="949"/>
      <c r="D217" s="942"/>
      <c r="E217" s="943"/>
      <c r="F217" s="943"/>
      <c r="G217" s="943"/>
      <c r="H217" s="943"/>
      <c r="I217" s="943"/>
      <c r="J217" s="943"/>
      <c r="K217" s="943"/>
      <c r="L217" s="943"/>
      <c r="M217" s="944"/>
      <c r="N217" s="959"/>
      <c r="O217" s="960"/>
      <c r="P217" s="960"/>
      <c r="Q217" s="960"/>
      <c r="R217" s="960"/>
      <c r="S217" s="960"/>
      <c r="T217" s="960"/>
      <c r="U217" s="960"/>
      <c r="V217" s="960"/>
      <c r="W217" s="960"/>
      <c r="X217" s="960"/>
      <c r="Y217" s="960"/>
      <c r="Z217" s="961"/>
      <c r="AC217" s="131"/>
      <c r="AZ217" s="131"/>
    </row>
    <row r="218" spans="2:52" s="130" customFormat="1" ht="90" thickBot="1" x14ac:dyDescent="0.3">
      <c r="B218" s="950"/>
      <c r="C218" s="951"/>
      <c r="D218" s="945"/>
      <c r="E218" s="946"/>
      <c r="F218" s="946"/>
      <c r="G218" s="946"/>
      <c r="H218" s="946"/>
      <c r="I218" s="946"/>
      <c r="J218" s="946"/>
      <c r="K218" s="946"/>
      <c r="L218" s="946"/>
      <c r="M218" s="947"/>
      <c r="N218" s="962"/>
      <c r="O218" s="963"/>
      <c r="P218" s="963"/>
      <c r="Q218" s="963"/>
      <c r="R218" s="963"/>
      <c r="S218" s="963"/>
      <c r="T218" s="963"/>
      <c r="U218" s="963"/>
      <c r="V218" s="963"/>
      <c r="W218" s="963"/>
      <c r="X218" s="963"/>
      <c r="Y218" s="963"/>
      <c r="Z218" s="964"/>
    </row>
    <row r="219" spans="2:52" s="130" customFormat="1" ht="87.5" x14ac:dyDescent="0.25">
      <c r="B219" s="922"/>
      <c r="C219" s="923"/>
      <c r="D219" s="1164"/>
      <c r="E219" s="1165"/>
      <c r="F219" s="1165"/>
      <c r="G219" s="1165"/>
      <c r="H219" s="1165"/>
      <c r="I219" s="1165"/>
      <c r="J219" s="1165"/>
      <c r="K219" s="1165"/>
      <c r="L219" s="1165"/>
      <c r="M219" s="1166"/>
      <c r="N219" s="924"/>
      <c r="O219" s="925"/>
      <c r="P219" s="925"/>
      <c r="Q219" s="925"/>
      <c r="R219" s="925"/>
      <c r="S219" s="925"/>
      <c r="T219" s="925"/>
      <c r="U219" s="925"/>
      <c r="V219" s="925"/>
      <c r="W219" s="925"/>
      <c r="X219" s="925"/>
      <c r="Y219" s="925"/>
      <c r="Z219" s="926"/>
    </row>
    <row r="220" spans="2:52" s="130" customFormat="1" ht="89.5" x14ac:dyDescent="0.25">
      <c r="B220" s="933"/>
      <c r="C220" s="934"/>
      <c r="D220" s="1167"/>
      <c r="E220" s="1168"/>
      <c r="F220" s="1168"/>
      <c r="G220" s="1168"/>
      <c r="H220" s="1168"/>
      <c r="I220" s="1168"/>
      <c r="J220" s="1168"/>
      <c r="K220" s="1168"/>
      <c r="L220" s="1168"/>
      <c r="M220" s="1169"/>
      <c r="N220" s="927"/>
      <c r="O220" s="928"/>
      <c r="P220" s="928"/>
      <c r="Q220" s="928"/>
      <c r="R220" s="928"/>
      <c r="S220" s="928"/>
      <c r="T220" s="928"/>
      <c r="U220" s="928"/>
      <c r="V220" s="928"/>
      <c r="W220" s="928"/>
      <c r="X220" s="928"/>
      <c r="Y220" s="928"/>
      <c r="Z220" s="929"/>
      <c r="AC220" s="131"/>
    </row>
    <row r="221" spans="2:52" s="130" customFormat="1" ht="90" thickBot="1" x14ac:dyDescent="0.3">
      <c r="B221" s="935"/>
      <c r="C221" s="936"/>
      <c r="D221" s="1170"/>
      <c r="E221" s="1171"/>
      <c r="F221" s="1171"/>
      <c r="G221" s="1171"/>
      <c r="H221" s="1171"/>
      <c r="I221" s="1171"/>
      <c r="J221" s="1171"/>
      <c r="K221" s="1171"/>
      <c r="L221" s="1171"/>
      <c r="M221" s="1172"/>
      <c r="N221" s="930"/>
      <c r="O221" s="931"/>
      <c r="P221" s="931"/>
      <c r="Q221" s="931"/>
      <c r="R221" s="931"/>
      <c r="S221" s="931"/>
      <c r="T221" s="931"/>
      <c r="U221" s="931"/>
      <c r="V221" s="931"/>
      <c r="W221" s="931"/>
      <c r="X221" s="931"/>
      <c r="Y221" s="931"/>
      <c r="Z221" s="932"/>
    </row>
    <row r="222" spans="2:52" s="130" customFormat="1" ht="87.5" x14ac:dyDescent="0.25">
      <c r="B222" s="952"/>
      <c r="C222" s="953"/>
      <c r="D222" s="939"/>
      <c r="E222" s="940"/>
      <c r="F222" s="940"/>
      <c r="G222" s="940"/>
      <c r="H222" s="940"/>
      <c r="I222" s="940"/>
      <c r="J222" s="940"/>
      <c r="K222" s="940"/>
      <c r="L222" s="940"/>
      <c r="M222" s="941"/>
      <c r="N222" s="956"/>
      <c r="O222" s="957"/>
      <c r="P222" s="957"/>
      <c r="Q222" s="957"/>
      <c r="R222" s="957"/>
      <c r="S222" s="957"/>
      <c r="T222" s="957"/>
      <c r="U222" s="957"/>
      <c r="V222" s="957"/>
      <c r="W222" s="957"/>
      <c r="X222" s="957"/>
      <c r="Y222" s="957"/>
      <c r="Z222" s="958"/>
    </row>
    <row r="223" spans="2:52" s="130" customFormat="1" ht="89.5" x14ac:dyDescent="0.25">
      <c r="B223" s="948"/>
      <c r="C223" s="954"/>
      <c r="D223" s="942"/>
      <c r="E223" s="943"/>
      <c r="F223" s="943"/>
      <c r="G223" s="943"/>
      <c r="H223" s="943"/>
      <c r="I223" s="943"/>
      <c r="J223" s="943"/>
      <c r="K223" s="943"/>
      <c r="L223" s="943"/>
      <c r="M223" s="944"/>
      <c r="N223" s="959"/>
      <c r="O223" s="960"/>
      <c r="P223" s="960"/>
      <c r="Q223" s="960"/>
      <c r="R223" s="960"/>
      <c r="S223" s="960"/>
      <c r="T223" s="960"/>
      <c r="U223" s="960"/>
      <c r="V223" s="960"/>
      <c r="W223" s="960"/>
      <c r="X223" s="960"/>
      <c r="Y223" s="960"/>
      <c r="Z223" s="961"/>
      <c r="AC223" s="131"/>
      <c r="AZ223" s="131"/>
    </row>
    <row r="224" spans="2:52" s="130" customFormat="1" ht="90" thickBot="1" x14ac:dyDescent="0.3">
      <c r="B224" s="950"/>
      <c r="C224" s="955"/>
      <c r="D224" s="945"/>
      <c r="E224" s="946"/>
      <c r="F224" s="946"/>
      <c r="G224" s="946"/>
      <c r="H224" s="946"/>
      <c r="I224" s="946"/>
      <c r="J224" s="946"/>
      <c r="K224" s="946"/>
      <c r="L224" s="946"/>
      <c r="M224" s="947"/>
      <c r="N224" s="962"/>
      <c r="O224" s="963"/>
      <c r="P224" s="963"/>
      <c r="Q224" s="963"/>
      <c r="R224" s="963"/>
      <c r="S224" s="963"/>
      <c r="T224" s="963"/>
      <c r="U224" s="963"/>
      <c r="V224" s="963"/>
      <c r="W224" s="963"/>
      <c r="X224" s="963"/>
      <c r="Y224" s="963"/>
      <c r="Z224" s="964"/>
    </row>
    <row r="225" spans="2:29" s="130" customFormat="1" ht="87.5" x14ac:dyDescent="0.25">
      <c r="B225" s="922"/>
      <c r="C225" s="923"/>
      <c r="D225" s="924"/>
      <c r="E225" s="925"/>
      <c r="F225" s="925"/>
      <c r="G225" s="925"/>
      <c r="H225" s="925"/>
      <c r="I225" s="925"/>
      <c r="J225" s="925"/>
      <c r="K225" s="925"/>
      <c r="L225" s="925"/>
      <c r="M225" s="926"/>
      <c r="N225" s="924"/>
      <c r="O225" s="925"/>
      <c r="P225" s="925"/>
      <c r="Q225" s="925"/>
      <c r="R225" s="925"/>
      <c r="S225" s="925"/>
      <c r="T225" s="925"/>
      <c r="U225" s="925"/>
      <c r="V225" s="925"/>
      <c r="W225" s="925"/>
      <c r="X225" s="925"/>
      <c r="Y225" s="925"/>
      <c r="Z225" s="926"/>
    </row>
    <row r="226" spans="2:29" s="130" customFormat="1" ht="89.5" x14ac:dyDescent="0.25">
      <c r="B226" s="933"/>
      <c r="C226" s="934"/>
      <c r="D226" s="927"/>
      <c r="E226" s="928"/>
      <c r="F226" s="928"/>
      <c r="G226" s="928"/>
      <c r="H226" s="928"/>
      <c r="I226" s="928"/>
      <c r="J226" s="928"/>
      <c r="K226" s="928"/>
      <c r="L226" s="928"/>
      <c r="M226" s="929"/>
      <c r="N226" s="927"/>
      <c r="O226" s="928"/>
      <c r="P226" s="928"/>
      <c r="Q226" s="928"/>
      <c r="R226" s="928"/>
      <c r="S226" s="928"/>
      <c r="T226" s="928"/>
      <c r="U226" s="928"/>
      <c r="V226" s="928"/>
      <c r="W226" s="928"/>
      <c r="X226" s="928"/>
      <c r="Y226" s="928"/>
      <c r="Z226" s="929"/>
      <c r="AC226" s="131"/>
    </row>
    <row r="227" spans="2:29" s="130" customFormat="1" ht="90" thickBot="1" x14ac:dyDescent="0.3">
      <c r="B227" s="935"/>
      <c r="C227" s="936"/>
      <c r="D227" s="930"/>
      <c r="E227" s="931"/>
      <c r="F227" s="931"/>
      <c r="G227" s="931"/>
      <c r="H227" s="931"/>
      <c r="I227" s="931"/>
      <c r="J227" s="931"/>
      <c r="K227" s="931"/>
      <c r="L227" s="931"/>
      <c r="M227" s="932"/>
      <c r="N227" s="930"/>
      <c r="O227" s="931"/>
      <c r="P227" s="931"/>
      <c r="Q227" s="931"/>
      <c r="R227" s="931"/>
      <c r="S227" s="931"/>
      <c r="T227" s="931"/>
      <c r="U227" s="931"/>
      <c r="V227" s="931"/>
      <c r="W227" s="931"/>
      <c r="X227" s="931"/>
      <c r="Y227" s="931"/>
      <c r="Z227" s="932"/>
    </row>
    <row r="228" spans="2:29" s="130" customFormat="1" ht="87.5" x14ac:dyDescent="0.25">
      <c r="B228" s="1115"/>
      <c r="C228" s="1116"/>
      <c r="D228" s="939"/>
      <c r="E228" s="940"/>
      <c r="F228" s="940"/>
      <c r="G228" s="940"/>
      <c r="H228" s="940"/>
      <c r="I228" s="940"/>
      <c r="J228" s="940"/>
      <c r="K228" s="940"/>
      <c r="L228" s="940"/>
      <c r="M228" s="941"/>
      <c r="N228" s="939"/>
      <c r="O228" s="940"/>
      <c r="P228" s="940"/>
      <c r="Q228" s="940"/>
      <c r="R228" s="940"/>
      <c r="S228" s="940"/>
      <c r="T228" s="940"/>
      <c r="U228" s="940"/>
      <c r="V228" s="940"/>
      <c r="W228" s="940"/>
      <c r="X228" s="940"/>
      <c r="Y228" s="940"/>
      <c r="Z228" s="941"/>
    </row>
    <row r="229" spans="2:29" s="130" customFormat="1" ht="89.5" x14ac:dyDescent="0.25">
      <c r="B229" s="1117"/>
      <c r="C229" s="1118"/>
      <c r="D229" s="942"/>
      <c r="E229" s="943"/>
      <c r="F229" s="943"/>
      <c r="G229" s="943"/>
      <c r="H229" s="943"/>
      <c r="I229" s="943"/>
      <c r="J229" s="943"/>
      <c r="K229" s="943"/>
      <c r="L229" s="943"/>
      <c r="M229" s="944"/>
      <c r="N229" s="942"/>
      <c r="O229" s="943"/>
      <c r="P229" s="943"/>
      <c r="Q229" s="943"/>
      <c r="R229" s="943"/>
      <c r="S229" s="943"/>
      <c r="T229" s="943"/>
      <c r="U229" s="943"/>
      <c r="V229" s="943"/>
      <c r="W229" s="943"/>
      <c r="X229" s="943"/>
      <c r="Y229" s="943"/>
      <c r="Z229" s="944"/>
      <c r="AC229" s="131"/>
    </row>
    <row r="230" spans="2:29" s="130" customFormat="1" ht="90" thickBot="1" x14ac:dyDescent="0.3">
      <c r="B230" s="1119"/>
      <c r="C230" s="1120"/>
      <c r="D230" s="945"/>
      <c r="E230" s="946"/>
      <c r="F230" s="946"/>
      <c r="G230" s="946"/>
      <c r="H230" s="946"/>
      <c r="I230" s="946"/>
      <c r="J230" s="946"/>
      <c r="K230" s="946"/>
      <c r="L230" s="946"/>
      <c r="M230" s="947"/>
      <c r="N230" s="945"/>
      <c r="O230" s="946"/>
      <c r="P230" s="946"/>
      <c r="Q230" s="946"/>
      <c r="R230" s="946"/>
      <c r="S230" s="946"/>
      <c r="T230" s="946"/>
      <c r="U230" s="946"/>
      <c r="V230" s="946"/>
      <c r="W230" s="946"/>
      <c r="X230" s="946"/>
      <c r="Y230" s="946"/>
      <c r="Z230" s="947"/>
    </row>
    <row r="231" spans="2:29" s="130" customFormat="1" ht="87.5" x14ac:dyDescent="0.25">
      <c r="B231" s="975"/>
      <c r="C231" s="976"/>
      <c r="D231" s="924"/>
      <c r="E231" s="925"/>
      <c r="F231" s="925"/>
      <c r="G231" s="925"/>
      <c r="H231" s="925"/>
      <c r="I231" s="925"/>
      <c r="J231" s="925"/>
      <c r="K231" s="925"/>
      <c r="L231" s="925"/>
      <c r="M231" s="926"/>
      <c r="N231" s="924"/>
      <c r="O231" s="925"/>
      <c r="P231" s="925"/>
      <c r="Q231" s="925"/>
      <c r="R231" s="925"/>
      <c r="S231" s="925"/>
      <c r="T231" s="925"/>
      <c r="U231" s="925"/>
      <c r="V231" s="925"/>
      <c r="W231" s="925"/>
      <c r="X231" s="925"/>
      <c r="Y231" s="925"/>
      <c r="Z231" s="926"/>
    </row>
    <row r="232" spans="2:29" s="130" customFormat="1" ht="89.5" x14ac:dyDescent="0.25">
      <c r="B232" s="977"/>
      <c r="C232" s="978"/>
      <c r="D232" s="927"/>
      <c r="E232" s="928"/>
      <c r="F232" s="928"/>
      <c r="G232" s="928"/>
      <c r="H232" s="928"/>
      <c r="I232" s="928"/>
      <c r="J232" s="928"/>
      <c r="K232" s="928"/>
      <c r="L232" s="928"/>
      <c r="M232" s="929"/>
      <c r="N232" s="927"/>
      <c r="O232" s="928"/>
      <c r="P232" s="928"/>
      <c r="Q232" s="928"/>
      <c r="R232" s="928"/>
      <c r="S232" s="928"/>
      <c r="T232" s="928"/>
      <c r="U232" s="928"/>
      <c r="V232" s="928"/>
      <c r="W232" s="928"/>
      <c r="X232" s="928"/>
      <c r="Y232" s="928"/>
      <c r="Z232" s="929"/>
      <c r="AC232" s="131"/>
    </row>
    <row r="233" spans="2:29" s="130" customFormat="1" ht="90" thickBot="1" x14ac:dyDescent="0.3">
      <c r="B233" s="979"/>
      <c r="C233" s="980"/>
      <c r="D233" s="930"/>
      <c r="E233" s="931"/>
      <c r="F233" s="931"/>
      <c r="G233" s="931"/>
      <c r="H233" s="931"/>
      <c r="I233" s="931"/>
      <c r="J233" s="931"/>
      <c r="K233" s="931"/>
      <c r="L233" s="931"/>
      <c r="M233" s="932"/>
      <c r="N233" s="930"/>
      <c r="O233" s="931"/>
      <c r="P233" s="931"/>
      <c r="Q233" s="931"/>
      <c r="R233" s="931"/>
      <c r="S233" s="931"/>
      <c r="T233" s="931"/>
      <c r="U233" s="931"/>
      <c r="V233" s="931"/>
      <c r="W233" s="931"/>
      <c r="X233" s="931"/>
      <c r="Y233" s="931"/>
      <c r="Z233" s="932"/>
    </row>
    <row r="234" spans="2:29" s="130" customFormat="1" ht="87.5" x14ac:dyDescent="0.25">
      <c r="B234" s="1115"/>
      <c r="C234" s="1116"/>
      <c r="D234" s="939"/>
      <c r="E234" s="940"/>
      <c r="F234" s="940"/>
      <c r="G234" s="940"/>
      <c r="H234" s="940"/>
      <c r="I234" s="940"/>
      <c r="J234" s="940"/>
      <c r="K234" s="940"/>
      <c r="L234" s="940"/>
      <c r="M234" s="941"/>
      <c r="N234" s="939"/>
      <c r="O234" s="940"/>
      <c r="P234" s="940"/>
      <c r="Q234" s="940"/>
      <c r="R234" s="940"/>
      <c r="S234" s="940"/>
      <c r="T234" s="940"/>
      <c r="U234" s="940"/>
      <c r="V234" s="940"/>
      <c r="W234" s="940"/>
      <c r="X234" s="940"/>
      <c r="Y234" s="940"/>
      <c r="Z234" s="941"/>
    </row>
    <row r="235" spans="2:29" s="130" customFormat="1" ht="89.5" x14ac:dyDescent="0.25">
      <c r="B235" s="1117"/>
      <c r="C235" s="1118"/>
      <c r="D235" s="942"/>
      <c r="E235" s="943"/>
      <c r="F235" s="943"/>
      <c r="G235" s="943"/>
      <c r="H235" s="943"/>
      <c r="I235" s="943"/>
      <c r="J235" s="943"/>
      <c r="K235" s="943"/>
      <c r="L235" s="943"/>
      <c r="M235" s="944"/>
      <c r="N235" s="942"/>
      <c r="O235" s="943"/>
      <c r="P235" s="943"/>
      <c r="Q235" s="943"/>
      <c r="R235" s="943"/>
      <c r="S235" s="943"/>
      <c r="T235" s="943"/>
      <c r="U235" s="943"/>
      <c r="V235" s="943"/>
      <c r="W235" s="943"/>
      <c r="X235" s="943"/>
      <c r="Y235" s="943"/>
      <c r="Z235" s="944"/>
      <c r="AC235" s="131"/>
    </row>
    <row r="236" spans="2:29" s="130" customFormat="1" ht="90" thickBot="1" x14ac:dyDescent="0.3">
      <c r="B236" s="1119"/>
      <c r="C236" s="1120"/>
      <c r="D236" s="945"/>
      <c r="E236" s="946"/>
      <c r="F236" s="946"/>
      <c r="G236" s="946"/>
      <c r="H236" s="946"/>
      <c r="I236" s="946"/>
      <c r="J236" s="946"/>
      <c r="K236" s="946"/>
      <c r="L236" s="946"/>
      <c r="M236" s="947"/>
      <c r="N236" s="945"/>
      <c r="O236" s="946"/>
      <c r="P236" s="946"/>
      <c r="Q236" s="946"/>
      <c r="R236" s="946"/>
      <c r="S236" s="946"/>
      <c r="T236" s="946"/>
      <c r="U236" s="946"/>
      <c r="V236" s="946"/>
      <c r="W236" s="946"/>
      <c r="X236" s="946"/>
      <c r="Y236" s="946"/>
      <c r="Z236" s="947"/>
    </row>
    <row r="237" spans="2:29" s="130" customFormat="1" ht="87.5" x14ac:dyDescent="0.25">
      <c r="B237" s="975"/>
      <c r="C237" s="976"/>
      <c r="D237" s="924"/>
      <c r="E237" s="925"/>
      <c r="F237" s="925"/>
      <c r="G237" s="925"/>
      <c r="H237" s="925"/>
      <c r="I237" s="925"/>
      <c r="J237" s="925"/>
      <c r="K237" s="925"/>
      <c r="L237" s="925"/>
      <c r="M237" s="926"/>
      <c r="N237" s="924"/>
      <c r="O237" s="925"/>
      <c r="P237" s="925"/>
      <c r="Q237" s="925"/>
      <c r="R237" s="925"/>
      <c r="S237" s="925"/>
      <c r="T237" s="925"/>
      <c r="U237" s="925"/>
      <c r="V237" s="925"/>
      <c r="W237" s="925"/>
      <c r="X237" s="925"/>
      <c r="Y237" s="925"/>
      <c r="Z237" s="926"/>
    </row>
    <row r="238" spans="2:29" s="130" customFormat="1" ht="89.5" x14ac:dyDescent="0.25">
      <c r="B238" s="977"/>
      <c r="C238" s="978"/>
      <c r="D238" s="927"/>
      <c r="E238" s="928"/>
      <c r="F238" s="928"/>
      <c r="G238" s="928"/>
      <c r="H238" s="928"/>
      <c r="I238" s="928"/>
      <c r="J238" s="928"/>
      <c r="K238" s="928"/>
      <c r="L238" s="928"/>
      <c r="M238" s="929"/>
      <c r="N238" s="927"/>
      <c r="O238" s="928"/>
      <c r="P238" s="928"/>
      <c r="Q238" s="928"/>
      <c r="R238" s="928"/>
      <c r="S238" s="928"/>
      <c r="T238" s="928"/>
      <c r="U238" s="928"/>
      <c r="V238" s="928"/>
      <c r="W238" s="928"/>
      <c r="X238" s="928"/>
      <c r="Y238" s="928"/>
      <c r="Z238" s="929"/>
      <c r="AC238" s="131"/>
    </row>
    <row r="239" spans="2:29" s="130" customFormat="1" ht="90" thickBot="1" x14ac:dyDescent="0.3">
      <c r="B239" s="979"/>
      <c r="C239" s="980"/>
      <c r="D239" s="930"/>
      <c r="E239" s="931"/>
      <c r="F239" s="931"/>
      <c r="G239" s="931"/>
      <c r="H239" s="931"/>
      <c r="I239" s="931"/>
      <c r="J239" s="931"/>
      <c r="K239" s="931"/>
      <c r="L239" s="931"/>
      <c r="M239" s="932"/>
      <c r="N239" s="930"/>
      <c r="O239" s="931"/>
      <c r="P239" s="931"/>
      <c r="Q239" s="931"/>
      <c r="R239" s="931"/>
      <c r="S239" s="931"/>
      <c r="T239" s="931"/>
      <c r="U239" s="931"/>
      <c r="V239" s="931"/>
      <c r="W239" s="931"/>
      <c r="X239" s="931"/>
      <c r="Y239" s="931"/>
      <c r="Z239" s="932"/>
    </row>
    <row r="240" spans="2:29" s="130" customFormat="1" ht="87.5" x14ac:dyDescent="0.25">
      <c r="B240" s="1115"/>
      <c r="C240" s="1116"/>
      <c r="D240" s="939"/>
      <c r="E240" s="940"/>
      <c r="F240" s="940"/>
      <c r="G240" s="940"/>
      <c r="H240" s="940"/>
      <c r="I240" s="940"/>
      <c r="J240" s="940"/>
      <c r="K240" s="940"/>
      <c r="L240" s="940"/>
      <c r="M240" s="941"/>
      <c r="N240" s="939"/>
      <c r="O240" s="940"/>
      <c r="P240" s="940"/>
      <c r="Q240" s="940"/>
      <c r="R240" s="940"/>
      <c r="S240" s="940"/>
      <c r="T240" s="940"/>
      <c r="U240" s="940"/>
      <c r="V240" s="940"/>
      <c r="W240" s="940"/>
      <c r="X240" s="940"/>
      <c r="Y240" s="940"/>
      <c r="Z240" s="941"/>
    </row>
    <row r="241" spans="2:29" s="130" customFormat="1" ht="89.5" x14ac:dyDescent="0.25">
      <c r="B241" s="1117"/>
      <c r="C241" s="1118"/>
      <c r="D241" s="942"/>
      <c r="E241" s="943"/>
      <c r="F241" s="943"/>
      <c r="G241" s="943"/>
      <c r="H241" s="943"/>
      <c r="I241" s="943"/>
      <c r="J241" s="943"/>
      <c r="K241" s="943"/>
      <c r="L241" s="943"/>
      <c r="M241" s="944"/>
      <c r="N241" s="942"/>
      <c r="O241" s="943"/>
      <c r="P241" s="943"/>
      <c r="Q241" s="943"/>
      <c r="R241" s="943"/>
      <c r="S241" s="943"/>
      <c r="T241" s="943"/>
      <c r="U241" s="943"/>
      <c r="V241" s="943"/>
      <c r="W241" s="943"/>
      <c r="X241" s="943"/>
      <c r="Y241" s="943"/>
      <c r="Z241" s="944"/>
      <c r="AC241" s="131"/>
    </row>
    <row r="242" spans="2:29" s="130" customFormat="1" ht="90" thickBot="1" x14ac:dyDescent="0.3">
      <c r="B242" s="1119"/>
      <c r="C242" s="1120"/>
      <c r="D242" s="945"/>
      <c r="E242" s="946"/>
      <c r="F242" s="946"/>
      <c r="G242" s="946"/>
      <c r="H242" s="946"/>
      <c r="I242" s="946"/>
      <c r="J242" s="946"/>
      <c r="K242" s="946"/>
      <c r="L242" s="946"/>
      <c r="M242" s="947"/>
      <c r="N242" s="945"/>
      <c r="O242" s="946"/>
      <c r="P242" s="946"/>
      <c r="Q242" s="946"/>
      <c r="R242" s="946"/>
      <c r="S242" s="946"/>
      <c r="T242" s="946"/>
      <c r="U242" s="946"/>
      <c r="V242" s="946"/>
      <c r="W242" s="946"/>
      <c r="X242" s="946"/>
      <c r="Y242" s="946"/>
      <c r="Z242" s="947"/>
    </row>
  </sheetData>
  <autoFilter ref="A5:AZ5" xr:uid="{EDC8D351-135A-4E71-8318-BD7E28A4161F}">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mergeCells count="482">
    <mergeCell ref="B164:C164"/>
    <mergeCell ref="B174:C174"/>
    <mergeCell ref="N129:P129"/>
    <mergeCell ref="N140:P140"/>
    <mergeCell ref="N150:P150"/>
    <mergeCell ref="N153:P153"/>
    <mergeCell ref="B1:Z1"/>
    <mergeCell ref="B2:Z2"/>
    <mergeCell ref="B3:C4"/>
    <mergeCell ref="D3:D4"/>
    <mergeCell ref="E3:E4"/>
    <mergeCell ref="F3:G4"/>
    <mergeCell ref="H3:H4"/>
    <mergeCell ref="I3:I4"/>
    <mergeCell ref="J3:K4"/>
    <mergeCell ref="L3:M4"/>
    <mergeCell ref="T3:U4"/>
    <mergeCell ref="V3:V4"/>
    <mergeCell ref="W3:W4"/>
    <mergeCell ref="X3:Y4"/>
    <mergeCell ref="Z3:Z4"/>
    <mergeCell ref="B5:Z5"/>
    <mergeCell ref="N3:N4"/>
    <mergeCell ref="O3:O4"/>
    <mergeCell ref="P3:P4"/>
    <mergeCell ref="Q3:Q4"/>
    <mergeCell ref="R3:R4"/>
    <mergeCell ref="S3:S4"/>
    <mergeCell ref="B7:C7"/>
    <mergeCell ref="F7:G7"/>
    <mergeCell ref="J7:K7"/>
    <mergeCell ref="L7:M7"/>
    <mergeCell ref="T7:U7"/>
    <mergeCell ref="X7:Y7"/>
    <mergeCell ref="B6:C6"/>
    <mergeCell ref="F6:G6"/>
    <mergeCell ref="J6:K6"/>
    <mergeCell ref="L6:M6"/>
    <mergeCell ref="T6:U6"/>
    <mergeCell ref="X6:Y6"/>
    <mergeCell ref="B9:C9"/>
    <mergeCell ref="F9:G9"/>
    <mergeCell ref="J9:K9"/>
    <mergeCell ref="L9:M9"/>
    <mergeCell ref="T9:U9"/>
    <mergeCell ref="X9:Y9"/>
    <mergeCell ref="B8:C8"/>
    <mergeCell ref="F8:G8"/>
    <mergeCell ref="J8:K8"/>
    <mergeCell ref="L8:M8"/>
    <mergeCell ref="T8:U8"/>
    <mergeCell ref="X8:Y8"/>
    <mergeCell ref="T11:U11"/>
    <mergeCell ref="B10:Z10"/>
    <mergeCell ref="B11:C11"/>
    <mergeCell ref="F11:G11"/>
    <mergeCell ref="J11:K11"/>
    <mergeCell ref="L11:M11"/>
    <mergeCell ref="X11:Y11"/>
    <mergeCell ref="B12:C12"/>
    <mergeCell ref="F12:G12"/>
    <mergeCell ref="J12:K12"/>
    <mergeCell ref="L12:M12"/>
    <mergeCell ref="T12:U12"/>
    <mergeCell ref="X12:Y12"/>
    <mergeCell ref="B14:C14"/>
    <mergeCell ref="F14:G14"/>
    <mergeCell ref="J14:K14"/>
    <mergeCell ref="L14:M14"/>
    <mergeCell ref="T14:U14"/>
    <mergeCell ref="X14:Y14"/>
    <mergeCell ref="B13:C13"/>
    <mergeCell ref="F13:G13"/>
    <mergeCell ref="J13:K13"/>
    <mergeCell ref="L13:M13"/>
    <mergeCell ref="T13:U13"/>
    <mergeCell ref="X13:Y13"/>
    <mergeCell ref="B15:Z15"/>
    <mergeCell ref="B16:C16"/>
    <mergeCell ref="F16:G16"/>
    <mergeCell ref="J16:K16"/>
    <mergeCell ref="L16:M16"/>
    <mergeCell ref="T16:U16"/>
    <mergeCell ref="X16:Y16"/>
    <mergeCell ref="B19:C19"/>
    <mergeCell ref="N19:P19"/>
    <mergeCell ref="B20:C20"/>
    <mergeCell ref="N20:P20"/>
    <mergeCell ref="B22:C22"/>
    <mergeCell ref="N22:P22"/>
    <mergeCell ref="B17:Z17"/>
    <mergeCell ref="B18:C18"/>
    <mergeCell ref="F18:G18"/>
    <mergeCell ref="J18:K18"/>
    <mergeCell ref="L18:M18"/>
    <mergeCell ref="T18:U18"/>
    <mergeCell ref="X18:Y18"/>
    <mergeCell ref="B21:C21"/>
    <mergeCell ref="N21:P21"/>
    <mergeCell ref="B27:C27"/>
    <mergeCell ref="B28:C28"/>
    <mergeCell ref="B29:C29"/>
    <mergeCell ref="N29:P29"/>
    <mergeCell ref="B23:C23"/>
    <mergeCell ref="B24:C24"/>
    <mergeCell ref="N23:P23"/>
    <mergeCell ref="B26:C26"/>
    <mergeCell ref="N26:P26"/>
    <mergeCell ref="B25:C25"/>
    <mergeCell ref="N24:P24"/>
    <mergeCell ref="N25:P25"/>
    <mergeCell ref="B33:C33"/>
    <mergeCell ref="N33:P33"/>
    <mergeCell ref="B35:C35"/>
    <mergeCell ref="B37:C37"/>
    <mergeCell ref="B30:C30"/>
    <mergeCell ref="N30:P30"/>
    <mergeCell ref="B31:C31"/>
    <mergeCell ref="N31:P31"/>
    <mergeCell ref="B32:C32"/>
    <mergeCell ref="N32:P32"/>
    <mergeCell ref="B34:C34"/>
    <mergeCell ref="B36:C36"/>
    <mergeCell ref="N34:P34"/>
    <mergeCell ref="N36:P36"/>
    <mergeCell ref="B41:C41"/>
    <mergeCell ref="N41:P41"/>
    <mergeCell ref="B42:C42"/>
    <mergeCell ref="N42:P42"/>
    <mergeCell ref="B43:C43"/>
    <mergeCell ref="N43:P43"/>
    <mergeCell ref="B38:C38"/>
    <mergeCell ref="B39:C39"/>
    <mergeCell ref="N39:P39"/>
    <mergeCell ref="B40:C40"/>
    <mergeCell ref="N40:P40"/>
    <mergeCell ref="B47:C47"/>
    <mergeCell ref="N47:P47"/>
    <mergeCell ref="B48:C48"/>
    <mergeCell ref="N48:P48"/>
    <mergeCell ref="B49:C49"/>
    <mergeCell ref="N49:P49"/>
    <mergeCell ref="B44:C44"/>
    <mergeCell ref="N44:P44"/>
    <mergeCell ref="B45:C45"/>
    <mergeCell ref="N45:P45"/>
    <mergeCell ref="B46:C46"/>
    <mergeCell ref="N46:P46"/>
    <mergeCell ref="B53:C53"/>
    <mergeCell ref="N53:P53"/>
    <mergeCell ref="B55:C55"/>
    <mergeCell ref="N55:P55"/>
    <mergeCell ref="B56:C56"/>
    <mergeCell ref="N56:P56"/>
    <mergeCell ref="B50:C50"/>
    <mergeCell ref="N50:P50"/>
    <mergeCell ref="B51:C51"/>
    <mergeCell ref="N51:P51"/>
    <mergeCell ref="B52:C52"/>
    <mergeCell ref="N52:P52"/>
    <mergeCell ref="B54:C54"/>
    <mergeCell ref="N54:P54"/>
    <mergeCell ref="B60:C60"/>
    <mergeCell ref="N60:P60"/>
    <mergeCell ref="B62:C62"/>
    <mergeCell ref="N62:P62"/>
    <mergeCell ref="B63:C63"/>
    <mergeCell ref="N63:P63"/>
    <mergeCell ref="B57:C57"/>
    <mergeCell ref="N57:P57"/>
    <mergeCell ref="B58:C58"/>
    <mergeCell ref="N58:P58"/>
    <mergeCell ref="B59:C59"/>
    <mergeCell ref="N59:P59"/>
    <mergeCell ref="B61:C61"/>
    <mergeCell ref="B67:C78"/>
    <mergeCell ref="D67:D78"/>
    <mergeCell ref="E67:E78"/>
    <mergeCell ref="F67:F78"/>
    <mergeCell ref="G67:G78"/>
    <mergeCell ref="H67:H78"/>
    <mergeCell ref="B64:C64"/>
    <mergeCell ref="N64:P64"/>
    <mergeCell ref="B65:C65"/>
    <mergeCell ref="N65:P65"/>
    <mergeCell ref="B66:C66"/>
    <mergeCell ref="N66:P66"/>
    <mergeCell ref="N74:P74"/>
    <mergeCell ref="N72:P72"/>
    <mergeCell ref="N73:P73"/>
    <mergeCell ref="N75:P75"/>
    <mergeCell ref="N76:P76"/>
    <mergeCell ref="N77:P77"/>
    <mergeCell ref="N78:P78"/>
    <mergeCell ref="I67:I78"/>
    <mergeCell ref="J67:J78"/>
    <mergeCell ref="K67:K78"/>
    <mergeCell ref="L67:L78"/>
    <mergeCell ref="M67:M78"/>
    <mergeCell ref="N67:P67"/>
    <mergeCell ref="N68:P68"/>
    <mergeCell ref="N69:P69"/>
    <mergeCell ref="N70:P70"/>
    <mergeCell ref="N71:P71"/>
    <mergeCell ref="N86:P86"/>
    <mergeCell ref="N87:P87"/>
    <mergeCell ref="N88:P88"/>
    <mergeCell ref="N89:P89"/>
    <mergeCell ref="B79:C98"/>
    <mergeCell ref="D79:D98"/>
    <mergeCell ref="E79:E98"/>
    <mergeCell ref="F79:F98"/>
    <mergeCell ref="G79:G98"/>
    <mergeCell ref="H79:H98"/>
    <mergeCell ref="N90:P90"/>
    <mergeCell ref="N92:P92"/>
    <mergeCell ref="I79:I98"/>
    <mergeCell ref="J79:J98"/>
    <mergeCell ref="K79:K98"/>
    <mergeCell ref="L79:L97"/>
    <mergeCell ref="M79:M98"/>
    <mergeCell ref="N79:P79"/>
    <mergeCell ref="N80:P80"/>
    <mergeCell ref="N81:P81"/>
    <mergeCell ref="N83:P83"/>
    <mergeCell ref="N85:P85"/>
    <mergeCell ref="N82:P82"/>
    <mergeCell ref="N84:P84"/>
    <mergeCell ref="N91:P91"/>
    <mergeCell ref="N103:P103"/>
    <mergeCell ref="N110:P110"/>
    <mergeCell ref="N111:P111"/>
    <mergeCell ref="N112:P112"/>
    <mergeCell ref="N113:P113"/>
    <mergeCell ref="N114:P114"/>
    <mergeCell ref="N93:P93"/>
    <mergeCell ref="N94:P94"/>
    <mergeCell ref="N95:P95"/>
    <mergeCell ref="N96:P96"/>
    <mergeCell ref="N97:P97"/>
    <mergeCell ref="N98:P98"/>
    <mergeCell ref="N115:P115"/>
    <mergeCell ref="N104:P104"/>
    <mergeCell ref="N105:P105"/>
    <mergeCell ref="N106:P106"/>
    <mergeCell ref="N107:P107"/>
    <mergeCell ref="N108:P108"/>
    <mergeCell ref="N109:P109"/>
    <mergeCell ref="B119:C119"/>
    <mergeCell ref="N119:P119"/>
    <mergeCell ref="B99:C115"/>
    <mergeCell ref="D99:D115"/>
    <mergeCell ref="E99:E115"/>
    <mergeCell ref="F99:F115"/>
    <mergeCell ref="G99:G115"/>
    <mergeCell ref="H99:H115"/>
    <mergeCell ref="I99:I115"/>
    <mergeCell ref="J99:J115"/>
    <mergeCell ref="K99:K115"/>
    <mergeCell ref="L99:L115"/>
    <mergeCell ref="M99:M115"/>
    <mergeCell ref="N99:P99"/>
    <mergeCell ref="N100:P100"/>
    <mergeCell ref="N101:P101"/>
    <mergeCell ref="N102:P102"/>
    <mergeCell ref="B120:C120"/>
    <mergeCell ref="N120:P120"/>
    <mergeCell ref="B121:C121"/>
    <mergeCell ref="N121:P121"/>
    <mergeCell ref="B116:C116"/>
    <mergeCell ref="N116:P116"/>
    <mergeCell ref="B117:C117"/>
    <mergeCell ref="N117:P117"/>
    <mergeCell ref="B118:C118"/>
    <mergeCell ref="N118:P118"/>
    <mergeCell ref="B125:C125"/>
    <mergeCell ref="N125:P125"/>
    <mergeCell ref="B126:C126"/>
    <mergeCell ref="N126:P126"/>
    <mergeCell ref="B127:C127"/>
    <mergeCell ref="N127:P127"/>
    <mergeCell ref="B122:C122"/>
    <mergeCell ref="N122:P122"/>
    <mergeCell ref="B123:C123"/>
    <mergeCell ref="N123:P123"/>
    <mergeCell ref="B124:C124"/>
    <mergeCell ref="N124:P124"/>
    <mergeCell ref="B132:C132"/>
    <mergeCell ref="N132:P132"/>
    <mergeCell ref="B133:C133"/>
    <mergeCell ref="N133:P133"/>
    <mergeCell ref="B134:C134"/>
    <mergeCell ref="N134:P134"/>
    <mergeCell ref="B128:C128"/>
    <mergeCell ref="N128:P128"/>
    <mergeCell ref="B130:C130"/>
    <mergeCell ref="N130:P130"/>
    <mergeCell ref="B131:C131"/>
    <mergeCell ref="N131:P131"/>
    <mergeCell ref="B129:C129"/>
    <mergeCell ref="B138:C138"/>
    <mergeCell ref="N138:P138"/>
    <mergeCell ref="B139:C139"/>
    <mergeCell ref="N139:P139"/>
    <mergeCell ref="B141:C141"/>
    <mergeCell ref="N141:P141"/>
    <mergeCell ref="B135:C135"/>
    <mergeCell ref="N135:P135"/>
    <mergeCell ref="B136:C136"/>
    <mergeCell ref="N136:P136"/>
    <mergeCell ref="B137:C137"/>
    <mergeCell ref="N137:P137"/>
    <mergeCell ref="B140:C140"/>
    <mergeCell ref="B145:C145"/>
    <mergeCell ref="N145:P145"/>
    <mergeCell ref="B146:C146"/>
    <mergeCell ref="N146:P146"/>
    <mergeCell ref="B147:C147"/>
    <mergeCell ref="N147:P147"/>
    <mergeCell ref="B142:C142"/>
    <mergeCell ref="N142:P142"/>
    <mergeCell ref="B143:C143"/>
    <mergeCell ref="N143:P143"/>
    <mergeCell ref="B144:C144"/>
    <mergeCell ref="N144:P144"/>
    <mergeCell ref="B152:C152"/>
    <mergeCell ref="N152:P152"/>
    <mergeCell ref="B153:C153"/>
    <mergeCell ref="B154:C154"/>
    <mergeCell ref="B155:C155"/>
    <mergeCell ref="N155:P155"/>
    <mergeCell ref="B148:C148"/>
    <mergeCell ref="N148:P148"/>
    <mergeCell ref="B149:C149"/>
    <mergeCell ref="N149:P149"/>
    <mergeCell ref="B151:C151"/>
    <mergeCell ref="N151:P151"/>
    <mergeCell ref="B150:C150"/>
    <mergeCell ref="B160:C160"/>
    <mergeCell ref="B161:C161"/>
    <mergeCell ref="B162:C162"/>
    <mergeCell ref="N162:P162"/>
    <mergeCell ref="B163:C163"/>
    <mergeCell ref="N163:P163"/>
    <mergeCell ref="B156:C156"/>
    <mergeCell ref="N156:P156"/>
    <mergeCell ref="B157:C157"/>
    <mergeCell ref="N157:P157"/>
    <mergeCell ref="B158:C158"/>
    <mergeCell ref="B159:C159"/>
    <mergeCell ref="B168:C168"/>
    <mergeCell ref="N168:P168"/>
    <mergeCell ref="B169:C169"/>
    <mergeCell ref="N169:P169"/>
    <mergeCell ref="B170:C170"/>
    <mergeCell ref="N170:P170"/>
    <mergeCell ref="B165:C165"/>
    <mergeCell ref="N165:P165"/>
    <mergeCell ref="B166:C166"/>
    <mergeCell ref="N166:P166"/>
    <mergeCell ref="B167:C167"/>
    <mergeCell ref="N167:P167"/>
    <mergeCell ref="B177:C177"/>
    <mergeCell ref="N177:P177"/>
    <mergeCell ref="B178:C178"/>
    <mergeCell ref="N178:P178"/>
    <mergeCell ref="B179:C179"/>
    <mergeCell ref="D179:M179"/>
    <mergeCell ref="N179:Z179"/>
    <mergeCell ref="B171:C171"/>
    <mergeCell ref="N171:P171"/>
    <mergeCell ref="B172:C172"/>
    <mergeCell ref="N172:P172"/>
    <mergeCell ref="B175:C175"/>
    <mergeCell ref="B176:C176"/>
    <mergeCell ref="N176:P176"/>
    <mergeCell ref="B173:C173"/>
    <mergeCell ref="B180:C180"/>
    <mergeCell ref="D180:M182"/>
    <mergeCell ref="N180:Z182"/>
    <mergeCell ref="B181:C181"/>
    <mergeCell ref="B182:C182"/>
    <mergeCell ref="B183:C183"/>
    <mergeCell ref="D183:M185"/>
    <mergeCell ref="B184:C184"/>
    <mergeCell ref="B185:C185"/>
    <mergeCell ref="N183:Z185"/>
    <mergeCell ref="B186:C186"/>
    <mergeCell ref="D186:M188"/>
    <mergeCell ref="N186:Z188"/>
    <mergeCell ref="B187:C187"/>
    <mergeCell ref="B188:C188"/>
    <mergeCell ref="B189:C189"/>
    <mergeCell ref="D189:M191"/>
    <mergeCell ref="N189:Z191"/>
    <mergeCell ref="B190:C190"/>
    <mergeCell ref="B191:C191"/>
    <mergeCell ref="B198:C198"/>
    <mergeCell ref="B199:C199"/>
    <mergeCell ref="B200:C200"/>
    <mergeCell ref="D198:M200"/>
    <mergeCell ref="N198:Z200"/>
    <mergeCell ref="B192:C192"/>
    <mergeCell ref="D192:M194"/>
    <mergeCell ref="N192:Z194"/>
    <mergeCell ref="B193:C193"/>
    <mergeCell ref="B194:C194"/>
    <mergeCell ref="B195:C195"/>
    <mergeCell ref="B196:C196"/>
    <mergeCell ref="B197:C197"/>
    <mergeCell ref="D195:M197"/>
    <mergeCell ref="N195:Z197"/>
    <mergeCell ref="B201:C201"/>
    <mergeCell ref="D201:M203"/>
    <mergeCell ref="N201:Z203"/>
    <mergeCell ref="B202:C202"/>
    <mergeCell ref="B203:C203"/>
    <mergeCell ref="B204:C204"/>
    <mergeCell ref="D204:M206"/>
    <mergeCell ref="N204:Z206"/>
    <mergeCell ref="B205:C205"/>
    <mergeCell ref="B206:C206"/>
    <mergeCell ref="B207:C207"/>
    <mergeCell ref="D207:M209"/>
    <mergeCell ref="N207:Z209"/>
    <mergeCell ref="B208:C208"/>
    <mergeCell ref="B209:C209"/>
    <mergeCell ref="B210:C210"/>
    <mergeCell ref="D210:M212"/>
    <mergeCell ref="N210:Z212"/>
    <mergeCell ref="B211:C211"/>
    <mergeCell ref="B212:C212"/>
    <mergeCell ref="B222:C222"/>
    <mergeCell ref="D222:M224"/>
    <mergeCell ref="N222:Z224"/>
    <mergeCell ref="B223:C223"/>
    <mergeCell ref="B224:C224"/>
    <mergeCell ref="B213:C213"/>
    <mergeCell ref="D213:M215"/>
    <mergeCell ref="N213:Z215"/>
    <mergeCell ref="B214:C214"/>
    <mergeCell ref="B215:C215"/>
    <mergeCell ref="B216:C216"/>
    <mergeCell ref="D216:M218"/>
    <mergeCell ref="N216:Z218"/>
    <mergeCell ref="B217:C217"/>
    <mergeCell ref="B218:C218"/>
    <mergeCell ref="B219:C219"/>
    <mergeCell ref="D219:M221"/>
    <mergeCell ref="N219:Z221"/>
    <mergeCell ref="B220:C220"/>
    <mergeCell ref="B221:C221"/>
    <mergeCell ref="B240:C240"/>
    <mergeCell ref="D240:M242"/>
    <mergeCell ref="N240:Z242"/>
    <mergeCell ref="B241:C241"/>
    <mergeCell ref="B242:C242"/>
    <mergeCell ref="B231:C231"/>
    <mergeCell ref="D231:M233"/>
    <mergeCell ref="N231:Z233"/>
    <mergeCell ref="B232:C232"/>
    <mergeCell ref="B233:C233"/>
    <mergeCell ref="B234:C234"/>
    <mergeCell ref="D234:M236"/>
    <mergeCell ref="N234:Z236"/>
    <mergeCell ref="B235:C235"/>
    <mergeCell ref="B236:C236"/>
    <mergeCell ref="B237:C237"/>
    <mergeCell ref="D237:M239"/>
    <mergeCell ref="N237:Z239"/>
    <mergeCell ref="B238:C238"/>
    <mergeCell ref="B239:C239"/>
    <mergeCell ref="B225:C225"/>
    <mergeCell ref="D225:M227"/>
    <mergeCell ref="N225:Z227"/>
    <mergeCell ref="B226:C226"/>
    <mergeCell ref="B227:C227"/>
    <mergeCell ref="B228:C228"/>
    <mergeCell ref="D228:M230"/>
    <mergeCell ref="N228:Z230"/>
    <mergeCell ref="B229:C229"/>
    <mergeCell ref="B230:C230"/>
  </mergeCells>
  <conditionalFormatting sqref="B20">
    <cfRule type="duplicateValues" dxfId="187" priority="39"/>
  </conditionalFormatting>
  <conditionalFormatting sqref="N118">
    <cfRule type="duplicateValues" dxfId="186" priority="40"/>
    <cfRule type="duplicateValues" dxfId="185" priority="41"/>
  </conditionalFormatting>
  <conditionalFormatting sqref="B122:B126">
    <cfRule type="duplicateValues" dxfId="184" priority="35"/>
  </conditionalFormatting>
  <conditionalFormatting sqref="B132:B136">
    <cfRule type="duplicateValues" dxfId="183" priority="27"/>
    <cfRule type="duplicateValues" dxfId="182" priority="28"/>
    <cfRule type="duplicateValues" dxfId="181" priority="29"/>
  </conditionalFormatting>
  <conditionalFormatting sqref="B134:B136">
    <cfRule type="duplicateValues" dxfId="180" priority="30"/>
    <cfRule type="duplicateValues" dxfId="179" priority="31"/>
    <cfRule type="duplicateValues" dxfId="178" priority="32"/>
  </conditionalFormatting>
  <conditionalFormatting sqref="N154:N177">
    <cfRule type="duplicateValues" dxfId="177" priority="36"/>
    <cfRule type="duplicateValues" dxfId="176" priority="37"/>
  </conditionalFormatting>
  <conditionalFormatting sqref="N118:N153">
    <cfRule type="duplicateValues" dxfId="175" priority="33"/>
    <cfRule type="duplicateValues" dxfId="174" priority="34"/>
  </conditionalFormatting>
  <conditionalFormatting sqref="N67 N70:N115">
    <cfRule type="duplicateValues" dxfId="173" priority="42"/>
    <cfRule type="duplicateValues" dxfId="172" priority="43"/>
    <cfRule type="duplicateValues" dxfId="171" priority="44"/>
  </conditionalFormatting>
  <conditionalFormatting sqref="B146:B148 B134:B136 B155:B177">
    <cfRule type="duplicateValues" dxfId="170" priority="24"/>
    <cfRule type="duplicateValues" dxfId="169" priority="25"/>
    <cfRule type="duplicateValues" dxfId="168" priority="26"/>
  </conditionalFormatting>
  <conditionalFormatting sqref="B15">
    <cfRule type="duplicateValues" dxfId="167" priority="45"/>
  </conditionalFormatting>
  <conditionalFormatting sqref="N154">
    <cfRule type="duplicateValues" dxfId="166" priority="22"/>
    <cfRule type="duplicateValues" dxfId="165" priority="23"/>
  </conditionalFormatting>
  <conditionalFormatting sqref="B136:B145">
    <cfRule type="duplicateValues" dxfId="164" priority="19"/>
  </conditionalFormatting>
  <conditionalFormatting sqref="B144:B145">
    <cfRule type="duplicateValues" dxfId="163" priority="18"/>
  </conditionalFormatting>
  <conditionalFormatting sqref="B145">
    <cfRule type="duplicateValues" dxfId="162" priority="17"/>
  </conditionalFormatting>
  <conditionalFormatting sqref="B144:B145">
    <cfRule type="duplicateValues" dxfId="161" priority="20"/>
    <cfRule type="duplicateValues" dxfId="160" priority="21"/>
  </conditionalFormatting>
  <conditionalFormatting sqref="B144:B145">
    <cfRule type="duplicateValues" dxfId="159" priority="46"/>
  </conditionalFormatting>
  <conditionalFormatting sqref="B125:B128">
    <cfRule type="duplicateValues" dxfId="158" priority="13"/>
  </conditionalFormatting>
  <conditionalFormatting sqref="B125:B128">
    <cfRule type="duplicateValues" dxfId="157" priority="12"/>
  </conditionalFormatting>
  <conditionalFormatting sqref="B125:B128">
    <cfRule type="duplicateValues" dxfId="156" priority="15"/>
    <cfRule type="duplicateValues" dxfId="155" priority="16"/>
  </conditionalFormatting>
  <conditionalFormatting sqref="B125:B128">
    <cfRule type="duplicateValues" dxfId="154" priority="14"/>
  </conditionalFormatting>
  <conditionalFormatting sqref="B118:B125">
    <cfRule type="duplicateValues" dxfId="153" priority="47"/>
  </conditionalFormatting>
  <conditionalFormatting sqref="B132:B136 B118:B126">
    <cfRule type="duplicateValues" dxfId="152" priority="48"/>
    <cfRule type="duplicateValues" dxfId="151" priority="49"/>
  </conditionalFormatting>
  <conditionalFormatting sqref="B132:B136 B118:B126">
    <cfRule type="duplicateValues" dxfId="150" priority="50"/>
  </conditionalFormatting>
  <conditionalFormatting sqref="B127:B136">
    <cfRule type="duplicateValues" dxfId="149" priority="51"/>
    <cfRule type="duplicateValues" dxfId="148" priority="52"/>
    <cfRule type="duplicateValues" dxfId="147" priority="53"/>
  </conditionalFormatting>
  <conditionalFormatting sqref="B149:B154">
    <cfRule type="duplicateValues" dxfId="146" priority="3"/>
    <cfRule type="duplicateValues" dxfId="145" priority="4"/>
    <cfRule type="duplicateValues" dxfId="144" priority="5"/>
  </conditionalFormatting>
  <conditionalFormatting sqref="B149:B154">
    <cfRule type="duplicateValues" dxfId="143" priority="6"/>
    <cfRule type="duplicateValues" dxfId="142" priority="7"/>
  </conditionalFormatting>
  <conditionalFormatting sqref="B149:B154">
    <cfRule type="duplicateValues" dxfId="141" priority="8"/>
  </conditionalFormatting>
  <conditionalFormatting sqref="B149:B154">
    <cfRule type="duplicateValues" dxfId="140" priority="9"/>
    <cfRule type="duplicateValues" dxfId="139" priority="10"/>
    <cfRule type="duplicateValues" dxfId="138" priority="11"/>
  </conditionalFormatting>
  <conditionalFormatting sqref="B16">
    <cfRule type="duplicateValues" dxfId="137" priority="54"/>
  </conditionalFormatting>
  <conditionalFormatting sqref="B20:B64">
    <cfRule type="duplicateValues" dxfId="136" priority="55"/>
  </conditionalFormatting>
  <conditionalFormatting sqref="B21:B64">
    <cfRule type="duplicateValues" dxfId="135" priority="56"/>
  </conditionalFormatting>
  <conditionalFormatting sqref="B64 B43:B44 B56:B57">
    <cfRule type="duplicateValues" dxfId="134" priority="57"/>
  </conditionalFormatting>
  <conditionalFormatting sqref="N20:N64">
    <cfRule type="duplicateValues" dxfId="133" priority="58"/>
  </conditionalFormatting>
  <conditionalFormatting sqref="N51:N64">
    <cfRule type="duplicateValues" dxfId="132" priority="59"/>
  </conditionalFormatting>
  <conditionalFormatting sqref="N154:N177">
    <cfRule type="duplicateValues" dxfId="131" priority="60"/>
    <cfRule type="duplicateValues" dxfId="130" priority="61"/>
  </conditionalFormatting>
  <conditionalFormatting sqref="N154:N164">
    <cfRule type="duplicateValues" dxfId="129" priority="62"/>
    <cfRule type="duplicateValues" dxfId="128" priority="63"/>
  </conditionalFormatting>
  <conditionalFormatting sqref="B18">
    <cfRule type="duplicateValues" dxfId="127" priority="64"/>
  </conditionalFormatting>
  <conditionalFormatting sqref="B17:B18">
    <cfRule type="duplicateValues" dxfId="126" priority="65"/>
  </conditionalFormatting>
  <conditionalFormatting sqref="B6:B9">
    <cfRule type="duplicateValues" dxfId="125" priority="657"/>
  </conditionalFormatting>
  <conditionalFormatting sqref="N21:N24 N27:N33 N35 N37:N50">
    <cfRule type="duplicateValues" dxfId="124" priority="673"/>
  </conditionalFormatting>
  <conditionalFormatting sqref="B11:B14">
    <cfRule type="duplicateValues" dxfId="123" priority="688"/>
  </conditionalFormatting>
  <printOptions horizontalCentered="1" verticalCentered="1"/>
  <pageMargins left="0.19685039370078741" right="0.19685039370078741" top="0.19685039370078741" bottom="0.19685039370078741" header="0.31496062992125984" footer="0.31496062992125984"/>
  <pageSetup paperSize="14" scale="10" fitToHeight="0" orientation="landscape" horizontalDpi="360" verticalDpi="360" r:id="rId1"/>
  <rowBreaks count="6" manualBreakCount="6">
    <brk id="18" min="1" max="25" man="1"/>
    <brk id="178" min="1" max="25" man="1"/>
    <brk id="194" min="1" max="25" man="1"/>
    <brk id="206" min="1" max="25" man="1"/>
    <brk id="218" min="1" max="25" man="1"/>
    <brk id="224" min="1" max="25"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9C52B-862A-4CC1-9593-55E2FAB4CE44}">
  <dimension ref="A1:AZ255"/>
  <sheetViews>
    <sheetView workbookViewId="0"/>
  </sheetViews>
  <sheetFormatPr defaultColWidth="9" defaultRowHeight="32.5" x14ac:dyDescent="0.25"/>
  <cols>
    <col min="1" max="1" width="26.453125" style="128" customWidth="1"/>
    <col min="2" max="3" width="76.54296875" style="128" customWidth="1"/>
    <col min="4" max="4" width="51.90625" style="128" bestFit="1" customWidth="1"/>
    <col min="5" max="5" width="95.54296875" style="132" bestFit="1" customWidth="1"/>
    <col min="6" max="7" width="55.54296875" style="132" customWidth="1"/>
    <col min="8" max="8" width="72.90625" style="132" bestFit="1" customWidth="1"/>
    <col min="9" max="9" width="46.453125" style="128" bestFit="1" customWidth="1"/>
    <col min="10" max="13" width="55.54296875" style="128" customWidth="1"/>
    <col min="14" max="14" width="46.453125" style="128" bestFit="1" customWidth="1"/>
    <col min="15" max="15" width="74.6328125" style="128" bestFit="1" customWidth="1"/>
    <col min="16" max="16" width="77.90625" style="128" bestFit="1" customWidth="1"/>
    <col min="17" max="17" width="80.6328125" style="128" customWidth="1"/>
    <col min="18" max="18" width="65.36328125" style="128" customWidth="1"/>
    <col min="19" max="19" width="126.453125" style="128" customWidth="1"/>
    <col min="20" max="21" width="58.26953125" style="128" customWidth="1"/>
    <col min="22" max="22" width="51.90625" style="128" customWidth="1"/>
    <col min="23" max="23" width="73.81640625" style="132" customWidth="1"/>
    <col min="24" max="25" width="58.26953125" style="132" customWidth="1"/>
    <col min="26" max="26" width="55.54296875" style="128" bestFit="1" customWidth="1"/>
    <col min="27" max="36" width="9" style="128"/>
    <col min="37" max="37" width="8.7265625" style="128" customWidth="1"/>
    <col min="38" max="16384" width="9" style="128"/>
  </cols>
  <sheetData>
    <row r="1" spans="2:26" ht="88.5" x14ac:dyDescent="0.25">
      <c r="B1" s="1087" t="s">
        <v>539</v>
      </c>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9"/>
    </row>
    <row r="2" spans="2:26" ht="89" thickBot="1" x14ac:dyDescent="0.3">
      <c r="B2" s="1090" t="s">
        <v>554</v>
      </c>
      <c r="C2" s="1091"/>
      <c r="D2" s="1091"/>
      <c r="E2" s="1091"/>
      <c r="F2" s="1091"/>
      <c r="G2" s="1091"/>
      <c r="H2" s="1091"/>
      <c r="I2" s="1091"/>
      <c r="J2" s="1091"/>
      <c r="K2" s="1091"/>
      <c r="L2" s="1137"/>
      <c r="M2" s="1137"/>
      <c r="N2" s="1137"/>
      <c r="O2" s="1091"/>
      <c r="P2" s="1091"/>
      <c r="Q2" s="1091"/>
      <c r="R2" s="1091"/>
      <c r="S2" s="1091"/>
      <c r="T2" s="1091"/>
      <c r="U2" s="1091"/>
      <c r="V2" s="1091"/>
      <c r="W2" s="1091"/>
      <c r="X2" s="1091"/>
      <c r="Y2" s="1091"/>
      <c r="Z2" s="1092"/>
    </row>
    <row r="3" spans="2:26" s="129" customFormat="1" ht="117.5" customHeight="1" x14ac:dyDescent="0.25">
      <c r="B3" s="1093" t="s">
        <v>38</v>
      </c>
      <c r="C3" s="1070"/>
      <c r="D3" s="1071" t="s">
        <v>39</v>
      </c>
      <c r="E3" s="1071" t="s">
        <v>32</v>
      </c>
      <c r="F3" s="1094" t="s">
        <v>11</v>
      </c>
      <c r="G3" s="1070"/>
      <c r="H3" s="1071" t="s">
        <v>59</v>
      </c>
      <c r="I3" s="1071" t="s">
        <v>21</v>
      </c>
      <c r="J3" s="1095" t="s">
        <v>9</v>
      </c>
      <c r="K3" s="1138"/>
      <c r="L3" s="1095" t="s">
        <v>8</v>
      </c>
      <c r="M3" s="1138"/>
      <c r="N3" s="1237" t="s">
        <v>7</v>
      </c>
      <c r="O3" s="1070" t="s">
        <v>36</v>
      </c>
      <c r="P3" s="1071" t="s">
        <v>37</v>
      </c>
      <c r="Q3" s="1071" t="s">
        <v>45</v>
      </c>
      <c r="R3" s="1071" t="s">
        <v>10</v>
      </c>
      <c r="S3" s="1071" t="s">
        <v>62</v>
      </c>
      <c r="T3" s="1094" t="s">
        <v>35</v>
      </c>
      <c r="U3" s="1070"/>
      <c r="V3" s="1094" t="s">
        <v>60</v>
      </c>
      <c r="W3" s="1094" t="s">
        <v>61</v>
      </c>
      <c r="X3" s="1095" t="s">
        <v>63</v>
      </c>
      <c r="Y3" s="1096"/>
      <c r="Z3" s="1099" t="s">
        <v>43</v>
      </c>
    </row>
    <row r="4" spans="2:26" s="129" customFormat="1" ht="117.5" customHeight="1" x14ac:dyDescent="0.25">
      <c r="B4" s="1093"/>
      <c r="C4" s="1070"/>
      <c r="D4" s="1071"/>
      <c r="E4" s="1071"/>
      <c r="F4" s="1094"/>
      <c r="G4" s="1070"/>
      <c r="H4" s="1071"/>
      <c r="I4" s="1071"/>
      <c r="J4" s="1097"/>
      <c r="K4" s="1139"/>
      <c r="L4" s="1097"/>
      <c r="M4" s="1139"/>
      <c r="N4" s="1238"/>
      <c r="O4" s="1070"/>
      <c r="P4" s="1071"/>
      <c r="Q4" s="1071"/>
      <c r="R4" s="1071"/>
      <c r="S4" s="1071"/>
      <c r="T4" s="1094"/>
      <c r="U4" s="1070"/>
      <c r="V4" s="1094"/>
      <c r="W4" s="1094"/>
      <c r="X4" s="1097"/>
      <c r="Y4" s="1098"/>
      <c r="Z4" s="1099"/>
    </row>
    <row r="5" spans="2:26" ht="90" x14ac:dyDescent="0.25">
      <c r="B5" s="1067" t="s">
        <v>26</v>
      </c>
      <c r="C5" s="1068"/>
      <c r="D5" s="1068"/>
      <c r="E5" s="1068"/>
      <c r="F5" s="1068"/>
      <c r="G5" s="1068"/>
      <c r="H5" s="1068"/>
      <c r="I5" s="1068"/>
      <c r="J5" s="1068"/>
      <c r="K5" s="1068"/>
      <c r="L5" s="1068"/>
      <c r="M5" s="1068"/>
      <c r="N5" s="1068"/>
      <c r="O5" s="1068"/>
      <c r="P5" s="1068"/>
      <c r="Q5" s="1068"/>
      <c r="R5" s="1068"/>
      <c r="S5" s="1068"/>
      <c r="T5" s="1068"/>
      <c r="U5" s="1068"/>
      <c r="V5" s="1068"/>
      <c r="W5" s="1068"/>
      <c r="X5" s="1068"/>
      <c r="Y5" s="1068"/>
      <c r="Z5" s="1069"/>
    </row>
    <row r="6" spans="2:26" s="350" customFormat="1" ht="276" x14ac:dyDescent="0.25">
      <c r="B6" s="1085" t="str">
        <f>input!C102</f>
        <v>FERNANDEZ, CURY-JACOB M.</v>
      </c>
      <c r="C6" s="1086"/>
      <c r="D6" s="305">
        <f>input!D102</f>
        <v>1622</v>
      </c>
      <c r="E6" s="305" t="str">
        <f>input!E102</f>
        <v>Lead Miner</v>
      </c>
      <c r="F6" s="1077" t="str">
        <f>input!F102</f>
        <v>Over-Exertion in Handling or Throwing Objects</v>
      </c>
      <c r="G6" s="1078"/>
      <c r="H6" s="305" t="str">
        <f>input!G102</f>
        <v>Loading Bay</v>
      </c>
      <c r="I6" s="305" t="str">
        <f>input!H102</f>
        <v>900L</v>
      </c>
      <c r="J6" s="1079">
        <f>input!I102</f>
        <v>46204</v>
      </c>
      <c r="K6" s="1080"/>
      <c r="L6" s="1126">
        <f>input!J102</f>
        <v>0.92361111111111116</v>
      </c>
      <c r="M6" s="1126"/>
      <c r="N6" s="392" t="str">
        <f>input!K102</f>
        <v>Third</v>
      </c>
      <c r="O6" s="352" t="str">
        <f>input!L102</f>
        <v>Venancio A. Bad-ay</v>
      </c>
      <c r="P6" s="352" t="str">
        <f>input!M102</f>
        <v>Mariel T. Ayong</v>
      </c>
      <c r="Q6" s="352" t="str">
        <f>input!N102</f>
        <v>Leonard K. Fawayan</v>
      </c>
      <c r="R6" s="352" t="str">
        <f>input!O102</f>
        <v>OI</v>
      </c>
      <c r="S6" s="352" t="str">
        <f>input!P102</f>
        <v>Loading of ore to the mine cars at 195 loading bay.</v>
      </c>
      <c r="T6" s="1083" t="str">
        <f>input!Q102</f>
        <v>WLT</v>
      </c>
      <c r="U6" s="1084"/>
      <c r="V6" s="305" t="str">
        <f>input!R102</f>
        <v>MOG</v>
      </c>
      <c r="W6" s="305" t="str">
        <f>input!S102</f>
        <v>Dept. 1</v>
      </c>
      <c r="X6" s="1077" t="str">
        <f>input!T102</f>
        <v>Section 2</v>
      </c>
      <c r="Y6" s="1078"/>
      <c r="Z6" s="353" t="s">
        <v>232</v>
      </c>
    </row>
    <row r="7" spans="2:26" s="350" customFormat="1" ht="276" customHeight="1" x14ac:dyDescent="0.25">
      <c r="B7" s="1085" t="str">
        <f>input!C103</f>
        <v xml:space="preserve">PATINDO, DARWIN L. </v>
      </c>
      <c r="C7" s="1086"/>
      <c r="D7" s="305">
        <f>input!D103</f>
        <v>7873</v>
      </c>
      <c r="E7" s="305" t="str">
        <f>input!E103</f>
        <v>Lead Miner</v>
      </c>
      <c r="F7" s="1077" t="str">
        <f>input!F103</f>
        <v>Struck by Object</v>
      </c>
      <c r="G7" s="1078"/>
      <c r="H7" s="305" t="str">
        <f>input!G103</f>
        <v>Mainline / Access</v>
      </c>
      <c r="I7" s="305" t="str">
        <f>input!H103</f>
        <v>840L</v>
      </c>
      <c r="J7" s="1079">
        <f>input!I103</f>
        <v>46208</v>
      </c>
      <c r="K7" s="1080"/>
      <c r="L7" s="1126">
        <f>input!J103</f>
        <v>0.5</v>
      </c>
      <c r="M7" s="1126"/>
      <c r="N7" s="392" t="str">
        <f>input!K103</f>
        <v>First</v>
      </c>
      <c r="O7" s="352" t="str">
        <f>input!L103</f>
        <v>Venancio A. Bad-ay</v>
      </c>
      <c r="P7" s="352" t="str">
        <f>input!M103</f>
        <v>Dimas S. Gao-ay</v>
      </c>
      <c r="Q7" s="352" t="str">
        <f>input!N103</f>
        <v>Efren L. Mangamti</v>
      </c>
      <c r="R7" s="352" t="str">
        <f>input!O103</f>
        <v>FAC</v>
      </c>
      <c r="S7" s="352" t="str">
        <f>input!P103</f>
        <v>Repairing a sagging 2 inch compressed air line at 260 I Decline</v>
      </c>
      <c r="T7" s="1083" t="str">
        <f>input!Q103</f>
        <v>MAT</v>
      </c>
      <c r="U7" s="1084"/>
      <c r="V7" s="305" t="str">
        <f>input!R103</f>
        <v>MOG</v>
      </c>
      <c r="W7" s="305" t="str">
        <f>input!S103</f>
        <v>Dept. 1</v>
      </c>
      <c r="X7" s="1077" t="str">
        <f>input!T103</f>
        <v>Section 1</v>
      </c>
      <c r="Y7" s="1078"/>
      <c r="Z7" s="353" t="s">
        <v>232</v>
      </c>
    </row>
    <row r="8" spans="2:26" s="350" customFormat="1" ht="276" customHeight="1" x14ac:dyDescent="0.25">
      <c r="B8" s="1085" t="str">
        <f>input!C104</f>
        <v>DAYAWON, MARK SHINK T.</v>
      </c>
      <c r="C8" s="1086"/>
      <c r="D8" s="305">
        <f>input!D104</f>
        <v>9554</v>
      </c>
      <c r="E8" s="305" t="str">
        <f>input!E104</f>
        <v>Assistant Miner</v>
      </c>
      <c r="F8" s="1077" t="str">
        <f>input!F104</f>
        <v>Punctured</v>
      </c>
      <c r="G8" s="1078"/>
      <c r="H8" s="305" t="str">
        <f>input!G104</f>
        <v>Stope</v>
      </c>
      <c r="I8" s="305" t="str">
        <f>input!H104</f>
        <v>830L</v>
      </c>
      <c r="J8" s="1079">
        <f>input!I104</f>
        <v>46210</v>
      </c>
      <c r="K8" s="1080"/>
      <c r="L8" s="1126">
        <f>input!J104</f>
        <v>0.47916666666666669</v>
      </c>
      <c r="M8" s="1126"/>
      <c r="N8" s="392" t="str">
        <f>input!K104</f>
        <v>Second</v>
      </c>
      <c r="O8" s="352" t="str">
        <f>input!L104</f>
        <v>Venancio A. Bad-ay</v>
      </c>
      <c r="P8" s="352" t="str">
        <f>input!M104</f>
        <v>Dimas S. Gao-ay</v>
      </c>
      <c r="Q8" s="352" t="str">
        <f>input!N104</f>
        <v>N/A</v>
      </c>
      <c r="R8" s="352" t="str">
        <f>input!O104</f>
        <v>FAC</v>
      </c>
      <c r="S8" s="352" t="str">
        <f>input!P104</f>
        <v>Timbering Activity</v>
      </c>
      <c r="T8" s="1083" t="str">
        <f>input!Q104</f>
        <v>WLT</v>
      </c>
      <c r="U8" s="1084"/>
      <c r="V8" s="305" t="str">
        <f>input!R104</f>
        <v>MOG</v>
      </c>
      <c r="W8" s="305" t="str">
        <f>input!S104</f>
        <v>Dept. 1</v>
      </c>
      <c r="X8" s="1077" t="str">
        <f>input!T104</f>
        <v>Section 1</v>
      </c>
      <c r="Y8" s="1078"/>
      <c r="Z8" s="353" t="s">
        <v>232</v>
      </c>
    </row>
    <row r="9" spans="2:26" s="350" customFormat="1" ht="276" x14ac:dyDescent="0.25">
      <c r="B9" s="1085" t="str">
        <f>input!C105</f>
        <v xml:space="preserve">BUSELEY, ISRAEL M. </v>
      </c>
      <c r="C9" s="1086"/>
      <c r="D9" s="305">
        <f>input!D105</f>
        <v>7140</v>
      </c>
      <c r="E9" s="305" t="str">
        <f>input!E105</f>
        <v>Shiftboss</v>
      </c>
      <c r="F9" s="1077" t="str">
        <f>input!F105</f>
        <v>Caught in Between</v>
      </c>
      <c r="G9" s="1078"/>
      <c r="H9" s="305" t="str">
        <f>input!G105</f>
        <v>Mainline / Access</v>
      </c>
      <c r="I9" s="305" t="str">
        <f>input!H105</f>
        <v>900L</v>
      </c>
      <c r="J9" s="1079">
        <f>input!I105</f>
        <v>46211</v>
      </c>
      <c r="K9" s="1080"/>
      <c r="L9" s="1126">
        <f>input!J105</f>
        <v>0.75</v>
      </c>
      <c r="M9" s="1126"/>
      <c r="N9" s="392" t="str">
        <f>input!K105</f>
        <v>Third</v>
      </c>
      <c r="O9" s="352" t="str">
        <f>input!L105</f>
        <v>Jayson T. Capia-ao</v>
      </c>
      <c r="P9" s="352" t="str">
        <f>input!M105</f>
        <v>Randolf O. Anongos</v>
      </c>
      <c r="Q9" s="352" t="str">
        <f>input!N105</f>
        <v>N/A</v>
      </c>
      <c r="R9" s="352" t="str">
        <f>input!O105</f>
        <v>FAC</v>
      </c>
      <c r="S9" s="352" t="str">
        <f>input!P105</f>
        <v>Unloading and stacking of salvage track ties</v>
      </c>
      <c r="T9" s="1083" t="str">
        <f>input!Q105</f>
        <v>N/A</v>
      </c>
      <c r="U9" s="1084"/>
      <c r="V9" s="305" t="str">
        <f>input!R105</f>
        <v>MOG</v>
      </c>
      <c r="W9" s="305" t="str">
        <f>input!S105</f>
        <v>GMS</v>
      </c>
      <c r="X9" s="1077" t="str">
        <f>input!T105</f>
        <v>Main Haulage / Drift &amp; Track Maintenance</v>
      </c>
      <c r="Y9" s="1078"/>
      <c r="Z9" s="353" t="s">
        <v>232</v>
      </c>
    </row>
    <row r="10" spans="2:26" s="350" customFormat="1" ht="276" x14ac:dyDescent="0.25">
      <c r="B10" s="1085" t="str">
        <f>input!C106</f>
        <v xml:space="preserve">PEROLINO, LEONITO A. </v>
      </c>
      <c r="C10" s="1086"/>
      <c r="D10" s="305" t="str">
        <f>input!D106</f>
        <v>DDCP-236</v>
      </c>
      <c r="E10" s="305" t="str">
        <f>input!E106</f>
        <v>Drill Helper / Drilling Aide</v>
      </c>
      <c r="F10" s="1077" t="str">
        <f>input!F106</f>
        <v>Struck by Flying Object</v>
      </c>
      <c r="G10" s="1078"/>
      <c r="H10" s="305" t="str">
        <f>input!G106</f>
        <v>Cuddy</v>
      </c>
      <c r="I10" s="305" t="str">
        <f>input!H106</f>
        <v>830L</v>
      </c>
      <c r="J10" s="1079">
        <f>input!I106</f>
        <v>46216</v>
      </c>
      <c r="K10" s="1080"/>
      <c r="L10" s="1126">
        <f>input!J106</f>
        <v>0.13541666666666666</v>
      </c>
      <c r="M10" s="1126"/>
      <c r="N10" s="392" t="str">
        <f>input!K106</f>
        <v>First</v>
      </c>
      <c r="O10" s="352" t="str">
        <f>input!L106</f>
        <v>DDCP - Allan R. Domalsin</v>
      </c>
      <c r="P10" s="352" t="str">
        <f>input!M106</f>
        <v>N/A</v>
      </c>
      <c r="Q10" s="352" t="str">
        <f>input!N106</f>
        <v>DDCP - Allan Kitma</v>
      </c>
      <c r="R10" s="352" t="str">
        <f>input!O106</f>
        <v>FAC</v>
      </c>
      <c r="S10" s="352" t="str">
        <f>input!P106</f>
        <v>Manual excavation and clearing of soil/rock</v>
      </c>
      <c r="T10" s="1083" t="str">
        <f>input!Q106</f>
        <v>WLT/SAU</v>
      </c>
      <c r="U10" s="1084"/>
      <c r="V10" s="305" t="str">
        <f>input!R106</f>
        <v>MOG</v>
      </c>
      <c r="W10" s="305" t="str">
        <f>input!S106</f>
        <v>DDCP</v>
      </c>
      <c r="X10" s="1077" t="str">
        <f>input!T106</f>
        <v>Contracts</v>
      </c>
      <c r="Y10" s="1078"/>
      <c r="Z10" s="353" t="s">
        <v>232</v>
      </c>
    </row>
    <row r="11" spans="2:26" s="350" customFormat="1" ht="276" x14ac:dyDescent="0.25">
      <c r="B11" s="1085" t="str">
        <f>input!C107</f>
        <v xml:space="preserve">PABLO, SATURNINO D. </v>
      </c>
      <c r="C11" s="1086"/>
      <c r="D11" s="305" t="str">
        <f>input!D107</f>
        <v>DDCP-18</v>
      </c>
      <c r="E11" s="305" t="str">
        <f>input!E107</f>
        <v>Drill Helper / Drilling Aide</v>
      </c>
      <c r="F11" s="1077" t="str">
        <f>input!F107</f>
        <v>Struck by Flying Object</v>
      </c>
      <c r="G11" s="1078"/>
      <c r="H11" s="305" t="str">
        <f>input!G107</f>
        <v>Cuddy</v>
      </c>
      <c r="I11" s="305" t="str">
        <f>input!H107</f>
        <v>830L</v>
      </c>
      <c r="J11" s="1079">
        <f>input!I107</f>
        <v>46216</v>
      </c>
      <c r="K11" s="1080"/>
      <c r="L11" s="1126">
        <f>input!J107</f>
        <v>0.13541666666666666</v>
      </c>
      <c r="M11" s="1126"/>
      <c r="N11" s="392" t="str">
        <f>input!K107</f>
        <v>First</v>
      </c>
      <c r="O11" s="352" t="str">
        <f>input!L107</f>
        <v>DDCP - Allan R. Domalsin</v>
      </c>
      <c r="P11" s="352" t="str">
        <f>input!M107</f>
        <v>N/A</v>
      </c>
      <c r="Q11" s="352" t="str">
        <f>input!N107</f>
        <v>DDCP - Allan Kitma</v>
      </c>
      <c r="R11" s="352" t="str">
        <f>input!O107</f>
        <v>FAC</v>
      </c>
      <c r="S11" s="352" t="str">
        <f>input!P107</f>
        <v>Manual excavation and clearing of soil/rock</v>
      </c>
      <c r="T11" s="1083" t="str">
        <f>input!Q107</f>
        <v>WLT/SAU</v>
      </c>
      <c r="U11" s="1084"/>
      <c r="V11" s="305" t="str">
        <f>input!R107</f>
        <v>MOG</v>
      </c>
      <c r="W11" s="305" t="str">
        <f>input!S107</f>
        <v>DDCP</v>
      </c>
      <c r="X11" s="1077" t="str">
        <f>input!T107</f>
        <v>Contracts</v>
      </c>
      <c r="Y11" s="1078"/>
      <c r="Z11" s="353" t="s">
        <v>232</v>
      </c>
    </row>
    <row r="12" spans="2:26" s="350" customFormat="1" ht="276" x14ac:dyDescent="0.25">
      <c r="B12" s="1085" t="str">
        <f>input!C108</f>
        <v xml:space="preserve">BANSON, JEFFERSON, B. </v>
      </c>
      <c r="C12" s="1086"/>
      <c r="D12" s="305" t="str">
        <f>input!D108</f>
        <v>DDCP-249</v>
      </c>
      <c r="E12" s="305" t="str">
        <f>input!E108</f>
        <v>Drill Helper / Drilling Aide</v>
      </c>
      <c r="F12" s="1077" t="str">
        <f>input!F108</f>
        <v>Struck by Flying Object</v>
      </c>
      <c r="G12" s="1078"/>
      <c r="H12" s="305" t="str">
        <f>input!G108</f>
        <v>Cuddy</v>
      </c>
      <c r="I12" s="305" t="str">
        <f>input!H108</f>
        <v>830L</v>
      </c>
      <c r="J12" s="1079">
        <f>input!I108</f>
        <v>46216</v>
      </c>
      <c r="K12" s="1080"/>
      <c r="L12" s="1126">
        <f>input!J108</f>
        <v>0.13541666666666666</v>
      </c>
      <c r="M12" s="1126"/>
      <c r="N12" s="392" t="str">
        <f>input!K108</f>
        <v>First</v>
      </c>
      <c r="O12" s="352" t="str">
        <f>input!L108</f>
        <v>DDCP - Allan R. Domalsin</v>
      </c>
      <c r="P12" s="352" t="str">
        <f>input!M108</f>
        <v>N/A</v>
      </c>
      <c r="Q12" s="352" t="str">
        <f>input!N108</f>
        <v>DDCP - Allan Kitma</v>
      </c>
      <c r="R12" s="352" t="str">
        <f>input!O108</f>
        <v>FAC</v>
      </c>
      <c r="S12" s="352" t="str">
        <f>input!P108</f>
        <v>Manual excavation and clearing of soil/rock</v>
      </c>
      <c r="T12" s="1083" t="str">
        <f>input!Q108</f>
        <v>WLT/SAU</v>
      </c>
      <c r="U12" s="1084"/>
      <c r="V12" s="305" t="str">
        <f>input!R108</f>
        <v>MOG</v>
      </c>
      <c r="W12" s="305" t="str">
        <f>input!S108</f>
        <v>DDCP</v>
      </c>
      <c r="X12" s="1077" t="str">
        <f>input!T108</f>
        <v>Contracts</v>
      </c>
      <c r="Y12" s="1078"/>
      <c r="Z12" s="353" t="s">
        <v>232</v>
      </c>
    </row>
    <row r="13" spans="2:26" s="350" customFormat="1" ht="184" customHeight="1" x14ac:dyDescent="0.25">
      <c r="B13" s="1085" t="str">
        <f>input!C109</f>
        <v>GAO-AY, DIMAS S.</v>
      </c>
      <c r="C13" s="1086"/>
      <c r="D13" s="305">
        <f>input!D109</f>
        <v>286</v>
      </c>
      <c r="E13" s="305" t="str">
        <f>input!E109</f>
        <v>Mine Foreman</v>
      </c>
      <c r="F13" s="1077" t="str">
        <f>input!F109</f>
        <v>Occupational Illness / Pain</v>
      </c>
      <c r="G13" s="1078"/>
      <c r="H13" s="305" t="str">
        <f>input!G109</f>
        <v>Mainline / Access</v>
      </c>
      <c r="I13" s="305" t="str">
        <f>input!H109</f>
        <v>900L</v>
      </c>
      <c r="J13" s="1079">
        <f>input!I109</f>
        <v>46216</v>
      </c>
      <c r="K13" s="1080"/>
      <c r="L13" s="1126">
        <f>input!J109</f>
        <v>0.54861111111111105</v>
      </c>
      <c r="M13" s="1126"/>
      <c r="N13" s="392" t="str">
        <f>input!K109</f>
        <v>Second</v>
      </c>
      <c r="O13" s="352" t="str">
        <f>input!L109</f>
        <v>Venancio A. Bad-ay</v>
      </c>
      <c r="P13" s="352" t="str">
        <f>input!M109</f>
        <v>Dimas S. Gao-ay</v>
      </c>
      <c r="Q13" s="352" t="str">
        <f>input!N109</f>
        <v>N/A</v>
      </c>
      <c r="R13" s="352" t="str">
        <f>input!O109</f>
        <v>OI</v>
      </c>
      <c r="S13" s="352" t="str">
        <f>input!P109</f>
        <v>Retreating/ Walking to 249 Station</v>
      </c>
      <c r="T13" s="1083" t="str">
        <f>input!Q109</f>
        <v>MAT</v>
      </c>
      <c r="U13" s="1084"/>
      <c r="V13" s="305" t="str">
        <f>input!R109</f>
        <v>MOG</v>
      </c>
      <c r="W13" s="305" t="str">
        <f>input!S109</f>
        <v>Dept. 1</v>
      </c>
      <c r="X13" s="1077" t="str">
        <f>input!T109</f>
        <v>Section 1</v>
      </c>
      <c r="Y13" s="1078"/>
      <c r="Z13" s="353" t="s">
        <v>232</v>
      </c>
    </row>
    <row r="14" spans="2:26" s="350" customFormat="1" ht="276" customHeight="1" x14ac:dyDescent="0.25">
      <c r="B14" s="1085" t="str">
        <f>input!C111</f>
        <v xml:space="preserve">MENDOZA, REGIE B. </v>
      </c>
      <c r="C14" s="1086"/>
      <c r="D14" s="305">
        <f>input!D111</f>
        <v>8648</v>
      </c>
      <c r="E14" s="305" t="str">
        <f>input!E111</f>
        <v>Assistant Miner</v>
      </c>
      <c r="F14" s="1077" t="str">
        <f>input!F111</f>
        <v>Punctured</v>
      </c>
      <c r="G14" s="1078"/>
      <c r="H14" s="305" t="str">
        <f>input!G111</f>
        <v>Sump</v>
      </c>
      <c r="I14" s="305" t="str">
        <f>input!H111</f>
        <v>830L</v>
      </c>
      <c r="J14" s="1079">
        <f>input!I111</f>
        <v>46224</v>
      </c>
      <c r="K14" s="1080"/>
      <c r="L14" s="1126">
        <f>input!J111</f>
        <v>0.41666666666666669</v>
      </c>
      <c r="M14" s="1126"/>
      <c r="N14" s="392" t="str">
        <f>input!K111</f>
        <v>Second</v>
      </c>
      <c r="O14" s="352" t="str">
        <f>input!L111</f>
        <v>Venancio A. Bad-ay</v>
      </c>
      <c r="P14" s="352" t="str">
        <f>input!M111</f>
        <v>Reynaldo P. Kiking</v>
      </c>
      <c r="Q14" s="352" t="str">
        <f>input!N111</f>
        <v>Lambert I. Domogen Jr.</v>
      </c>
      <c r="R14" s="352" t="str">
        <f>input!O111</f>
        <v>FAC</v>
      </c>
      <c r="S14" s="352" t="str">
        <f>input!P111</f>
        <v>Installation of Pump</v>
      </c>
      <c r="T14" s="1083" t="str">
        <f>input!Q111</f>
        <v>EAR/JAW/DAM/AOV/HMBR</v>
      </c>
      <c r="U14" s="1084"/>
      <c r="V14" s="305" t="str">
        <f>input!R111</f>
        <v>MOG</v>
      </c>
      <c r="W14" s="305" t="str">
        <f>input!S111</f>
        <v>Dept. 2</v>
      </c>
      <c r="X14" s="1077" t="str">
        <f>input!T111</f>
        <v>Section 6</v>
      </c>
      <c r="Y14" s="1078"/>
      <c r="Z14" s="353" t="s">
        <v>48</v>
      </c>
    </row>
    <row r="15" spans="2:26" s="350" customFormat="1" ht="276" customHeight="1" x14ac:dyDescent="0.25">
      <c r="B15" s="1085" t="str">
        <f>input!C112</f>
        <v xml:space="preserve">AMBUGAWON, MARVIN A. </v>
      </c>
      <c r="C15" s="1086"/>
      <c r="D15" s="305">
        <f>input!D112</f>
        <v>7693</v>
      </c>
      <c r="E15" s="305" t="str">
        <f>input!E112</f>
        <v>Shaftman</v>
      </c>
      <c r="F15" s="1077" t="str">
        <f>input!F112</f>
        <v>Eye Contact with Foreign Object</v>
      </c>
      <c r="G15" s="1078"/>
      <c r="H15" s="305" t="str">
        <f>input!G112</f>
        <v>670L Dewatering</v>
      </c>
      <c r="I15" s="305" t="str">
        <f>input!H112</f>
        <v>670L</v>
      </c>
      <c r="J15" s="1079">
        <f>input!I112</f>
        <v>46225</v>
      </c>
      <c r="K15" s="1080"/>
      <c r="L15" s="1126">
        <f>input!J112</f>
        <v>0.875</v>
      </c>
      <c r="M15" s="1126"/>
      <c r="N15" s="392" t="str">
        <f>input!K112</f>
        <v>Third</v>
      </c>
      <c r="O15" s="352" t="str">
        <f>input!L112</f>
        <v>Jayson T. Capia-ao</v>
      </c>
      <c r="P15" s="352" t="str">
        <f>input!M112</f>
        <v>Edie S. Pacsay</v>
      </c>
      <c r="Q15" s="352" t="str">
        <f>input!N112</f>
        <v>N/A</v>
      </c>
      <c r="R15" s="352" t="str">
        <f>input!O112</f>
        <v>FAC</v>
      </c>
      <c r="S15" s="352" t="str">
        <f>input!P112</f>
        <v>Lifting of Pump</v>
      </c>
      <c r="T15" s="1083" t="str">
        <f>input!Q112</f>
        <v>FPP/WLT</v>
      </c>
      <c r="U15" s="1084"/>
      <c r="V15" s="305" t="str">
        <f>input!R112</f>
        <v>MOG</v>
      </c>
      <c r="W15" s="305" t="str">
        <f>input!S112</f>
        <v>GMS</v>
      </c>
      <c r="X15" s="1077" t="str">
        <f>input!T112</f>
        <v>Tubo Shaft Operation / 670L Pumping</v>
      </c>
      <c r="Y15" s="1078"/>
      <c r="Z15" s="353" t="s">
        <v>2054</v>
      </c>
    </row>
    <row r="16" spans="2:26" ht="90" x14ac:dyDescent="0.25">
      <c r="B16" s="1072" t="s">
        <v>2165</v>
      </c>
      <c r="C16" s="1073"/>
      <c r="D16" s="1073"/>
      <c r="E16" s="1073"/>
      <c r="F16" s="1073"/>
      <c r="G16" s="1073"/>
      <c r="H16" s="1073"/>
      <c r="I16" s="1073"/>
      <c r="J16" s="1073"/>
      <c r="K16" s="1073"/>
      <c r="L16" s="1073"/>
      <c r="M16" s="1073"/>
      <c r="N16" s="1073"/>
      <c r="O16" s="1073"/>
      <c r="P16" s="1073"/>
      <c r="Q16" s="1073"/>
      <c r="R16" s="1073"/>
      <c r="S16" s="1073"/>
      <c r="T16" s="1073"/>
      <c r="U16" s="1073"/>
      <c r="V16" s="1073"/>
      <c r="W16" s="1073"/>
      <c r="X16" s="1073"/>
      <c r="Y16" s="1073"/>
      <c r="Z16" s="1074"/>
    </row>
    <row r="17" spans="1:26" ht="368" x14ac:dyDescent="0.25">
      <c r="A17" s="350"/>
      <c r="B17" s="1075" t="str">
        <f>input!C115</f>
        <v>DION CLINTON S. DACANAY</v>
      </c>
      <c r="C17" s="1076"/>
      <c r="D17" s="305">
        <f>input!D115</f>
        <v>9041</v>
      </c>
      <c r="E17" s="305" t="str">
        <f>input!E115</f>
        <v>Crusher Operator</v>
      </c>
      <c r="F17" s="1077" t="str">
        <f>input!F115</f>
        <v>Struck by Object</v>
      </c>
      <c r="G17" s="1078"/>
      <c r="H17" s="305" t="str">
        <f>input!G115</f>
        <v>Cone Crusher Conveyor Feed</v>
      </c>
      <c r="I17" s="305" t="str">
        <f>input!H115</f>
        <v>S (N/A)</v>
      </c>
      <c r="J17" s="1079">
        <f>input!I115</f>
        <v>46211</v>
      </c>
      <c r="K17" s="1080"/>
      <c r="L17" s="1126">
        <f>input!J115</f>
        <v>0.46875</v>
      </c>
      <c r="M17" s="1126"/>
      <c r="N17" s="392" t="str">
        <f>input!K115</f>
        <v>Second</v>
      </c>
      <c r="O17" s="351" t="str">
        <f>input!L115</f>
        <v>Dexter B. Arevalo</v>
      </c>
      <c r="P17" s="351" t="str">
        <f>input!M115</f>
        <v>N/A</v>
      </c>
      <c r="Q17" s="351" t="str">
        <f>input!N115</f>
        <v>Dominador B. Dampilag</v>
      </c>
      <c r="R17" s="351" t="str">
        <f>input!O115</f>
        <v>FAC</v>
      </c>
      <c r="S17" s="351" t="str">
        <f>input!P115</f>
        <v>Barring down stuck mud.</v>
      </c>
      <c r="T17" s="1083" t="str">
        <f>input!Q115</f>
        <v>MBK</v>
      </c>
      <c r="U17" s="1084"/>
      <c r="V17" s="305" t="str">
        <f>input!R115</f>
        <v>MPG</v>
      </c>
      <c r="W17" s="305" t="str">
        <f>input!S115</f>
        <v>Mill Operations</v>
      </c>
      <c r="X17" s="1077" t="str">
        <f>input!T115</f>
        <v>Crushing &amp; Grinding</v>
      </c>
      <c r="Y17" s="1078"/>
      <c r="Z17" s="353" t="str">
        <f>input!U115</f>
        <v>MAT</v>
      </c>
    </row>
    <row r="18" spans="1:26" ht="184" customHeight="1" x14ac:dyDescent="0.25">
      <c r="A18" s="350"/>
      <c r="B18" s="1075" t="str">
        <f>input!C116</f>
        <v>JERRY CROSS N. GONZALES</v>
      </c>
      <c r="C18" s="1076"/>
      <c r="D18" s="305">
        <f>input!D116</f>
        <v>9788</v>
      </c>
      <c r="E18" s="305" t="str">
        <f>input!E116</f>
        <v>Mill Operations Aide</v>
      </c>
      <c r="F18" s="1077" t="str">
        <f>input!F116</f>
        <v>Eye Contact with Foreign Object</v>
      </c>
      <c r="G18" s="1078"/>
      <c r="H18" s="305" t="str">
        <f>input!G116</f>
        <v>CIP - ILR</v>
      </c>
      <c r="I18" s="305" t="str">
        <f>input!H116</f>
        <v>S (N/A)</v>
      </c>
      <c r="J18" s="1079">
        <f>input!I116</f>
        <v>46220</v>
      </c>
      <c r="K18" s="1080"/>
      <c r="L18" s="1126">
        <f>input!J116</f>
        <v>0.5625</v>
      </c>
      <c r="M18" s="1126"/>
      <c r="N18" s="392" t="str">
        <f>input!K116</f>
        <v>Second</v>
      </c>
      <c r="O18" s="351" t="str">
        <f>input!L116</f>
        <v>Dexter B. Arevalo</v>
      </c>
      <c r="P18" s="351" t="str">
        <f>input!M116</f>
        <v>N/A</v>
      </c>
      <c r="Q18" s="351" t="str">
        <f>input!N116</f>
        <v>Ruben L. Gorero</v>
      </c>
      <c r="R18" s="351" t="str">
        <f>input!O116</f>
        <v>FAC</v>
      </c>
      <c r="S18" s="351" t="str">
        <f>input!P116</f>
        <v>Cleaning activity inside the recirculation tank.</v>
      </c>
      <c r="T18" s="1083" t="str">
        <f>input!Q116</f>
        <v>MBM</v>
      </c>
      <c r="U18" s="1084"/>
      <c r="V18" s="305" t="str">
        <f>input!R116</f>
        <v>MPG</v>
      </c>
      <c r="W18" s="305" t="str">
        <f>input!S116</f>
        <v>Mill Operations</v>
      </c>
      <c r="X18" s="1077" t="str">
        <f>input!T116</f>
        <v>CIP</v>
      </c>
      <c r="Y18" s="1078"/>
      <c r="Z18" s="353" t="str">
        <f>input!U116</f>
        <v>MAT</v>
      </c>
    </row>
    <row r="19" spans="1:26" ht="184" customHeight="1" x14ac:dyDescent="0.25">
      <c r="A19" s="350"/>
      <c r="B19" s="1075" t="str">
        <f>input!C117</f>
        <v>PAUL B. DAMOSLOG</v>
      </c>
      <c r="C19" s="1076"/>
      <c r="D19" s="305">
        <f>input!D117</f>
        <v>7037</v>
      </c>
      <c r="E19" s="305" t="str">
        <f>input!E117</f>
        <v>Head Nurse</v>
      </c>
      <c r="F19" s="1077" t="str">
        <f>input!F117</f>
        <v>Punctured</v>
      </c>
      <c r="G19" s="1078"/>
      <c r="H19" s="305" t="str">
        <f>input!G117</f>
        <v>LMD Hospital</v>
      </c>
      <c r="I19" s="305" t="str">
        <f>input!H117</f>
        <v>S (N/A)</v>
      </c>
      <c r="J19" s="1079">
        <f>input!I117</f>
        <v>46230</v>
      </c>
      <c r="K19" s="1080"/>
      <c r="L19" s="1126">
        <f>input!J117</f>
        <v>8.3333333333333329E-2</v>
      </c>
      <c r="M19" s="1126"/>
      <c r="N19" s="392" t="str">
        <f>input!K117</f>
        <v>First</v>
      </c>
      <c r="O19" s="351" t="str">
        <f>input!L117</f>
        <v>Zerubabel D. Pateña</v>
      </c>
      <c r="P19" s="351" t="str">
        <f>input!M117</f>
        <v>Florence S. Sayson</v>
      </c>
      <c r="Q19" s="351" t="str">
        <f>input!N117</f>
        <v>N/A</v>
      </c>
      <c r="R19" s="351" t="str">
        <f>input!O117</f>
        <v>FAC</v>
      </c>
      <c r="S19" s="351" t="str">
        <f>input!P117</f>
        <v>IV Insertion to a patient.</v>
      </c>
      <c r="T19" s="1083" t="str">
        <f>input!Q117</f>
        <v>RML</v>
      </c>
      <c r="U19" s="1084"/>
      <c r="V19" s="305" t="str">
        <f>input!R117</f>
        <v>ASG</v>
      </c>
      <c r="W19" s="305" t="str">
        <f>input!S117</f>
        <v>Medical Services</v>
      </c>
      <c r="X19" s="1077" t="str">
        <f>input!T117</f>
        <v>Nurse</v>
      </c>
      <c r="Y19" s="1078"/>
      <c r="Z19" s="353" t="str">
        <f>input!U117</f>
        <v>MAT</v>
      </c>
    </row>
    <row r="20" spans="1:26" ht="90" customHeight="1" x14ac:dyDescent="0.25">
      <c r="B20" s="1072" t="s">
        <v>80</v>
      </c>
      <c r="C20" s="1073"/>
      <c r="D20" s="1073"/>
      <c r="E20" s="1073"/>
      <c r="F20" s="1073"/>
      <c r="G20" s="1073"/>
      <c r="H20" s="1073"/>
      <c r="I20" s="1073"/>
      <c r="J20" s="1073"/>
      <c r="K20" s="1073"/>
      <c r="L20" s="1073"/>
      <c r="M20" s="1073"/>
      <c r="N20" s="1073"/>
      <c r="O20" s="1073"/>
      <c r="P20" s="1073"/>
      <c r="Q20" s="1073"/>
      <c r="R20" s="1073"/>
      <c r="S20" s="1073"/>
      <c r="T20" s="1073"/>
      <c r="U20" s="1073"/>
      <c r="V20" s="1073"/>
      <c r="W20" s="1073"/>
      <c r="X20" s="1073"/>
      <c r="Y20" s="1073"/>
      <c r="Z20" s="1074"/>
    </row>
    <row r="21" spans="1:26" s="350" customFormat="1" ht="184" x14ac:dyDescent="0.25">
      <c r="B21" s="1085" t="str">
        <f>input!C110</f>
        <v>KALALAW TRUCK</v>
      </c>
      <c r="C21" s="1086"/>
      <c r="D21" s="305">
        <f>input!D110</f>
        <v>348</v>
      </c>
      <c r="E21" s="305" t="str">
        <f>input!E110</f>
        <v>Kalalaw Truck</v>
      </c>
      <c r="F21" s="1077" t="str">
        <f>input!F110</f>
        <v>Struck Against</v>
      </c>
      <c r="G21" s="1078"/>
      <c r="H21" s="305" t="str">
        <f>input!G110</f>
        <v>Mainline / Access</v>
      </c>
      <c r="I21" s="305" t="str">
        <f>input!H110</f>
        <v>1250L</v>
      </c>
      <c r="J21" s="1079">
        <f>input!I110</f>
        <v>46220</v>
      </c>
      <c r="K21" s="1080"/>
      <c r="L21" s="1126">
        <f>input!J110</f>
        <v>0.63541666666666663</v>
      </c>
      <c r="M21" s="1126"/>
      <c r="N21" s="392" t="str">
        <f>input!K110</f>
        <v>Third</v>
      </c>
      <c r="O21" s="352" t="str">
        <f>input!L110</f>
        <v>Rolando E. Ventura</v>
      </c>
      <c r="P21" s="352" t="str">
        <f>input!M110</f>
        <v>Melno S. Palayen</v>
      </c>
      <c r="Q21" s="352" t="str">
        <f>input!N110</f>
        <v>Art Benzene E. Lanip</v>
      </c>
      <c r="R21" s="352" t="str">
        <f>input!O110</f>
        <v>PD</v>
      </c>
      <c r="S21" s="352" t="str">
        <f>input!P110</f>
        <v>Delivery of materials</v>
      </c>
      <c r="T21" s="1083" t="str">
        <f>input!Q110</f>
        <v>SAU / DAM / EAR</v>
      </c>
      <c r="U21" s="1084"/>
      <c r="V21" s="305" t="str">
        <f>input!R110</f>
        <v>TSG</v>
      </c>
      <c r="W21" s="305" t="str">
        <f>input!S110</f>
        <v>MWSO</v>
      </c>
      <c r="X21" s="1077" t="str">
        <f>input!T110</f>
        <v>Motorpool / Transport</v>
      </c>
      <c r="Y21" s="1078"/>
      <c r="Z21" s="353" t="s">
        <v>232</v>
      </c>
    </row>
    <row r="22" spans="1:26" s="350" customFormat="1" ht="276" customHeight="1" x14ac:dyDescent="0.25">
      <c r="B22" s="1085" t="str">
        <f>input!C113</f>
        <v>DEVIGYRO HQ MID CENTRALIZER</v>
      </c>
      <c r="C22" s="1086"/>
      <c r="D22" s="305" t="str">
        <f>input!D113</f>
        <v>N/A - PD</v>
      </c>
      <c r="E22" s="305" t="str">
        <f>input!E113</f>
        <v>N/A</v>
      </c>
      <c r="F22" s="1077" t="str">
        <f>input!F113</f>
        <v>Over-Exertion in Handling or Throwing Objects</v>
      </c>
      <c r="G22" s="1078"/>
      <c r="H22" s="305" t="str">
        <f>input!G113</f>
        <v>Undetermined</v>
      </c>
      <c r="I22" s="305" t="str">
        <f>input!H113</f>
        <v>S (N/A)</v>
      </c>
      <c r="J22" s="1079" t="str">
        <f>input!I113</f>
        <v>July 17, 2026</v>
      </c>
      <c r="K22" s="1080"/>
      <c r="L22" s="1126" t="str">
        <f>input!J113</f>
        <v>N/A</v>
      </c>
      <c r="M22" s="1126"/>
      <c r="N22" s="392" t="str">
        <f>input!K113</f>
        <v>Second</v>
      </c>
      <c r="O22" s="352" t="str">
        <f>input!L113</f>
        <v>Mary Grace C. Torres</v>
      </c>
      <c r="P22" s="352" t="str">
        <f>input!M113</f>
        <v xml:space="preserve">Jerry G. Gatinao Jr. </v>
      </c>
      <c r="Q22" s="352" t="str">
        <f>input!N113</f>
        <v>N/A</v>
      </c>
      <c r="R22" s="352" t="str">
        <f>input!O113</f>
        <v>PD</v>
      </c>
      <c r="S22" s="352" t="str">
        <f>input!P113</f>
        <v>Checking of the property before usage</v>
      </c>
      <c r="T22" s="1083">
        <f>input!Q113</f>
        <v>0</v>
      </c>
      <c r="U22" s="1084"/>
      <c r="V22" s="305" t="str">
        <f>input!R113</f>
        <v>Exploration</v>
      </c>
      <c r="W22" s="305" t="str">
        <f>input!S113</f>
        <v>Exploration</v>
      </c>
      <c r="X22" s="1077">
        <f>input!T113</f>
        <v>0</v>
      </c>
      <c r="Y22" s="1078"/>
      <c r="Z22" s="353" t="s">
        <v>2054</v>
      </c>
    </row>
    <row r="23" spans="1:26" ht="90" customHeight="1" x14ac:dyDescent="0.25">
      <c r="B23" s="1072" t="s">
        <v>675</v>
      </c>
      <c r="C23" s="1073"/>
      <c r="D23" s="1073"/>
      <c r="E23" s="1073"/>
      <c r="F23" s="1073"/>
      <c r="G23" s="1073"/>
      <c r="H23" s="1073"/>
      <c r="I23" s="1073"/>
      <c r="J23" s="1073"/>
      <c r="K23" s="1073"/>
      <c r="L23" s="1073"/>
      <c r="M23" s="1073"/>
      <c r="N23" s="1073"/>
      <c r="O23" s="1073"/>
      <c r="P23" s="1073"/>
      <c r="Q23" s="1073"/>
      <c r="R23" s="1073"/>
      <c r="S23" s="1073"/>
      <c r="T23" s="1073"/>
      <c r="U23" s="1073"/>
      <c r="V23" s="1073"/>
      <c r="W23" s="1073"/>
      <c r="X23" s="1073"/>
      <c r="Y23" s="1073"/>
      <c r="Z23" s="1074"/>
    </row>
    <row r="24" spans="1:26" s="133" customFormat="1" ht="92.5" thickBot="1" x14ac:dyDescent="0.3">
      <c r="A24" s="350"/>
      <c r="B24" s="1075"/>
      <c r="C24" s="1076"/>
      <c r="D24" s="304"/>
      <c r="E24" s="304"/>
      <c r="F24" s="1077"/>
      <c r="G24" s="1078"/>
      <c r="H24" s="305"/>
      <c r="I24" s="305"/>
      <c r="J24" s="1100"/>
      <c r="K24" s="1101"/>
      <c r="L24" s="1126"/>
      <c r="M24" s="1126"/>
      <c r="N24" s="392"/>
      <c r="O24" s="352"/>
      <c r="P24" s="352"/>
      <c r="Q24" s="352"/>
      <c r="R24" s="352"/>
      <c r="S24" s="352"/>
      <c r="T24" s="1083"/>
      <c r="U24" s="1084"/>
      <c r="V24" s="305"/>
      <c r="W24" s="305"/>
      <c r="X24" s="1077"/>
      <c r="Y24" s="1078"/>
      <c r="Z24" s="353"/>
    </row>
    <row r="25" spans="1:26" ht="82" customHeight="1" x14ac:dyDescent="0.25">
      <c r="B25" s="1102" t="s">
        <v>22</v>
      </c>
      <c r="C25" s="1103"/>
      <c r="D25" s="306" t="s">
        <v>6</v>
      </c>
      <c r="E25" s="306" t="s">
        <v>2</v>
      </c>
      <c r="F25" s="306" t="s">
        <v>3</v>
      </c>
      <c r="G25" s="306" t="s">
        <v>1</v>
      </c>
      <c r="H25" s="306" t="s">
        <v>0</v>
      </c>
      <c r="I25" s="306" t="s">
        <v>53</v>
      </c>
      <c r="J25" s="306" t="s">
        <v>12</v>
      </c>
      <c r="K25" s="306" t="s">
        <v>693</v>
      </c>
      <c r="L25" s="306" t="s">
        <v>5</v>
      </c>
      <c r="M25" s="307" t="s">
        <v>40</v>
      </c>
      <c r="N25" s="1008" t="s">
        <v>11</v>
      </c>
      <c r="O25" s="1008"/>
      <c r="P25" s="1007"/>
      <c r="Q25" s="308" t="s">
        <v>6</v>
      </c>
      <c r="R25" s="308" t="s">
        <v>2</v>
      </c>
      <c r="S25" s="308" t="s">
        <v>3</v>
      </c>
      <c r="T25" s="308" t="s">
        <v>1</v>
      </c>
      <c r="U25" s="308" t="s">
        <v>0</v>
      </c>
      <c r="V25" s="308" t="s">
        <v>53</v>
      </c>
      <c r="W25" s="308" t="s">
        <v>12</v>
      </c>
      <c r="X25" s="308" t="s">
        <v>693</v>
      </c>
      <c r="Y25" s="308" t="s">
        <v>5</v>
      </c>
      <c r="Z25" s="309" t="s">
        <v>40</v>
      </c>
    </row>
    <row r="26" spans="1:26" ht="92" x14ac:dyDescent="0.25">
      <c r="B26" s="1104" t="s">
        <v>33</v>
      </c>
      <c r="C26" s="1105"/>
      <c r="D26" s="310">
        <f>COUNTIFS(input!$O:$O,July!$D$25,input!$E:$E,July!B26,input!$A:$A,July!$B$2)</f>
        <v>0</v>
      </c>
      <c r="E26" s="310">
        <f>COUNTIFS(input!$O:$O,July!$E$25,input!$E:$E,July!B26,input!$A:$A,July!$B$2)</f>
        <v>0</v>
      </c>
      <c r="F26" s="310">
        <f>COUNTIFS(input!$O:$O,July!$F$25,input!$E:$E,July!B26,input!$A:$A,July!$B$2)</f>
        <v>0</v>
      </c>
      <c r="G26" s="311">
        <f>COUNTIFS(input!$O:$O,July!$G$25,input!$E:$E,July!B26,input!$A:$A,July!$B$2)</f>
        <v>2</v>
      </c>
      <c r="H26" s="311">
        <f>COUNTIFS(input!$O:$O,July!$H$25,input!$E:$E,July!B26,input!$A:$A,July!$B$2)</f>
        <v>0</v>
      </c>
      <c r="I26" s="311">
        <f>COUNTIFS(input!$O:$O,July!$I$25,input!$E:$E,July!B26,input!$A:$A,July!$B$2)</f>
        <v>0</v>
      </c>
      <c r="J26" s="311">
        <f>COUNTIFS(input!$O:$O,July!$K$25,input!$E:$E,July!B26,input!$A:$A,July!$B$2)</f>
        <v>0</v>
      </c>
      <c r="K26" s="311">
        <f>COUNTIFS(input!$O:$O,July!$K$25,input!$E:$E,July!B26,input!$A:$A,July!$B$2)</f>
        <v>0</v>
      </c>
      <c r="L26" s="312">
        <f t="shared" ref="L26:L36" si="0">SUM(D26:K26)</f>
        <v>2</v>
      </c>
      <c r="M26" s="313" cm="1">
        <f t="array" ref="M26">_xlfn.IFS(L26=0,0,L26&gt;=1,L26/$L$69)</f>
        <v>0.125</v>
      </c>
      <c r="N26" s="1232" t="s">
        <v>86</v>
      </c>
      <c r="O26" s="1232"/>
      <c r="P26" s="1233"/>
      <c r="Q26" s="310">
        <f>COUNTIFS(input!$O:$O,July!$Q$25,input!$F:$F,July!N26,input!$A:$A,July!$B$2)</f>
        <v>0</v>
      </c>
      <c r="R26" s="310">
        <f>COUNTIFS(input!$O:$O,July!$R$25,input!$F:$F,July!N26,input!$A:$A,July!$B$2)</f>
        <v>0</v>
      </c>
      <c r="S26" s="310">
        <f>COUNTIFS(input!$O:$O,July!$S$25,input!$F:$F,July!N26,input!$A:$A,July!$B$2)</f>
        <v>0</v>
      </c>
      <c r="T26" s="314">
        <f>COUNTIFS(input!$O:$O,July!$T$25,input!$F:$F,July!N26,input!$A:$A,July!$B$2)</f>
        <v>0</v>
      </c>
      <c r="U26" s="314">
        <f>COUNTIFS(input!$O:$O,July!$U$25,input!$F:$F,July!N26,input!$A:$A,July!$B$2)</f>
        <v>0</v>
      </c>
      <c r="V26" s="314">
        <f>COUNTIFS(input!$O:$O,July!$V$25,input!$F:$F,July!N26,input!$A:$A,July!$B$2)</f>
        <v>0</v>
      </c>
      <c r="W26" s="314">
        <f>COUNTIFS(input!$O:$O,July!$W$25,input!$F:$F,July!N26,input!$A:$A,July!$B$2)</f>
        <v>0</v>
      </c>
      <c r="X26" s="314">
        <f>COUNTIFS(input!$O:$O,July!$X$25,input!$F:$F,July!N26,input!$A:$A,July!$B$2)</f>
        <v>0</v>
      </c>
      <c r="Y26" s="312">
        <f>SUM(Q26:X26)</f>
        <v>0</v>
      </c>
      <c r="Z26" s="315" cm="1">
        <f t="array" ref="Z26">_xlfn.IFS(Y26=0,0,Y26&gt;=1,Y26/$Y$69)</f>
        <v>0</v>
      </c>
    </row>
    <row r="27" spans="1:26" ht="92" x14ac:dyDescent="0.25">
      <c r="B27" s="1121" t="s">
        <v>472</v>
      </c>
      <c r="C27" s="1066"/>
      <c r="D27" s="316">
        <f>COUNTIFS(input!$O:$O,July!$D$25,input!$E:$E,July!B27,input!$A:$A,July!$B$2)</f>
        <v>0</v>
      </c>
      <c r="E27" s="316">
        <f>COUNTIFS(input!$O:$O,July!$E$25,input!$E:$E,July!B27,input!$A:$A,July!$B$2)</f>
        <v>0</v>
      </c>
      <c r="F27" s="317">
        <f>COUNTIFS(input!$O:$O,July!$F$25,input!$E:$E,July!B27,input!$A:$A,July!$B$2)</f>
        <v>0</v>
      </c>
      <c r="G27" s="318">
        <f>COUNTIFS(input!$O:$O,July!$G$25,input!$E:$E,July!B27,input!$A:$A,July!$B$2)</f>
        <v>0</v>
      </c>
      <c r="H27" s="318">
        <f>COUNTIFS(input!$O:$O,July!$H$25,input!$E:$E,July!B27,input!$A:$A,July!$B$2)</f>
        <v>0</v>
      </c>
      <c r="I27" s="318">
        <f>COUNTIFS(input!$O:$O,July!$I$25,input!$E:$E,July!B27,input!$A:$A,July!$B$2)</f>
        <v>0</v>
      </c>
      <c r="J27" s="318">
        <f>COUNTIFS(input!$O:$O,July!$K$25,input!$E:$E,July!B27,input!$A:$A,July!$B$2)</f>
        <v>0</v>
      </c>
      <c r="K27" s="319">
        <f>COUNTIFS(input!$O:$O,July!$K$25,input!$E:$E,July!B27,input!$A:$A,July!$B$2)</f>
        <v>0</v>
      </c>
      <c r="L27" s="312">
        <f t="shared" si="0"/>
        <v>0</v>
      </c>
      <c r="M27" s="313" cm="1">
        <f t="array" ref="M27">_xlfn.IFS(L27=0,0,L27&gt;=1,L27/$L$69)</f>
        <v>0</v>
      </c>
      <c r="N27" s="1016" t="s">
        <v>2028</v>
      </c>
      <c r="O27" s="1016"/>
      <c r="P27" s="991"/>
      <c r="Q27" s="316">
        <f>COUNTIFS(input!$O:$O,July!$Q$25,input!$F:$F,July!N27,input!$A:$A,July!$B$2)</f>
        <v>0</v>
      </c>
      <c r="R27" s="316">
        <f>COUNTIFS(input!$O:$O,July!$R$25,input!$F:$F,July!N27,input!$A:$A,July!$B$2)</f>
        <v>0</v>
      </c>
      <c r="S27" s="316">
        <f>COUNTIFS(input!$O:$O,July!$S$25,input!$F:$F,July!N27,input!$A:$A,July!$B$2)</f>
        <v>0</v>
      </c>
      <c r="T27" s="321">
        <f>COUNTIFS(input!$O:$O,July!$T$25,input!$F:$F,July!N27,input!$A:$A,July!$B$2)</f>
        <v>3</v>
      </c>
      <c r="U27" s="322">
        <f>COUNTIFS(input!$O:$O,July!$U$25,input!$F:$F,July!N27,input!$A:$A,July!$B$2)</f>
        <v>0</v>
      </c>
      <c r="V27" s="322">
        <f>COUNTIFS(input!$O:$O,July!$V$25,input!$F:$F,July!N27,input!$A:$A,July!$B$2)</f>
        <v>0</v>
      </c>
      <c r="W27" s="323">
        <f>COUNTIFS(input!$O:$O,July!$W$25,input!$F:$F,July!N27,input!$A:$A,July!$B$2)</f>
        <v>0</v>
      </c>
      <c r="X27" s="324">
        <f>COUNTIFS(input!$O:$O,July!$X$25,input!$F:$F,July!N27,input!$A:$A,July!$B$2)</f>
        <v>0</v>
      </c>
      <c r="Y27" s="312">
        <f>SUM(Q27:X27)</f>
        <v>3</v>
      </c>
      <c r="Z27" s="315" cm="1">
        <f t="array" ref="Z27">_xlfn.IFS(Y27=0,0,Y27&gt;=1,Y27/$Y$69)</f>
        <v>0.1875</v>
      </c>
    </row>
    <row r="28" spans="1:26" ht="92" customHeight="1" x14ac:dyDescent="0.25">
      <c r="B28" s="1121" t="s">
        <v>1781</v>
      </c>
      <c r="C28" s="1066"/>
      <c r="D28" s="316">
        <f>COUNTIFS(input!$O:$O,July!$D$25,input!$E:$E,July!B28,input!$A:$A,July!$B$2)</f>
        <v>0</v>
      </c>
      <c r="E28" s="316">
        <f>COUNTIFS(input!$O:$O,July!$E$25,input!$E:$E,July!B28,input!$A:$A,July!$B$2)</f>
        <v>0</v>
      </c>
      <c r="F28" s="317">
        <f>COUNTIFS(input!$O:$O,July!$F$25,input!$E:$E,July!B28,input!$A:$A,July!$B$2)</f>
        <v>0</v>
      </c>
      <c r="G28" s="318">
        <f>COUNTIFS(input!$O:$O,July!$G$25,input!$E:$E,July!B28,input!$A:$A,July!$B$2)</f>
        <v>0</v>
      </c>
      <c r="H28" s="318">
        <f>COUNTIFS(input!$O:$O,July!$H$25,input!$E:$E,July!B28,input!$A:$A,July!$B$2)</f>
        <v>0</v>
      </c>
      <c r="I28" s="318">
        <f>COUNTIFS(input!$O:$O,July!$I$25,input!$E:$E,July!B28,input!$A:$A,July!$B$2)</f>
        <v>0</v>
      </c>
      <c r="J28" s="318">
        <f>COUNTIFS(input!$O:$O,July!$K$25,input!$E:$E,July!B28,input!$A:$A,July!$B$2)</f>
        <v>0</v>
      </c>
      <c r="K28" s="319">
        <f>COUNTIFS(input!$O:$O,July!$K$25,input!$E:$E,July!B28,input!$A:$A,July!$B$2)</f>
        <v>0</v>
      </c>
      <c r="L28" s="312">
        <f t="shared" si="0"/>
        <v>0</v>
      </c>
      <c r="M28" s="313" cm="1">
        <f t="array" ref="M28">_xlfn.IFS(L28=0,0,L28&gt;=1,L28/$L$69)</f>
        <v>0</v>
      </c>
      <c r="N28" s="1016" t="s">
        <v>138</v>
      </c>
      <c r="O28" s="1016"/>
      <c r="P28" s="991"/>
      <c r="Q28" s="316">
        <f>COUNTIFS(input!$O:$O,July!$Q$25,input!$F:$F,July!N28,input!$A:$A,July!$B$2)</f>
        <v>0</v>
      </c>
      <c r="R28" s="316">
        <f>COUNTIFS(input!$O:$O,July!$R$25,input!$F:$F,July!N28,input!$A:$A,July!$B$2)</f>
        <v>0</v>
      </c>
      <c r="S28" s="316">
        <f>COUNTIFS(input!$O:$O,July!$S$25,input!$F:$F,July!N28,input!$A:$A,July!$B$2)</f>
        <v>0</v>
      </c>
      <c r="T28" s="321">
        <f>COUNTIFS(input!$O:$O,July!$T$25,input!$F:$F,July!N28,input!$A:$A,July!$B$2)</f>
        <v>0</v>
      </c>
      <c r="U28" s="322">
        <f>COUNTIFS(input!$O:$O,July!$U$25,input!$F:$F,July!N28,input!$A:$A,July!$B$2)</f>
        <v>0</v>
      </c>
      <c r="V28" s="322">
        <f>COUNTIFS(input!$O:$O,July!$V$25,input!$F:$F,July!N28,input!$A:$A,July!$B$2)</f>
        <v>0</v>
      </c>
      <c r="W28" s="323">
        <f>COUNTIFS(input!$O:$O,July!$W$25,input!$F:$F,July!N28,input!$A:$A,July!$B$2)</f>
        <v>1</v>
      </c>
      <c r="X28" s="324">
        <f>COUNTIFS(input!$O:$O,July!$X$25,input!$F:$F,July!N28,input!$A:$A,July!$B$2)</f>
        <v>0</v>
      </c>
      <c r="Y28" s="312">
        <f>SUM(Q28:X28)</f>
        <v>1</v>
      </c>
      <c r="Z28" s="315" cm="1">
        <f t="array" ref="Z28">_xlfn.IFS(Y28=0,0,Y28&gt;=1,Y28/$Y$69)</f>
        <v>6.25E-2</v>
      </c>
    </row>
    <row r="29" spans="1:26" ht="92" customHeight="1" x14ac:dyDescent="0.25">
      <c r="B29" s="990" t="s">
        <v>2113</v>
      </c>
      <c r="C29" s="991"/>
      <c r="D29" s="316">
        <f>COUNTIFS(input!$O:$O,July!$D$25,input!$E:$E,July!B29,input!$A:$A,July!$B$2)</f>
        <v>0</v>
      </c>
      <c r="E29" s="316">
        <f>COUNTIFS(input!$O:$O,July!$E$25,input!$E:$E,July!B29,input!$A:$A,July!$B$2)</f>
        <v>0</v>
      </c>
      <c r="F29" s="317">
        <f>COUNTIFS(input!$O:$O,July!$F$25,input!$E:$E,July!B29,input!$A:$A,July!$B$2)</f>
        <v>0</v>
      </c>
      <c r="G29" s="318">
        <f>COUNTIFS(input!$O:$O,July!$G$25,input!$E:$E,July!B29,input!$A:$A,July!$B$2)</f>
        <v>1</v>
      </c>
      <c r="H29" s="318">
        <f>COUNTIFS(input!$O:$O,July!$H$25,input!$E:$E,July!B29,input!$A:$A,July!$B$2)</f>
        <v>0</v>
      </c>
      <c r="I29" s="318">
        <f>COUNTIFS(input!$O:$O,July!$I$25,input!$E:$E,July!B29,input!$A:$A,July!$B$2)</f>
        <v>0</v>
      </c>
      <c r="J29" s="318">
        <f>COUNTIFS(input!$O:$O,July!$K$25,input!$E:$E,July!B29,input!$A:$A,July!$B$2)</f>
        <v>0</v>
      </c>
      <c r="K29" s="319">
        <f>COUNTIFS(input!$O:$O,July!$K$25,input!$E:$E,July!B29,input!$A:$A,July!$B$2)</f>
        <v>0</v>
      </c>
      <c r="L29" s="312">
        <f t="shared" si="0"/>
        <v>1</v>
      </c>
      <c r="M29" s="313" cm="1">
        <f t="array" ref="M29">_xlfn.IFS(L29=0,0,L29&gt;=1,L29/$L$69)</f>
        <v>6.25E-2</v>
      </c>
      <c r="N29" s="1058" t="s">
        <v>17</v>
      </c>
      <c r="O29" s="1016"/>
      <c r="P29" s="991"/>
      <c r="Q29" s="316">
        <f>COUNTIFS(input!$O:$O,July!$Q$25,input!$F:$F,July!N29,input!$A:$A,July!$B$2)</f>
        <v>0</v>
      </c>
      <c r="R29" s="316">
        <f>COUNTIFS(input!$O:$O,July!$R$25,input!$F:$F,July!N29,input!$A:$A,July!$B$2)</f>
        <v>0</v>
      </c>
      <c r="S29" s="316">
        <f>COUNTIFS(input!$O:$O,July!$S$25,input!$F:$F,July!N29,input!$A:$A,July!$B$2)</f>
        <v>0</v>
      </c>
      <c r="T29" s="321">
        <f>COUNTIFS(input!$O:$O,July!$T$25,input!$F:$F,July!N29,input!$A:$A,July!$B$2)</f>
        <v>2</v>
      </c>
      <c r="U29" s="322">
        <f>COUNTIFS(input!$O:$O,July!$U$25,input!$F:$F,July!N29,input!$A:$A,July!$B$2)</f>
        <v>0</v>
      </c>
      <c r="V29" s="322">
        <f>COUNTIFS(input!$O:$O,July!$V$25,input!$F:$F,July!N29,input!$A:$A,July!$B$2)</f>
        <v>0</v>
      </c>
      <c r="W29" s="323">
        <f>COUNTIFS(input!$O:$O,July!$W$25,input!$F:$F,July!N29,input!$A:$A,July!$B$2)</f>
        <v>0</v>
      </c>
      <c r="X29" s="324">
        <f>COUNTIFS(input!$O:$O,July!$X$25,input!$F:$F,July!N29,input!$A:$A,July!$B$2)</f>
        <v>0</v>
      </c>
      <c r="Y29" s="312">
        <f>SUM(Q29:X29)</f>
        <v>2</v>
      </c>
      <c r="Z29" s="315" cm="1">
        <f t="array" ref="Z29">_xlfn.IFS(Y29=0,0,Y29&gt;=1,Y29/$Y$69)</f>
        <v>0.125</v>
      </c>
    </row>
    <row r="30" spans="1:26" ht="92" customHeight="1" x14ac:dyDescent="0.25">
      <c r="B30" s="990" t="s">
        <v>1536</v>
      </c>
      <c r="C30" s="991"/>
      <c r="D30" s="316">
        <f>COUNTIFS(input!$O:$O,July!$D$25,input!$E:$E,July!B30,input!$A:$A,July!$B$2)</f>
        <v>0</v>
      </c>
      <c r="E30" s="316">
        <f>COUNTIFS(input!$O:$O,July!$E$25,input!$E:$E,July!B30,input!$A:$A,July!$B$2)</f>
        <v>0</v>
      </c>
      <c r="F30" s="317">
        <f>COUNTIFS(input!$O:$O,July!$F$25,input!$E:$E,July!B30,input!$A:$A,July!$B$2)</f>
        <v>0</v>
      </c>
      <c r="G30" s="318">
        <f>COUNTIFS(input!$O:$O,July!$G$25,input!$E:$E,July!B30,input!$A:$A,July!$B$2)</f>
        <v>3</v>
      </c>
      <c r="H30" s="318">
        <f>COUNTIFS(input!$O:$O,July!$H$25,input!$E:$E,July!B30,input!$A:$A,July!$B$2)</f>
        <v>0</v>
      </c>
      <c r="I30" s="318">
        <f>COUNTIFS(input!$O:$O,July!$I$25,input!$E:$E,July!B30,input!$A:$A,July!$B$2)</f>
        <v>0</v>
      </c>
      <c r="J30" s="318">
        <f>COUNTIFS(input!$O:$O,July!$K$25,input!$E:$E,July!B30,input!$A:$A,July!$B$2)</f>
        <v>0</v>
      </c>
      <c r="K30" s="319">
        <f>COUNTIFS(input!$O:$O,July!$K$25,input!$E:$E,July!B30,input!$A:$A,July!$B$2)</f>
        <v>0</v>
      </c>
      <c r="L30" s="312">
        <f t="shared" si="0"/>
        <v>3</v>
      </c>
      <c r="M30" s="313" cm="1">
        <f t="array" ref="M30">_xlfn.IFS(L30=0,0,L30&gt;=1,L30/$L$69)</f>
        <v>0.1875</v>
      </c>
      <c r="N30" s="1016" t="s">
        <v>20</v>
      </c>
      <c r="O30" s="1016"/>
      <c r="P30" s="991"/>
      <c r="Q30" s="316">
        <f>COUNTIFS(input!$O:$O,July!$Q$25,input!$F:$F,July!N30,input!$A:$A,July!$B$2)</f>
        <v>0</v>
      </c>
      <c r="R30" s="316">
        <f>COUNTIFS(input!$O:$O,July!$R$25,input!$F:$F,July!N30,input!$A:$A,July!$B$2)</f>
        <v>0</v>
      </c>
      <c r="S30" s="316">
        <f>COUNTIFS(input!$O:$O,July!$S$25,input!$F:$F,July!N30,input!$A:$A,July!$B$2)</f>
        <v>0</v>
      </c>
      <c r="T30" s="321">
        <f>COUNTIFS(input!$O:$O,July!$T$25,input!$F:$F,July!N30,input!$A:$A,July!$B$2)</f>
        <v>1</v>
      </c>
      <c r="U30" s="322">
        <f>COUNTIFS(input!$O:$O,July!$U$25,input!$F:$F,July!N30,input!$A:$A,July!$B$2)</f>
        <v>0</v>
      </c>
      <c r="V30" s="322">
        <f>COUNTIFS(input!$O:$O,July!$V$25,input!$F:$F,July!N30,input!$A:$A,July!$B$2)</f>
        <v>0</v>
      </c>
      <c r="W30" s="323">
        <f>COUNTIFS(input!$O:$O,July!$W$25,input!$F:$F,July!N30,input!$A:$A,July!$B$2)</f>
        <v>0</v>
      </c>
      <c r="X30" s="324">
        <f>COUNTIFS(input!$O:$O,July!$X$25,input!$F:$F,July!N30,input!$A:$A,July!$B$2)</f>
        <v>0</v>
      </c>
      <c r="Y30" s="312">
        <f t="shared" ref="Y30:Y68" si="1">SUM(Q30:X30)</f>
        <v>1</v>
      </c>
      <c r="Z30" s="315" cm="1">
        <f t="array" ref="Z30">_xlfn.IFS(Y30=0,0,Y30&gt;=1,Y30/$Y$69)</f>
        <v>6.25E-2</v>
      </c>
    </row>
    <row r="31" spans="1:26" ht="92" hidden="1" customHeight="1" x14ac:dyDescent="0.25">
      <c r="B31" s="1121" t="s">
        <v>682</v>
      </c>
      <c r="C31" s="1066"/>
      <c r="D31" s="316">
        <f>COUNTIFS(input!$O:$O,July!$D$25,input!$E:$E,July!B31,input!$A:$A,July!$B$2)</f>
        <v>0</v>
      </c>
      <c r="E31" s="316">
        <f>COUNTIFS(input!$O:$O,July!$E$25,input!$E:$E,July!B31,input!$A:$A,July!$B$2)</f>
        <v>0</v>
      </c>
      <c r="F31" s="317">
        <f>COUNTIFS(input!$O:$O,July!$F$25,input!$E:$E,July!B31,input!$A:$A,July!$B$2)</f>
        <v>0</v>
      </c>
      <c r="G31" s="318">
        <f>COUNTIFS(input!$O:$O,July!$G$25,input!$E:$E,July!B31,input!$A:$A,July!$B$2)</f>
        <v>0</v>
      </c>
      <c r="H31" s="318">
        <f>COUNTIFS(input!$O:$O,July!$H$25,input!$E:$E,July!B31,input!$A:$A,July!$B$2)</f>
        <v>0</v>
      </c>
      <c r="I31" s="318">
        <f>COUNTIFS(input!$O:$O,July!$I$25,input!$E:$E,July!B31,input!$A:$A,July!$B$2)</f>
        <v>0</v>
      </c>
      <c r="J31" s="318">
        <f>COUNTIFS(input!$O:$O,July!$K$25,input!$E:$E,July!B31,input!$A:$A,July!$B$2)</f>
        <v>0</v>
      </c>
      <c r="K31" s="319">
        <f>COUNTIFS(input!$O:$O,July!$K$25,input!$E:$E,July!B31,input!$A:$A,July!$B$2)</f>
        <v>0</v>
      </c>
      <c r="L31" s="312">
        <f t="shared" si="0"/>
        <v>0</v>
      </c>
      <c r="M31" s="313" cm="1">
        <f t="array" ref="M31">_xlfn.IFS(L31=0,0,L31&gt;=1,L31/$L$69)</f>
        <v>0</v>
      </c>
      <c r="N31" s="1065" t="s">
        <v>25</v>
      </c>
      <c r="O31" s="1065"/>
      <c r="P31" s="1066"/>
      <c r="Q31" s="316">
        <f>COUNTIFS(input!$O:$O,July!$Q$25,input!$F:$F,July!N31,input!$A:$A,July!$B$2)</f>
        <v>0</v>
      </c>
      <c r="R31" s="316">
        <f>COUNTIFS(input!$O:$O,July!$R$25,input!$F:$F,July!N31,input!$A:$A,July!$B$2)</f>
        <v>0</v>
      </c>
      <c r="S31" s="316">
        <f>COUNTIFS(input!$O:$O,July!$S$25,input!$F:$F,July!N31,input!$A:$A,July!$B$2)</f>
        <v>0</v>
      </c>
      <c r="T31" s="321">
        <f>COUNTIFS(input!$O:$O,July!$T$25,input!$F:$F,July!N31,input!$A:$A,July!$B$2)</f>
        <v>0</v>
      </c>
      <c r="U31" s="322">
        <f>COUNTIFS(input!$O:$O,July!$U$25,input!$F:$F,July!N31,input!$A:$A,July!$B$2)</f>
        <v>0</v>
      </c>
      <c r="V31" s="322">
        <f>COUNTIFS(input!$O:$O,July!$V$25,input!$F:$F,July!N31,input!$A:$A,July!$B$2)</f>
        <v>0</v>
      </c>
      <c r="W31" s="323">
        <f>COUNTIFS(input!$O:$O,July!$W$25,input!$F:$F,July!N31,input!$A:$A,July!$B$2)</f>
        <v>0</v>
      </c>
      <c r="X31" s="324">
        <f>COUNTIFS(input!$O:$O,July!$X$25,input!$F:$F,July!N31,input!$A:$A,July!$B$2)</f>
        <v>0</v>
      </c>
      <c r="Y31" s="312">
        <f t="shared" si="1"/>
        <v>0</v>
      </c>
      <c r="Z31" s="315" cm="1">
        <f t="array" ref="Z31">_xlfn.IFS(Y31=0,0,Y31&gt;=1,Y31/$Y$69)</f>
        <v>0</v>
      </c>
    </row>
    <row r="32" spans="1:26" ht="92" hidden="1" customHeight="1" x14ac:dyDescent="0.25">
      <c r="B32" s="1121" t="s">
        <v>493</v>
      </c>
      <c r="C32" s="1066"/>
      <c r="D32" s="316">
        <f>COUNTIFS(input!$O:$O,July!$D$25,input!$E:$E,July!B32,input!$A:$A,July!$B$2)</f>
        <v>0</v>
      </c>
      <c r="E32" s="316">
        <f>COUNTIFS(input!$O:$O,July!$E$25,input!$E:$E,July!B32,input!$A:$A,July!$B$2)</f>
        <v>0</v>
      </c>
      <c r="F32" s="317">
        <f>COUNTIFS(input!$O:$O,July!$F$25,input!$E:$E,July!B32,input!$A:$A,July!$B$2)</f>
        <v>0</v>
      </c>
      <c r="G32" s="318">
        <f>COUNTIFS(input!$O:$O,July!$G$25,input!$E:$E,July!B32,input!$A:$A,July!$B$2)</f>
        <v>0</v>
      </c>
      <c r="H32" s="318">
        <f>COUNTIFS(input!$O:$O,July!$H$25,input!$E:$E,July!B32,input!$A:$A,July!$B$2)</f>
        <v>0</v>
      </c>
      <c r="I32" s="318">
        <f>COUNTIFS(input!$O:$O,July!$I$25,input!$E:$E,July!B32,input!$A:$A,July!$B$2)</f>
        <v>0</v>
      </c>
      <c r="J32" s="318">
        <f>COUNTIFS(input!$O:$O,July!$K$25,input!$E:$E,July!B32,input!$A:$A,July!$B$2)</f>
        <v>0</v>
      </c>
      <c r="K32" s="319">
        <f>COUNTIFS(input!$O:$O,July!$K$25,input!$E:$E,July!B32,input!$A:$A,July!$B$2)</f>
        <v>0</v>
      </c>
      <c r="L32" s="312">
        <f t="shared" si="0"/>
        <v>0</v>
      </c>
      <c r="M32" s="313" cm="1">
        <f t="array" ref="M32">_xlfn.IFS(L32=0,0,L32&gt;=1,L32/$L$69)</f>
        <v>0</v>
      </c>
      <c r="N32" s="1065" t="s">
        <v>19</v>
      </c>
      <c r="O32" s="1065"/>
      <c r="P32" s="1066"/>
      <c r="Q32" s="316">
        <f>COUNTIFS(input!$O:$O,July!$Q$25,input!$F:$F,July!N32,input!$A:$A,July!$B$2)</f>
        <v>0</v>
      </c>
      <c r="R32" s="316">
        <f>COUNTIFS(input!$O:$O,July!$R$25,input!$F:$F,July!N32,input!$A:$A,July!$B$2)</f>
        <v>0</v>
      </c>
      <c r="S32" s="316">
        <f>COUNTIFS(input!$O:$O,July!$S$25,input!$F:$F,July!N32,input!$A:$A,July!$B$2)</f>
        <v>0</v>
      </c>
      <c r="T32" s="321">
        <f>COUNTIFS(input!$O:$O,July!$T$25,input!$F:$F,July!N32,input!$A:$A,July!$B$2)</f>
        <v>0</v>
      </c>
      <c r="U32" s="322">
        <f>COUNTIFS(input!$O:$O,July!$U$25,input!$F:$F,July!N32,input!$A:$A,July!$B$2)</f>
        <v>0</v>
      </c>
      <c r="V32" s="322">
        <f>COUNTIFS(input!$O:$O,July!$V$25,input!$F:$F,July!N32,input!$A:$A,July!$B$2)</f>
        <v>0</v>
      </c>
      <c r="W32" s="323">
        <f>COUNTIFS(input!$O:$O,July!$W$25,input!$F:$F,July!N32,input!$A:$A,July!$B$2)</f>
        <v>0</v>
      </c>
      <c r="X32" s="324">
        <f>COUNTIFS(input!$O:$O,July!$X$25,input!$F:$F,July!N32,input!$A:$A,July!$B$2)</f>
        <v>0</v>
      </c>
      <c r="Y32" s="312">
        <f t="shared" si="1"/>
        <v>0</v>
      </c>
      <c r="Z32" s="315" cm="1">
        <f t="array" ref="Z32">_xlfn.IFS(Y32=0,0,Y32&gt;=1,Y32/$Y$69)</f>
        <v>0</v>
      </c>
    </row>
    <row r="33" spans="2:26" ht="92" hidden="1" customHeight="1" x14ac:dyDescent="0.25">
      <c r="B33" s="1121" t="s">
        <v>681</v>
      </c>
      <c r="C33" s="1066"/>
      <c r="D33" s="316">
        <f>COUNTIFS(input!$O:$O,July!$D$25,input!$E:$E,July!B33,input!$A:$A,July!$B$2)</f>
        <v>0</v>
      </c>
      <c r="E33" s="316">
        <f>COUNTIFS(input!$O:$O,July!$E$25,input!$E:$E,July!B33,input!$A:$A,July!$B$2)</f>
        <v>0</v>
      </c>
      <c r="F33" s="317">
        <f>COUNTIFS(input!$O:$O,July!$F$25,input!$E:$E,July!B33,input!$A:$A,July!$B$2)</f>
        <v>0</v>
      </c>
      <c r="G33" s="318">
        <f>COUNTIFS(input!$O:$O,July!$G$25,input!$E:$E,July!B33,input!$A:$A,July!$B$2)</f>
        <v>0</v>
      </c>
      <c r="H33" s="318">
        <f>COUNTIFS(input!$O:$O,July!$H$25,input!$E:$E,July!B33,input!$A:$A,July!$B$2)</f>
        <v>0</v>
      </c>
      <c r="I33" s="318">
        <f>COUNTIFS(input!$O:$O,July!$I$25,input!$E:$E,July!B33,input!$A:$A,July!$B$2)</f>
        <v>0</v>
      </c>
      <c r="J33" s="318">
        <f>COUNTIFS(input!$O:$O,July!$K$25,input!$E:$E,July!B33,input!$A:$A,July!$B$2)</f>
        <v>0</v>
      </c>
      <c r="K33" s="319">
        <f>COUNTIFS(input!$O:$O,July!$K$25,input!$E:$E,July!B33,input!$A:$A,July!$B$2)</f>
        <v>0</v>
      </c>
      <c r="L33" s="312">
        <f t="shared" si="0"/>
        <v>0</v>
      </c>
      <c r="M33" s="313" cm="1">
        <f t="array" ref="M33">_xlfn.IFS(L33=0,0,L33&gt;=1,L33/$L$69)</f>
        <v>0</v>
      </c>
      <c r="N33" s="1065" t="s">
        <v>27</v>
      </c>
      <c r="O33" s="1065"/>
      <c r="P33" s="1066"/>
      <c r="Q33" s="316">
        <f>COUNTIFS(input!$O:$O,July!$Q$25,input!$F:$F,July!N33,input!$A:$A,July!$B$2)</f>
        <v>0</v>
      </c>
      <c r="R33" s="316">
        <f>COUNTIFS(input!$O:$O,July!$R$25,input!$F:$F,July!N33,input!$A:$A,July!$B$2)</f>
        <v>0</v>
      </c>
      <c r="S33" s="316">
        <f>COUNTIFS(input!$O:$O,July!$S$25,input!$F:$F,July!N33,input!$A:$A,July!$B$2)</f>
        <v>0</v>
      </c>
      <c r="T33" s="321">
        <f>COUNTIFS(input!$O:$O,July!$T$25,input!$F:$F,July!N33,input!$A:$A,July!$B$2)</f>
        <v>0</v>
      </c>
      <c r="U33" s="322">
        <f>COUNTIFS(input!$O:$O,July!$U$25,input!$F:$F,July!N33,input!$A:$A,July!$B$2)</f>
        <v>0</v>
      </c>
      <c r="V33" s="322">
        <f>COUNTIFS(input!$O:$O,July!$V$25,input!$F:$F,July!N33,input!$A:$A,July!$B$2)</f>
        <v>0</v>
      </c>
      <c r="W33" s="323">
        <f>COUNTIFS(input!$O:$O,July!$W$25,input!$F:$F,July!N33,input!$A:$A,July!$B$2)</f>
        <v>0</v>
      </c>
      <c r="X33" s="324">
        <f>COUNTIFS(input!$O:$O,July!$X$25,input!$F:$F,July!N33,input!$A:$A,July!$B$2)</f>
        <v>0</v>
      </c>
      <c r="Y33" s="312">
        <f t="shared" si="1"/>
        <v>0</v>
      </c>
      <c r="Z33" s="315" cm="1">
        <f t="array" ref="Z33">_xlfn.IFS(Y33=0,0,Y33&gt;=1,Y33/$Y$69)</f>
        <v>0</v>
      </c>
    </row>
    <row r="34" spans="2:26" ht="92" hidden="1" customHeight="1" x14ac:dyDescent="0.25">
      <c r="B34" s="1121" t="s">
        <v>776</v>
      </c>
      <c r="C34" s="1066"/>
      <c r="D34" s="316">
        <f>COUNTIFS(input!$O:$O,July!$D$25,input!$E:$E,July!B34,input!$A:$A,July!$B$2)</f>
        <v>0</v>
      </c>
      <c r="E34" s="316">
        <f>COUNTIFS(input!$O:$O,July!$E$25,input!$E:$E,July!B34,input!$A:$A,July!$B$2)</f>
        <v>0</v>
      </c>
      <c r="F34" s="317">
        <f>COUNTIFS(input!$O:$O,July!$F$25,input!$E:$E,July!B34,input!$A:$A,July!$B$2)</f>
        <v>0</v>
      </c>
      <c r="G34" s="318">
        <f>COUNTIFS(input!$O:$O,July!$G$25,input!$E:$E,July!B34,input!$A:$A,July!$B$2)</f>
        <v>0</v>
      </c>
      <c r="H34" s="318">
        <f>COUNTIFS(input!$O:$O,July!$H$25,input!$E:$E,July!B34,input!$A:$A,July!$B$2)</f>
        <v>0</v>
      </c>
      <c r="I34" s="318">
        <f>COUNTIFS(input!$O:$O,July!$I$25,input!$E:$E,July!B34,input!$A:$A,July!$B$2)</f>
        <v>0</v>
      </c>
      <c r="J34" s="318">
        <f>COUNTIFS(input!$O:$O,July!$K$25,input!$E:$E,July!B34,input!$A:$A,July!$B$2)</f>
        <v>0</v>
      </c>
      <c r="K34" s="319">
        <f>COUNTIFS(input!$O:$O,July!$K$25,input!$E:$E,July!B34,input!$A:$A,July!$B$2)</f>
        <v>0</v>
      </c>
      <c r="L34" s="312">
        <f t="shared" si="0"/>
        <v>0</v>
      </c>
      <c r="M34" s="313" cm="1">
        <f t="array" ref="M34">_xlfn.IFS(L34=0,0,L34&gt;=1,L34/$L$69)</f>
        <v>0</v>
      </c>
      <c r="N34" s="1065" t="s">
        <v>64</v>
      </c>
      <c r="O34" s="1065"/>
      <c r="P34" s="1066"/>
      <c r="Q34" s="316">
        <f>COUNTIFS(input!$O:$O,July!$Q$25,input!$F:$F,July!N34,input!$A:$A,July!$B$2)</f>
        <v>0</v>
      </c>
      <c r="R34" s="316">
        <f>COUNTIFS(input!$O:$O,July!$R$25,input!$F:$F,July!N34,input!$A:$A,July!$B$2)</f>
        <v>0</v>
      </c>
      <c r="S34" s="316">
        <f>COUNTIFS(input!$O:$O,July!$S$25,input!$F:$F,July!N34,input!$A:$A,July!$B$2)</f>
        <v>0</v>
      </c>
      <c r="T34" s="321">
        <f>COUNTIFS(input!$O:$O,July!$T$25,input!$F:$F,July!N34,input!$A:$A,July!$B$2)</f>
        <v>0</v>
      </c>
      <c r="U34" s="322">
        <f>COUNTIFS(input!$O:$O,July!$U$25,input!$F:$F,July!N34,input!$A:$A,July!$B$2)</f>
        <v>0</v>
      </c>
      <c r="V34" s="322">
        <f>COUNTIFS(input!$O:$O,July!$V$25,input!$F:$F,July!N34,input!$A:$A,July!$B$2)</f>
        <v>0</v>
      </c>
      <c r="W34" s="323">
        <f>COUNTIFS(input!$O:$O,July!$W$25,input!$F:$F,July!N34,input!$A:$A,July!$B$2)</f>
        <v>0</v>
      </c>
      <c r="X34" s="324">
        <f>COUNTIFS(input!$O:$O,July!$X$25,input!$F:$F,July!N34,input!$A:$A,July!$B$2)</f>
        <v>0</v>
      </c>
      <c r="Y34" s="312">
        <f t="shared" si="1"/>
        <v>0</v>
      </c>
      <c r="Z34" s="315" cm="1">
        <f t="array" ref="Z34">_xlfn.IFS(Y34=0,0,Y34&gt;=1,Y34/$Y$69)</f>
        <v>0</v>
      </c>
    </row>
    <row r="35" spans="2:26" ht="92" customHeight="1" x14ac:dyDescent="0.25">
      <c r="B35" s="1121" t="s">
        <v>622</v>
      </c>
      <c r="C35" s="1066"/>
      <c r="D35" s="316">
        <f>COUNTIFS(input!$O:$O,July!$D$25,input!$E:$E,July!B35,input!$A:$A,July!$B$2)</f>
        <v>0</v>
      </c>
      <c r="E35" s="316">
        <f>COUNTIFS(input!$O:$O,July!$E$25,input!$E:$E,July!B35,input!$A:$A,July!$B$2)</f>
        <v>0</v>
      </c>
      <c r="F35" s="317">
        <f>COUNTIFS(input!$O:$O,July!$F$25,input!$E:$E,July!B35,input!$A:$A,July!$B$2)</f>
        <v>0</v>
      </c>
      <c r="G35" s="318">
        <f>COUNTIFS(input!$O:$O,July!$G$25,input!$E:$E,July!B35,input!$A:$A,July!$B$2)</f>
        <v>0</v>
      </c>
      <c r="H35" s="318">
        <f>COUNTIFS(input!$O:$O,July!$H$25,input!$E:$E,July!B35,input!$A:$A,July!$B$2)</f>
        <v>0</v>
      </c>
      <c r="I35" s="318">
        <f>COUNTIFS(input!$O:$O,July!$I$25,input!$E:$E,July!B35,input!$A:$A,July!$B$2)</f>
        <v>0</v>
      </c>
      <c r="J35" s="318">
        <f>COUNTIFS(input!$O:$O,July!$K$25,input!$E:$E,July!B35,input!$A:$A,July!$B$2)</f>
        <v>0</v>
      </c>
      <c r="K35" s="319">
        <f>COUNTIFS(input!$O:$O,July!$K$25,input!$E:$E,July!B35,input!$A:$A,July!$B$2)</f>
        <v>0</v>
      </c>
      <c r="L35" s="312">
        <f t="shared" si="0"/>
        <v>0</v>
      </c>
      <c r="M35" s="313" cm="1">
        <f t="array" ref="M35">_xlfn.IFS(L35=0,0,L35&gt;=1,L35/$L$69)</f>
        <v>0</v>
      </c>
      <c r="N35" s="1016" t="s">
        <v>24</v>
      </c>
      <c r="O35" s="1016"/>
      <c r="P35" s="991"/>
      <c r="Q35" s="316">
        <f>COUNTIFS(input!$O:$O,July!$Q$25,input!$F:$F,July!N35,input!$A:$A,July!$B$2)</f>
        <v>0</v>
      </c>
      <c r="R35" s="316">
        <f>COUNTIFS(input!$O:$O,July!$R$25,input!$F:$F,July!N35,input!$A:$A,July!$B$2)</f>
        <v>0</v>
      </c>
      <c r="S35" s="316">
        <f>COUNTIFS(input!$O:$O,July!$S$25,input!$F:$F,July!N35,input!$A:$A,July!$B$2)</f>
        <v>0</v>
      </c>
      <c r="T35" s="321">
        <f>COUNTIFS(input!$O:$O,July!$T$25,input!$F:$F,July!N35,input!$A:$A,July!$B$2)</f>
        <v>3</v>
      </c>
      <c r="U35" s="322">
        <f>COUNTIFS(input!$O:$O,July!$U$25,input!$F:$F,July!N35,input!$A:$A,July!$B$2)</f>
        <v>0</v>
      </c>
      <c r="V35" s="322">
        <f>COUNTIFS(input!$O:$O,July!$V$25,input!$F:$F,July!N35,input!$A:$A,July!$B$2)</f>
        <v>0</v>
      </c>
      <c r="W35" s="323">
        <f>COUNTIFS(input!$O:$O,July!$W$25,input!$F:$F,July!N35,input!$A:$A,July!$B$2)</f>
        <v>0</v>
      </c>
      <c r="X35" s="324">
        <f>COUNTIFS(input!$O:$O,July!$X$25,input!$F:$F,July!N35,input!$A:$A,July!$B$2)</f>
        <v>0</v>
      </c>
      <c r="Y35" s="312">
        <f t="shared" si="1"/>
        <v>3</v>
      </c>
      <c r="Z35" s="315" cm="1">
        <f t="array" ref="Z35">_xlfn.IFS(Y35=0,0,Y35&gt;=1,Y35/$Y$69)</f>
        <v>0.1875</v>
      </c>
    </row>
    <row r="36" spans="2:26" ht="92" hidden="1" customHeight="1" x14ac:dyDescent="0.25">
      <c r="B36" s="1121" t="s">
        <v>1434</v>
      </c>
      <c r="C36" s="1066"/>
      <c r="D36" s="316">
        <f>COUNTIFS(input!$O:$O,July!$D$25,input!$E:$E,July!B36,input!$A:$A,July!$B$2)</f>
        <v>0</v>
      </c>
      <c r="E36" s="316">
        <f>COUNTIFS(input!$O:$O,July!$E$25,input!$E:$E,July!B36,input!$A:$A,July!$B$2)</f>
        <v>0</v>
      </c>
      <c r="F36" s="317">
        <f>COUNTIFS(input!$O:$O,July!$F$25,input!$E:$E,July!B36,input!$A:$A,July!$B$2)</f>
        <v>0</v>
      </c>
      <c r="G36" s="318">
        <f>COUNTIFS(input!$O:$O,July!$G$25,input!$E:$E,July!B36,input!$A:$A,July!$B$2)</f>
        <v>0</v>
      </c>
      <c r="H36" s="318">
        <f>COUNTIFS(input!$O:$O,July!$H$25,input!$E:$E,July!B36,input!$A:$A,July!$B$2)</f>
        <v>0</v>
      </c>
      <c r="I36" s="318">
        <f>COUNTIFS(input!$O:$O,July!$I$25,input!$E:$E,July!B36,input!$A:$A,July!$B$2)</f>
        <v>0</v>
      </c>
      <c r="J36" s="318">
        <f>COUNTIFS(input!$O:$O,July!$K$25,input!$E:$E,July!B36,input!$A:$A,July!$B$2)</f>
        <v>0</v>
      </c>
      <c r="K36" s="319">
        <f>COUNTIFS(input!$O:$O,July!$K$25,input!$E:$E,July!B36,input!$A:$A,July!$B$2)</f>
        <v>0</v>
      </c>
      <c r="L36" s="312">
        <f t="shared" si="0"/>
        <v>0</v>
      </c>
      <c r="M36" s="313" cm="1">
        <f t="array" ref="M36">_xlfn.IFS(L36=0,0,L36&gt;=1,L36/$L$69)</f>
        <v>0</v>
      </c>
      <c r="N36" s="1065" t="s">
        <v>65</v>
      </c>
      <c r="O36" s="1065"/>
      <c r="P36" s="1066"/>
      <c r="Q36" s="316">
        <f>COUNTIFS(input!$O:$O,July!$Q$25,input!$F:$F,July!N36,input!$A:$A,July!$B$2)</f>
        <v>0</v>
      </c>
      <c r="R36" s="316">
        <f>COUNTIFS(input!$O:$O,July!$R$25,input!$F:$F,July!N36,input!$A:$A,July!$B$2)</f>
        <v>0</v>
      </c>
      <c r="S36" s="316">
        <f>COUNTIFS(input!$O:$O,July!$S$25,input!$F:$F,July!N36,input!$A:$A,July!$B$2)</f>
        <v>0</v>
      </c>
      <c r="T36" s="321">
        <f>COUNTIFS(input!$O:$O,July!$T$25,input!$F:$F,July!N36,input!$A:$A,July!$B$2)</f>
        <v>0</v>
      </c>
      <c r="U36" s="322">
        <f>COUNTIFS(input!$O:$O,July!$U$25,input!$F:$F,July!N36,input!$A:$A,July!$B$2)</f>
        <v>0</v>
      </c>
      <c r="V36" s="322">
        <f>COUNTIFS(input!$O:$O,July!$V$25,input!$F:$F,July!N36,input!$A:$A,July!$B$2)</f>
        <v>0</v>
      </c>
      <c r="W36" s="323">
        <f>COUNTIFS(input!$O:$O,July!$W$25,input!$F:$F,July!N36,input!$A:$A,July!$B$2)</f>
        <v>0</v>
      </c>
      <c r="X36" s="324">
        <f>COUNTIFS(input!$O:$O,July!$X$25,input!$F:$F,July!N36,input!$A:$A,July!$B$2)</f>
        <v>0</v>
      </c>
      <c r="Y36" s="312">
        <f t="shared" si="1"/>
        <v>0</v>
      </c>
      <c r="Z36" s="315" cm="1">
        <f t="array" ref="Z36">_xlfn.IFS(Y36=0,0,Y36&gt;=1,Y36/$Y$69)</f>
        <v>0</v>
      </c>
    </row>
    <row r="37" spans="2:26" ht="92" hidden="1" customHeight="1" x14ac:dyDescent="0.25">
      <c r="B37" s="1121" t="s">
        <v>105</v>
      </c>
      <c r="C37" s="1066"/>
      <c r="D37" s="316">
        <f>COUNTIFS(input!$O:$O,July!$D$25,input!$E:$E,July!B37,input!$A:$A,July!$B$2)</f>
        <v>0</v>
      </c>
      <c r="E37" s="316">
        <f>COUNTIFS(input!$O:$O,July!$E$25,input!$E:$E,July!B37,input!$A:$A,July!$B$2)</f>
        <v>0</v>
      </c>
      <c r="F37" s="317">
        <f>COUNTIFS(input!$O:$O,July!$F$25,input!$E:$E,July!B37,input!$A:$A,July!$B$2)</f>
        <v>0</v>
      </c>
      <c r="G37" s="318">
        <f>COUNTIFS(input!$O:$O,July!$G$25,input!$E:$E,July!B37,input!$A:$A,July!$B$2)</f>
        <v>0</v>
      </c>
      <c r="H37" s="318">
        <f>COUNTIFS(input!$O:$O,July!$H$25,input!$E:$E,July!B37,input!$A:$A,July!$B$2)</f>
        <v>0</v>
      </c>
      <c r="I37" s="318">
        <f>COUNTIFS(input!$O:$O,July!$I$25,input!$E:$E,July!B37,input!$A:$A,July!$B$2)</f>
        <v>0</v>
      </c>
      <c r="J37" s="318">
        <f>COUNTIFS(input!$O:$O,July!$K$25,input!$E:$E,July!B37,input!$A:$A,July!$B$2)</f>
        <v>0</v>
      </c>
      <c r="K37" s="319">
        <f>COUNTIFS(input!$O:$O,July!$K$25,input!$E:$E,July!B37,input!$A:$A,July!$B$2)</f>
        <v>0</v>
      </c>
      <c r="L37" s="312">
        <f t="shared" ref="L37:L47" si="2">SUM(D37:K37)</f>
        <v>0</v>
      </c>
      <c r="M37" s="313" cm="1">
        <f t="array" ref="M37">_xlfn.IFS(L37=0,0,L37&gt;=1,L37/$L$69)</f>
        <v>0</v>
      </c>
      <c r="N37" s="1065" t="s">
        <v>339</v>
      </c>
      <c r="O37" s="1065"/>
      <c r="P37" s="1066"/>
      <c r="Q37" s="316">
        <f>COUNTIFS(input!$O:$O,July!$Q$25,input!$F:$F,July!N37,input!$A:$A,July!$B$2)</f>
        <v>0</v>
      </c>
      <c r="R37" s="316">
        <f>COUNTIFS(input!$O:$O,July!$R$25,input!$F:$F,July!N37,input!$A:$A,July!$B$2)</f>
        <v>0</v>
      </c>
      <c r="S37" s="316">
        <f>COUNTIFS(input!$O:$O,July!$S$25,input!$F:$F,July!N37,input!$A:$A,July!$B$2)</f>
        <v>0</v>
      </c>
      <c r="T37" s="321">
        <f>COUNTIFS(input!$O:$O,July!$T$25,input!$F:$F,July!N37,input!$A:$A,July!$B$2)</f>
        <v>0</v>
      </c>
      <c r="U37" s="322">
        <f>COUNTIFS(input!$O:$O,July!$U$25,input!$F:$F,July!N37,input!$A:$A,July!$B$2)</f>
        <v>0</v>
      </c>
      <c r="V37" s="322">
        <f>COUNTIFS(input!$O:$O,July!$V$25,input!$F:$F,July!N37,input!$A:$A,July!$B$2)</f>
        <v>0</v>
      </c>
      <c r="W37" s="323">
        <f>COUNTIFS(input!$O:$O,July!$W$25,input!$F:$F,July!N37,input!$A:$A,July!$B$2)</f>
        <v>0</v>
      </c>
      <c r="X37" s="324">
        <f>COUNTIFS(input!$O:$O,July!$X$25,input!$F:$F,July!N37,input!$A:$A,July!$B$2)</f>
        <v>0</v>
      </c>
      <c r="Y37" s="312">
        <f t="shared" si="1"/>
        <v>0</v>
      </c>
      <c r="Z37" s="315" cm="1">
        <f t="array" ref="Z37">_xlfn.IFS(Y37=0,0,Y37&gt;=1,Y37/$Y$69)</f>
        <v>0</v>
      </c>
    </row>
    <row r="38" spans="2:26" ht="92" customHeight="1" x14ac:dyDescent="0.25">
      <c r="B38" s="990" t="s">
        <v>2114</v>
      </c>
      <c r="C38" s="991"/>
      <c r="D38" s="316">
        <f>COUNTIFS(input!$O:$O,July!$D$25,input!$E:$E,July!B38,input!$A:$A,July!$B$2)</f>
        <v>0</v>
      </c>
      <c r="E38" s="316">
        <f>COUNTIFS(input!$O:$O,July!$E$25,input!$E:$E,July!B38,input!$A:$A,July!$B$2)</f>
        <v>0</v>
      </c>
      <c r="F38" s="317">
        <f>COUNTIFS(input!$O:$O,July!$F$25,input!$E:$E,July!B38,input!$A:$A,July!$B$2)</f>
        <v>0</v>
      </c>
      <c r="G38" s="318">
        <f>COUNTIFS(input!$O:$O,July!$G$25,input!$E:$E,July!B38,input!$A:$A,July!$B$2)</f>
        <v>1</v>
      </c>
      <c r="H38" s="318">
        <f>COUNTIFS(input!$O:$O,July!$H$25,input!$E:$E,July!B38,input!$A:$A,July!$B$2)</f>
        <v>0</v>
      </c>
      <c r="I38" s="318">
        <f>COUNTIFS(input!$O:$O,July!$I$25,input!$E:$E,July!B38,input!$A:$A,July!$B$2)</f>
        <v>0</v>
      </c>
      <c r="J38" s="318">
        <f>COUNTIFS(input!$O:$O,July!$K$25,input!$E:$E,July!B38,input!$A:$A,July!$B$2)</f>
        <v>0</v>
      </c>
      <c r="K38" s="319">
        <f>COUNTIFS(input!$O:$O,July!$K$25,input!$E:$E,July!B38,input!$A:$A,July!$B$2)</f>
        <v>0</v>
      </c>
      <c r="L38" s="312">
        <f>SUM(D38:K38)</f>
        <v>1</v>
      </c>
      <c r="M38" s="313" cm="1">
        <f t="array" ref="M38">_xlfn.IFS(L38=0,0,L38&gt;=1,L38/$L$69)</f>
        <v>6.25E-2</v>
      </c>
      <c r="N38" s="1016" t="s">
        <v>67</v>
      </c>
      <c r="O38" s="1016"/>
      <c r="P38" s="991"/>
      <c r="Q38" s="316">
        <f>COUNTIFS(input!$O:$O,July!$Q$25,input!$F:$F,July!N38,input!$A:$A,July!$B$2)</f>
        <v>0</v>
      </c>
      <c r="R38" s="316">
        <f>COUNTIFS(input!$O:$O,July!$R$25,input!$F:$F,July!N38,input!$A:$A,July!$B$2)</f>
        <v>0</v>
      </c>
      <c r="S38" s="316">
        <f>COUNTIFS(input!$O:$O,July!$S$25,input!$F:$F,July!N38,input!$A:$A,July!$B$2)</f>
        <v>0</v>
      </c>
      <c r="T38" s="321">
        <f>COUNTIFS(input!$O:$O,July!$T$25,input!$F:$F,July!N38,input!$A:$A,July!$B$2)</f>
        <v>0</v>
      </c>
      <c r="U38" s="322">
        <f>COUNTIFS(input!$O:$O,July!$U$25,input!$F:$F,July!N38,input!$A:$A,July!$B$2)</f>
        <v>0</v>
      </c>
      <c r="V38" s="322">
        <f>COUNTIFS(input!$O:$O,July!$V$25,input!$F:$F,July!N38,input!$A:$A,July!$B$2)</f>
        <v>1</v>
      </c>
      <c r="W38" s="323">
        <f>COUNTIFS(input!$O:$O,July!$W$25,input!$F:$F,July!N38,input!$A:$A,July!$B$2)</f>
        <v>1</v>
      </c>
      <c r="X38" s="324">
        <f>COUNTIFS(input!$O:$O,July!$X$25,input!$F:$F,July!N38,input!$A:$A,July!$B$2)</f>
        <v>0</v>
      </c>
      <c r="Y38" s="312">
        <f t="shared" ref="Y38:Y49" si="3">SUM(Q38:X38)</f>
        <v>2</v>
      </c>
      <c r="Z38" s="315" cm="1">
        <f t="array" ref="Z38">_xlfn.IFS(Y38=0,0,Y38&gt;=1,Y38/$Y$69)</f>
        <v>0.125</v>
      </c>
    </row>
    <row r="39" spans="2:26" ht="92" hidden="1" customHeight="1" x14ac:dyDescent="0.25">
      <c r="B39" s="1121" t="s">
        <v>1774</v>
      </c>
      <c r="C39" s="1066"/>
      <c r="D39" s="316">
        <f>COUNTIFS(input!$O:$O,July!$D$25,input!$E:$E,July!B39,input!$A:$A,July!$B$2)</f>
        <v>0</v>
      </c>
      <c r="E39" s="316">
        <f>COUNTIFS(input!$O:$O,July!$E$25,input!$E:$E,July!B39,input!$A:$A,July!$B$2)</f>
        <v>0</v>
      </c>
      <c r="F39" s="317">
        <f>COUNTIFS(input!$O:$O,July!$F$25,input!$E:$E,July!B39,input!$A:$A,July!$B$2)</f>
        <v>0</v>
      </c>
      <c r="G39" s="318">
        <f>COUNTIFS(input!$O:$O,July!$G$25,input!$E:$E,July!B39,input!$A:$A,July!$B$2)</f>
        <v>0</v>
      </c>
      <c r="H39" s="318">
        <f>COUNTIFS(input!$O:$O,July!$H$25,input!$E:$E,July!B39,input!$A:$A,July!$B$2)</f>
        <v>0</v>
      </c>
      <c r="I39" s="318">
        <f>COUNTIFS(input!$O:$O,July!$I$25,input!$E:$E,July!B39,input!$A:$A,July!$B$2)</f>
        <v>0</v>
      </c>
      <c r="J39" s="318">
        <f>COUNTIFS(input!$O:$O,July!$K$25,input!$E:$E,July!B39,input!$A:$A,July!$B$2)</f>
        <v>0</v>
      </c>
      <c r="K39" s="319">
        <f>COUNTIFS(input!$O:$O,July!$K$25,input!$E:$E,July!B39,input!$A:$A,July!$B$2)</f>
        <v>0</v>
      </c>
      <c r="L39" s="312">
        <f t="shared" si="2"/>
        <v>0</v>
      </c>
      <c r="M39" s="313" cm="1">
        <f t="array" ref="M39">_xlfn.IFS(L39=0,0,L39&gt;=1,L39/$L$69)</f>
        <v>0</v>
      </c>
      <c r="N39" s="1065" t="s">
        <v>122</v>
      </c>
      <c r="O39" s="1065"/>
      <c r="P39" s="1066"/>
      <c r="Q39" s="316">
        <f>COUNTIFS(input!$O:$O,July!$Q$25,input!$F:$F,July!N39,input!$A:$A,July!$B$2)</f>
        <v>0</v>
      </c>
      <c r="R39" s="316">
        <f>COUNTIFS(input!$O:$O,July!$R$25,input!$F:$F,July!N39,input!$A:$A,July!$B$2)</f>
        <v>0</v>
      </c>
      <c r="S39" s="316">
        <f>COUNTIFS(input!$O:$O,July!$S$25,input!$F:$F,July!N39,input!$A:$A,July!$B$2)</f>
        <v>0</v>
      </c>
      <c r="T39" s="321">
        <f>COUNTIFS(input!$O:$O,July!$T$25,input!$F:$F,July!N39,input!$A:$A,July!$B$2)</f>
        <v>0</v>
      </c>
      <c r="U39" s="322">
        <f>COUNTIFS(input!$O:$O,July!$U$25,input!$F:$F,July!N39,input!$A:$A,July!$B$2)</f>
        <v>0</v>
      </c>
      <c r="V39" s="322">
        <f>COUNTIFS(input!$O:$O,July!$V$25,input!$F:$F,July!N39,input!$A:$A,July!$B$2)</f>
        <v>0</v>
      </c>
      <c r="W39" s="323">
        <f>COUNTIFS(input!$O:$O,July!$W$25,input!$F:$F,July!N39,input!$A:$A,July!$B$2)</f>
        <v>0</v>
      </c>
      <c r="X39" s="324">
        <f>COUNTIFS(input!$O:$O,July!$X$25,input!$F:$F,July!N39,input!$A:$A,July!$B$2)</f>
        <v>0</v>
      </c>
      <c r="Y39" s="312">
        <f t="shared" si="3"/>
        <v>0</v>
      </c>
      <c r="Z39" s="315" cm="1">
        <f t="array" ref="Z39">_xlfn.IFS(Y39=0,0,Y39&gt;=1,Y39/$Y$69)</f>
        <v>0</v>
      </c>
    </row>
    <row r="40" spans="2:26" ht="92" hidden="1" customHeight="1" x14ac:dyDescent="0.25">
      <c r="B40" s="1121" t="s">
        <v>1756</v>
      </c>
      <c r="C40" s="1066"/>
      <c r="D40" s="316">
        <f>COUNTIFS(input!$O:$O,July!$D$25,input!$E:$E,July!B40,input!$A:$A,July!$B$2)</f>
        <v>0</v>
      </c>
      <c r="E40" s="316">
        <f>COUNTIFS(input!$O:$O,July!$E$25,input!$E:$E,July!B40,input!$A:$A,July!$B$2)</f>
        <v>0</v>
      </c>
      <c r="F40" s="317">
        <f>COUNTIFS(input!$O:$O,July!$F$25,input!$E:$E,July!B40,input!$A:$A,July!$B$2)</f>
        <v>0</v>
      </c>
      <c r="G40" s="318">
        <f>COUNTIFS(input!$O:$O,July!$G$25,input!$E:$E,July!B40,input!$A:$A,July!$B$2)</f>
        <v>0</v>
      </c>
      <c r="H40" s="318">
        <f>COUNTIFS(input!$O:$O,July!$H$25,input!$E:$E,July!B40,input!$A:$A,July!$B$2)</f>
        <v>0</v>
      </c>
      <c r="I40" s="318">
        <f>COUNTIFS(input!$O:$O,July!$I$25,input!$E:$E,July!B40,input!$A:$A,July!$B$2)</f>
        <v>0</v>
      </c>
      <c r="J40" s="318">
        <f>COUNTIFS(input!$O:$O,July!$K$25,input!$E:$E,July!B40,input!$A:$A,July!$B$2)</f>
        <v>0</v>
      </c>
      <c r="K40" s="319">
        <f>COUNTIFS(input!$O:$O,July!$K$25,input!$E:$E,July!B40,input!$A:$A,July!$B$2)</f>
        <v>0</v>
      </c>
      <c r="L40" s="312">
        <f t="shared" si="2"/>
        <v>0</v>
      </c>
      <c r="M40" s="313" cm="1">
        <f t="array" ref="M40">_xlfn.IFS(L40=0,0,L40&gt;=1,L40/$L$69)</f>
        <v>0</v>
      </c>
      <c r="N40" s="1065" t="s">
        <v>135</v>
      </c>
      <c r="O40" s="1065"/>
      <c r="P40" s="1066"/>
      <c r="Q40" s="316">
        <f>COUNTIFS(input!$O:$O,July!$Q$25,input!$F:$F,July!N40,input!$A:$A,July!$B$2)</f>
        <v>0</v>
      </c>
      <c r="R40" s="316">
        <f>COUNTIFS(input!$O:$O,July!$R$25,input!$F:$F,July!N40,input!$A:$A,July!$B$2)</f>
        <v>0</v>
      </c>
      <c r="S40" s="316">
        <f>COUNTIFS(input!$O:$O,July!$S$25,input!$F:$F,July!N40,input!$A:$A,July!$B$2)</f>
        <v>0</v>
      </c>
      <c r="T40" s="321">
        <f>COUNTIFS(input!$O:$O,July!$T$25,input!$F:$F,July!N40,input!$A:$A,July!$B$2)</f>
        <v>0</v>
      </c>
      <c r="U40" s="322">
        <f>COUNTIFS(input!$O:$O,July!$U$25,input!$F:$F,July!N40,input!$A:$A,July!$B$2)</f>
        <v>0</v>
      </c>
      <c r="V40" s="322">
        <f>COUNTIFS(input!$O:$O,July!$V$25,input!$F:$F,July!N40,input!$A:$A,July!$B$2)</f>
        <v>0</v>
      </c>
      <c r="W40" s="323">
        <f>COUNTIFS(input!$O:$O,July!$W$25,input!$F:$F,July!N40,input!$A:$A,July!$B$2)</f>
        <v>0</v>
      </c>
      <c r="X40" s="324">
        <f>COUNTIFS(input!$O:$O,July!$X$25,input!$F:$F,July!N40,input!$A:$A,July!$B$2)</f>
        <v>0</v>
      </c>
      <c r="Y40" s="312">
        <f t="shared" si="3"/>
        <v>0</v>
      </c>
      <c r="Z40" s="315" cm="1">
        <f t="array" ref="Z40">_xlfn.IFS(Y40=0,0,Y40&gt;=1,Y40/$Y$69)</f>
        <v>0</v>
      </c>
    </row>
    <row r="41" spans="2:26" ht="92" hidden="1" customHeight="1" x14ac:dyDescent="0.25">
      <c r="B41" s="1121" t="s">
        <v>1888</v>
      </c>
      <c r="C41" s="1066"/>
      <c r="D41" s="316">
        <f>COUNTIFS(input!$O:$O,July!$D$25,input!$E:$E,July!B41,input!$A:$A,July!$B$2)</f>
        <v>0</v>
      </c>
      <c r="E41" s="316">
        <f>COUNTIFS(input!$O:$O,July!$E$25,input!$E:$E,July!B41,input!$A:$A,July!$B$2)</f>
        <v>0</v>
      </c>
      <c r="F41" s="317">
        <f>COUNTIFS(input!$O:$O,July!$F$25,input!$E:$E,July!B41,input!$A:$A,July!$B$2)</f>
        <v>0</v>
      </c>
      <c r="G41" s="318">
        <f>COUNTIFS(input!$O:$O,July!$G$25,input!$E:$E,July!B41,input!$A:$A,July!$B$2)</f>
        <v>0</v>
      </c>
      <c r="H41" s="318">
        <f>COUNTIFS(input!$O:$O,July!$H$25,input!$E:$E,July!B41,input!$A:$A,July!$B$2)</f>
        <v>0</v>
      </c>
      <c r="I41" s="318">
        <f>COUNTIFS(input!$O:$O,July!$I$25,input!$E:$E,July!B41,input!$A:$A,July!$B$2)</f>
        <v>0</v>
      </c>
      <c r="J41" s="318">
        <f>COUNTIFS(input!$O:$O,July!$K$25,input!$E:$E,July!B41,input!$A:$A,July!$B$2)</f>
        <v>0</v>
      </c>
      <c r="K41" s="319">
        <f>COUNTIFS(input!$O:$O,July!$K$25,input!$E:$E,July!B41,input!$A:$A,July!$B$2)</f>
        <v>0</v>
      </c>
      <c r="L41" s="312">
        <f t="shared" si="2"/>
        <v>0</v>
      </c>
      <c r="M41" s="313" cm="1">
        <f t="array" ref="M41">_xlfn.IFS(L41=0,0,L41&gt;=1,L41/$L$69)</f>
        <v>0</v>
      </c>
      <c r="N41" s="1065" t="s">
        <v>95</v>
      </c>
      <c r="O41" s="1065"/>
      <c r="P41" s="1066"/>
      <c r="Q41" s="316">
        <f>COUNTIFS(input!$O:$O,July!$Q$25,input!$F:$F,July!N41,input!$A:$A,July!$B$2)</f>
        <v>0</v>
      </c>
      <c r="R41" s="316">
        <f>COUNTIFS(input!$O:$O,July!$R$25,input!$F:$F,July!N41,input!$A:$A,July!$B$2)</f>
        <v>0</v>
      </c>
      <c r="S41" s="316">
        <f>COUNTIFS(input!$O:$O,July!$S$25,input!$F:$F,July!N41,input!$A:$A,July!$B$2)</f>
        <v>0</v>
      </c>
      <c r="T41" s="321">
        <f>COUNTIFS(input!$O:$O,July!$T$25,input!$F:$F,July!N41,input!$A:$A,July!$B$2)</f>
        <v>0</v>
      </c>
      <c r="U41" s="322">
        <f>COUNTIFS(input!$O:$O,July!$U$25,input!$F:$F,July!N41,input!$A:$A,July!$B$2)</f>
        <v>0</v>
      </c>
      <c r="V41" s="322">
        <f>COUNTIFS(input!$O:$O,July!$V$25,input!$F:$F,July!N41,input!$A:$A,July!$B$2)</f>
        <v>0</v>
      </c>
      <c r="W41" s="323">
        <f>COUNTIFS(input!$O:$O,July!$W$25,input!$F:$F,July!N41,input!$A:$A,July!$B$2)</f>
        <v>0</v>
      </c>
      <c r="X41" s="324">
        <f>COUNTIFS(input!$O:$O,July!$X$25,input!$F:$F,July!N41,input!$A:$A,July!$B$2)</f>
        <v>0</v>
      </c>
      <c r="Y41" s="312">
        <f t="shared" si="3"/>
        <v>0</v>
      </c>
      <c r="Z41" s="315" cm="1">
        <f t="array" ref="Z41">_xlfn.IFS(Y41=0,0,Y41&gt;=1,Y41/$Y$69)</f>
        <v>0</v>
      </c>
    </row>
    <row r="42" spans="2:26" ht="92" customHeight="1" x14ac:dyDescent="0.25">
      <c r="B42" s="990" t="s">
        <v>169</v>
      </c>
      <c r="C42" s="991"/>
      <c r="D42" s="316">
        <f>COUNTIFS(input!$O:$O,July!$D$25,input!$E:$E,July!B42,input!$A:$A,July!$B$2)</f>
        <v>0</v>
      </c>
      <c r="E42" s="316">
        <f>COUNTIFS(input!$O:$O,July!$E$25,input!$E:$E,July!B42,input!$A:$A,July!$B$2)</f>
        <v>0</v>
      </c>
      <c r="F42" s="317">
        <f>COUNTIFS(input!$O:$O,July!$F$25,input!$E:$E,July!B42,input!$A:$A,July!$B$2)</f>
        <v>0</v>
      </c>
      <c r="G42" s="318">
        <f>COUNTIFS(input!$O:$O,July!$G$25,input!$E:$E,July!B42,input!$A:$A,July!$B$2)</f>
        <v>0</v>
      </c>
      <c r="H42" s="318">
        <f>COUNTIFS(input!$O:$O,July!$H$25,input!$E:$E,July!B42,input!$A:$A,July!$B$2)</f>
        <v>0</v>
      </c>
      <c r="I42" s="318">
        <f>COUNTIFS(input!$O:$O,July!$I$25,input!$E:$E,July!B42,input!$A:$A,July!$B$2)</f>
        <v>0</v>
      </c>
      <c r="J42" s="318">
        <f>COUNTIFS(input!$O:$O,July!$J$25,input!$E:$E,July!B42,input!$A:$A,July!$B$2)</f>
        <v>1</v>
      </c>
      <c r="K42" s="319">
        <f>COUNTIFS(input!$O:$O,July!$K$25,input!$E:$E,July!B42,input!$A:$A,July!$B$2)</f>
        <v>0</v>
      </c>
      <c r="L42" s="312">
        <f>SUM(D42:K42)</f>
        <v>1</v>
      </c>
      <c r="M42" s="313" cm="1">
        <f t="array" ref="M42">_xlfn.IFS(L42=0,0,L42&gt;=1,L42/$L$69)</f>
        <v>6.25E-2</v>
      </c>
      <c r="N42" s="1065" t="s">
        <v>68</v>
      </c>
      <c r="O42" s="1065"/>
      <c r="P42" s="1066"/>
      <c r="Q42" s="316">
        <f>COUNTIFS(input!$O:$O,July!$Q$25,input!$F:$F,July!N42,input!$A:$A,July!$B$2)</f>
        <v>0</v>
      </c>
      <c r="R42" s="316">
        <f>COUNTIFS(input!$O:$O,July!$R$25,input!$F:$F,July!N42,input!$A:$A,July!$B$2)</f>
        <v>0</v>
      </c>
      <c r="S42" s="316">
        <f>COUNTIFS(input!$O:$O,July!$S$25,input!$F:$F,July!N42,input!$A:$A,July!$B$2)</f>
        <v>0</v>
      </c>
      <c r="T42" s="321">
        <f>COUNTIFS(input!$O:$O,July!$T$25,input!$F:$F,July!N42,input!$A:$A,July!$B$2)</f>
        <v>0</v>
      </c>
      <c r="U42" s="322">
        <f>COUNTIFS(input!$O:$O,July!$U$25,input!$F:$F,July!N42,input!$A:$A,July!$B$2)</f>
        <v>0</v>
      </c>
      <c r="V42" s="322">
        <f>COUNTIFS(input!$O:$O,July!$V$25,input!$F:$F,July!N42,input!$A:$A,July!$B$2)</f>
        <v>0</v>
      </c>
      <c r="W42" s="323">
        <f>COUNTIFS(input!$O:$O,July!$W$25,input!$F:$F,July!N42,input!$A:$A,July!$B$2)</f>
        <v>0</v>
      </c>
      <c r="X42" s="324">
        <f>COUNTIFS(input!$O:$O,July!$X$25,input!$F:$F,July!N42,input!$A:$A,July!$B$2)</f>
        <v>0</v>
      </c>
      <c r="Y42" s="312">
        <f t="shared" si="3"/>
        <v>0</v>
      </c>
      <c r="Z42" s="315" cm="1">
        <f t="array" ref="Z42">_xlfn.IFS(Y42=0,0,Y42&gt;=1,Y42/$Y$69)</f>
        <v>0</v>
      </c>
    </row>
    <row r="43" spans="2:26" ht="92" hidden="1" customHeight="1" x14ac:dyDescent="0.25">
      <c r="B43" s="1121" t="s">
        <v>658</v>
      </c>
      <c r="C43" s="1066"/>
      <c r="D43" s="316">
        <f>COUNTIFS(input!$O:$O,July!$D$25,input!$E:$E,July!B43,input!$A:$A,July!$B$2)</f>
        <v>0</v>
      </c>
      <c r="E43" s="316">
        <f>COUNTIFS(input!$O:$O,July!$E$25,input!$E:$E,July!B43,input!$A:$A,July!$B$2)</f>
        <v>0</v>
      </c>
      <c r="F43" s="317">
        <f>COUNTIFS(input!$O:$O,July!$F$25,input!$E:$E,July!B43,input!$A:$A,July!$B$2)</f>
        <v>0</v>
      </c>
      <c r="G43" s="318">
        <f>COUNTIFS(input!$O:$O,July!$G$25,input!$E:$E,July!B43,input!$A:$A,July!$B$2)</f>
        <v>0</v>
      </c>
      <c r="H43" s="318">
        <f>COUNTIFS(input!$O:$O,July!$H$25,input!$E:$E,July!B43,input!$A:$A,July!$B$2)</f>
        <v>0</v>
      </c>
      <c r="I43" s="318">
        <f>COUNTIFS(input!$O:$O,July!$I$25,input!$E:$E,July!B43,input!$A:$A,July!$B$2)</f>
        <v>0</v>
      </c>
      <c r="J43" s="318">
        <f>COUNTIFS(input!$O:$O,July!$K$25,input!$E:$E,July!B43,input!$A:$A,July!$B$2)</f>
        <v>0</v>
      </c>
      <c r="K43" s="319">
        <f>COUNTIFS(input!$O:$O,July!$K$25,input!$E:$E,July!B43,input!$A:$A,July!$B$2)</f>
        <v>0</v>
      </c>
      <c r="L43" s="312">
        <f t="shared" si="2"/>
        <v>0</v>
      </c>
      <c r="M43" s="313" cm="1">
        <f t="array" ref="M43">_xlfn.IFS(L43=0,0,L43&gt;=1,L43/$L$69)</f>
        <v>0</v>
      </c>
      <c r="N43" s="1065" t="s">
        <v>69</v>
      </c>
      <c r="O43" s="1065"/>
      <c r="P43" s="1066"/>
      <c r="Q43" s="316">
        <f>COUNTIFS(input!$O:$O,July!$Q$25,input!$F:$F,July!N43,input!$A:$A,July!$B$2)</f>
        <v>0</v>
      </c>
      <c r="R43" s="316">
        <f>COUNTIFS(input!$O:$O,July!$R$25,input!$F:$F,July!N43,input!$A:$A,July!$B$2)</f>
        <v>0</v>
      </c>
      <c r="S43" s="316">
        <f>COUNTIFS(input!$O:$O,July!$S$25,input!$F:$F,July!N43,input!$A:$A,July!$B$2)</f>
        <v>0</v>
      </c>
      <c r="T43" s="321">
        <f>COUNTIFS(input!$O:$O,July!$T$25,input!$F:$F,July!N43,input!$A:$A,July!$B$2)</f>
        <v>0</v>
      </c>
      <c r="U43" s="322">
        <f>COUNTIFS(input!$O:$O,July!$U$25,input!$F:$F,July!N43,input!$A:$A,July!$B$2)</f>
        <v>0</v>
      </c>
      <c r="V43" s="322">
        <f>COUNTIFS(input!$O:$O,July!$V$25,input!$F:$F,July!N43,input!$A:$A,July!$B$2)</f>
        <v>0</v>
      </c>
      <c r="W43" s="323">
        <f>COUNTIFS(input!$O:$O,July!$W$25,input!$F:$F,July!N43,input!$A:$A,July!$B$2)</f>
        <v>0</v>
      </c>
      <c r="X43" s="324">
        <f>COUNTIFS(input!$O:$O,July!$X$25,input!$F:$F,July!N43,input!$A:$A,July!$B$2)</f>
        <v>0</v>
      </c>
      <c r="Y43" s="312">
        <f t="shared" si="3"/>
        <v>0</v>
      </c>
      <c r="Z43" s="315" cm="1">
        <f t="array" ref="Z43">_xlfn.IFS(Y43=0,0,Y43&gt;=1,Y43/$Y$69)</f>
        <v>0</v>
      </c>
    </row>
    <row r="44" spans="2:26" ht="92" customHeight="1" x14ac:dyDescent="0.25">
      <c r="B44" s="990" t="s">
        <v>18</v>
      </c>
      <c r="C44" s="991"/>
      <c r="D44" s="316">
        <f>COUNTIFS(input!$O:$O,July!$D$25,input!$E:$E,July!B44,input!$A:$A,July!$B$2)</f>
        <v>0</v>
      </c>
      <c r="E44" s="316">
        <f>COUNTIFS(input!$O:$O,July!$E$25,input!$E:$E,July!B44,input!$A:$A,July!$B$2)</f>
        <v>0</v>
      </c>
      <c r="F44" s="317">
        <f>COUNTIFS(input!$O:$O,July!$F$25,input!$E:$E,July!B44,input!$A:$A,July!$B$2)</f>
        <v>0</v>
      </c>
      <c r="G44" s="318">
        <f>COUNTIFS(input!$O:$O,July!$G$25,input!$E:$E,July!B44,input!$A:$A,July!$B$2)</f>
        <v>1</v>
      </c>
      <c r="H44" s="318">
        <f>COUNTIFS(input!$O:$O,July!$H$25,input!$E:$E,July!B44,input!$A:$A,July!$B$2)</f>
        <v>0</v>
      </c>
      <c r="I44" s="318">
        <f>COUNTIFS(input!$O:$O,July!$I$25,input!$E:$E,July!B44,input!$A:$A,July!$B$2)</f>
        <v>1</v>
      </c>
      <c r="J44" s="318">
        <f>COUNTIFS(input!$O:$O,July!$K$25,input!$E:$E,July!B44,input!$A:$A,July!$B$2)</f>
        <v>0</v>
      </c>
      <c r="K44" s="319">
        <f>COUNTIFS(input!$O:$O,July!$K$25,input!$E:$E,July!B44,input!$A:$A,July!$B$2)</f>
        <v>0</v>
      </c>
      <c r="L44" s="312">
        <f t="shared" si="2"/>
        <v>2</v>
      </c>
      <c r="M44" s="313" cm="1">
        <f t="array" ref="M44">_xlfn.IFS(L44=0,0,L44&gt;=1,L44/$L$69)</f>
        <v>0.125</v>
      </c>
      <c r="N44" s="1065" t="s">
        <v>84</v>
      </c>
      <c r="O44" s="1065"/>
      <c r="P44" s="1066"/>
      <c r="Q44" s="316">
        <f>COUNTIFS(input!$O:$O,July!$Q$25,input!$F:$F,July!N44,input!$A:$A,July!$B$2)</f>
        <v>0</v>
      </c>
      <c r="R44" s="316">
        <f>COUNTIFS(input!$O:$O,July!$R$25,input!$F:$F,July!N44,input!$A:$A,July!$B$2)</f>
        <v>0</v>
      </c>
      <c r="S44" s="316">
        <f>COUNTIFS(input!$O:$O,July!$S$25,input!$F:$F,July!N44,input!$A:$A,July!$B$2)</f>
        <v>0</v>
      </c>
      <c r="T44" s="321">
        <f>COUNTIFS(input!$O:$O,July!$T$25,input!$F:$F,July!N44,input!$A:$A,July!$B$2)</f>
        <v>0</v>
      </c>
      <c r="U44" s="322">
        <f>COUNTIFS(input!$O:$O,July!$U$25,input!$F:$F,July!N44,input!$A:$A,July!$B$2)</f>
        <v>0</v>
      </c>
      <c r="V44" s="322">
        <f>COUNTIFS(input!$O:$O,July!$V$25,input!$F:$F,July!N44,input!$A:$A,July!$B$2)</f>
        <v>0</v>
      </c>
      <c r="W44" s="323">
        <f>COUNTIFS(input!$O:$O,July!$W$25,input!$F:$F,July!N44,input!$A:$A,July!$B$2)</f>
        <v>0</v>
      </c>
      <c r="X44" s="324">
        <f>COUNTIFS(input!$O:$O,July!$X$25,input!$F:$F,July!N44,input!$A:$A,July!$B$2)</f>
        <v>0</v>
      </c>
      <c r="Y44" s="312">
        <f t="shared" si="3"/>
        <v>0</v>
      </c>
      <c r="Z44" s="315" cm="1">
        <f t="array" ref="Z44">_xlfn.IFS(Y44=0,0,Y44&gt;=1,Y44/$Y$69)</f>
        <v>0</v>
      </c>
    </row>
    <row r="45" spans="2:26" ht="92" customHeight="1" x14ac:dyDescent="0.25">
      <c r="B45" s="1121" t="s">
        <v>410</v>
      </c>
      <c r="C45" s="1066"/>
      <c r="D45" s="316">
        <f>COUNTIFS(input!$O:$O,July!$D$25,input!$E:$E,July!B45,input!$A:$A,July!$B$2)</f>
        <v>0</v>
      </c>
      <c r="E45" s="316">
        <f>COUNTIFS(input!$O:$O,July!$E$25,input!$E:$E,July!B45,input!$A:$A,July!$B$2)</f>
        <v>0</v>
      </c>
      <c r="F45" s="317">
        <f>COUNTIFS(input!$O:$O,July!$F$25,input!$E:$E,July!B45,input!$A:$A,July!$B$2)</f>
        <v>0</v>
      </c>
      <c r="G45" s="318">
        <f>COUNTIFS(input!$O:$O,July!$G$25,input!$E:$E,July!B45,input!$A:$A,July!$B$2)</f>
        <v>0</v>
      </c>
      <c r="H45" s="318">
        <f>COUNTIFS(input!$O:$O,July!$H$25,input!$E:$E,July!B45,input!$A:$A,July!$B$2)</f>
        <v>0</v>
      </c>
      <c r="I45" s="318">
        <f>COUNTIFS(input!$O:$O,July!$I$25,input!$E:$E,July!B45,input!$A:$A,July!$B$2)</f>
        <v>0</v>
      </c>
      <c r="J45" s="318">
        <f>COUNTIFS(input!$O:$O,July!$K$25,input!$E:$E,July!B45,input!$A:$A,July!$B$2)</f>
        <v>0</v>
      </c>
      <c r="K45" s="319">
        <f>COUNTIFS(input!$O:$O,July!$K$25,input!$E:$E,July!B45,input!$A:$A,July!$B$2)</f>
        <v>0</v>
      </c>
      <c r="L45" s="312">
        <f t="shared" si="2"/>
        <v>0</v>
      </c>
      <c r="M45" s="313" cm="1">
        <f t="array" ref="M45">_xlfn.IFS(L45=0,0,L45&gt;=1,L45/$L$69)</f>
        <v>0</v>
      </c>
      <c r="N45" s="1016" t="s">
        <v>56</v>
      </c>
      <c r="O45" s="1016"/>
      <c r="P45" s="991"/>
      <c r="Q45" s="316">
        <f>COUNTIFS(input!$O:$O,July!$Q$25,input!$F:$F,July!N45,input!$A:$A,July!$B$2)</f>
        <v>0</v>
      </c>
      <c r="R45" s="316">
        <f>COUNTIFS(input!$O:$O,July!$R$25,input!$F:$F,July!N45,input!$A:$A,July!$B$2)</f>
        <v>0</v>
      </c>
      <c r="S45" s="316">
        <f>COUNTIFS(input!$O:$O,July!$S$25,input!$F:$F,July!N45,input!$A:$A,July!$B$2)</f>
        <v>0</v>
      </c>
      <c r="T45" s="321">
        <f>COUNTIFS(input!$O:$O,July!$T$25,input!$F:$F,July!N45,input!$A:$A,July!$B$2)</f>
        <v>2</v>
      </c>
      <c r="U45" s="322">
        <f>COUNTIFS(input!$O:$O,July!$U$25,input!$F:$F,July!N45,input!$A:$A,July!$B$2)</f>
        <v>0</v>
      </c>
      <c r="V45" s="322">
        <f>COUNTIFS(input!$O:$O,July!$V$25,input!$F:$F,July!N45,input!$A:$A,July!$B$2)</f>
        <v>0</v>
      </c>
      <c r="W45" s="323">
        <f>COUNTIFS(input!$O:$O,July!$W$25,input!$F:$F,July!N45,input!$A:$A,July!$B$2)</f>
        <v>0</v>
      </c>
      <c r="X45" s="324">
        <f>COUNTIFS(input!$O:$O,July!$X$25,input!$F:$F,July!N45,input!$A:$A,July!$B$2)</f>
        <v>0</v>
      </c>
      <c r="Y45" s="312">
        <f t="shared" si="3"/>
        <v>2</v>
      </c>
      <c r="Z45" s="315" cm="1">
        <f t="array" ref="Z45">_xlfn.IFS(Y45=0,0,Y45&gt;=1,Y45/$Y$69)</f>
        <v>0.125</v>
      </c>
    </row>
    <row r="46" spans="2:26" ht="92" customHeight="1" x14ac:dyDescent="0.25">
      <c r="B46" s="1121" t="s">
        <v>1509</v>
      </c>
      <c r="C46" s="1066"/>
      <c r="D46" s="316">
        <f>COUNTIFS(input!$O:$O,July!$D$25,input!$E:$E,July!B46,input!$A:$A,July!$B$2)</f>
        <v>0</v>
      </c>
      <c r="E46" s="316">
        <f>COUNTIFS(input!$O:$O,July!$E$25,input!$E:$E,July!B46,input!$A:$A,July!$B$2)</f>
        <v>0</v>
      </c>
      <c r="F46" s="317">
        <f>COUNTIFS(input!$O:$O,July!$F$25,input!$E:$E,July!B46,input!$A:$A,July!$B$2)</f>
        <v>0</v>
      </c>
      <c r="G46" s="318">
        <f>COUNTIFS(input!$O:$O,July!$G$25,input!$E:$E,July!B46,input!$A:$A,July!$B$2)</f>
        <v>0</v>
      </c>
      <c r="H46" s="318">
        <f>COUNTIFS(input!$O:$O,July!$H$25,input!$E:$E,July!B46,input!$A:$A,July!$B$2)</f>
        <v>0</v>
      </c>
      <c r="I46" s="318">
        <f>COUNTIFS(input!$O:$O,July!$I$25,input!$E:$E,July!B46,input!$A:$A,July!$B$2)</f>
        <v>0</v>
      </c>
      <c r="J46" s="318">
        <f>COUNTIFS(input!$O:$O,July!$K$25,input!$E:$E,July!B46,input!$A:$A,July!$B$2)</f>
        <v>0</v>
      </c>
      <c r="K46" s="319">
        <f>COUNTIFS(input!$O:$O,July!$K$25,input!$E:$E,July!B46,input!$A:$A,July!$B$2)</f>
        <v>0</v>
      </c>
      <c r="L46" s="312">
        <f t="shared" si="2"/>
        <v>0</v>
      </c>
      <c r="M46" s="313" cm="1">
        <f t="array" ref="M46">_xlfn.IFS(L46=0,0,L46&gt;=1,L46/$L$69)</f>
        <v>0</v>
      </c>
      <c r="N46" s="1016" t="s">
        <v>203</v>
      </c>
      <c r="O46" s="1016"/>
      <c r="P46" s="991"/>
      <c r="Q46" s="316">
        <f>COUNTIFS(input!$O:$O,July!$Q$25,input!$F:$F,July!N46,input!$A:$A,July!$B$2)</f>
        <v>0</v>
      </c>
      <c r="R46" s="316">
        <f>COUNTIFS(input!$O:$O,July!$R$25,input!$F:$F,July!N46,input!$A:$A,July!$B$2)</f>
        <v>0</v>
      </c>
      <c r="S46" s="316">
        <f>COUNTIFS(input!$O:$O,July!$S$25,input!$F:$F,July!N46,input!$A:$A,July!$B$2)</f>
        <v>0</v>
      </c>
      <c r="T46" s="321">
        <f>COUNTIFS(input!$O:$O,July!$T$25,input!$F:$F,July!N46,input!$A:$A,July!$B$2)</f>
        <v>0</v>
      </c>
      <c r="U46" s="322">
        <f>COUNTIFS(input!$O:$O,July!$U$25,input!$F:$F,July!N46,input!$A:$A,July!$B$2)</f>
        <v>0</v>
      </c>
      <c r="V46" s="322">
        <f>COUNTIFS(input!$O:$O,July!$V$25,input!$F:$F,July!N46,input!$A:$A,July!$B$2)</f>
        <v>1</v>
      </c>
      <c r="W46" s="323">
        <f>COUNTIFS(input!$O:$O,July!$W$25,input!$F:$F,July!N46,input!$A:$A,July!$B$2)</f>
        <v>0</v>
      </c>
      <c r="X46" s="324">
        <f>COUNTIFS(input!$O:$O,July!$X$25,input!$F:$F,July!N46,input!$A:$A,July!$B$2)</f>
        <v>0</v>
      </c>
      <c r="Y46" s="312">
        <f t="shared" si="3"/>
        <v>1</v>
      </c>
      <c r="Z46" s="315" cm="1">
        <f t="array" ref="Z46">_xlfn.IFS(Y46=0,0,Y46&gt;=1,Y46/$Y$69)</f>
        <v>6.25E-2</v>
      </c>
    </row>
    <row r="47" spans="2:26" ht="92" hidden="1" customHeight="1" x14ac:dyDescent="0.25">
      <c r="B47" s="1121" t="s">
        <v>747</v>
      </c>
      <c r="C47" s="1066"/>
      <c r="D47" s="316">
        <f>COUNTIFS(input!$O:$O,July!$D$25,input!$E:$E,July!B47,input!$A:$A,July!$B$2)</f>
        <v>0</v>
      </c>
      <c r="E47" s="316">
        <f>COUNTIFS(input!$O:$O,July!$E$25,input!$E:$E,July!B47,input!$A:$A,July!$B$2)</f>
        <v>0</v>
      </c>
      <c r="F47" s="317">
        <f>COUNTIFS(input!$O:$O,July!$F$25,input!$E:$E,July!B47,input!$A:$A,July!$B$2)</f>
        <v>0</v>
      </c>
      <c r="G47" s="318">
        <f>COUNTIFS(input!$O:$O,July!$G$25,input!$E:$E,July!B47,input!$A:$A,July!$B$2)</f>
        <v>0</v>
      </c>
      <c r="H47" s="318">
        <f>COUNTIFS(input!$O:$O,July!$H$25,input!$E:$E,July!B47,input!$A:$A,July!$B$2)</f>
        <v>0</v>
      </c>
      <c r="I47" s="318">
        <f>COUNTIFS(input!$O:$O,July!$I$25,input!$E:$E,July!B47,input!$A:$A,July!$B$2)</f>
        <v>0</v>
      </c>
      <c r="J47" s="318">
        <f>COUNTIFS(input!$O:$O,July!$K$25,input!$E:$E,July!B47,input!$A:$A,July!$B$2)</f>
        <v>0</v>
      </c>
      <c r="K47" s="319">
        <f>COUNTIFS(input!$O:$O,July!$K$25,input!$E:$E,July!B47,input!$A:$A,July!$B$2)</f>
        <v>0</v>
      </c>
      <c r="L47" s="312">
        <f t="shared" si="2"/>
        <v>0</v>
      </c>
      <c r="M47" s="313" cm="1">
        <f t="array" ref="M47">_xlfn.IFS(L47=0,0,L47&gt;=1,L47/$L$69)</f>
        <v>0</v>
      </c>
      <c r="N47" s="1065" t="s">
        <v>42</v>
      </c>
      <c r="O47" s="1065"/>
      <c r="P47" s="1066"/>
      <c r="Q47" s="316">
        <f>COUNTIFS(input!$O:$O,July!$Q$25,input!$F:$F,July!N47,input!$A:$A,July!$B$2)</f>
        <v>0</v>
      </c>
      <c r="R47" s="316">
        <f>COUNTIFS(input!$O:$O,July!$R$25,input!$F:$F,July!N47,input!$A:$A,July!$B$2)</f>
        <v>0</v>
      </c>
      <c r="S47" s="316">
        <f>COUNTIFS(input!$O:$O,July!$S$25,input!$F:$F,July!N47,input!$A:$A,July!$B$2)</f>
        <v>0</v>
      </c>
      <c r="T47" s="321">
        <f>COUNTIFS(input!$O:$O,July!$T$25,input!$F:$F,July!N47,input!$A:$A,July!$B$2)</f>
        <v>0</v>
      </c>
      <c r="U47" s="322">
        <f>COUNTIFS(input!$O:$O,July!$U$25,input!$F:$F,July!N47,input!$A:$A,July!$B$2)</f>
        <v>0</v>
      </c>
      <c r="V47" s="322">
        <f>COUNTIFS(input!$O:$O,July!$V$25,input!$F:$F,July!N47,input!$A:$A,July!$B$2)</f>
        <v>0</v>
      </c>
      <c r="W47" s="323">
        <f>COUNTIFS(input!$O:$O,July!$W$25,input!$F:$F,July!N47,input!$A:$A,July!$B$2)</f>
        <v>1</v>
      </c>
      <c r="X47" s="324">
        <f>COUNTIFS(input!$O:$O,July!$X$25,input!$F:$F,July!N47,input!$A:$A,July!$B$2)</f>
        <v>0</v>
      </c>
      <c r="Y47" s="312">
        <f t="shared" si="3"/>
        <v>1</v>
      </c>
      <c r="Z47" s="315" cm="1">
        <f t="array" ref="Z47">_xlfn.IFS(Y47=0,0,Y47&gt;=1,Y47/$Y$69)</f>
        <v>6.25E-2</v>
      </c>
    </row>
    <row r="48" spans="2:26" ht="92" hidden="1" customHeight="1" x14ac:dyDescent="0.25">
      <c r="B48" s="1121" t="s">
        <v>333</v>
      </c>
      <c r="C48" s="1066"/>
      <c r="D48" s="316">
        <f>COUNTIFS(input!$O:$O,July!$D$25,input!$E:$E,July!B48,input!$A:$A,July!$B$2)</f>
        <v>0</v>
      </c>
      <c r="E48" s="316">
        <f>COUNTIFS(input!$O:$O,July!$E$25,input!$E:$E,July!B48,input!$A:$A,July!$B$2)</f>
        <v>0</v>
      </c>
      <c r="F48" s="317">
        <f>COUNTIFS(input!$O:$O,July!$F$25,input!$E:$E,July!B48,input!$A:$A,July!$B$2)</f>
        <v>0</v>
      </c>
      <c r="G48" s="318">
        <f>COUNTIFS(input!$O:$O,July!$G$25,input!$E:$E,July!B48,input!$A:$A,July!$B$2)</f>
        <v>0</v>
      </c>
      <c r="H48" s="318">
        <f>COUNTIFS(input!$O:$O,July!$H$25,input!$E:$E,July!B48,input!$A:$A,July!$B$2)</f>
        <v>0</v>
      </c>
      <c r="I48" s="318">
        <f>COUNTIFS(input!$O:$O,July!$I$25,input!$E:$E,July!B48,input!$A:$A,July!$B$2)</f>
        <v>0</v>
      </c>
      <c r="J48" s="318">
        <f>COUNTIFS(input!$O:$O,July!$K$25,input!$E:$E,July!B48,input!$A:$A,July!$B$2)</f>
        <v>0</v>
      </c>
      <c r="K48" s="319">
        <f>COUNTIFS(input!$O:$O,July!$K$25,input!$E:$E,July!B48,input!$A:$A,July!$B$2)</f>
        <v>0</v>
      </c>
      <c r="L48" s="312">
        <f>SUM(D48:K48)</f>
        <v>0</v>
      </c>
      <c r="M48" s="313" cm="1">
        <f t="array" ref="M48">_xlfn.IFS(L48=0,0,L48&gt;=1,L48/$L$69)</f>
        <v>0</v>
      </c>
      <c r="N48" s="1065" t="s">
        <v>703</v>
      </c>
      <c r="O48" s="1065"/>
      <c r="P48" s="1066"/>
      <c r="Q48" s="316">
        <f>COUNTIFS(input!$O:$O,July!$Q$25,input!$F:$F,July!N48,input!$A:$A,July!$B$2)</f>
        <v>0</v>
      </c>
      <c r="R48" s="316">
        <f>COUNTIFS(input!$O:$O,July!$R$25,input!$F:$F,July!N48,input!$A:$A,July!$B$2)</f>
        <v>0</v>
      </c>
      <c r="S48" s="316">
        <f>COUNTIFS(input!$O:$O,July!$S$25,input!$F:$F,July!N48,input!$A:$A,July!$B$2)</f>
        <v>0</v>
      </c>
      <c r="T48" s="321">
        <f>COUNTIFS(input!$O:$O,July!$T$25,input!$F:$F,July!N48,input!$A:$A,July!$B$2)</f>
        <v>0</v>
      </c>
      <c r="U48" s="322">
        <f>COUNTIFS(input!$O:$O,July!$U$25,input!$F:$F,July!N48,input!$A:$A,July!$B$2)</f>
        <v>0</v>
      </c>
      <c r="V48" s="322">
        <f>COUNTIFS(input!$O:$O,July!$V$25,input!$F:$F,July!N48,input!$A:$A,July!$B$2)</f>
        <v>0</v>
      </c>
      <c r="W48" s="323">
        <f>COUNTIFS(input!$O:$O,July!$W$25,input!$F:$F,July!N48,input!$A:$A,July!$B$2)</f>
        <v>0</v>
      </c>
      <c r="X48" s="324">
        <f>COUNTIFS(input!$O:$O,July!$X$25,input!$F:$F,July!N48,input!$A:$A,July!$B$2)</f>
        <v>0</v>
      </c>
      <c r="Y48" s="312">
        <f t="shared" si="3"/>
        <v>0</v>
      </c>
      <c r="Z48" s="315" cm="1">
        <f t="array" ref="Z48">_xlfn.IFS(Y48=0,0,Y48&gt;=1,Y48/$Y$69)</f>
        <v>0</v>
      </c>
    </row>
    <row r="49" spans="2:26" ht="92" hidden="1" customHeight="1" x14ac:dyDescent="0.25">
      <c r="B49" s="1121" t="s">
        <v>1550</v>
      </c>
      <c r="C49" s="1066"/>
      <c r="D49" s="316">
        <f>COUNTIFS(input!$O:$O,July!$D$25,input!$E:$E,July!B49,input!$A:$A,July!$B$2)</f>
        <v>0</v>
      </c>
      <c r="E49" s="316">
        <f>COUNTIFS(input!$O:$O,July!$E$25,input!$E:$E,July!B49,input!$A:$A,July!$B$2)</f>
        <v>0</v>
      </c>
      <c r="F49" s="317">
        <f>COUNTIFS(input!$O:$O,July!$F$25,input!$E:$E,July!B49,input!$A:$A,July!$B$2)</f>
        <v>0</v>
      </c>
      <c r="G49" s="318">
        <f>COUNTIFS(input!$O:$O,July!$G$25,input!$E:$E,July!B49,input!$A:$A,July!$B$2)</f>
        <v>0</v>
      </c>
      <c r="H49" s="318">
        <f>COUNTIFS(input!$O:$O,July!$H$25,input!$E:$E,July!B49,input!$A:$A,July!$B$2)</f>
        <v>0</v>
      </c>
      <c r="I49" s="318">
        <f>COUNTIFS(input!$O:$O,July!$I$25,input!$E:$E,July!B49,input!$A:$A,July!$B$2)</f>
        <v>0</v>
      </c>
      <c r="J49" s="318">
        <f>COUNTIFS(input!$O:$O,July!$K$25,input!$E:$E,July!B49,input!$A:$A,July!$B$2)</f>
        <v>0</v>
      </c>
      <c r="K49" s="319">
        <f>COUNTIFS(input!$O:$O,July!$K$25,input!$E:$E,July!B49,input!$A:$A,July!$B$2)</f>
        <v>0</v>
      </c>
      <c r="L49" s="312">
        <f>SUM(D49:K49)</f>
        <v>0</v>
      </c>
      <c r="M49" s="313" cm="1">
        <f t="array" ref="M49">_xlfn.IFS(L49=0,0,L49&gt;=1,L49/$L$69)</f>
        <v>0</v>
      </c>
      <c r="N49" s="1065" t="s">
        <v>1533</v>
      </c>
      <c r="O49" s="1065"/>
      <c r="P49" s="1066"/>
      <c r="Q49" s="316">
        <f>COUNTIFS(input!$O:$O,July!$Q$25,input!$F:$F,July!N49,input!$A:$A,July!$B$2)</f>
        <v>0</v>
      </c>
      <c r="R49" s="316">
        <f>COUNTIFS(input!$O:$O,July!$R$25,input!$F:$F,July!N49,input!$A:$A,July!$B$2)</f>
        <v>0</v>
      </c>
      <c r="S49" s="316">
        <f>COUNTIFS(input!$O:$O,July!$S$25,input!$F:$F,July!N49,input!$A:$A,July!$B$2)</f>
        <v>0</v>
      </c>
      <c r="T49" s="321">
        <f>COUNTIFS(input!$O:$O,July!$T$25,input!$F:$F,July!N49,input!$A:$A,July!$B$2)</f>
        <v>0</v>
      </c>
      <c r="U49" s="322">
        <f>COUNTIFS(input!$O:$O,July!$U$25,input!$F:$F,July!N49,input!$A:$A,July!$B$2)</f>
        <v>0</v>
      </c>
      <c r="V49" s="322">
        <f>COUNTIFS(input!$O:$O,July!$V$25,input!$F:$F,July!N49,input!$A:$A,July!$B$2)</f>
        <v>0</v>
      </c>
      <c r="W49" s="323">
        <f>COUNTIFS(input!$O:$O,July!$W$25,input!$F:$F,July!N49,input!$A:$A,July!$B$2)</f>
        <v>0</v>
      </c>
      <c r="X49" s="324">
        <f>COUNTIFS(input!$O:$O,July!$X$25,input!$F:$F,July!N49,input!$A:$A,July!$B$2)</f>
        <v>0</v>
      </c>
      <c r="Y49" s="312">
        <f t="shared" si="3"/>
        <v>0</v>
      </c>
      <c r="Z49" s="315" cm="1">
        <f t="array" ref="Z49">_xlfn.IFS(Y49=0,0,Y49&gt;=1,Y49/$Y$69)</f>
        <v>0</v>
      </c>
    </row>
    <row r="50" spans="2:26" ht="92" customHeight="1" x14ac:dyDescent="0.25">
      <c r="B50" s="1121" t="s">
        <v>93</v>
      </c>
      <c r="C50" s="1066"/>
      <c r="D50" s="316">
        <f>COUNTIFS(input!$O:$O,July!$D$25,input!$E:$E,July!B50,input!$A:$A,July!$B$2)</f>
        <v>0</v>
      </c>
      <c r="E50" s="316">
        <f>COUNTIFS(input!$O:$O,July!$E$25,input!$E:$E,July!B50,input!$A:$A,July!$B$2)</f>
        <v>0</v>
      </c>
      <c r="F50" s="317">
        <f>COUNTIFS(input!$O:$O,July!$F$25,input!$E:$E,July!B50,input!$A:$A,July!$B$2)</f>
        <v>0</v>
      </c>
      <c r="G50" s="318">
        <f>COUNTIFS(input!$O:$O,July!$G$25,input!$E:$E,July!B50,input!$A:$A,July!$B$2)</f>
        <v>0</v>
      </c>
      <c r="H50" s="318">
        <f>COUNTIFS(input!$O:$O,July!$H$25,input!$E:$E,July!B50,input!$A:$A,July!$B$2)</f>
        <v>0</v>
      </c>
      <c r="I50" s="318">
        <f>COUNTIFS(input!$O:$O,July!$I$25,input!$E:$E,July!B50,input!$A:$A,July!$B$2)</f>
        <v>0</v>
      </c>
      <c r="J50" s="318">
        <f>COUNTIFS(input!$O:$O,July!$K$25,input!$E:$E,July!B50,input!$A:$A,July!$B$2)</f>
        <v>0</v>
      </c>
      <c r="K50" s="319">
        <f>COUNTIFS(input!$O:$O,July!$K$25,input!$E:$E,July!B50,input!$A:$A,July!$B$2)</f>
        <v>0</v>
      </c>
      <c r="L50" s="312">
        <f t="shared" ref="L50:L60" si="4">SUM(D50:K50)</f>
        <v>0</v>
      </c>
      <c r="M50" s="313" cm="1">
        <f t="array" ref="M50">_xlfn.IFS(L50=0,0,L50&gt;=1,L50/$L$69)</f>
        <v>0</v>
      </c>
      <c r="N50" s="1016"/>
      <c r="O50" s="1016"/>
      <c r="P50" s="991"/>
      <c r="Q50" s="316">
        <f>COUNTIFS(input!$O:$O,July!$Q$25,input!$F:$F,July!N50,input!$A:$A,July!$B$2)</f>
        <v>0</v>
      </c>
      <c r="R50" s="316">
        <f>COUNTIFS(input!$O:$O,July!$R$25,input!$F:$F,July!N50,input!$A:$A,July!$B$2)</f>
        <v>0</v>
      </c>
      <c r="S50" s="316">
        <f>COUNTIFS(input!$O:$O,July!$S$25,input!$F:$F,July!N50,input!$A:$A,July!$B$2)</f>
        <v>0</v>
      </c>
      <c r="T50" s="321">
        <f>COUNTIFS(input!$O:$O,July!$T$25,input!$F:$F,July!N50,input!$A:$A,July!$B$2)</f>
        <v>0</v>
      </c>
      <c r="U50" s="322">
        <f>COUNTIFS(input!$O:$O,July!$U$25,input!$F:$F,July!N50,input!$A:$A,July!$B$2)</f>
        <v>0</v>
      </c>
      <c r="V50" s="322">
        <f>COUNTIFS(input!$O:$O,July!$V$25,input!$F:$F,July!N50,input!$A:$A,July!$B$2)</f>
        <v>0</v>
      </c>
      <c r="W50" s="323">
        <f>COUNTIFS(input!$O:$O,July!$W$25,input!$F:$F,July!N50,input!$A:$A,July!$B$2)</f>
        <v>0</v>
      </c>
      <c r="X50" s="324">
        <f>COUNTIFS(input!$O:$O,July!$X$25,input!$F:$F,July!N50,input!$A:$A,July!$B$2)</f>
        <v>0</v>
      </c>
      <c r="Y50" s="312">
        <f t="shared" si="1"/>
        <v>0</v>
      </c>
      <c r="Z50" s="315" cm="1">
        <f t="array" ref="Z50">_xlfn.IFS(Y50=0,0,Y50&gt;=1,Y50/$Y$69)</f>
        <v>0</v>
      </c>
    </row>
    <row r="51" spans="2:26" ht="92" hidden="1" customHeight="1" x14ac:dyDescent="0.25">
      <c r="B51" s="1121" t="s">
        <v>334</v>
      </c>
      <c r="C51" s="1066"/>
      <c r="D51" s="316">
        <f>COUNTIFS(input!$O:$O,July!$D$25,input!$E:$E,July!B51,input!$A:$A,July!$B$2)</f>
        <v>0</v>
      </c>
      <c r="E51" s="316">
        <f>COUNTIFS(input!$O:$O,July!$E$25,input!$E:$E,July!B51,input!$A:$A,July!$B$2)</f>
        <v>0</v>
      </c>
      <c r="F51" s="317">
        <f>COUNTIFS(input!$O:$O,July!$F$25,input!$E:$E,July!B51,input!$A:$A,July!$B$2)</f>
        <v>0</v>
      </c>
      <c r="G51" s="318">
        <f>COUNTIFS(input!$O:$O,July!$G$25,input!$E:$E,July!B51,input!$A:$A,July!$B$2)</f>
        <v>0</v>
      </c>
      <c r="H51" s="318">
        <f>COUNTIFS(input!$O:$O,July!$H$25,input!$E:$E,July!B51,input!$A:$A,July!$B$2)</f>
        <v>0</v>
      </c>
      <c r="I51" s="318">
        <f>COUNTIFS(input!$O:$O,July!$I$25,input!$E:$E,July!B51,input!$A:$A,July!$B$2)</f>
        <v>0</v>
      </c>
      <c r="J51" s="318">
        <f>COUNTIFS(input!$O:$O,July!$K$25,input!$E:$E,July!B51,input!$A:$A,July!$B$2)</f>
        <v>0</v>
      </c>
      <c r="K51" s="319">
        <f>COUNTIFS(input!$O:$O,July!$K$25,input!$E:$E,July!B51,input!$A:$A,July!$B$2)</f>
        <v>0</v>
      </c>
      <c r="L51" s="312">
        <f t="shared" si="4"/>
        <v>0</v>
      </c>
      <c r="M51" s="313" cm="1">
        <f t="array" ref="M51">_xlfn.IFS(L51=0,0,L51&gt;=1,L51/$L$69)</f>
        <v>0</v>
      </c>
      <c r="N51" s="1065"/>
      <c r="O51" s="1065"/>
      <c r="P51" s="1066"/>
      <c r="Q51" s="316">
        <f>COUNTIFS(input!$O:$O,July!$Q$25,input!$F:$F,July!N51,input!$A:$A,July!$B$2)</f>
        <v>0</v>
      </c>
      <c r="R51" s="316">
        <f>COUNTIFS(input!$O:$O,July!$R$25,input!$F:$F,July!N51,input!$A:$A,July!$B$2)</f>
        <v>0</v>
      </c>
      <c r="S51" s="316">
        <f>COUNTIFS(input!$O:$O,July!$S$25,input!$F:$F,July!N51,input!$A:$A,July!$B$2)</f>
        <v>0</v>
      </c>
      <c r="T51" s="321">
        <f>COUNTIFS(input!$O:$O,July!$T$25,input!$F:$F,July!N51,input!$A:$A,July!$B$2)</f>
        <v>0</v>
      </c>
      <c r="U51" s="322">
        <f>COUNTIFS(input!$O:$O,July!$U$25,input!$F:$F,July!N51,input!$A:$A,July!$B$2)</f>
        <v>0</v>
      </c>
      <c r="V51" s="322">
        <f>COUNTIFS(input!$O:$O,July!$V$25,input!$F:$F,July!N51,input!$A:$A,July!$B$2)</f>
        <v>0</v>
      </c>
      <c r="W51" s="323">
        <f>COUNTIFS(input!$O:$O,July!$W$25,input!$F:$F,July!N51,input!$A:$A,July!$B$2)</f>
        <v>0</v>
      </c>
      <c r="X51" s="324">
        <f>COUNTIFS(input!$O:$O,July!$X$25,input!$F:$F,July!N51,input!$A:$A,July!$B$2)</f>
        <v>0</v>
      </c>
      <c r="Y51" s="312">
        <f t="shared" si="1"/>
        <v>0</v>
      </c>
      <c r="Z51" s="315" cm="1">
        <f t="array" ref="Z51">_xlfn.IFS(Y51=0,0,Y51&gt;=1,Y51/$Y$69)</f>
        <v>0</v>
      </c>
    </row>
    <row r="52" spans="2:26" ht="92" hidden="1" customHeight="1" x14ac:dyDescent="0.25">
      <c r="B52" s="1121" t="s">
        <v>881</v>
      </c>
      <c r="C52" s="1066"/>
      <c r="D52" s="316">
        <f>COUNTIFS(input!$O:$O,July!$D$25,input!$E:$E,July!B52,input!$A:$A,July!$B$2)</f>
        <v>0</v>
      </c>
      <c r="E52" s="316">
        <f>COUNTIFS(input!$O:$O,July!$E$25,input!$E:$E,July!B52,input!$A:$A,July!$B$2)</f>
        <v>0</v>
      </c>
      <c r="F52" s="317">
        <f>COUNTIFS(input!$O:$O,July!$F$25,input!$E:$E,July!B52,input!$A:$A,July!$B$2)</f>
        <v>0</v>
      </c>
      <c r="G52" s="318">
        <f>COUNTIFS(input!$O:$O,July!$G$25,input!$E:$E,July!B52,input!$A:$A,July!$B$2)</f>
        <v>0</v>
      </c>
      <c r="H52" s="318">
        <f>COUNTIFS(input!$O:$O,July!$H$25,input!$E:$E,July!B52,input!$A:$A,July!$B$2)</f>
        <v>0</v>
      </c>
      <c r="I52" s="318">
        <f>COUNTIFS(input!$O:$O,July!$I$25,input!$E:$E,July!B52,input!$A:$A,July!$B$2)</f>
        <v>0</v>
      </c>
      <c r="J52" s="318">
        <f>COUNTIFS(input!$O:$O,July!$K$25,input!$E:$E,July!B52,input!$A:$A,July!$B$2)</f>
        <v>0</v>
      </c>
      <c r="K52" s="319">
        <f>COUNTIFS(input!$O:$O,July!$K$25,input!$E:$E,July!B52,input!$A:$A,July!$B$2)</f>
        <v>0</v>
      </c>
      <c r="L52" s="312">
        <f t="shared" si="4"/>
        <v>0</v>
      </c>
      <c r="M52" s="313" cm="1">
        <f t="array" ref="M52">_xlfn.IFS(L52=0,0,L52&gt;=1,L52/$L$69)</f>
        <v>0</v>
      </c>
      <c r="N52" s="1065"/>
      <c r="O52" s="1065"/>
      <c r="P52" s="1066"/>
      <c r="Q52" s="316">
        <f>COUNTIFS(input!$O:$O,July!$Q$25,input!$F:$F,July!N52,input!$A:$A,July!$B$2)</f>
        <v>0</v>
      </c>
      <c r="R52" s="316">
        <f>COUNTIFS(input!$O:$O,July!$R$25,input!$F:$F,July!N52,input!$A:$A,July!$B$2)</f>
        <v>0</v>
      </c>
      <c r="S52" s="316">
        <f>COUNTIFS(input!$O:$O,July!$S$25,input!$F:$F,July!N52,input!$A:$A,July!$B$2)</f>
        <v>0</v>
      </c>
      <c r="T52" s="321">
        <f>COUNTIFS(input!$O:$O,July!$T$25,input!$F:$F,July!N52,input!$A:$A,July!$B$2)</f>
        <v>0</v>
      </c>
      <c r="U52" s="322">
        <f>COUNTIFS(input!$O:$O,July!$U$25,input!$F:$F,July!N52,input!$A:$A,July!$B$2)</f>
        <v>0</v>
      </c>
      <c r="V52" s="322">
        <f>COUNTIFS(input!$O:$O,July!$V$25,input!$F:$F,July!N52,input!$A:$A,July!$B$2)</f>
        <v>0</v>
      </c>
      <c r="W52" s="323">
        <f>COUNTIFS(input!$O:$O,July!$W$25,input!$F:$F,July!N52,input!$A:$A,July!$B$2)</f>
        <v>0</v>
      </c>
      <c r="X52" s="324">
        <f>COUNTIFS(input!$O:$O,July!$X$25,input!$F:$F,July!N52,input!$A:$A,July!$B$2)</f>
        <v>0</v>
      </c>
      <c r="Y52" s="312">
        <f t="shared" si="1"/>
        <v>0</v>
      </c>
      <c r="Z52" s="315" cm="1">
        <f t="array" ref="Z52">_xlfn.IFS(Y52=0,0,Y52&gt;=1,Y52/$Y$69)</f>
        <v>0</v>
      </c>
    </row>
    <row r="53" spans="2:26" ht="92" hidden="1" customHeight="1" x14ac:dyDescent="0.25">
      <c r="B53" s="1121" t="s">
        <v>813</v>
      </c>
      <c r="C53" s="1066"/>
      <c r="D53" s="316">
        <f>COUNTIFS(input!$O:$O,July!$D$25,input!$E:$E,July!B53,input!$A:$A,July!$B$2)</f>
        <v>0</v>
      </c>
      <c r="E53" s="316">
        <f>COUNTIFS(input!$O:$O,July!$E$25,input!$E:$E,July!B53,input!$A:$A,July!$B$2)</f>
        <v>0</v>
      </c>
      <c r="F53" s="317">
        <f>COUNTIFS(input!$O:$O,July!$F$25,input!$E:$E,July!B53,input!$A:$A,July!$B$2)</f>
        <v>0</v>
      </c>
      <c r="G53" s="318">
        <f>COUNTIFS(input!$O:$O,July!$G$25,input!$E:$E,July!B53,input!$A:$A,July!$B$2)</f>
        <v>0</v>
      </c>
      <c r="H53" s="318">
        <f>COUNTIFS(input!$O:$O,July!$H$25,input!$E:$E,July!B53,input!$A:$A,July!$B$2)</f>
        <v>0</v>
      </c>
      <c r="I53" s="318">
        <f>COUNTIFS(input!$O:$O,July!$I$25,input!$E:$E,July!B53,input!$A:$A,July!$B$2)</f>
        <v>0</v>
      </c>
      <c r="J53" s="318">
        <f>COUNTIFS(input!$O:$O,July!$K$25,input!$E:$E,July!B53,input!$A:$A,July!$B$2)</f>
        <v>0</v>
      </c>
      <c r="K53" s="319">
        <f>COUNTIFS(input!$O:$O,July!$K$25,input!$E:$E,July!B53,input!$A:$A,July!$B$2)</f>
        <v>0</v>
      </c>
      <c r="L53" s="312">
        <f t="shared" si="4"/>
        <v>0</v>
      </c>
      <c r="M53" s="313" cm="1">
        <f t="array" ref="M53">_xlfn.IFS(L53=0,0,L53&gt;=1,L53/$L$69)</f>
        <v>0</v>
      </c>
      <c r="N53" s="1065"/>
      <c r="O53" s="1065"/>
      <c r="P53" s="1066"/>
      <c r="Q53" s="316">
        <f>COUNTIFS(input!$O:$O,July!$Q$25,input!$F:$F,July!N53,input!$A:$A,July!$B$2)</f>
        <v>0</v>
      </c>
      <c r="R53" s="316">
        <f>COUNTIFS(input!$O:$O,July!$R$25,input!$F:$F,July!N53,input!$A:$A,July!$B$2)</f>
        <v>0</v>
      </c>
      <c r="S53" s="316">
        <f>COUNTIFS(input!$O:$O,July!$S$25,input!$F:$F,July!N53,input!$A:$A,July!$B$2)</f>
        <v>0</v>
      </c>
      <c r="T53" s="321">
        <f>COUNTIFS(input!$O:$O,July!$T$25,input!$F:$F,July!N53,input!$A:$A,July!$B$2)</f>
        <v>0</v>
      </c>
      <c r="U53" s="322">
        <f>COUNTIFS(input!$O:$O,July!$U$25,input!$F:$F,July!N53,input!$A:$A,July!$B$2)</f>
        <v>0</v>
      </c>
      <c r="V53" s="322">
        <f>COUNTIFS(input!$O:$O,July!$V$25,input!$F:$F,July!N53,input!$A:$A,July!$B$2)</f>
        <v>0</v>
      </c>
      <c r="W53" s="323">
        <f>COUNTIFS(input!$O:$O,July!$W$25,input!$F:$F,July!N53,input!$A:$A,July!$B$2)</f>
        <v>0</v>
      </c>
      <c r="X53" s="324">
        <f>COUNTIFS(input!$O:$O,July!$X$25,input!$F:$F,July!N53,input!$A:$A,July!$B$2)</f>
        <v>0</v>
      </c>
      <c r="Y53" s="312">
        <f t="shared" si="1"/>
        <v>0</v>
      </c>
      <c r="Z53" s="315" cm="1">
        <f t="array" ref="Z53">_xlfn.IFS(Y53=0,0,Y53&gt;=1,Y53/$Y$69)</f>
        <v>0</v>
      </c>
    </row>
    <row r="54" spans="2:26" ht="92" hidden="1" customHeight="1" x14ac:dyDescent="0.25">
      <c r="B54" s="1121" t="s">
        <v>770</v>
      </c>
      <c r="C54" s="1066"/>
      <c r="D54" s="316">
        <f>COUNTIFS(input!$O:$O,July!$D$25,input!$E:$E,July!B54,input!$A:$A,July!$B$2)</f>
        <v>0</v>
      </c>
      <c r="E54" s="316">
        <f>COUNTIFS(input!$O:$O,July!$E$25,input!$E:$E,July!B54,input!$A:$A,July!$B$2)</f>
        <v>0</v>
      </c>
      <c r="F54" s="317">
        <f>COUNTIFS(input!$O:$O,July!$F$25,input!$E:$E,July!B54,input!$A:$A,July!$B$2)</f>
        <v>0</v>
      </c>
      <c r="G54" s="318">
        <f>COUNTIFS(input!$O:$O,July!$G$25,input!$E:$E,July!B54,input!$A:$A,July!$B$2)</f>
        <v>0</v>
      </c>
      <c r="H54" s="318">
        <f>COUNTIFS(input!$O:$O,July!$H$25,input!$E:$E,July!B54,input!$A:$A,July!$B$2)</f>
        <v>0</v>
      </c>
      <c r="I54" s="318">
        <f>COUNTIFS(input!$O:$O,July!$I$25,input!$E:$E,July!B54,input!$A:$A,July!$B$2)</f>
        <v>0</v>
      </c>
      <c r="J54" s="318">
        <f>COUNTIFS(input!$O:$O,July!$K$25,input!$E:$E,July!B54,input!$A:$A,July!$B$2)</f>
        <v>0</v>
      </c>
      <c r="K54" s="319">
        <f>COUNTIFS(input!$O:$O,July!$K$25,input!$E:$E,July!B54,input!$A:$A,July!$B$2)</f>
        <v>0</v>
      </c>
      <c r="L54" s="312">
        <f t="shared" si="4"/>
        <v>0</v>
      </c>
      <c r="M54" s="313" cm="1">
        <f t="array" ref="M54">_xlfn.IFS(L54=0,0,L54&gt;=1,L54/$L$69)</f>
        <v>0</v>
      </c>
      <c r="N54" s="1065"/>
      <c r="O54" s="1065"/>
      <c r="P54" s="1066"/>
      <c r="Q54" s="316">
        <f>COUNTIFS(input!$O:$O,July!$Q$25,input!$F:$F,July!N54,input!$A:$A,July!$B$2)</f>
        <v>0</v>
      </c>
      <c r="R54" s="316">
        <f>COUNTIFS(input!$O:$O,July!$R$25,input!$F:$F,July!N54,input!$A:$A,July!$B$2)</f>
        <v>0</v>
      </c>
      <c r="S54" s="316">
        <f>COUNTIFS(input!$O:$O,July!$S$25,input!$F:$F,July!N54,input!$A:$A,July!$B$2)</f>
        <v>0</v>
      </c>
      <c r="T54" s="321">
        <f>COUNTIFS(input!$O:$O,July!$T$25,input!$F:$F,July!N54,input!$A:$A,July!$B$2)</f>
        <v>0</v>
      </c>
      <c r="U54" s="322">
        <f>COUNTIFS(input!$O:$O,July!$U$25,input!$F:$F,July!N54,input!$A:$A,July!$B$2)</f>
        <v>0</v>
      </c>
      <c r="V54" s="322">
        <f>COUNTIFS(input!$O:$O,July!$V$25,input!$F:$F,July!N54,input!$A:$A,July!$B$2)</f>
        <v>0</v>
      </c>
      <c r="W54" s="323">
        <f>COUNTIFS(input!$O:$O,July!$W$25,input!$F:$F,July!N54,input!$A:$A,July!$B$2)</f>
        <v>0</v>
      </c>
      <c r="X54" s="324">
        <f>COUNTIFS(input!$O:$O,July!$X$25,input!$F:$F,July!N54,input!$A:$A,July!$B$2)</f>
        <v>0</v>
      </c>
      <c r="Y54" s="312">
        <f t="shared" si="1"/>
        <v>0</v>
      </c>
      <c r="Z54" s="315" cm="1">
        <f t="array" ref="Z54">_xlfn.IFS(Y54=0,0,Y54&gt;=1,Y54/$Y$69)</f>
        <v>0</v>
      </c>
    </row>
    <row r="55" spans="2:26" ht="92" hidden="1" customHeight="1" x14ac:dyDescent="0.25">
      <c r="B55" s="1121" t="s">
        <v>850</v>
      </c>
      <c r="C55" s="1066"/>
      <c r="D55" s="316">
        <f>COUNTIFS(input!$O:$O,July!$D$25,input!$E:$E,July!B55,input!$A:$A,July!$B$2)</f>
        <v>0</v>
      </c>
      <c r="E55" s="316">
        <f>COUNTIFS(input!$O:$O,July!$E$25,input!$E:$E,July!B55,input!$A:$A,July!$B$2)</f>
        <v>0</v>
      </c>
      <c r="F55" s="317">
        <f>COUNTIFS(input!$O:$O,July!$F$25,input!$E:$E,July!B55,input!$A:$A,July!$B$2)</f>
        <v>0</v>
      </c>
      <c r="G55" s="318">
        <f>COUNTIFS(input!$O:$O,July!$G$25,input!$E:$E,July!B55,input!$A:$A,July!$B$2)</f>
        <v>0</v>
      </c>
      <c r="H55" s="318">
        <f>COUNTIFS(input!$O:$O,July!$H$25,input!$E:$E,July!B55,input!$A:$A,July!$B$2)</f>
        <v>0</v>
      </c>
      <c r="I55" s="318">
        <f>COUNTIFS(input!$O:$O,July!$I$25,input!$E:$E,July!B55,input!$A:$A,July!$B$2)</f>
        <v>0</v>
      </c>
      <c r="J55" s="318">
        <f>COUNTIFS(input!$O:$O,July!$K$25,input!$E:$E,July!B55,input!$A:$A,July!$B$2)</f>
        <v>0</v>
      </c>
      <c r="K55" s="319">
        <f>COUNTIFS(input!$O:$O,July!$K$25,input!$E:$E,July!B55,input!$A:$A,July!$B$2)</f>
        <v>0</v>
      </c>
      <c r="L55" s="312">
        <f t="shared" si="4"/>
        <v>0</v>
      </c>
      <c r="M55" s="313" cm="1">
        <f t="array" ref="M55">_xlfn.IFS(L55=0,0,L55&gt;=1,L55/$L$69)</f>
        <v>0</v>
      </c>
      <c r="N55" s="1065"/>
      <c r="O55" s="1065"/>
      <c r="P55" s="1066"/>
      <c r="Q55" s="316">
        <f>COUNTIFS(input!$O:$O,July!$Q$25,input!$F:$F,July!N55,input!$A:$A,July!$B$2)</f>
        <v>0</v>
      </c>
      <c r="R55" s="316">
        <f>COUNTIFS(input!$O:$O,July!$R$25,input!$F:$F,July!N55,input!$A:$A,July!$B$2)</f>
        <v>0</v>
      </c>
      <c r="S55" s="316">
        <f>COUNTIFS(input!$O:$O,July!$S$25,input!$F:$F,July!N55,input!$A:$A,July!$B$2)</f>
        <v>0</v>
      </c>
      <c r="T55" s="321">
        <f>COUNTIFS(input!$O:$O,July!$T$25,input!$F:$F,July!N55,input!$A:$A,July!$B$2)</f>
        <v>0</v>
      </c>
      <c r="U55" s="322">
        <f>COUNTIFS(input!$O:$O,July!$U$25,input!$F:$F,July!N55,input!$A:$A,July!$B$2)</f>
        <v>0</v>
      </c>
      <c r="V55" s="322">
        <f>COUNTIFS(input!$O:$O,July!$V$25,input!$F:$F,July!N55,input!$A:$A,July!$B$2)</f>
        <v>0</v>
      </c>
      <c r="W55" s="323">
        <f>COUNTIFS(input!$O:$O,July!$W$25,input!$F:$F,July!N55,input!$A:$A,July!$B$2)</f>
        <v>0</v>
      </c>
      <c r="X55" s="324">
        <f>COUNTIFS(input!$O:$O,July!$X$25,input!$F:$F,July!N55,input!$A:$A,July!$B$2)</f>
        <v>0</v>
      </c>
      <c r="Y55" s="312">
        <f t="shared" si="1"/>
        <v>0</v>
      </c>
      <c r="Z55" s="315" cm="1">
        <f t="array" ref="Z55">_xlfn.IFS(Y55=0,0,Y55&gt;=1,Y55/$Y$69)</f>
        <v>0</v>
      </c>
    </row>
    <row r="56" spans="2:26" ht="92" hidden="1" x14ac:dyDescent="0.25">
      <c r="B56" s="1121" t="s">
        <v>130</v>
      </c>
      <c r="C56" s="1066"/>
      <c r="D56" s="316">
        <f>COUNTIFS(input!$O:$O,July!$D$25,input!$E:$E,July!B56,input!$A:$A,July!$B$2)</f>
        <v>0</v>
      </c>
      <c r="E56" s="316">
        <f>COUNTIFS(input!$O:$O,July!$E$25,input!$E:$E,July!B56,input!$A:$A,July!$B$2)</f>
        <v>0</v>
      </c>
      <c r="F56" s="317">
        <f>COUNTIFS(input!$O:$O,July!$F$25,input!$E:$E,July!B56,input!$A:$A,July!$B$2)</f>
        <v>0</v>
      </c>
      <c r="G56" s="318">
        <f>COUNTIFS(input!$O:$O,July!$G$25,input!$E:$E,July!B56,input!$A:$A,July!$B$2)</f>
        <v>0</v>
      </c>
      <c r="H56" s="318">
        <f>COUNTIFS(input!$O:$O,July!$H$25,input!$E:$E,July!B56,input!$A:$A,July!$B$2)</f>
        <v>0</v>
      </c>
      <c r="I56" s="318">
        <f>COUNTIFS(input!$O:$O,July!$I$25,input!$E:$E,July!B56,input!$A:$A,July!$B$2)</f>
        <v>0</v>
      </c>
      <c r="J56" s="318">
        <f>COUNTIFS(input!$O:$O,July!$K$25,input!$E:$E,July!B56,input!$A:$A,July!$B$2)</f>
        <v>0</v>
      </c>
      <c r="K56" s="319">
        <f>COUNTIFS(input!$O:$O,July!$K$25,input!$E:$E,July!B56,input!$A:$A,July!$B$2)</f>
        <v>0</v>
      </c>
      <c r="L56" s="312">
        <f t="shared" si="4"/>
        <v>0</v>
      </c>
      <c r="M56" s="313" cm="1">
        <f t="array" ref="M56">_xlfn.IFS(L56=0,0,L56&gt;=1,L56/$L$69)</f>
        <v>0</v>
      </c>
      <c r="N56" s="1016"/>
      <c r="O56" s="1016"/>
      <c r="P56" s="991"/>
      <c r="Q56" s="316">
        <f>COUNTIFS(input!$O:$O,July!$Q$25,input!$F:$F,July!N56,input!$A:$A,July!$B$2)</f>
        <v>0</v>
      </c>
      <c r="R56" s="316">
        <f>COUNTIFS(input!$O:$O,July!$R$25,input!$F:$F,July!N56,input!$A:$A,July!$B$2)</f>
        <v>0</v>
      </c>
      <c r="S56" s="316">
        <f>COUNTIFS(input!$O:$O,July!$S$25,input!$F:$F,July!N56,input!$A:$A,July!$B$2)</f>
        <v>0</v>
      </c>
      <c r="T56" s="321">
        <f>COUNTIFS(input!$O:$O,July!$T$25,input!$F:$F,July!N56,input!$A:$A,July!$B$2)</f>
        <v>0</v>
      </c>
      <c r="U56" s="322">
        <f>COUNTIFS(input!$O:$O,July!$U$25,input!$F:$F,July!N56,input!$A:$A,July!$B$2)</f>
        <v>0</v>
      </c>
      <c r="V56" s="322">
        <f>COUNTIFS(input!$O:$O,July!$V$25,input!$F:$F,July!N56,input!$A:$A,July!$B$2)</f>
        <v>0</v>
      </c>
      <c r="W56" s="323">
        <f>COUNTIFS(input!$O:$O,July!$W$25,input!$F:$F,July!N56,input!$A:$A,July!$B$2)</f>
        <v>0</v>
      </c>
      <c r="X56" s="324">
        <f>COUNTIFS(input!$O:$O,July!$X$25,input!$F:$F,July!N56,input!$A:$A,July!$B$2)</f>
        <v>0</v>
      </c>
      <c r="Y56" s="312">
        <f t="shared" si="1"/>
        <v>0</v>
      </c>
      <c r="Z56" s="315" cm="1">
        <f t="array" ref="Z56">_xlfn.IFS(Y56=0,0,Y56&gt;=1,Y56/$Y$69)</f>
        <v>0</v>
      </c>
    </row>
    <row r="57" spans="2:26" ht="92" customHeight="1" x14ac:dyDescent="0.25">
      <c r="B57" s="990" t="s">
        <v>110</v>
      </c>
      <c r="C57" s="991"/>
      <c r="D57" s="316">
        <f>COUNTIFS(input!$O:$O,July!$D$25,input!$E:$E,July!B57,input!$A:$A,July!$B$2)</f>
        <v>0</v>
      </c>
      <c r="E57" s="316">
        <f>COUNTIFS(input!$O:$O,July!$E$25,input!$E:$E,July!B57,input!$A:$A,July!$B$2)</f>
        <v>0</v>
      </c>
      <c r="F57" s="317">
        <f>COUNTIFS(input!$O:$O,July!$F$25,input!$E:$E,July!B57,input!$A:$A,July!$B$2)</f>
        <v>0</v>
      </c>
      <c r="G57" s="318">
        <f>COUNTIFS(input!$O:$O,July!$G$25,input!$E:$E,July!B57,input!$A:$A,July!$B$2)</f>
        <v>1</v>
      </c>
      <c r="H57" s="318">
        <f>COUNTIFS(input!$O:$O,July!$H$25,input!$E:$E,July!B57,input!$A:$A,July!$B$2)</f>
        <v>0</v>
      </c>
      <c r="I57" s="318">
        <f>COUNTIFS(input!$O:$O,July!$I$25,input!$E:$E,July!B57,input!$A:$A,July!$B$2)</f>
        <v>0</v>
      </c>
      <c r="J57" s="318">
        <f>COUNTIFS(input!$O:$O,July!$K$25,input!$E:$E,July!B57,input!$A:$A,July!$B$2)</f>
        <v>0</v>
      </c>
      <c r="K57" s="319">
        <f>COUNTIFS(input!$O:$O,July!$K$25,input!$E:$E,July!B57,input!$A:$A,July!$B$2)</f>
        <v>0</v>
      </c>
      <c r="L57" s="312">
        <f t="shared" si="4"/>
        <v>1</v>
      </c>
      <c r="M57" s="313" cm="1">
        <f t="array" ref="M57">_xlfn.IFS(L57=0,0,L57&gt;=1,L57/$L$69)</f>
        <v>6.25E-2</v>
      </c>
      <c r="N57" s="1016"/>
      <c r="O57" s="1016"/>
      <c r="P57" s="991"/>
      <c r="Q57" s="316">
        <f>COUNTIFS(input!$O:$O,July!$Q$25,input!$F:$F,July!N57,input!$A:$A,July!$B$2)</f>
        <v>0</v>
      </c>
      <c r="R57" s="316">
        <f>COUNTIFS(input!$O:$O,July!$R$25,input!$F:$F,July!N57,input!$A:$A,July!$B$2)</f>
        <v>0</v>
      </c>
      <c r="S57" s="316">
        <f>COUNTIFS(input!$O:$O,July!$S$25,input!$F:$F,July!N57,input!$A:$A,July!$B$2)</f>
        <v>0</v>
      </c>
      <c r="T57" s="321">
        <f>COUNTIFS(input!$O:$O,July!$T$25,input!$F:$F,July!N57,input!$A:$A,July!$B$2)</f>
        <v>0</v>
      </c>
      <c r="U57" s="322">
        <f>COUNTIFS(input!$O:$O,July!$U$25,input!$F:$F,July!N57,input!$A:$A,July!$B$2)</f>
        <v>0</v>
      </c>
      <c r="V57" s="322">
        <f>COUNTIFS(input!$O:$O,July!$V$25,input!$F:$F,July!N57,input!$A:$A,July!$B$2)</f>
        <v>0</v>
      </c>
      <c r="W57" s="323">
        <f>COUNTIFS(input!$O:$O,July!$W$25,input!$F:$F,July!N57,input!$A:$A,July!$B$2)</f>
        <v>0</v>
      </c>
      <c r="X57" s="324">
        <f>COUNTIFS(input!$O:$O,July!$X$25,input!$F:$F,July!N57,input!$A:$A,July!$B$2)</f>
        <v>0</v>
      </c>
      <c r="Y57" s="312">
        <f t="shared" si="1"/>
        <v>0</v>
      </c>
      <c r="Z57" s="315" cm="1">
        <f t="array" ref="Z57">_xlfn.IFS(Y57=0,0,Y57&gt;=1,Y57/$Y$69)</f>
        <v>0</v>
      </c>
    </row>
    <row r="58" spans="2:26" ht="92" customHeight="1" x14ac:dyDescent="0.25">
      <c r="B58" s="990" t="s">
        <v>2026</v>
      </c>
      <c r="C58" s="991"/>
      <c r="D58" s="316">
        <f>COUNTIFS(input!$O:$O,July!$D$25,input!$E:$E,July!B58,input!$A:$A,July!$B$2)</f>
        <v>0</v>
      </c>
      <c r="E58" s="316">
        <f>COUNTIFS(input!$O:$O,July!$E$25,input!$E:$E,July!B58,input!$A:$A,July!$B$2)</f>
        <v>0</v>
      </c>
      <c r="F58" s="317">
        <f>COUNTIFS(input!$O:$O,July!$F$25,input!$E:$E,July!B58,input!$A:$A,July!$B$2)</f>
        <v>0</v>
      </c>
      <c r="G58" s="318">
        <f>COUNTIFS(input!$O:$O,July!$G$25,input!$E:$E,July!B58,input!$A:$A,July!$B$2)</f>
        <v>0</v>
      </c>
      <c r="H58" s="318">
        <f>COUNTIFS(input!$O:$O,July!$H$25,input!$E:$E,July!B58,input!$A:$A,July!$B$2)</f>
        <v>0</v>
      </c>
      <c r="I58" s="318">
        <f>COUNTIFS(input!$O:$O,July!$I$25,input!$E:$E,July!B58,input!$A:$A,July!$B$2)</f>
        <v>1</v>
      </c>
      <c r="J58" s="318">
        <f>COUNTIFS(input!$O:$O,July!$K$25,input!$E:$E,July!B58,input!$A:$A,July!$B$2)</f>
        <v>0</v>
      </c>
      <c r="K58" s="319">
        <f>COUNTIFS(input!$O:$O,July!$K$25,input!$E:$E,July!B58,input!$A:$A,July!$B$2)</f>
        <v>0</v>
      </c>
      <c r="L58" s="312">
        <f t="shared" si="4"/>
        <v>1</v>
      </c>
      <c r="M58" s="313" cm="1">
        <f t="array" ref="M58">_xlfn.IFS(L58=0,0,L58&gt;=1,L58/$L$69)</f>
        <v>6.25E-2</v>
      </c>
      <c r="N58" s="1016"/>
      <c r="O58" s="1016"/>
      <c r="P58" s="991"/>
      <c r="Q58" s="316">
        <f>COUNTIFS(input!$O:$O,July!$Q$25,input!$F:$F,July!N58,input!$A:$A,July!$B$2)</f>
        <v>0</v>
      </c>
      <c r="R58" s="316">
        <f>COUNTIFS(input!$O:$O,July!$R$25,input!$F:$F,July!N58,input!$A:$A,July!$B$2)</f>
        <v>0</v>
      </c>
      <c r="S58" s="316">
        <f>COUNTIFS(input!$O:$O,July!$S$25,input!$F:$F,July!N58,input!$A:$A,July!$B$2)</f>
        <v>0</v>
      </c>
      <c r="T58" s="321">
        <f>COUNTIFS(input!$O:$O,July!$T$25,input!$F:$F,July!N58,input!$A:$A,July!$B$2)</f>
        <v>0</v>
      </c>
      <c r="U58" s="322">
        <f>COUNTIFS(input!$O:$O,July!$U$25,input!$F:$F,July!N58,input!$A:$A,July!$B$2)</f>
        <v>0</v>
      </c>
      <c r="V58" s="322">
        <f>COUNTIFS(input!$O:$O,July!$V$25,input!$F:$F,July!N58,input!$A:$A,July!$B$2)</f>
        <v>0</v>
      </c>
      <c r="W58" s="323">
        <f>COUNTIFS(input!$O:$O,July!$W$25,input!$F:$F,July!N58,input!$A:$A,July!$B$2)</f>
        <v>0</v>
      </c>
      <c r="X58" s="324">
        <f>COUNTIFS(input!$O:$O,July!$X$25,input!$F:$F,July!N58,input!$A:$A,July!$B$2)</f>
        <v>0</v>
      </c>
      <c r="Y58" s="312">
        <f t="shared" si="1"/>
        <v>0</v>
      </c>
      <c r="Z58" s="315" cm="1">
        <f t="array" ref="Z58">_xlfn.IFS(Y58=0,0,Y58&gt;=1,Y58/$Y$69)</f>
        <v>0</v>
      </c>
    </row>
    <row r="59" spans="2:26" ht="92" hidden="1" x14ac:dyDescent="0.25">
      <c r="B59" s="1121" t="s">
        <v>1805</v>
      </c>
      <c r="C59" s="1066"/>
      <c r="D59" s="316">
        <f>COUNTIFS(input!$O:$O,July!$D$25,input!$E:$E,July!B59,input!$A:$A,July!$B$2)</f>
        <v>0</v>
      </c>
      <c r="E59" s="316">
        <f>COUNTIFS(input!$O:$O,July!$E$25,input!$E:$E,July!B59,input!$A:$A,July!$B$2)</f>
        <v>0</v>
      </c>
      <c r="F59" s="317">
        <f>COUNTIFS(input!$O:$O,July!$F$25,input!$E:$E,July!B59,input!$A:$A,July!$B$2)</f>
        <v>0</v>
      </c>
      <c r="G59" s="318">
        <f>COUNTIFS(input!$O:$O,July!$G$25,input!$E:$E,July!B59,input!$A:$A,July!$B$2)</f>
        <v>0</v>
      </c>
      <c r="H59" s="318">
        <f>COUNTIFS(input!$O:$O,July!$H$25,input!$E:$E,July!B59,input!$A:$A,July!$B$2)</f>
        <v>0</v>
      </c>
      <c r="I59" s="318">
        <f>COUNTIFS(input!$O:$O,July!$I$25,input!$E:$E,July!B59,input!$A:$A,July!$B$2)</f>
        <v>0</v>
      </c>
      <c r="J59" s="318">
        <f>COUNTIFS(input!$O:$O,July!$K$25,input!$E:$E,July!B59,input!$A:$A,July!$B$2)</f>
        <v>0</v>
      </c>
      <c r="K59" s="319">
        <f>COUNTIFS(input!$O:$O,July!$K$25,input!$E:$E,July!B59,input!$A:$A,July!$B$2)</f>
        <v>0</v>
      </c>
      <c r="L59" s="312">
        <f>SUM(D59:K59)</f>
        <v>0</v>
      </c>
      <c r="M59" s="313" cm="1">
        <f t="array" ref="M59">_xlfn.IFS(L59=0,0,L59&gt;=1,L59/$L$69)</f>
        <v>0</v>
      </c>
      <c r="N59" s="1016"/>
      <c r="O59" s="1016"/>
      <c r="P59" s="991"/>
      <c r="Q59" s="316">
        <f>COUNTIFS(input!$O:$O,July!$Q$25,input!$F:$F,July!N59,input!$A:$A,July!$B$2)</f>
        <v>0</v>
      </c>
      <c r="R59" s="316">
        <f>COUNTIFS(input!$O:$O,July!$R$25,input!$F:$F,July!N59,input!$A:$A,July!$B$2)</f>
        <v>0</v>
      </c>
      <c r="S59" s="316">
        <f>COUNTIFS(input!$O:$O,July!$S$25,input!$F:$F,July!N59,input!$A:$A,July!$B$2)</f>
        <v>0</v>
      </c>
      <c r="T59" s="321">
        <f>COUNTIFS(input!$O:$O,July!$T$25,input!$F:$F,July!N59,input!$A:$A,July!$B$2)</f>
        <v>0</v>
      </c>
      <c r="U59" s="322">
        <f>COUNTIFS(input!$O:$O,July!$U$25,input!$F:$F,July!N59,input!$A:$A,July!$B$2)</f>
        <v>0</v>
      </c>
      <c r="V59" s="322">
        <f>COUNTIFS(input!$O:$O,July!$V$25,input!$F:$F,July!N59,input!$A:$A,July!$B$2)</f>
        <v>0</v>
      </c>
      <c r="W59" s="323">
        <f>COUNTIFS(input!$O:$O,July!$W$25,input!$F:$F,July!N59,input!$A:$A,July!$B$2)</f>
        <v>0</v>
      </c>
      <c r="X59" s="324">
        <f>COUNTIFS(input!$O:$O,July!$X$25,input!$F:$F,July!N59,input!$A:$A,July!$B$2)</f>
        <v>0</v>
      </c>
      <c r="Y59" s="312">
        <f>SUM(Q59:X59)</f>
        <v>0</v>
      </c>
      <c r="Z59" s="315" cm="1">
        <f t="array" ref="Z59">_xlfn.IFS(Y59=0,0,Y59&gt;=1,Y59/$Y$69)</f>
        <v>0</v>
      </c>
    </row>
    <row r="60" spans="2:26" ht="97" hidden="1" customHeight="1" x14ac:dyDescent="0.25">
      <c r="B60" s="1121" t="s">
        <v>1804</v>
      </c>
      <c r="C60" s="1066"/>
      <c r="D60" s="316">
        <f>COUNTIFS(input!$O:$O,July!$D$25,input!$E:$E,July!B60,input!$A:$A,July!$B$2)</f>
        <v>0</v>
      </c>
      <c r="E60" s="316">
        <f>COUNTIFS(input!$O:$O,July!$E$25,input!$E:$E,July!B60,input!$A:$A,July!$B$2)</f>
        <v>0</v>
      </c>
      <c r="F60" s="317">
        <f>COUNTIFS(input!$O:$O,July!$F$25,input!$E:$E,July!B60,input!$A:$A,July!$B$2)</f>
        <v>0</v>
      </c>
      <c r="G60" s="318">
        <f>COUNTIFS(input!$O:$O,July!$G$25,input!$E:$E,July!B60,input!$A:$A,July!$B$2)</f>
        <v>0</v>
      </c>
      <c r="H60" s="318">
        <f>COUNTIFS(input!$O:$O,July!$H$25,input!$E:$E,July!B60,input!$A:$A,July!$B$2)</f>
        <v>0</v>
      </c>
      <c r="I60" s="318">
        <f>COUNTIFS(input!$O:$O,July!$I$25,input!$E:$E,July!B60,input!$A:$A,July!$B$2)</f>
        <v>0</v>
      </c>
      <c r="J60" s="318">
        <f>COUNTIFS(input!$O:$O,July!$K$25,input!$E:$E,July!B60,input!$A:$A,July!$B$2)</f>
        <v>0</v>
      </c>
      <c r="K60" s="319">
        <f>COUNTIFS(input!$O:$O,July!$K$25,input!$E:$E,July!B60,input!$A:$A,July!$B$2)</f>
        <v>0</v>
      </c>
      <c r="L60" s="312">
        <f t="shared" si="4"/>
        <v>0</v>
      </c>
      <c r="M60" s="313" cm="1">
        <f t="array" ref="M60">_xlfn.IFS(L60=0,0,L60&gt;=1,L60/$L$69)</f>
        <v>0</v>
      </c>
      <c r="N60" s="1016"/>
      <c r="O60" s="1016"/>
      <c r="P60" s="991"/>
      <c r="Q60" s="316">
        <f>COUNTIFS(input!$O:$O,July!$Q$25,input!$F:$F,July!N60,input!$A:$A,July!$B$2)</f>
        <v>0</v>
      </c>
      <c r="R60" s="316">
        <f>COUNTIFS(input!$O:$O,July!$R$25,input!$F:$F,July!N60,input!$A:$A,July!$B$2)</f>
        <v>0</v>
      </c>
      <c r="S60" s="316">
        <f>COUNTIFS(input!$O:$O,July!$S$25,input!$F:$F,July!N60,input!$A:$A,July!$B$2)</f>
        <v>0</v>
      </c>
      <c r="T60" s="321">
        <f>COUNTIFS(input!$O:$O,July!$T$25,input!$F:$F,July!N60,input!$A:$A,July!$B$2)</f>
        <v>0</v>
      </c>
      <c r="U60" s="322">
        <f>COUNTIFS(input!$O:$O,July!$U$25,input!$F:$F,July!N60,input!$A:$A,July!$B$2)</f>
        <v>0</v>
      </c>
      <c r="V60" s="322">
        <f>COUNTIFS(input!$O:$O,July!$V$25,input!$F:$F,July!N60,input!$A:$A,July!$B$2)</f>
        <v>0</v>
      </c>
      <c r="W60" s="323">
        <f>COUNTIFS(input!$O:$O,July!$W$25,input!$F:$F,July!N60,input!$A:$A,July!$B$2)</f>
        <v>0</v>
      </c>
      <c r="X60" s="324">
        <f>COUNTIFS(input!$O:$O,July!$X$25,input!$F:$F,July!N60,input!$A:$A,July!$B$2)</f>
        <v>0</v>
      </c>
      <c r="Y60" s="312">
        <f t="shared" si="1"/>
        <v>0</v>
      </c>
      <c r="Z60" s="315" cm="1">
        <f t="array" ref="Z60">_xlfn.IFS(Y60=0,0,Y60&gt;=1,Y60/$Y$69)</f>
        <v>0</v>
      </c>
    </row>
    <row r="61" spans="2:26" ht="92" hidden="1" x14ac:dyDescent="0.25">
      <c r="B61" s="1121" t="s">
        <v>1435</v>
      </c>
      <c r="C61" s="1066"/>
      <c r="D61" s="316">
        <f>COUNTIFS(input!$O:$O,July!$D$25,input!$E:$E,July!B61,input!$A:$A,July!$B$2)</f>
        <v>0</v>
      </c>
      <c r="E61" s="316">
        <f>COUNTIFS(input!$O:$O,July!$E$25,input!$E:$E,July!B61,input!$A:$A,July!$B$2)</f>
        <v>0</v>
      </c>
      <c r="F61" s="317">
        <f>COUNTIFS(input!$O:$O,July!$F$25,input!$E:$E,July!B61,input!$A:$A,July!$B$2)</f>
        <v>0</v>
      </c>
      <c r="G61" s="318">
        <f>COUNTIFS(input!$O:$O,July!$G$25,input!$E:$E,July!B61,input!$A:$A,July!$B$2)</f>
        <v>0</v>
      </c>
      <c r="H61" s="318">
        <f>COUNTIFS(input!$O:$O,July!$H$25,input!$E:$E,July!B61,input!$A:$A,July!$B$2)</f>
        <v>0</v>
      </c>
      <c r="I61" s="318">
        <f>COUNTIFS(input!$O:$O,July!$I$25,input!$E:$E,July!B61,input!$A:$A,July!$B$2)</f>
        <v>0</v>
      </c>
      <c r="J61" s="318">
        <f>COUNTIFS(input!$O:$O,July!$K$25,input!$E:$E,July!B61,input!$A:$A,July!$B$2)</f>
        <v>0</v>
      </c>
      <c r="K61" s="319">
        <f>COUNTIFS(input!$O:$O,July!$K$25,input!$E:$E,July!B61,input!$A:$A,July!$B$2)</f>
        <v>0</v>
      </c>
      <c r="L61" s="312">
        <f>SUM(D61:K61)</f>
        <v>0</v>
      </c>
      <c r="M61" s="313" cm="1">
        <f t="array" ref="M61">_xlfn.IFS(L61=0,0,L61&gt;=1,L61/$L$69)</f>
        <v>0</v>
      </c>
      <c r="N61" s="1065"/>
      <c r="O61" s="1065"/>
      <c r="P61" s="1066"/>
      <c r="Q61" s="316">
        <f>COUNTIFS(input!$O:$O,July!$Q$25,input!$F:$F,July!N61,input!$A:$A,July!$B$2)</f>
        <v>0</v>
      </c>
      <c r="R61" s="316">
        <f>COUNTIFS(input!$O:$O,July!$R$25,input!$F:$F,July!N61,input!$A:$A,July!$B$2)</f>
        <v>0</v>
      </c>
      <c r="S61" s="316">
        <f>COUNTIFS(input!$O:$O,July!$S$25,input!$F:$F,July!N61,input!$A:$A,July!$B$2)</f>
        <v>0</v>
      </c>
      <c r="T61" s="321">
        <f>COUNTIFS(input!$O:$O,July!$T$25,input!$F:$F,July!N61,input!$A:$A,July!$B$2)</f>
        <v>0</v>
      </c>
      <c r="U61" s="322">
        <f>COUNTIFS(input!$O:$O,July!$U$25,input!$F:$F,July!N61,input!$A:$A,July!$B$2)</f>
        <v>0</v>
      </c>
      <c r="V61" s="322">
        <f>COUNTIFS(input!$O:$O,July!$V$25,input!$F:$F,July!N61,input!$A:$A,July!$B$2)</f>
        <v>0</v>
      </c>
      <c r="W61" s="323">
        <f>COUNTIFS(input!$O:$O,July!$W$25,input!$F:$F,July!N61,input!$A:$A,July!$B$2)</f>
        <v>0</v>
      </c>
      <c r="X61" s="324">
        <f>COUNTIFS(input!$O:$O,July!$X$25,input!$F:$F,July!N61,input!$A:$A,July!$B$2)</f>
        <v>0</v>
      </c>
      <c r="Y61" s="312">
        <f t="shared" si="1"/>
        <v>0</v>
      </c>
      <c r="Z61" s="315" cm="1">
        <f t="array" ref="Z61">_xlfn.IFS(Y61=0,0,Y61&gt;=1,Y61/$Y$69)</f>
        <v>0</v>
      </c>
    </row>
    <row r="62" spans="2:26" ht="92" hidden="1" customHeight="1" x14ac:dyDescent="0.25">
      <c r="B62" s="1121" t="s">
        <v>1827</v>
      </c>
      <c r="C62" s="1066"/>
      <c r="D62" s="316">
        <f>COUNTIFS(input!$O:$O,July!$D$25,input!$E:$E,July!B62,input!$A:$A,July!$B$2)</f>
        <v>0</v>
      </c>
      <c r="E62" s="316">
        <f>COUNTIFS(input!$O:$O,July!$E$25,input!$E:$E,July!B62,input!$A:$A,July!$B$2)</f>
        <v>0</v>
      </c>
      <c r="F62" s="317">
        <f>COUNTIFS(input!$O:$O,July!$F$25,input!$E:$E,July!B62,input!$A:$A,July!$B$2)</f>
        <v>0</v>
      </c>
      <c r="G62" s="318">
        <f>COUNTIFS(input!$O:$O,July!$G$25,input!$E:$E,July!B62,input!$A:$A,July!$B$2)</f>
        <v>0</v>
      </c>
      <c r="H62" s="318">
        <f>COUNTIFS(input!$O:$O,July!$H$25,input!$E:$E,July!B62,input!$A:$A,July!$B$2)</f>
        <v>0</v>
      </c>
      <c r="I62" s="318">
        <f>COUNTIFS(input!$O:$O,July!$I$25,input!$E:$E,July!B62,input!$A:$A,July!$B$2)</f>
        <v>0</v>
      </c>
      <c r="J62" s="318">
        <f>COUNTIFS(input!$O:$O,July!$K$25,input!$E:$E,July!B62,input!$A:$A,July!$B$2)</f>
        <v>0</v>
      </c>
      <c r="K62" s="319">
        <f>COUNTIFS(input!$O:$O,July!$K$25,input!$E:$E,July!B62,input!$A:$A,July!$B$2)</f>
        <v>0</v>
      </c>
      <c r="L62" s="312">
        <f>SUM(D62:K62)</f>
        <v>0</v>
      </c>
      <c r="M62" s="313" cm="1">
        <f t="array" ref="M62">_xlfn.IFS(L62=0,0,L62&gt;=1,L62/$L$69)</f>
        <v>0</v>
      </c>
      <c r="N62" s="1065"/>
      <c r="O62" s="1065"/>
      <c r="P62" s="1066"/>
      <c r="Q62" s="316">
        <f>COUNTIFS(input!$O:$O,July!$Q$25,input!$F:$F,July!N62,input!$A:$A,July!$B$2)</f>
        <v>0</v>
      </c>
      <c r="R62" s="316">
        <f>COUNTIFS(input!$O:$O,July!$R$25,input!$F:$F,July!N62,input!$A:$A,July!$B$2)</f>
        <v>0</v>
      </c>
      <c r="S62" s="316">
        <f>COUNTIFS(input!$O:$O,July!$S$25,input!$F:$F,July!N62,input!$A:$A,July!$B$2)</f>
        <v>0</v>
      </c>
      <c r="T62" s="321">
        <f>COUNTIFS(input!$O:$O,July!$T$25,input!$F:$F,July!N62,input!$A:$A,July!$B$2)</f>
        <v>0</v>
      </c>
      <c r="U62" s="322">
        <f>COUNTIFS(input!$O:$O,July!$U$25,input!$F:$F,July!N62,input!$A:$A,July!$B$2)</f>
        <v>0</v>
      </c>
      <c r="V62" s="322">
        <f>COUNTIFS(input!$O:$O,July!$V$25,input!$F:$F,July!N62,input!$A:$A,July!$B$2)</f>
        <v>0</v>
      </c>
      <c r="W62" s="323">
        <f>COUNTIFS(input!$O:$O,July!$W$25,input!$F:$F,July!N62,input!$A:$A,July!$B$2)</f>
        <v>0</v>
      </c>
      <c r="X62" s="324">
        <f>COUNTIFS(input!$O:$O,July!$X$25,input!$F:$F,July!N62,input!$A:$A,July!$B$2)</f>
        <v>0</v>
      </c>
      <c r="Y62" s="312">
        <f t="shared" si="1"/>
        <v>0</v>
      </c>
      <c r="Z62" s="315" cm="1">
        <f t="array" ref="Z62">_xlfn.IFS(Y62=0,0,Y62&gt;=1,Y62/$Y$69)</f>
        <v>0</v>
      </c>
    </row>
    <row r="63" spans="2:26" ht="92" customHeight="1" x14ac:dyDescent="0.25">
      <c r="B63" s="990" t="s">
        <v>777</v>
      </c>
      <c r="C63" s="991"/>
      <c r="D63" s="316">
        <f>COUNTIFS(input!$O:$O,July!$D$25,input!$E:$E,July!B63,input!$A:$A,July!$B$2)</f>
        <v>0</v>
      </c>
      <c r="E63" s="316">
        <f>COUNTIFS(input!$O:$O,July!$E$25,input!$E:$E,July!B63,input!$A:$A,July!$B$2)</f>
        <v>0</v>
      </c>
      <c r="F63" s="317">
        <f>COUNTIFS(input!$O:$O,July!$F$25,input!$E:$E,July!B63,input!$A:$A,July!$B$2)</f>
        <v>0</v>
      </c>
      <c r="G63" s="318">
        <f>COUNTIFS(input!$O:$O,July!$G$25,input!$E:$E,July!B63,input!$A:$A,July!$B$2)</f>
        <v>1</v>
      </c>
      <c r="H63" s="318">
        <f>COUNTIFS(input!$O:$O,July!$H$25,input!$E:$E,July!B63,input!$A:$A,July!$B$2)</f>
        <v>0</v>
      </c>
      <c r="I63" s="318">
        <f>COUNTIFS(input!$O:$O,July!$I$25,input!$E:$E,July!B63,input!$A:$A,July!$B$2)</f>
        <v>0</v>
      </c>
      <c r="J63" s="318">
        <f>COUNTIFS(input!$O:$O,July!$K$25,input!$E:$E,July!B63,input!$A:$A,July!$B$2)</f>
        <v>0</v>
      </c>
      <c r="K63" s="319">
        <f>COUNTIFS(input!$O:$O,July!$K$25,input!$E:$E,July!B63,input!$A:$A,July!$B$2)</f>
        <v>0</v>
      </c>
      <c r="L63" s="312">
        <f t="shared" ref="L63:L68" si="5">SUM(D63:K63)</f>
        <v>1</v>
      </c>
      <c r="M63" s="313" cm="1">
        <f t="array" ref="M63">_xlfn.IFS(L63=0,0,L63&gt;=1,L63/$L$69)</f>
        <v>6.25E-2</v>
      </c>
      <c r="N63" s="1065"/>
      <c r="O63" s="1065"/>
      <c r="P63" s="1066"/>
      <c r="Q63" s="316">
        <f>COUNTIFS(input!$O:$O,July!$Q$25,input!$F:$F,July!N63,input!$A:$A,July!$B$2)</f>
        <v>0</v>
      </c>
      <c r="R63" s="316">
        <f>COUNTIFS(input!$O:$O,July!$R$25,input!$F:$F,July!N63,input!$A:$A,July!$B$2)</f>
        <v>0</v>
      </c>
      <c r="S63" s="316">
        <f>COUNTIFS(input!$O:$O,July!$S$25,input!$F:$F,July!N63,input!$A:$A,July!$B$2)</f>
        <v>0</v>
      </c>
      <c r="T63" s="321">
        <f>COUNTIFS(input!$O:$O,July!$T$25,input!$F:$F,July!N63,input!$A:$A,July!$B$2)</f>
        <v>0</v>
      </c>
      <c r="U63" s="322">
        <f>COUNTIFS(input!$O:$O,July!$U$25,input!$F:$F,July!N63,input!$A:$A,July!$B$2)</f>
        <v>0</v>
      </c>
      <c r="V63" s="322">
        <f>COUNTIFS(input!$O:$O,July!$V$25,input!$F:$F,July!N63,input!$A:$A,July!$B$2)</f>
        <v>0</v>
      </c>
      <c r="W63" s="323">
        <f>COUNTIFS(input!$O:$O,July!$W$25,input!$F:$F,July!N63,input!$A:$A,July!$B$2)</f>
        <v>0</v>
      </c>
      <c r="X63" s="324">
        <f>COUNTIFS(input!$O:$O,July!$X$25,input!$F:$F,July!N63,input!$A:$A,July!$B$2)</f>
        <v>0</v>
      </c>
      <c r="Y63" s="312">
        <f t="shared" si="1"/>
        <v>0</v>
      </c>
      <c r="Z63" s="315" cm="1">
        <f t="array" ref="Z63">_xlfn.IFS(Y63=0,0,Y63&gt;=1,Y63/$Y$69)</f>
        <v>0</v>
      </c>
    </row>
    <row r="64" spans="2:26" ht="92" customHeight="1" x14ac:dyDescent="0.25">
      <c r="B64" s="990" t="s">
        <v>41</v>
      </c>
      <c r="C64" s="991"/>
      <c r="D64" s="316">
        <f>COUNTIFS(input!$O:$O,July!$D$25,input!$E:$E,July!B64,input!$A:$A,July!$B$2)</f>
        <v>0</v>
      </c>
      <c r="E64" s="316">
        <f>COUNTIFS(input!$O:$O,July!$E$25,input!$E:$E,July!B64,input!$A:$A,July!$B$2)</f>
        <v>0</v>
      </c>
      <c r="F64" s="317">
        <f>COUNTIFS(input!$O:$O,July!$F$25,input!$E:$E,July!B64,input!$A:$A,July!$B$2)</f>
        <v>0</v>
      </c>
      <c r="G64" s="318">
        <f>COUNTIFS(input!$O:$O,July!$G$25,input!$E:$E,July!B64,input!$A:$A,July!$B$2)</f>
        <v>1</v>
      </c>
      <c r="H64" s="318">
        <f>COUNTIFS(input!$O:$O,July!$H$25,input!$E:$E,July!B64,input!$A:$A,July!$B$2)</f>
        <v>0</v>
      </c>
      <c r="I64" s="318">
        <f>COUNTIFS(input!$O:$O,July!$I$25,input!$E:$E,July!B64,input!$A:$A,July!$B$2)</f>
        <v>0</v>
      </c>
      <c r="J64" s="318">
        <f>COUNTIFS(input!$O:$O,July!$K$25,input!$E:$E,July!B64,input!$A:$A,July!$B$2)</f>
        <v>0</v>
      </c>
      <c r="K64" s="319">
        <f>COUNTIFS(input!$O:$O,July!$K$25,input!$E:$E,July!B64,input!$A:$A,July!$B$2)</f>
        <v>0</v>
      </c>
      <c r="L64" s="312">
        <f t="shared" si="5"/>
        <v>1</v>
      </c>
      <c r="M64" s="313" cm="1">
        <f t="array" ref="M64">_xlfn.IFS(L64=0,0,L64&gt;=1,L64/$L$69)</f>
        <v>6.25E-2</v>
      </c>
      <c r="N64" s="1065"/>
      <c r="O64" s="1065"/>
      <c r="P64" s="1066"/>
      <c r="Q64" s="316">
        <f>COUNTIFS(input!$O:$O,July!$Q$25,input!$F:$F,July!N64,input!$A:$A,July!$B$2)</f>
        <v>0</v>
      </c>
      <c r="R64" s="316">
        <f>COUNTIFS(input!$O:$O,July!$R$25,input!$F:$F,July!N64,input!$A:$A,July!$B$2)</f>
        <v>0</v>
      </c>
      <c r="S64" s="316">
        <f>COUNTIFS(input!$O:$O,July!$S$25,input!$F:$F,July!N64,input!$A:$A,July!$B$2)</f>
        <v>0</v>
      </c>
      <c r="T64" s="321">
        <f>COUNTIFS(input!$O:$O,July!$T$25,input!$F:$F,July!N64,input!$A:$A,July!$B$2)</f>
        <v>0</v>
      </c>
      <c r="U64" s="322">
        <f>COUNTIFS(input!$O:$O,July!$U$25,input!$F:$F,July!N64,input!$A:$A,July!$B$2)</f>
        <v>0</v>
      </c>
      <c r="V64" s="322">
        <f>COUNTIFS(input!$O:$O,July!$V$25,input!$F:$F,July!N64,input!$A:$A,July!$B$2)</f>
        <v>0</v>
      </c>
      <c r="W64" s="323">
        <f>COUNTIFS(input!$O:$O,July!$W$25,input!$F:$F,July!N64,input!$A:$A,July!$B$2)</f>
        <v>0</v>
      </c>
      <c r="X64" s="324">
        <f>COUNTIFS(input!$O:$O,July!$X$25,input!$F:$F,July!N64,input!$A:$A,July!$B$2)</f>
        <v>0</v>
      </c>
      <c r="Y64" s="312">
        <f t="shared" si="1"/>
        <v>0</v>
      </c>
      <c r="Z64" s="315" cm="1">
        <f t="array" ref="Z64">_xlfn.IFS(Y64=0,0,Y64&gt;=1,Y64/$Y$69)</f>
        <v>0</v>
      </c>
    </row>
    <row r="65" spans="2:26" ht="92" hidden="1" x14ac:dyDescent="0.25">
      <c r="B65" s="1121" t="s">
        <v>460</v>
      </c>
      <c r="C65" s="1066"/>
      <c r="D65" s="316">
        <f>COUNTIFS(input!$O:$O,July!$D$25,input!$E:$E,July!B65,input!$A:$A,July!$B$2)</f>
        <v>0</v>
      </c>
      <c r="E65" s="316">
        <f>COUNTIFS(input!$O:$O,July!$E$25,input!$E:$E,July!B65,input!$A:$A,July!$B$2)</f>
        <v>0</v>
      </c>
      <c r="F65" s="317">
        <f>COUNTIFS(input!$O:$O,July!$F$25,input!$E:$E,July!B65,input!$A:$A,July!$B$2)</f>
        <v>0</v>
      </c>
      <c r="G65" s="318">
        <f>COUNTIFS(input!$O:$O,July!$G$25,input!$E:$E,July!B65,input!$A:$A,July!$B$2)</f>
        <v>0</v>
      </c>
      <c r="H65" s="318">
        <f>COUNTIFS(input!$O:$O,July!$H$25,input!$E:$E,July!B65,input!$A:$A,July!$B$2)</f>
        <v>0</v>
      </c>
      <c r="I65" s="318">
        <f>COUNTIFS(input!$O:$O,July!$I$25,input!$E:$E,July!B65,input!$A:$A,July!$B$2)</f>
        <v>0</v>
      </c>
      <c r="J65" s="318">
        <f>COUNTIFS(input!$O:$O,July!$K$25,input!$E:$E,July!B65,input!$A:$A,July!$B$2)</f>
        <v>0</v>
      </c>
      <c r="K65" s="319">
        <f>COUNTIFS(input!$O:$O,July!$K$25,input!$E:$E,July!B65,input!$A:$A,July!$B$2)</f>
        <v>0</v>
      </c>
      <c r="L65" s="312">
        <f t="shared" si="5"/>
        <v>0</v>
      </c>
      <c r="M65" s="313" cm="1">
        <f t="array" ref="M65">_xlfn.IFS(L65=0,0,L65&gt;=1,L65/$L$69)</f>
        <v>0</v>
      </c>
      <c r="N65" s="1058"/>
      <c r="O65" s="1016"/>
      <c r="P65" s="991"/>
      <c r="Q65" s="316">
        <f>COUNTIFS(input!$O:$O,July!$Q$25,input!$F:$F,July!N65,input!$A:$A,July!$B$2)</f>
        <v>0</v>
      </c>
      <c r="R65" s="316">
        <f>COUNTIFS(input!$O:$O,July!$R$25,input!$F:$F,July!N65,input!$A:$A,July!$B$2)</f>
        <v>0</v>
      </c>
      <c r="S65" s="316">
        <f>COUNTIFS(input!$O:$O,July!$S$25,input!$F:$F,July!N65,input!$A:$A,July!$B$2)</f>
        <v>0</v>
      </c>
      <c r="T65" s="321">
        <f>COUNTIFS(input!$O:$O,July!$T$25,input!$F:$F,July!N65,input!$A:$A,July!$B$2)</f>
        <v>0</v>
      </c>
      <c r="U65" s="322">
        <f>COUNTIFS(input!$O:$O,July!$U$25,input!$F:$F,July!N65,input!$A:$A,July!$B$2)</f>
        <v>0</v>
      </c>
      <c r="V65" s="322">
        <f>COUNTIFS(input!$O:$O,July!$V$25,input!$F:$F,July!N65,input!$A:$A,July!$B$2)</f>
        <v>0</v>
      </c>
      <c r="W65" s="323">
        <f>COUNTIFS(input!$O:$O,July!$W$25,input!$F:$F,July!N65,input!$A:$A,July!$B$2)</f>
        <v>0</v>
      </c>
      <c r="X65" s="324">
        <f>COUNTIFS(input!$O:$O,July!$X$25,input!$F:$F,July!N65,input!$A:$A,July!$B$2)</f>
        <v>0</v>
      </c>
      <c r="Y65" s="312">
        <f t="shared" si="1"/>
        <v>0</v>
      </c>
      <c r="Z65" s="315" cm="1">
        <f t="array" ref="Z65">_xlfn.IFS(Y65=0,0,Y65&gt;=1,Y65/$Y$69)</f>
        <v>0</v>
      </c>
    </row>
    <row r="66" spans="2:26" ht="92" hidden="1" customHeight="1" x14ac:dyDescent="0.25">
      <c r="B66" s="1121" t="s">
        <v>482</v>
      </c>
      <c r="C66" s="1066"/>
      <c r="D66" s="316">
        <f>COUNTIFS(input!$O:$O,July!$D$25,input!$E:$E,July!B66,input!$A:$A,July!$B$2)</f>
        <v>0</v>
      </c>
      <c r="E66" s="316">
        <f>COUNTIFS(input!$O:$O,July!$E$25,input!$E:$E,July!B66,input!$A:$A,July!$B$2)</f>
        <v>0</v>
      </c>
      <c r="F66" s="317">
        <f>COUNTIFS(input!$O:$O,July!$F$25,input!$E:$E,July!B66,input!$A:$A,July!$B$2)</f>
        <v>0</v>
      </c>
      <c r="G66" s="318">
        <f>COUNTIFS(input!$O:$O,July!$G$25,input!$E:$E,July!B66,input!$A:$A,July!$B$2)</f>
        <v>0</v>
      </c>
      <c r="H66" s="318">
        <f>COUNTIFS(input!$O:$O,July!$H$25,input!$E:$E,July!B66,input!$A:$A,July!$B$2)</f>
        <v>0</v>
      </c>
      <c r="I66" s="318">
        <f>COUNTIFS(input!$O:$O,July!$I$25,input!$E:$E,July!B66,input!$A:$A,July!$B$2)</f>
        <v>0</v>
      </c>
      <c r="J66" s="318">
        <f>COUNTIFS(input!$O:$O,July!$K$25,input!$E:$E,July!B66,input!$A:$A,July!$B$2)</f>
        <v>0</v>
      </c>
      <c r="K66" s="319">
        <f>COUNTIFS(input!$O:$O,July!$K$25,input!$E:$E,July!B66,input!$A:$A,July!$B$2)</f>
        <v>0</v>
      </c>
      <c r="L66" s="312">
        <f t="shared" si="5"/>
        <v>0</v>
      </c>
      <c r="M66" s="313" cm="1">
        <f t="array" ref="M66">_xlfn.IFS(L66=0,0,L66&gt;=1,L66/$L$69)</f>
        <v>0</v>
      </c>
      <c r="N66" s="1065"/>
      <c r="O66" s="1065"/>
      <c r="P66" s="1066"/>
      <c r="Q66" s="316">
        <f>COUNTIFS(input!$O:$O,July!$Q$25,input!$F:$F,July!N66,input!$A:$A,July!$B$2)</f>
        <v>0</v>
      </c>
      <c r="R66" s="316">
        <f>COUNTIFS(input!$O:$O,July!$R$25,input!$F:$F,July!N66,input!$A:$A,July!$B$2)</f>
        <v>0</v>
      </c>
      <c r="S66" s="316">
        <f>COUNTIFS(input!$O:$O,July!$S$25,input!$F:$F,July!N66,input!$A:$A,July!$B$2)</f>
        <v>0</v>
      </c>
      <c r="T66" s="321">
        <f>COUNTIFS(input!$O:$O,July!$T$25,input!$F:$F,July!N66,input!$A:$A,July!$B$2)</f>
        <v>0</v>
      </c>
      <c r="U66" s="322">
        <f>COUNTIFS(input!$O:$O,July!$U$25,input!$F:$F,July!N66,input!$A:$A,July!$B$2)</f>
        <v>0</v>
      </c>
      <c r="V66" s="322">
        <f>COUNTIFS(input!$O:$O,July!$V$25,input!$F:$F,July!N66,input!$A:$A,July!$B$2)</f>
        <v>0</v>
      </c>
      <c r="W66" s="323">
        <f>COUNTIFS(input!$O:$O,July!$W$25,input!$F:$F,July!N66,input!$A:$A,July!$B$2)</f>
        <v>0</v>
      </c>
      <c r="X66" s="324">
        <f>COUNTIFS(input!$O:$O,July!$X$25,input!$F:$F,July!N66,input!$A:$A,July!$B$2)</f>
        <v>0</v>
      </c>
      <c r="Y66" s="312">
        <f t="shared" si="1"/>
        <v>0</v>
      </c>
      <c r="Z66" s="315" cm="1">
        <f t="array" ref="Z66">_xlfn.IFS(Y66=0,0,Y66&gt;=1,Y66/$Y$69)</f>
        <v>0</v>
      </c>
    </row>
    <row r="67" spans="2:26" ht="92" hidden="1" customHeight="1" x14ac:dyDescent="0.25">
      <c r="B67" s="1121" t="s">
        <v>247</v>
      </c>
      <c r="C67" s="1066"/>
      <c r="D67" s="316">
        <f>COUNTIFS(input!$O:$O,July!$D$25,input!$E:$E,July!B67,input!$A:$A,July!$B$2)</f>
        <v>0</v>
      </c>
      <c r="E67" s="316">
        <f>COUNTIFS(input!$O:$O,July!$E$25,input!$E:$E,July!B67,input!$A:$A,July!$B$2)</f>
        <v>0</v>
      </c>
      <c r="F67" s="317">
        <f>COUNTIFS(input!$O:$O,July!$F$25,input!$E:$E,July!B67,input!$A:$A,July!$B$2)</f>
        <v>0</v>
      </c>
      <c r="G67" s="318">
        <f>COUNTIFS(input!$O:$O,July!$G$25,input!$E:$E,July!B67,input!$A:$A,July!$B$2)</f>
        <v>0</v>
      </c>
      <c r="H67" s="318">
        <f>COUNTIFS(input!$O:$O,July!$H$25,input!$E:$E,July!B67,input!$A:$A,July!$B$2)</f>
        <v>0</v>
      </c>
      <c r="I67" s="318">
        <f>COUNTIFS(input!$O:$O,July!$I$25,input!$E:$E,July!B67,input!$A:$A,July!$B$2)</f>
        <v>0</v>
      </c>
      <c r="J67" s="318">
        <f>COUNTIFS(input!$O:$O,July!$K$25,input!$E:$E,July!B67,input!$A:$A,July!$B$2)</f>
        <v>0</v>
      </c>
      <c r="K67" s="319">
        <f>COUNTIFS(input!$O:$O,July!$K$25,input!$E:$E,July!B67,input!$A:$A,July!$B$2)</f>
        <v>0</v>
      </c>
      <c r="L67" s="312">
        <f t="shared" si="5"/>
        <v>0</v>
      </c>
      <c r="M67" s="313" cm="1">
        <f t="array" ref="M67">_xlfn.IFS(L67=0,0,L67&gt;=1,L67/$L$69)</f>
        <v>0</v>
      </c>
      <c r="N67" s="1065"/>
      <c r="O67" s="1065"/>
      <c r="P67" s="1066"/>
      <c r="Q67" s="316">
        <f>COUNTIFS(input!$O:$O,July!$Q$25,input!$F:$F,July!N67,input!$A:$A,July!$B$2)</f>
        <v>0</v>
      </c>
      <c r="R67" s="316">
        <f>COUNTIFS(input!$O:$O,July!$R$25,input!$F:$F,July!N67,input!$A:$A,July!$B$2)</f>
        <v>0</v>
      </c>
      <c r="S67" s="316">
        <f>COUNTIFS(input!$O:$O,July!$S$25,input!$F:$F,July!N67,input!$A:$A,July!$B$2)</f>
        <v>0</v>
      </c>
      <c r="T67" s="321">
        <f>COUNTIFS(input!$O:$O,July!$T$25,input!$F:$F,July!N67,input!$A:$A,July!$B$2)</f>
        <v>0</v>
      </c>
      <c r="U67" s="322">
        <f>COUNTIFS(input!$O:$O,July!$U$25,input!$F:$F,July!N67,input!$A:$A,July!$B$2)</f>
        <v>0</v>
      </c>
      <c r="V67" s="322">
        <f>COUNTIFS(input!$O:$O,July!$V$25,input!$F:$F,July!N67,input!$A:$A,July!$B$2)</f>
        <v>0</v>
      </c>
      <c r="W67" s="323">
        <f>COUNTIFS(input!$O:$O,July!$W$25,input!$F:$F,July!N67,input!$A:$A,July!$B$2)</f>
        <v>0</v>
      </c>
      <c r="X67" s="324">
        <f>COUNTIFS(input!$O:$O,July!$X$25,input!$F:$F,July!N67,input!$A:$A,July!$B$2)</f>
        <v>0</v>
      </c>
      <c r="Y67" s="312">
        <f t="shared" si="1"/>
        <v>0</v>
      </c>
      <c r="Z67" s="315" cm="1">
        <f t="array" ref="Z67">_xlfn.IFS(Y67=0,0,Y67&gt;=1,Y67/$Y$69)</f>
        <v>0</v>
      </c>
    </row>
    <row r="68" spans="2:26" ht="92" x14ac:dyDescent="0.25">
      <c r="B68" s="990" t="s">
        <v>57</v>
      </c>
      <c r="C68" s="991"/>
      <c r="D68" s="316">
        <f>COUNTIFS(input!$O:$O,July!$D$25,input!$E:$E,July!B68,input!$A:$A,July!$B$2)</f>
        <v>0</v>
      </c>
      <c r="E68" s="316">
        <f>COUNTIFS(input!$O:$O,July!$E$25,input!$E:$E,July!B68,input!$A:$A,July!$B$2)</f>
        <v>0</v>
      </c>
      <c r="F68" s="317">
        <f>COUNTIFS(input!$O:$O,July!$F$25,input!$E:$E,July!B68,input!$A:$A,July!$B$2)</f>
        <v>0</v>
      </c>
      <c r="G68" s="318">
        <f>COUNTIFS(input!$O:$O,July!$G$25,input!$E:$E,July!B68,input!$A:$A,July!$B$2)</f>
        <v>0</v>
      </c>
      <c r="H68" s="318">
        <f>COUNTIFS(input!$O:$O,July!$H$25,input!$E:$E,July!B68,input!$A:$A,July!$B$2)</f>
        <v>0</v>
      </c>
      <c r="I68" s="318">
        <f>COUNTIFS(input!$O:$O,July!$I$25,input!$E:$E,July!B68,input!$A:$A,July!$B$2)</f>
        <v>0</v>
      </c>
      <c r="J68" s="318">
        <f>COUNTIFS(input!$O:$O,July!$J$25,input!$E:$E,July!B68,input!$A:$A,July!$B$2)</f>
        <v>2</v>
      </c>
      <c r="K68" s="319">
        <f>COUNTIFS(input!$O:$O,July!$K$25,input!$E:$E,July!B68,input!$A:$A,July!$B$2)</f>
        <v>0</v>
      </c>
      <c r="L68" s="312">
        <f t="shared" si="5"/>
        <v>2</v>
      </c>
      <c r="M68" s="313" cm="1">
        <f t="array" ref="M68">_xlfn.IFS(L68=0,0,L68&gt;=1,L68/$L$69)</f>
        <v>0.125</v>
      </c>
      <c r="N68" s="1065"/>
      <c r="O68" s="1065"/>
      <c r="P68" s="1066"/>
      <c r="Q68" s="316">
        <f>COUNTIFS(input!$O:$O,July!$Q$25,input!$F:$F,July!N68,input!$A:$A,July!$B$2)</f>
        <v>0</v>
      </c>
      <c r="R68" s="316">
        <f>COUNTIFS(input!$O:$O,July!$R$25,input!$F:$F,July!N68,input!$A:$A,July!$B$2)</f>
        <v>0</v>
      </c>
      <c r="S68" s="316">
        <f>COUNTIFS(input!$O:$O,July!$S$25,input!$F:$F,July!N68,input!$A:$A,July!$B$2)</f>
        <v>0</v>
      </c>
      <c r="T68" s="321">
        <f>COUNTIFS(input!$O:$O,July!$T$25,input!$F:$F,July!N68,input!$A:$A,July!$B$2)</f>
        <v>0</v>
      </c>
      <c r="U68" s="322">
        <f>COUNTIFS(input!$O:$O,July!$U$25,input!$F:$F,July!N68,input!$A:$A,July!$B$2)</f>
        <v>0</v>
      </c>
      <c r="V68" s="322">
        <f>COUNTIFS(input!$O:$O,July!$V$25,input!$F:$F,July!N68,input!$A:$A,July!$B$2)</f>
        <v>0</v>
      </c>
      <c r="W68" s="323">
        <f>COUNTIFS(input!$O:$O,July!$W$25,input!$F:$F,July!N68,input!$A:$A,July!$B$2)</f>
        <v>0</v>
      </c>
      <c r="X68" s="324">
        <f>COUNTIFS(input!$O:$O,July!$X$25,input!$F:$F,July!N68,input!$A:$A,July!$B$2)</f>
        <v>0</v>
      </c>
      <c r="Y68" s="312">
        <f t="shared" si="1"/>
        <v>0</v>
      </c>
      <c r="Z68" s="315" cm="1">
        <f t="array" ref="Z68">_xlfn.IFS(Y68=0,0,Y68&gt;=1,Y68/$Y$69)</f>
        <v>0</v>
      </c>
    </row>
    <row r="69" spans="2:26" ht="90.5" thickBot="1" x14ac:dyDescent="0.3">
      <c r="B69" s="1005" t="s">
        <v>4</v>
      </c>
      <c r="C69" s="984"/>
      <c r="D69" s="340">
        <f t="shared" ref="D69:K69" si="6">SUM(D26:D66)</f>
        <v>0</v>
      </c>
      <c r="E69" s="340">
        <f t="shared" si="6"/>
        <v>0</v>
      </c>
      <c r="F69" s="340">
        <f t="shared" si="6"/>
        <v>0</v>
      </c>
      <c r="G69" s="340">
        <f t="shared" si="6"/>
        <v>11</v>
      </c>
      <c r="H69" s="340">
        <f t="shared" si="6"/>
        <v>0</v>
      </c>
      <c r="I69" s="340">
        <f t="shared" si="6"/>
        <v>2</v>
      </c>
      <c r="J69" s="340">
        <f t="shared" si="6"/>
        <v>1</v>
      </c>
      <c r="K69" s="340">
        <f t="shared" si="6"/>
        <v>0</v>
      </c>
      <c r="L69" s="401">
        <f>SUM(L26:L68)</f>
        <v>16</v>
      </c>
      <c r="M69" s="402">
        <f>SUM(M26:M68)</f>
        <v>1</v>
      </c>
      <c r="N69" s="983" t="s">
        <v>4</v>
      </c>
      <c r="O69" s="983"/>
      <c r="P69" s="984"/>
      <c r="Q69" s="340">
        <f t="shared" ref="Q69:X69" si="7">SUM(Q26:Q66)</f>
        <v>0</v>
      </c>
      <c r="R69" s="340">
        <f t="shared" si="7"/>
        <v>0</v>
      </c>
      <c r="S69" s="340">
        <f t="shared" si="7"/>
        <v>0</v>
      </c>
      <c r="T69" s="340">
        <f t="shared" si="7"/>
        <v>11</v>
      </c>
      <c r="U69" s="340">
        <f t="shared" si="7"/>
        <v>0</v>
      </c>
      <c r="V69" s="340">
        <f t="shared" si="7"/>
        <v>2</v>
      </c>
      <c r="W69" s="340">
        <f t="shared" si="7"/>
        <v>3</v>
      </c>
      <c r="X69" s="340">
        <f t="shared" si="7"/>
        <v>0</v>
      </c>
      <c r="Y69" s="340">
        <f>SUM(Y26:Y68)</f>
        <v>16</v>
      </c>
      <c r="Z69" s="403">
        <f>SUM(Z26:Z66)</f>
        <v>1</v>
      </c>
    </row>
    <row r="70" spans="2:26" ht="270" x14ac:dyDescent="0.25">
      <c r="B70" s="1149" t="s">
        <v>34</v>
      </c>
      <c r="C70" s="1150"/>
      <c r="D70" s="398" t="s">
        <v>6</v>
      </c>
      <c r="E70" s="398" t="s">
        <v>2</v>
      </c>
      <c r="F70" s="398" t="s">
        <v>3</v>
      </c>
      <c r="G70" s="398" t="s">
        <v>1</v>
      </c>
      <c r="H70" s="398" t="s">
        <v>0</v>
      </c>
      <c r="I70" s="398" t="s">
        <v>53</v>
      </c>
      <c r="J70" s="398" t="s">
        <v>12</v>
      </c>
      <c r="K70" s="398" t="s">
        <v>693</v>
      </c>
      <c r="L70" s="398" t="s">
        <v>5</v>
      </c>
      <c r="M70" s="399" t="s">
        <v>40</v>
      </c>
      <c r="N70" s="1151" t="s">
        <v>59</v>
      </c>
      <c r="O70" s="1151"/>
      <c r="P70" s="1152"/>
      <c r="Q70" s="398" t="s">
        <v>6</v>
      </c>
      <c r="R70" s="398" t="s">
        <v>2</v>
      </c>
      <c r="S70" s="398" t="s">
        <v>3</v>
      </c>
      <c r="T70" s="398" t="s">
        <v>1</v>
      </c>
      <c r="U70" s="398" t="s">
        <v>0</v>
      </c>
      <c r="V70" s="398" t="s">
        <v>53</v>
      </c>
      <c r="W70" s="398" t="s">
        <v>12</v>
      </c>
      <c r="X70" s="398" t="s">
        <v>693</v>
      </c>
      <c r="Y70" s="398" t="s">
        <v>5</v>
      </c>
      <c r="Z70" s="400" t="s">
        <v>40</v>
      </c>
    </row>
    <row r="71" spans="2:26" ht="92" hidden="1" x14ac:dyDescent="0.25">
      <c r="B71" s="1111" t="s">
        <v>13</v>
      </c>
      <c r="C71" s="1112"/>
      <c r="D71" s="1037">
        <f>COUNTIFS(input!$O:$O,July!$D$70,input!$K:$K,July!B71,input!$A:$A,July!$B$2)</f>
        <v>0</v>
      </c>
      <c r="E71" s="1037">
        <f>COUNTIFS(input!$O:$O,July!$E$70,input!$K:$K,July!B71,input!$A:$A,July!$B$2)</f>
        <v>0</v>
      </c>
      <c r="F71" s="1037">
        <f>COUNTIFS(input!$O:$O,July!$F$70,input!$K:$K,July!B71,input!$A:$A,July!$B$2)</f>
        <v>0</v>
      </c>
      <c r="G71" s="1043">
        <f>COUNTIFS(input!$O:$O,July!$G$70,input!$K:$K,July!B71,input!$A:$A,July!$B$2)</f>
        <v>5</v>
      </c>
      <c r="H71" s="1043">
        <f>COUNTIFS(input!$O:$O,July!$H$70,input!$K:$K,July!B71,input!$A:$A,July!$B$2)</f>
        <v>0</v>
      </c>
      <c r="I71" s="1055">
        <f>COUNTIFS(input!$O:$O,July!$I$70,input!$K:$K,July!B71,input!$A:$A,July!$B$2)</f>
        <v>0</v>
      </c>
      <c r="J71" s="1043">
        <f>COUNTIFS(input!$O:$O,July!$J$70,input!$K:$K,July!B71,input!$A:$A,July!$B$2)</f>
        <v>0</v>
      </c>
      <c r="K71" s="1043">
        <f>COUNTIFS(input!$O:$O,July!$K$70,input!$K:$K,July!B71,input!$A:$A,July!$B$2)</f>
        <v>0</v>
      </c>
      <c r="L71" s="1022">
        <f>SUM(D71:K77)</f>
        <v>5</v>
      </c>
      <c r="M71" s="1025" cm="1">
        <f t="array" ref="M71">_xlfn.IFS(L71=0,0,L71&gt;=1,L71/L123)</f>
        <v>0.3125</v>
      </c>
      <c r="N71" s="1124" t="s">
        <v>715</v>
      </c>
      <c r="O71" s="1124"/>
      <c r="P71" s="1125"/>
      <c r="Q71" s="310">
        <f>COUNTIFS(input!$O:$O,July!$Q$70,input!$G:$G,July!N71,input!$A:$A,July!$B$2)</f>
        <v>0</v>
      </c>
      <c r="R71" s="310">
        <f>COUNTIFS(input!$O:$O,July!$R$70,input!$G:$G,July!N71,input!$A:$A,July!$B$2)</f>
        <v>0</v>
      </c>
      <c r="S71" s="310">
        <f>COUNTIFS(input!$O:$O,July!$S$70,input!$G:$G,July!N71,input!$A:$A,July!$B$2)</f>
        <v>0</v>
      </c>
      <c r="T71" s="314">
        <f>COUNTIFS(input!$O:$O,July!$T$70,input!$G:$G,July!N71,input!$A:$A,July!$B$2)</f>
        <v>0</v>
      </c>
      <c r="U71" s="314">
        <f>COUNTIFS(input!$O:$O,July!$U$70,input!$G:$G,July!N71,input!$A:$A,July!$B$2)</f>
        <v>0</v>
      </c>
      <c r="V71" s="314">
        <f>COUNTIFS(input!$O:$O,July!$V$70,input!$G:$G,July!N71,input!$A:$A,July!$B$2)</f>
        <v>0</v>
      </c>
      <c r="W71" s="314">
        <f>COUNTIFS(input!$O:$O,July!$W$70,input!$G:$G,July!N71,input!$A:$A,July!$B$2)</f>
        <v>0</v>
      </c>
      <c r="X71" s="314">
        <f>COUNTIFS(input!$O:$O,July!$X$70,input!$G:$G,July!N71,input!$A:$A,July!$B$2)</f>
        <v>0</v>
      </c>
      <c r="Y71" s="312">
        <f>SUM(Q71:X71)</f>
        <v>0</v>
      </c>
      <c r="Z71" s="315" cm="1">
        <f t="array" ref="Z71">_xlfn.IFS(Y71=0,0,Y71&gt;=1,Y71/$Y$123)</f>
        <v>0</v>
      </c>
    </row>
    <row r="72" spans="2:26" ht="92" hidden="1" x14ac:dyDescent="0.25">
      <c r="B72" s="1030"/>
      <c r="C72" s="1047"/>
      <c r="D72" s="1038"/>
      <c r="E72" s="1038"/>
      <c r="F72" s="1038"/>
      <c r="G72" s="1044"/>
      <c r="H72" s="1044"/>
      <c r="I72" s="1056"/>
      <c r="J72" s="1044"/>
      <c r="K72" s="1044"/>
      <c r="L72" s="1023"/>
      <c r="M72" s="1026"/>
      <c r="N72" s="1065" t="s">
        <v>856</v>
      </c>
      <c r="O72" s="1065"/>
      <c r="P72" s="1066"/>
      <c r="Q72" s="316">
        <f>COUNTIFS(input!$O:$O,July!$Q$70,input!$G:$G,July!N72,input!$A:$A,July!$B$2)</f>
        <v>0</v>
      </c>
      <c r="R72" s="316">
        <f>COUNTIFS(input!$O:$O,July!$R$70,input!$G:$G,July!N72,input!$A:$A,July!$B$2)</f>
        <v>0</v>
      </c>
      <c r="S72" s="316">
        <f>COUNTIFS(input!$O:$O,July!$S$70,input!$G:$G,July!N72,input!$A:$A,July!$B$2)</f>
        <v>0</v>
      </c>
      <c r="T72" s="321">
        <f>COUNTIFS(input!$O:$O,July!$T$70,input!$G:$G,July!N72,input!$A:$A,July!$B$2)</f>
        <v>0</v>
      </c>
      <c r="U72" s="322">
        <f>COUNTIFS(input!$O:$O,July!$U$70,input!$G:$G,July!N72,input!$A:$A,July!$B$2)</f>
        <v>0</v>
      </c>
      <c r="V72" s="322">
        <f>COUNTIFS(input!$O:$O,July!$V$70,input!$G:$G,July!N72,input!$A:$A,July!$B$2)</f>
        <v>0</v>
      </c>
      <c r="W72" s="323">
        <f>COUNTIFS(input!$O:$O,July!$W$70,input!$G:$G,July!N72,input!$A:$A,July!$B$2)</f>
        <v>0</v>
      </c>
      <c r="X72" s="324">
        <f>COUNTIFS(input!$O:$O,July!$X$70,input!$G:$G,July!N72,input!$A:$A,July!$B$2)</f>
        <v>0</v>
      </c>
      <c r="Y72" s="312">
        <f>SUM(Q72:X72)</f>
        <v>0</v>
      </c>
      <c r="Z72" s="315" cm="1">
        <f t="array" ref="Z72">_xlfn.IFS(Y72=0,0,Y72&gt;=1,Y72/$Y$123)</f>
        <v>0</v>
      </c>
    </row>
    <row r="73" spans="2:26" ht="92" hidden="1" x14ac:dyDescent="0.25">
      <c r="B73" s="1030"/>
      <c r="C73" s="1047"/>
      <c r="D73" s="1038"/>
      <c r="E73" s="1038"/>
      <c r="F73" s="1038"/>
      <c r="G73" s="1044"/>
      <c r="H73" s="1044"/>
      <c r="I73" s="1056"/>
      <c r="J73" s="1044"/>
      <c r="K73" s="1044"/>
      <c r="L73" s="1023"/>
      <c r="M73" s="1026"/>
      <c r="N73" s="996" t="s">
        <v>816</v>
      </c>
      <c r="O73" s="996"/>
      <c r="P73" s="997"/>
      <c r="Q73" s="316">
        <f>COUNTIFS(input!$O:$O,July!$Q$70,input!$G:$G,July!N73,input!$A:$A,July!$B$2)</f>
        <v>0</v>
      </c>
      <c r="R73" s="316">
        <f>COUNTIFS(input!$O:$O,July!$R$70,input!$G:$G,July!N73,input!$A:$A,July!$B$2)</f>
        <v>0</v>
      </c>
      <c r="S73" s="316">
        <f>COUNTIFS(input!$O:$O,July!$S$70,input!$G:$G,July!N73,input!$A:$A,July!$B$2)</f>
        <v>0</v>
      </c>
      <c r="T73" s="321">
        <f>COUNTIFS(input!$O:$O,July!$T$70,input!$G:$G,July!N73,input!$A:$A,July!$B$2)</f>
        <v>0</v>
      </c>
      <c r="U73" s="322">
        <f>COUNTIFS(input!$O:$O,July!$U$70,input!$G:$G,July!N73,input!$A:$A,July!$B$2)</f>
        <v>0</v>
      </c>
      <c r="V73" s="322">
        <f>COUNTIFS(input!$O:$O,July!$V$70,input!$G:$G,July!N73,input!$A:$A,July!$B$2)</f>
        <v>0</v>
      </c>
      <c r="W73" s="323">
        <f>COUNTIFS(input!$O:$O,July!$W$70,input!$G:$G,July!N73,input!$A:$A,July!$B$2)</f>
        <v>0</v>
      </c>
      <c r="X73" s="324">
        <f>COUNTIFS(input!$O:$O,July!$X$70,input!$G:$G,July!N73,input!$A:$A,July!$B$2)</f>
        <v>0</v>
      </c>
      <c r="Y73" s="312">
        <f t="shared" ref="Y73:Y121" si="8">SUM(Q73:X73)</f>
        <v>0</v>
      </c>
      <c r="Z73" s="315" cm="1">
        <f t="array" ref="Z73">_xlfn.IFS(Y73=0,0,Y73&gt;=1,Y73/$Y$123)</f>
        <v>0</v>
      </c>
    </row>
    <row r="74" spans="2:26" ht="92" hidden="1" x14ac:dyDescent="0.25">
      <c r="B74" s="1030"/>
      <c r="C74" s="1047"/>
      <c r="D74" s="1038"/>
      <c r="E74" s="1038"/>
      <c r="F74" s="1038"/>
      <c r="G74" s="1044"/>
      <c r="H74" s="1044"/>
      <c r="I74" s="1056"/>
      <c r="J74" s="1044"/>
      <c r="K74" s="1044"/>
      <c r="L74" s="1023"/>
      <c r="M74" s="1026"/>
      <c r="N74" s="1065" t="s">
        <v>449</v>
      </c>
      <c r="O74" s="1065"/>
      <c r="P74" s="1066"/>
      <c r="Q74" s="316">
        <f>COUNTIFS(input!$O:$O,July!$Q$70,input!$G:$G,July!N74,input!$A:$A,July!$B$2)</f>
        <v>0</v>
      </c>
      <c r="R74" s="316">
        <f>COUNTIFS(input!$O:$O,July!$R$70,input!$G:$G,July!N74,input!$A:$A,July!$B$2)</f>
        <v>0</v>
      </c>
      <c r="S74" s="316">
        <f>COUNTIFS(input!$O:$O,July!$S$70,input!$G:$G,July!N74,input!$A:$A,July!$B$2)</f>
        <v>0</v>
      </c>
      <c r="T74" s="321">
        <f>COUNTIFS(input!$O:$O,July!$T$70,input!$G:$G,July!N74,input!$A:$A,July!$B$2)</f>
        <v>0</v>
      </c>
      <c r="U74" s="322">
        <f>COUNTIFS(input!$O:$O,July!$U$70,input!$G:$G,July!N74,input!$A:$A,July!$B$2)</f>
        <v>0</v>
      </c>
      <c r="V74" s="322">
        <f>COUNTIFS(input!$O:$O,July!$V$70,input!$G:$G,July!N74,input!$A:$A,July!$B$2)</f>
        <v>0</v>
      </c>
      <c r="W74" s="323">
        <f>COUNTIFS(input!$O:$O,July!$W$70,input!$G:$G,July!N74,input!$A:$A,July!$B$2)</f>
        <v>0</v>
      </c>
      <c r="X74" s="324">
        <f>COUNTIFS(input!$O:$O,July!$X$70,input!$G:$G,July!N74,input!$A:$A,July!$B$2)</f>
        <v>0</v>
      </c>
      <c r="Y74" s="312">
        <f t="shared" si="8"/>
        <v>0</v>
      </c>
      <c r="Z74" s="315" cm="1">
        <f t="array" ref="Z74">_xlfn.IFS(Y74=0,0,Y74&gt;=1,Y74/$Y$123)</f>
        <v>0</v>
      </c>
    </row>
    <row r="75" spans="2:26" ht="92" hidden="1" x14ac:dyDescent="0.25">
      <c r="B75" s="1030"/>
      <c r="C75" s="1047"/>
      <c r="D75" s="1038"/>
      <c r="E75" s="1038"/>
      <c r="F75" s="1038"/>
      <c r="G75" s="1044"/>
      <c r="H75" s="1044"/>
      <c r="I75" s="1056"/>
      <c r="J75" s="1044"/>
      <c r="K75" s="1044"/>
      <c r="L75" s="1023"/>
      <c r="M75" s="1026"/>
      <c r="N75" s="1065" t="s">
        <v>915</v>
      </c>
      <c r="O75" s="1065"/>
      <c r="P75" s="1066"/>
      <c r="Q75" s="316">
        <f>COUNTIFS(input!$O:$O,July!$Q$70,input!$G:$G,July!N75,input!$A:$A,July!$B$2)</f>
        <v>0</v>
      </c>
      <c r="R75" s="316">
        <f>COUNTIFS(input!$O:$O,July!$R$70,input!$G:$G,July!N75,input!$A:$A,July!$B$2)</f>
        <v>0</v>
      </c>
      <c r="S75" s="316">
        <f>COUNTIFS(input!$O:$O,July!$S$70,input!$G:$G,July!N75,input!$A:$A,July!$B$2)</f>
        <v>0</v>
      </c>
      <c r="T75" s="321">
        <f>COUNTIFS(input!$O:$O,July!$T$70,input!$G:$G,July!N75,input!$A:$A,July!$B$2)</f>
        <v>0</v>
      </c>
      <c r="U75" s="322">
        <f>COUNTIFS(input!$O:$O,July!$U$70,input!$G:$G,July!N75,input!$A:$A,July!$B$2)</f>
        <v>0</v>
      </c>
      <c r="V75" s="322">
        <f>COUNTIFS(input!$O:$O,July!$V$70,input!$G:$G,July!N75,input!$A:$A,July!$B$2)</f>
        <v>0</v>
      </c>
      <c r="W75" s="323">
        <f>COUNTIFS(input!$O:$O,July!$W$70,input!$G:$G,July!N75,input!$A:$A,July!$B$2)</f>
        <v>0</v>
      </c>
      <c r="X75" s="324">
        <f>COUNTIFS(input!$O:$O,July!$X$70,input!$G:$G,July!N75,input!$A:$A,July!$B$2)</f>
        <v>0</v>
      </c>
      <c r="Y75" s="312">
        <f t="shared" si="8"/>
        <v>0</v>
      </c>
      <c r="Z75" s="315" cm="1">
        <f t="array" ref="Z75">_xlfn.IFS(Y75=0,0,Y75&gt;=1,Y75/$Y$123)</f>
        <v>0</v>
      </c>
    </row>
    <row r="76" spans="2:26" ht="92" hidden="1" x14ac:dyDescent="0.25">
      <c r="B76" s="1030"/>
      <c r="C76" s="1047"/>
      <c r="D76" s="1038"/>
      <c r="E76" s="1038"/>
      <c r="F76" s="1038"/>
      <c r="G76" s="1044"/>
      <c r="H76" s="1044"/>
      <c r="I76" s="1056"/>
      <c r="J76" s="1044"/>
      <c r="K76" s="1044"/>
      <c r="L76" s="1023"/>
      <c r="M76" s="1026"/>
      <c r="N76" s="1065" t="s">
        <v>898</v>
      </c>
      <c r="O76" s="1065"/>
      <c r="P76" s="1066"/>
      <c r="Q76" s="316">
        <f>COUNTIFS(input!$O:$O,July!$Q$70,input!$G:$G,July!N76,input!$A:$A,July!$B$2)</f>
        <v>0</v>
      </c>
      <c r="R76" s="316">
        <f>COUNTIFS(input!$O:$O,July!$R$70,input!$G:$G,July!N76,input!$A:$A,July!$B$2)</f>
        <v>0</v>
      </c>
      <c r="S76" s="316">
        <f>COUNTIFS(input!$O:$O,July!$S$70,input!$G:$G,July!N76,input!$A:$A,July!$B$2)</f>
        <v>0</v>
      </c>
      <c r="T76" s="321">
        <f>COUNTIFS(input!$O:$O,July!$T$70,input!$G:$G,July!N76,input!$A:$A,July!$B$2)</f>
        <v>0</v>
      </c>
      <c r="U76" s="322">
        <f>COUNTIFS(input!$O:$O,July!$U$70,input!$G:$G,July!N76,input!$A:$A,July!$B$2)</f>
        <v>0</v>
      </c>
      <c r="V76" s="322">
        <f>COUNTIFS(input!$O:$O,July!$V$70,input!$G:$G,July!N76,input!$A:$A,July!$B$2)</f>
        <v>0</v>
      </c>
      <c r="W76" s="323">
        <f>COUNTIFS(input!$O:$O,July!$W$70,input!$G:$G,July!N76,input!$A:$A,July!$B$2)</f>
        <v>0</v>
      </c>
      <c r="X76" s="324">
        <f>COUNTIFS(input!$O:$O,July!$X$70,input!$G:$G,July!N76,input!$A:$A,July!$B$2)</f>
        <v>0</v>
      </c>
      <c r="Y76" s="312">
        <f t="shared" si="8"/>
        <v>0</v>
      </c>
      <c r="Z76" s="315" cm="1">
        <f t="array" ref="Z76">_xlfn.IFS(Y76=0,0,Y76&gt;=1,Y76/$Y$123)</f>
        <v>0</v>
      </c>
    </row>
    <row r="77" spans="2:26" ht="92" hidden="1" x14ac:dyDescent="0.25">
      <c r="B77" s="1030"/>
      <c r="C77" s="1047"/>
      <c r="D77" s="1038"/>
      <c r="E77" s="1038"/>
      <c r="F77" s="1038"/>
      <c r="G77" s="1044"/>
      <c r="H77" s="1044"/>
      <c r="I77" s="1056"/>
      <c r="J77" s="1044"/>
      <c r="K77" s="1044"/>
      <c r="L77" s="1023"/>
      <c r="M77" s="1026"/>
      <c r="N77" s="1065" t="s">
        <v>1782</v>
      </c>
      <c r="O77" s="1065"/>
      <c r="P77" s="1066"/>
      <c r="Q77" s="316">
        <f>COUNTIFS(input!$O:$O,July!$Q$70,input!$G:$G,July!N77,input!$A:$A,July!$B$2)</f>
        <v>0</v>
      </c>
      <c r="R77" s="316">
        <f>COUNTIFS(input!$O:$O,July!$R$70,input!$G:$G,July!N77,input!$A:$A,July!$B$2)</f>
        <v>0</v>
      </c>
      <c r="S77" s="316">
        <f>COUNTIFS(input!$O:$O,July!$S$70,input!$G:$G,July!N77,input!$A:$A,July!$B$2)</f>
        <v>0</v>
      </c>
      <c r="T77" s="321">
        <f>COUNTIFS(input!$O:$O,July!$T$70,input!$G:$G,July!N77,input!$A:$A,July!$B$2)</f>
        <v>0</v>
      </c>
      <c r="U77" s="322">
        <f>COUNTIFS(input!$O:$O,July!$U$70,input!$G:$G,July!N77,input!$A:$A,July!$B$2)</f>
        <v>0</v>
      </c>
      <c r="V77" s="322">
        <f>COUNTIFS(input!$O:$O,July!$V$70,input!$G:$G,July!N77,input!$A:$A,July!$B$2)</f>
        <v>0</v>
      </c>
      <c r="W77" s="323">
        <f>COUNTIFS(input!$O:$O,July!$W$70,input!$G:$G,July!N77,input!$A:$A,July!$B$2)</f>
        <v>0</v>
      </c>
      <c r="X77" s="324">
        <f>COUNTIFS(input!$O:$O,July!$X$70,input!$G:$G,July!N77,input!$A:$A,July!$B$2)</f>
        <v>0</v>
      </c>
      <c r="Y77" s="312">
        <f t="shared" si="8"/>
        <v>0</v>
      </c>
      <c r="Z77" s="315" cm="1">
        <f t="array" ref="Z77">_xlfn.IFS(Y77=0,0,Y77&gt;=1,Y77/$Y$123)</f>
        <v>0</v>
      </c>
    </row>
    <row r="78" spans="2:26" ht="92" x14ac:dyDescent="0.25">
      <c r="B78" s="1030"/>
      <c r="C78" s="1047"/>
      <c r="D78" s="1038"/>
      <c r="E78" s="1038"/>
      <c r="F78" s="1038"/>
      <c r="G78" s="1044"/>
      <c r="H78" s="1044"/>
      <c r="I78" s="1056"/>
      <c r="J78" s="1044"/>
      <c r="K78" s="1044"/>
      <c r="L78" s="1023"/>
      <c r="M78" s="1026"/>
      <c r="N78" s="1016" t="s">
        <v>2117</v>
      </c>
      <c r="O78" s="1016"/>
      <c r="P78" s="991"/>
      <c r="Q78" s="316">
        <f>COUNTIFS(input!$O:$O,July!$Q$70,input!$G:$G,July!N78,input!$A:$A,July!$B$2)</f>
        <v>0</v>
      </c>
      <c r="R78" s="316">
        <f>COUNTIFS(input!$O:$O,July!$R$70,input!$G:$G,July!N78,input!$A:$A,July!$B$2)</f>
        <v>0</v>
      </c>
      <c r="S78" s="316">
        <f>COUNTIFS(input!$O:$O,July!$S$70,input!$G:$G,July!N78,input!$A:$A,July!$B$2)</f>
        <v>0</v>
      </c>
      <c r="T78" s="321">
        <f>COUNTIFS(input!$O:$O,July!$T$70,input!$G:$G,July!N78,input!$A:$A,July!$B$2)</f>
        <v>1</v>
      </c>
      <c r="U78" s="322">
        <f>COUNTIFS(input!$O:$O,July!$U$70,input!$G:$G,July!N78,input!$A:$A,July!$B$2)</f>
        <v>0</v>
      </c>
      <c r="V78" s="322">
        <f>COUNTIFS(input!$O:$O,July!$V$70,input!$G:$G,July!N78,input!$A:$A,July!$B$2)</f>
        <v>0</v>
      </c>
      <c r="W78" s="323">
        <f>COUNTIFS(input!$O:$O,July!$W$70,input!$G:$G,July!N78,input!$A:$A,July!$B$2)</f>
        <v>0</v>
      </c>
      <c r="X78" s="324">
        <f>COUNTIFS(input!$O:$O,July!$X$70,input!$G:$G,July!N78,input!$A:$A,July!$B$2)</f>
        <v>0</v>
      </c>
      <c r="Y78" s="312">
        <f>SUM(Q78:X78)</f>
        <v>1</v>
      </c>
      <c r="Z78" s="315" cm="1">
        <f t="array" ref="Z78">_xlfn.IFS(Y78=0,0,Y78&gt;=1,Y78/$Y$123)</f>
        <v>6.25E-2</v>
      </c>
    </row>
    <row r="79" spans="2:26" ht="92" x14ac:dyDescent="0.25">
      <c r="B79" s="1030"/>
      <c r="C79" s="1047"/>
      <c r="D79" s="1038"/>
      <c r="E79" s="1038"/>
      <c r="F79" s="1038"/>
      <c r="G79" s="1044"/>
      <c r="H79" s="1044"/>
      <c r="I79" s="1056"/>
      <c r="J79" s="1044"/>
      <c r="K79" s="1044"/>
      <c r="L79" s="1023"/>
      <c r="M79" s="1026"/>
      <c r="N79" s="1016" t="s">
        <v>2116</v>
      </c>
      <c r="O79" s="1016"/>
      <c r="P79" s="991"/>
      <c r="Q79" s="316">
        <f>COUNTIFS(input!$O:$O,July!$Q$70,input!$G:$G,July!N79,input!$A:$A,July!$B$2)</f>
        <v>0</v>
      </c>
      <c r="R79" s="316">
        <f>COUNTIFS(input!$O:$O,July!$R$70,input!$G:$G,July!N79,input!$A:$A,July!$B$2)</f>
        <v>0</v>
      </c>
      <c r="S79" s="316">
        <f>COUNTIFS(input!$O:$O,July!$S$70,input!$G:$G,July!N79,input!$A:$A,July!$B$2)</f>
        <v>0</v>
      </c>
      <c r="T79" s="321">
        <f>COUNTIFS(input!$O:$O,July!$T$70,input!$G:$G,July!N79,input!$A:$A,July!$B$2)</f>
        <v>1</v>
      </c>
      <c r="U79" s="322">
        <f>COUNTIFS(input!$O:$O,July!$U$70,input!$G:$G,July!N79,input!$A:$A,July!$B$2)</f>
        <v>0</v>
      </c>
      <c r="V79" s="322">
        <f>COUNTIFS(input!$O:$O,July!$V$70,input!$G:$G,July!N79,input!$A:$A,July!$B$2)</f>
        <v>0</v>
      </c>
      <c r="W79" s="323">
        <f>COUNTIFS(input!$O:$O,July!$W$70,input!$G:$G,July!N79,input!$A:$A,July!$B$2)</f>
        <v>0</v>
      </c>
      <c r="X79" s="324">
        <f>COUNTIFS(input!$O:$O,July!$X$70,input!$G:$G,July!N79,input!$A:$A,July!$B$2)</f>
        <v>0</v>
      </c>
      <c r="Y79" s="312">
        <f>SUM(Q79:X79)</f>
        <v>1</v>
      </c>
      <c r="Z79" s="315" cm="1">
        <f t="array" ref="Z79">_xlfn.IFS(Y79=0,0,Y79&gt;=1,Y79/$Y$123)</f>
        <v>6.25E-2</v>
      </c>
    </row>
    <row r="80" spans="2:26" ht="92" hidden="1" customHeight="1" x14ac:dyDescent="0.25">
      <c r="B80" s="1030"/>
      <c r="C80" s="1047"/>
      <c r="D80" s="1038"/>
      <c r="E80" s="1038"/>
      <c r="F80" s="1038"/>
      <c r="G80" s="1044"/>
      <c r="H80" s="1044"/>
      <c r="I80" s="1056"/>
      <c r="J80" s="1044"/>
      <c r="K80" s="1044"/>
      <c r="L80" s="1023"/>
      <c r="M80" s="1026"/>
      <c r="N80" s="1065" t="s">
        <v>659</v>
      </c>
      <c r="O80" s="1065"/>
      <c r="P80" s="1066"/>
      <c r="Q80" s="316">
        <f>COUNTIFS(input!$O:$O,July!$Q$70,input!$G:$G,July!N80,input!$A:$A,July!$B$2)</f>
        <v>0</v>
      </c>
      <c r="R80" s="316">
        <f>COUNTIFS(input!$O:$O,July!$R$70,input!$G:$G,July!N80,input!$A:$A,July!$B$2)</f>
        <v>0</v>
      </c>
      <c r="S80" s="316">
        <f>COUNTIFS(input!$O:$O,July!$S$70,input!$G:$G,July!N80,input!$A:$A,July!$B$2)</f>
        <v>0</v>
      </c>
      <c r="T80" s="321">
        <f>COUNTIFS(input!$O:$O,July!$T$70,input!$G:$G,July!N80,input!$A:$A,July!$B$2)</f>
        <v>0</v>
      </c>
      <c r="U80" s="322">
        <f>COUNTIFS(input!$O:$O,July!$U$70,input!$G:$G,July!N80,input!$A:$A,July!$B$2)</f>
        <v>0</v>
      </c>
      <c r="V80" s="322">
        <f>COUNTIFS(input!$O:$O,July!$V$70,input!$G:$G,July!N80,input!$A:$A,July!$B$2)</f>
        <v>0</v>
      </c>
      <c r="W80" s="323">
        <f>COUNTIFS(input!$O:$O,July!$W$70,input!$G:$G,July!N80,input!$A:$A,July!$B$2)</f>
        <v>0</v>
      </c>
      <c r="X80" s="324">
        <f>COUNTIFS(input!$O:$O,July!$X$70,input!$G:$G,July!N80,input!$A:$A,July!$B$2)</f>
        <v>0</v>
      </c>
      <c r="Y80" s="312">
        <f t="shared" si="8"/>
        <v>0</v>
      </c>
      <c r="Z80" s="315" cm="1">
        <f t="array" ref="Z80">_xlfn.IFS(Y80=0,0,Y80&gt;=1,Y80/$Y$123)</f>
        <v>0</v>
      </c>
    </row>
    <row r="81" spans="2:26" ht="92" customHeight="1" x14ac:dyDescent="0.25">
      <c r="B81" s="1030"/>
      <c r="C81" s="1047"/>
      <c r="D81" s="1038"/>
      <c r="E81" s="1038"/>
      <c r="F81" s="1038"/>
      <c r="G81" s="1044"/>
      <c r="H81" s="1044"/>
      <c r="I81" s="1056"/>
      <c r="J81" s="1044"/>
      <c r="K81" s="1044"/>
      <c r="L81" s="1023"/>
      <c r="M81" s="1026"/>
      <c r="N81" s="990" t="s">
        <v>52</v>
      </c>
      <c r="O81" s="1016"/>
      <c r="P81" s="991"/>
      <c r="Q81" s="316">
        <f>COUNTIFS(input!$O:$O,July!$Q$70,input!$G:$G,July!N81,input!$A:$A,July!$B$2)</f>
        <v>0</v>
      </c>
      <c r="R81" s="316">
        <f>COUNTIFS(input!$O:$O,July!$R$70,input!$G:$G,July!N81,input!$A:$A,July!$B$2)</f>
        <v>0</v>
      </c>
      <c r="S81" s="316">
        <f>COUNTIFS(input!$O:$O,July!$S$70,input!$G:$G,July!N81,input!$A:$A,July!$B$2)</f>
        <v>0</v>
      </c>
      <c r="T81" s="321">
        <f>COUNTIFS(input!$O:$O,July!$T$70,input!$G:$G,July!N81,input!$A:$A,July!$B$2)</f>
        <v>3</v>
      </c>
      <c r="U81" s="322">
        <f>COUNTIFS(input!$O:$O,July!$U$70,input!$G:$G,July!N81,input!$A:$A,July!$B$2)</f>
        <v>0</v>
      </c>
      <c r="V81" s="322">
        <f>COUNTIFS(input!$O:$O,July!$V$70,input!$G:$G,July!N81,input!$A:$A,July!$B$2)</f>
        <v>0</v>
      </c>
      <c r="W81" s="323">
        <f>COUNTIFS(input!$O:$O,July!$W$70,input!$G:$G,July!N81,input!$A:$A,July!$B$2)</f>
        <v>0</v>
      </c>
      <c r="X81" s="324">
        <f>COUNTIFS(input!$O:$O,July!$X$70,input!$G:$G,July!N81,input!$A:$A,July!$B$2)</f>
        <v>0</v>
      </c>
      <c r="Y81" s="312">
        <f t="shared" si="8"/>
        <v>3</v>
      </c>
      <c r="Z81" s="315" cm="1">
        <f t="array" ref="Z81">_xlfn.IFS(Y81=0,0,Y81&gt;=1,Y81/$Y$123)</f>
        <v>0.1875</v>
      </c>
    </row>
    <row r="82" spans="2:26" ht="92" hidden="1" customHeight="1" x14ac:dyDescent="0.25">
      <c r="B82" s="1030"/>
      <c r="C82" s="1047"/>
      <c r="D82" s="1038"/>
      <c r="E82" s="1038"/>
      <c r="F82" s="1038"/>
      <c r="G82" s="1044"/>
      <c r="H82" s="1044"/>
      <c r="I82" s="1056"/>
      <c r="J82" s="1044"/>
      <c r="K82" s="1044"/>
      <c r="L82" s="1023"/>
      <c r="M82" s="1026"/>
      <c r="N82" s="1065" t="s">
        <v>103</v>
      </c>
      <c r="O82" s="1065"/>
      <c r="P82" s="1066"/>
      <c r="Q82" s="316">
        <f>COUNTIFS(input!$O:$O,July!$Q$70,input!$G:$G,July!N82,input!$A:$A,July!$B$2)</f>
        <v>0</v>
      </c>
      <c r="R82" s="316">
        <f>COUNTIFS(input!$O:$O,July!$R$70,input!$G:$G,July!N82,input!$A:$A,July!$B$2)</f>
        <v>0</v>
      </c>
      <c r="S82" s="316">
        <f>COUNTIFS(input!$O:$O,July!$S$70,input!$G:$G,July!N82,input!$A:$A,July!$B$2)</f>
        <v>0</v>
      </c>
      <c r="T82" s="321">
        <f>COUNTIFS(input!$O:$O,July!$T$70,input!$G:$G,July!N82,input!$A:$A,July!$B$2)</f>
        <v>0</v>
      </c>
      <c r="U82" s="322">
        <f>COUNTIFS(input!$O:$O,July!$U$70,input!$G:$G,July!N82,input!$A:$A,July!$B$2)</f>
        <v>0</v>
      </c>
      <c r="V82" s="322">
        <f>COUNTIFS(input!$O:$O,July!$V$70,input!$G:$G,July!N82,input!$A:$A,July!$B$2)</f>
        <v>0</v>
      </c>
      <c r="W82" s="323">
        <f>COUNTIFS(input!$O:$O,July!$W$70,input!$G:$G,July!N82,input!$A:$A,July!$B$2)</f>
        <v>0</v>
      </c>
      <c r="X82" s="324">
        <f>COUNTIFS(input!$O:$O,July!$X$70,input!$G:$G,July!N82,input!$A:$A,July!$B$2)</f>
        <v>0</v>
      </c>
      <c r="Y82" s="312">
        <f t="shared" si="8"/>
        <v>0</v>
      </c>
      <c r="Z82" s="315" cm="1">
        <f t="array" ref="Z82">_xlfn.IFS(Y82=0,0,Y82&gt;=1,Y82/$Y$123)</f>
        <v>0</v>
      </c>
    </row>
    <row r="83" spans="2:26" ht="92" hidden="1" customHeight="1" x14ac:dyDescent="0.25">
      <c r="B83" s="1109"/>
      <c r="C83" s="1113"/>
      <c r="D83" s="1114"/>
      <c r="E83" s="1114"/>
      <c r="F83" s="1114"/>
      <c r="G83" s="1054"/>
      <c r="H83" s="1054"/>
      <c r="I83" s="1057"/>
      <c r="J83" s="1054"/>
      <c r="K83" s="1054"/>
      <c r="L83" s="1024"/>
      <c r="M83" s="1027"/>
      <c r="N83" s="1065" t="s">
        <v>483</v>
      </c>
      <c r="O83" s="1065"/>
      <c r="P83" s="1066"/>
      <c r="Q83" s="316">
        <f>COUNTIFS(input!$O:$O,July!$Q$70,input!$G:$G,July!N83,input!$A:$A,July!$B$2)</f>
        <v>0</v>
      </c>
      <c r="R83" s="316">
        <f>COUNTIFS(input!$O:$O,July!$R$70,input!$G:$G,July!N83,input!$A:$A,July!$B$2)</f>
        <v>0</v>
      </c>
      <c r="S83" s="316">
        <f>COUNTIFS(input!$O:$O,July!$S$70,input!$G:$G,July!N83,input!$A:$A,July!$B$2)</f>
        <v>0</v>
      </c>
      <c r="T83" s="321">
        <f>COUNTIFS(input!$O:$O,July!$T$70,input!$G:$G,July!N83,input!$A:$A,July!$B$2)</f>
        <v>0</v>
      </c>
      <c r="U83" s="322">
        <f>COUNTIFS(input!$O:$O,July!$U$70,input!$G:$G,July!N83,input!$A:$A,July!$B$2)</f>
        <v>0</v>
      </c>
      <c r="V83" s="322">
        <f>COUNTIFS(input!$O:$O,July!$V$70,input!$G:$G,July!N83,input!$A:$A,July!$B$2)</f>
        <v>0</v>
      </c>
      <c r="W83" s="323">
        <f>COUNTIFS(input!$O:$O,July!$W$70,input!$G:$G,July!N83,input!$A:$A,July!$B$2)</f>
        <v>0</v>
      </c>
      <c r="X83" s="324">
        <f>COUNTIFS(input!$O:$O,July!$X$70,input!$G:$G,July!N83,input!$A:$A,July!$B$2)</f>
        <v>0</v>
      </c>
      <c r="Y83" s="312">
        <f t="shared" si="8"/>
        <v>0</v>
      </c>
      <c r="Z83" s="315" cm="1">
        <f t="array" ref="Z83">_xlfn.IFS(Y83=0,0,Y83&gt;=1,Y83/$Y$123)</f>
        <v>0</v>
      </c>
    </row>
    <row r="84" spans="2:26" ht="92" hidden="1" customHeight="1" x14ac:dyDescent="0.25">
      <c r="B84" s="1028" t="s">
        <v>14</v>
      </c>
      <c r="C84" s="1029"/>
      <c r="D84" s="1037">
        <f>COUNTIFS(input!$O:$O,July!$D$70,input!$K:$K,July!B84,input!$A:$A,July!$B$2)</f>
        <v>0</v>
      </c>
      <c r="E84" s="1037">
        <f>COUNTIFS(input!$O:$O,July!$E$70,input!$K:$K,July!B84,input!$A:$A,July!$B$2)</f>
        <v>0</v>
      </c>
      <c r="F84" s="1037">
        <f>COUNTIFS(input!$O:$O,July!$F$70,input!$K:$K,July!B84,input!$A:$A,July!$B$2)</f>
        <v>0</v>
      </c>
      <c r="G84" s="1043">
        <f>COUNTIFS(input!$O:$O,July!$G$70,input!$K:$K,July!B84,input!$A:$A,July!$B$2)</f>
        <v>4</v>
      </c>
      <c r="H84" s="1043">
        <f>COUNTIFS(input!$O:$O,July!$H$70,input!$K:$K,July!B84,input!$A:$A,July!$B$2)</f>
        <v>0</v>
      </c>
      <c r="I84" s="1055">
        <f>COUNTIFS(input!$O:$O,July!$I$70,input!$K:$K,July!B84,input!$A:$A,July!$B$2)</f>
        <v>1</v>
      </c>
      <c r="J84" s="1043">
        <f>COUNTIFS(input!$O:$O,July!$J$70,input!$K:$K,July!B84,input!$A:$A,July!$B$2)</f>
        <v>2</v>
      </c>
      <c r="K84" s="1043">
        <f>COUNTIFS(input!$O:$O,July!$K$70,input!$K:$K,July!B84,input!$A:$A,July!$B$2)</f>
        <v>0</v>
      </c>
      <c r="L84" s="1022">
        <f>SUM(D84:K100)</f>
        <v>7</v>
      </c>
      <c r="M84" s="1025">
        <f>_xlfn.IFS(L84=0,0,L84&gt;=1,L84/L123)</f>
        <v>0.4375</v>
      </c>
      <c r="N84" s="1065" t="s">
        <v>1421</v>
      </c>
      <c r="O84" s="1065"/>
      <c r="P84" s="1066"/>
      <c r="Q84" s="316">
        <f>COUNTIFS(input!$O:$O,July!$Q$70,input!$G:$G,July!N84,input!$A:$A,July!$B$2)</f>
        <v>0</v>
      </c>
      <c r="R84" s="316">
        <f>COUNTIFS(input!$O:$O,July!$R$70,input!$G:$G,July!N84,input!$A:$A,July!$B$2)</f>
        <v>0</v>
      </c>
      <c r="S84" s="316">
        <f>COUNTIFS(input!$O:$O,July!$S$70,input!$G:$G,July!N84,input!$A:$A,July!$B$2)</f>
        <v>0</v>
      </c>
      <c r="T84" s="321">
        <f>COUNTIFS(input!$O:$O,July!$T$70,input!$G:$G,July!N84,input!$A:$A,July!$B$2)</f>
        <v>0</v>
      </c>
      <c r="U84" s="322">
        <f>COUNTIFS(input!$O:$O,July!$U$70,input!$G:$G,July!N84,input!$A:$A,July!$B$2)</f>
        <v>0</v>
      </c>
      <c r="V84" s="322">
        <f>COUNTIFS(input!$O:$O,July!$V$70,input!$G:$G,July!N84,input!$A:$A,July!$B$2)</f>
        <v>0</v>
      </c>
      <c r="W84" s="323">
        <f>COUNTIFS(input!$O:$O,July!$W$70,input!$G:$G,July!N84,input!$A:$A,July!$B$2)</f>
        <v>0</v>
      </c>
      <c r="X84" s="324">
        <f>COUNTIFS(input!$O:$O,July!$X$70,input!$G:$G,July!N84,input!$A:$A,July!$B$2)</f>
        <v>0</v>
      </c>
      <c r="Y84" s="312">
        <f t="shared" si="8"/>
        <v>0</v>
      </c>
      <c r="Z84" s="315" cm="1">
        <f t="array" ref="Z84">_xlfn.IFS(Y84=0,0,Y84&gt;=1,Y84/$Y$123)</f>
        <v>0</v>
      </c>
    </row>
    <row r="85" spans="2:26" ht="92" hidden="1" customHeight="1" x14ac:dyDescent="0.25">
      <c r="B85" s="1030"/>
      <c r="C85" s="1031"/>
      <c r="D85" s="1038"/>
      <c r="E85" s="1038"/>
      <c r="F85" s="1038"/>
      <c r="G85" s="1044"/>
      <c r="H85" s="1044"/>
      <c r="I85" s="1056"/>
      <c r="J85" s="1044"/>
      <c r="K85" s="1044"/>
      <c r="L85" s="1023"/>
      <c r="M85" s="1026"/>
      <c r="N85" s="1065" t="s">
        <v>678</v>
      </c>
      <c r="O85" s="1065"/>
      <c r="P85" s="1066"/>
      <c r="Q85" s="316">
        <f>COUNTIFS(input!$O:$O,July!$Q$70,input!$G:$G,July!N85,input!$A:$A,July!$B$2)</f>
        <v>0</v>
      </c>
      <c r="R85" s="316">
        <f>COUNTIFS(input!$O:$O,July!$R$70,input!$G:$G,July!N85,input!$A:$A,July!$B$2)</f>
        <v>0</v>
      </c>
      <c r="S85" s="316">
        <f>COUNTIFS(input!$O:$O,July!$S$70,input!$G:$G,July!N85,input!$A:$A,July!$B$2)</f>
        <v>0</v>
      </c>
      <c r="T85" s="321">
        <f>COUNTIFS(input!$O:$O,July!$T$70,input!$G:$G,July!N85,input!$A:$A,July!$B$2)</f>
        <v>0</v>
      </c>
      <c r="U85" s="322">
        <f>COUNTIFS(input!$O:$O,July!$U$70,input!$G:$G,July!N85,input!$A:$A,July!$B$2)</f>
        <v>0</v>
      </c>
      <c r="V85" s="322">
        <f>COUNTIFS(input!$O:$O,July!$V$70,input!$G:$G,July!N85,input!$A:$A,July!$B$2)</f>
        <v>0</v>
      </c>
      <c r="W85" s="323">
        <f>COUNTIFS(input!$O:$O,July!$W$70,input!$G:$G,July!N85,input!$A:$A,July!$B$2)</f>
        <v>0</v>
      </c>
      <c r="X85" s="324">
        <f>COUNTIFS(input!$O:$O,July!$X$70,input!$G:$G,July!N85,input!$A:$A,July!$B$2)</f>
        <v>0</v>
      </c>
      <c r="Y85" s="312">
        <f t="shared" si="8"/>
        <v>0</v>
      </c>
      <c r="Z85" s="315" cm="1">
        <f t="array" ref="Z85">_xlfn.IFS(Y85=0,0,Y85&gt;=1,Y85/$Y$123)</f>
        <v>0</v>
      </c>
    </row>
    <row r="86" spans="2:26" ht="92" hidden="1" customHeight="1" x14ac:dyDescent="0.25">
      <c r="B86" s="1030"/>
      <c r="C86" s="1031"/>
      <c r="D86" s="1038"/>
      <c r="E86" s="1038"/>
      <c r="F86" s="1038"/>
      <c r="G86" s="1044"/>
      <c r="H86" s="1044"/>
      <c r="I86" s="1056"/>
      <c r="J86" s="1044"/>
      <c r="K86" s="1044"/>
      <c r="L86" s="1023"/>
      <c r="M86" s="1026"/>
      <c r="N86" s="1065" t="s">
        <v>694</v>
      </c>
      <c r="O86" s="1065"/>
      <c r="P86" s="1066"/>
      <c r="Q86" s="316">
        <f>COUNTIFS(input!$O:$O,July!$Q$70,input!$G:$G,July!N86,input!$A:$A,July!$B$2)</f>
        <v>0</v>
      </c>
      <c r="R86" s="316">
        <f>COUNTIFS(input!$O:$O,July!$R$70,input!$G:$G,July!N86,input!$A:$A,July!$B$2)</f>
        <v>0</v>
      </c>
      <c r="S86" s="316">
        <f>COUNTIFS(input!$O:$O,July!$S$70,input!$G:$G,July!N86,input!$A:$A,July!$B$2)</f>
        <v>0</v>
      </c>
      <c r="T86" s="321">
        <f>COUNTIFS(input!$O:$O,July!$T$70,input!$G:$G,July!N86,input!$A:$A,July!$B$2)</f>
        <v>0</v>
      </c>
      <c r="U86" s="322">
        <f>COUNTIFS(input!$O:$O,July!$U$70,input!$G:$G,July!N86,input!$A:$A,July!$B$2)</f>
        <v>0</v>
      </c>
      <c r="V86" s="322">
        <f>COUNTIFS(input!$O:$O,July!$V$70,input!$G:$G,July!N86,input!$A:$A,July!$B$2)</f>
        <v>0</v>
      </c>
      <c r="W86" s="323">
        <f>COUNTIFS(input!$O:$O,July!$W$70,input!$G:$G,July!N86,input!$A:$A,July!$B$2)</f>
        <v>0</v>
      </c>
      <c r="X86" s="324">
        <f>COUNTIFS(input!$O:$O,July!$X$70,input!$G:$G,July!N86,input!$A:$A,July!$B$2)</f>
        <v>0</v>
      </c>
      <c r="Y86" s="312">
        <f t="shared" si="8"/>
        <v>0</v>
      </c>
      <c r="Z86" s="315" cm="1">
        <f t="array" ref="Z86">_xlfn.IFS(Y86=0,0,Y86&gt;=1,Y86/$Y$123)</f>
        <v>0</v>
      </c>
    </row>
    <row r="87" spans="2:26" ht="92" customHeight="1" x14ac:dyDescent="0.25">
      <c r="B87" s="1030"/>
      <c r="C87" s="1031"/>
      <c r="D87" s="1038"/>
      <c r="E87" s="1038"/>
      <c r="F87" s="1038"/>
      <c r="G87" s="1044"/>
      <c r="H87" s="1044"/>
      <c r="I87" s="1056"/>
      <c r="J87" s="1044"/>
      <c r="K87" s="1044"/>
      <c r="L87" s="1023"/>
      <c r="M87" s="1026"/>
      <c r="N87" s="1016" t="s">
        <v>2115</v>
      </c>
      <c r="O87" s="1016"/>
      <c r="P87" s="991"/>
      <c r="Q87" s="316">
        <f>COUNTIFS(input!$O:$O,July!$Q$70,input!$G:$G,July!N87,input!$A:$A,July!$B$2)</f>
        <v>0</v>
      </c>
      <c r="R87" s="316">
        <f>COUNTIFS(input!$O:$O,July!$R$70,input!$G:$G,July!N87,input!$A:$A,July!$B$2)</f>
        <v>0</v>
      </c>
      <c r="S87" s="316">
        <f>COUNTIFS(input!$O:$O,July!$S$70,input!$G:$G,July!N87,input!$A:$A,July!$B$2)</f>
        <v>0</v>
      </c>
      <c r="T87" s="321">
        <f>COUNTIFS(input!$O:$O,July!$T$70,input!$G:$G,July!N87,input!$A:$A,July!$B$2)</f>
        <v>0</v>
      </c>
      <c r="U87" s="322">
        <f>COUNTIFS(input!$O:$O,July!$U$70,input!$G:$G,July!N87,input!$A:$A,July!$B$2)</f>
        <v>0</v>
      </c>
      <c r="V87" s="322">
        <f>COUNTIFS(input!$O:$O,July!$V$70,input!$G:$G,July!N87,input!$A:$A,July!$B$2)</f>
        <v>0</v>
      </c>
      <c r="W87" s="323">
        <f>COUNTIFS(input!$O:$O,July!$W$70,input!$G:$G,July!N87,input!$A:$A,July!$B$2)</f>
        <v>1</v>
      </c>
      <c r="X87" s="324">
        <f>COUNTIFS(input!$O:$O,July!$X$70,input!$G:$G,July!N87,input!$A:$A,July!$B$2)</f>
        <v>0</v>
      </c>
      <c r="Y87" s="312">
        <f>SUM(Q87:X87)</f>
        <v>1</v>
      </c>
      <c r="Z87" s="315" cm="1">
        <f t="array" ref="Z87">_xlfn.IFS(Y87=0,0,Y87&gt;=1,Y87/$Y$123)</f>
        <v>6.25E-2</v>
      </c>
    </row>
    <row r="88" spans="2:26" ht="92" hidden="1" customHeight="1" x14ac:dyDescent="0.25">
      <c r="B88" s="1030"/>
      <c r="C88" s="1031"/>
      <c r="D88" s="1038"/>
      <c r="E88" s="1038"/>
      <c r="F88" s="1038"/>
      <c r="G88" s="1044"/>
      <c r="H88" s="1044"/>
      <c r="I88" s="1056"/>
      <c r="J88" s="1044"/>
      <c r="K88" s="1044"/>
      <c r="L88" s="1023"/>
      <c r="M88" s="1026"/>
      <c r="N88" s="1065" t="s">
        <v>116</v>
      </c>
      <c r="O88" s="1065"/>
      <c r="P88" s="1066"/>
      <c r="Q88" s="316">
        <f>COUNTIFS(input!$O:$O,July!$Q$70,input!$G:$G,July!N88,input!$A:$A,July!$B$2)</f>
        <v>0</v>
      </c>
      <c r="R88" s="316">
        <f>COUNTIFS(input!$O:$O,July!$R$70,input!$G:$G,July!N88,input!$A:$A,July!$B$2)</f>
        <v>0</v>
      </c>
      <c r="S88" s="316">
        <f>COUNTIFS(input!$O:$O,July!$S$70,input!$G:$G,July!N88,input!$A:$A,July!$B$2)</f>
        <v>0</v>
      </c>
      <c r="T88" s="321">
        <f>COUNTIFS(input!$O:$O,July!$T$70,input!$G:$G,July!N88,input!$A:$A,July!$B$2)</f>
        <v>0</v>
      </c>
      <c r="U88" s="322">
        <f>COUNTIFS(input!$O:$O,July!$U$70,input!$G:$G,July!N88,input!$A:$A,July!$B$2)</f>
        <v>0</v>
      </c>
      <c r="V88" s="322">
        <f>COUNTIFS(input!$O:$O,July!$V$70,input!$G:$G,July!N88,input!$A:$A,July!$B$2)</f>
        <v>0</v>
      </c>
      <c r="W88" s="323">
        <f>COUNTIFS(input!$O:$O,July!$W$70,input!$G:$G,July!N88,input!$A:$A,July!$B$2)</f>
        <v>0</v>
      </c>
      <c r="X88" s="324">
        <f>COUNTIFS(input!$O:$O,July!$X$70,input!$G:$G,July!N88,input!$A:$A,July!$B$2)</f>
        <v>0</v>
      </c>
      <c r="Y88" s="312">
        <f t="shared" si="8"/>
        <v>0</v>
      </c>
      <c r="Z88" s="315" cm="1">
        <f t="array" ref="Z88">_xlfn.IFS(Y88=0,0,Y88&gt;=1,Y88/$Y$123)</f>
        <v>0</v>
      </c>
    </row>
    <row r="89" spans="2:26" ht="92" hidden="1" customHeight="1" x14ac:dyDescent="0.25">
      <c r="B89" s="1030"/>
      <c r="C89" s="1031"/>
      <c r="D89" s="1038"/>
      <c r="E89" s="1038"/>
      <c r="F89" s="1038"/>
      <c r="G89" s="1044"/>
      <c r="H89" s="1044"/>
      <c r="I89" s="1056"/>
      <c r="J89" s="1044"/>
      <c r="K89" s="1044"/>
      <c r="L89" s="1023"/>
      <c r="M89" s="1026"/>
      <c r="N89" s="1065" t="s">
        <v>1185</v>
      </c>
      <c r="O89" s="1065"/>
      <c r="P89" s="1066"/>
      <c r="Q89" s="316">
        <f>COUNTIFS(input!$O:$O,July!$Q$70,input!$G:$G,July!N89,input!$A:$A,July!$B$2)</f>
        <v>0</v>
      </c>
      <c r="R89" s="316">
        <f>COUNTIFS(input!$O:$O,July!$R$70,input!$G:$G,July!N89,input!$A:$A,July!$B$2)</f>
        <v>0</v>
      </c>
      <c r="S89" s="316">
        <f>COUNTIFS(input!$O:$O,July!$S$70,input!$G:$G,July!N89,input!$A:$A,July!$B$2)</f>
        <v>0</v>
      </c>
      <c r="T89" s="321">
        <f>COUNTIFS(input!$O:$O,July!$T$70,input!$G:$G,July!N89,input!$A:$A,July!$B$2)</f>
        <v>0</v>
      </c>
      <c r="U89" s="322">
        <f>COUNTIFS(input!$O:$O,July!$U$70,input!$G:$G,July!N89,input!$A:$A,July!$B$2)</f>
        <v>0</v>
      </c>
      <c r="V89" s="322">
        <f>COUNTIFS(input!$O:$O,July!$V$70,input!$G:$G,July!N89,input!$A:$A,July!$B$2)</f>
        <v>0</v>
      </c>
      <c r="W89" s="323">
        <f>COUNTIFS(input!$O:$O,July!$W$70,input!$G:$G,July!N89,input!$A:$A,July!$B$2)</f>
        <v>0</v>
      </c>
      <c r="X89" s="324">
        <f>COUNTIFS(input!$O:$O,July!$X$70,input!$G:$G,July!N89,input!$A:$A,July!$B$2)</f>
        <v>0</v>
      </c>
      <c r="Y89" s="312">
        <f t="shared" si="8"/>
        <v>0</v>
      </c>
      <c r="Z89" s="315" cm="1">
        <f t="array" ref="Z89">_xlfn.IFS(Y89=0,0,Y89&gt;=1,Y89/$Y$123)</f>
        <v>0</v>
      </c>
    </row>
    <row r="90" spans="2:26" ht="92" hidden="1" customHeight="1" x14ac:dyDescent="0.25">
      <c r="B90" s="1030"/>
      <c r="C90" s="1031"/>
      <c r="D90" s="1038"/>
      <c r="E90" s="1038"/>
      <c r="F90" s="1038"/>
      <c r="G90" s="1044"/>
      <c r="H90" s="1044"/>
      <c r="I90" s="1056"/>
      <c r="J90" s="1044"/>
      <c r="K90" s="1044"/>
      <c r="L90" s="1023"/>
      <c r="M90" s="1026"/>
      <c r="N90" s="1065" t="s">
        <v>740</v>
      </c>
      <c r="O90" s="1065"/>
      <c r="P90" s="1066"/>
      <c r="Q90" s="316">
        <f>COUNTIFS(input!$O:$O,July!$Q$70,input!$G:$G,July!N90,input!$A:$A,July!$B$2)</f>
        <v>0</v>
      </c>
      <c r="R90" s="316">
        <f>COUNTIFS(input!$O:$O,July!$R$70,input!$G:$G,July!N90,input!$A:$A,July!$B$2)</f>
        <v>0</v>
      </c>
      <c r="S90" s="316">
        <f>COUNTIFS(input!$O:$O,July!$S$70,input!$G:$G,July!N90,input!$A:$A,July!$B$2)</f>
        <v>0</v>
      </c>
      <c r="T90" s="321">
        <f>COUNTIFS(input!$O:$O,July!$T$70,input!$G:$G,July!N90,input!$A:$A,July!$B$2)</f>
        <v>0</v>
      </c>
      <c r="U90" s="322">
        <f>COUNTIFS(input!$O:$O,July!$U$70,input!$G:$G,July!N90,input!$A:$A,July!$B$2)</f>
        <v>0</v>
      </c>
      <c r="V90" s="322">
        <f>COUNTIFS(input!$O:$O,July!$V$70,input!$G:$G,July!N90,input!$A:$A,July!$B$2)</f>
        <v>0</v>
      </c>
      <c r="W90" s="323">
        <f>COUNTIFS(input!$O:$O,July!$W$70,input!$G:$G,July!N90,input!$A:$A,July!$B$2)</f>
        <v>0</v>
      </c>
      <c r="X90" s="324">
        <f>COUNTIFS(input!$O:$O,July!$X$70,input!$G:$G,July!N90,input!$A:$A,July!$B$2)</f>
        <v>0</v>
      </c>
      <c r="Y90" s="312">
        <f t="shared" si="8"/>
        <v>0</v>
      </c>
      <c r="Z90" s="315" cm="1">
        <f t="array" ref="Z90">_xlfn.IFS(Y90=0,0,Y90&gt;=1,Y90/$Y$123)</f>
        <v>0</v>
      </c>
    </row>
    <row r="91" spans="2:26" ht="92" customHeight="1" x14ac:dyDescent="0.25">
      <c r="B91" s="1030"/>
      <c r="C91" s="1031"/>
      <c r="D91" s="1038"/>
      <c r="E91" s="1038"/>
      <c r="F91" s="1038"/>
      <c r="G91" s="1044"/>
      <c r="H91" s="1044"/>
      <c r="I91" s="1056"/>
      <c r="J91" s="1044"/>
      <c r="K91" s="1044"/>
      <c r="L91" s="1023"/>
      <c r="M91" s="1026"/>
      <c r="N91" s="1016" t="s">
        <v>2118</v>
      </c>
      <c r="O91" s="1016"/>
      <c r="P91" s="991"/>
      <c r="Q91" s="316">
        <f>COUNTIFS(input!$O:$O,July!$Q$70,input!$G:$G,July!N91,input!$A:$A,July!$B$2)</f>
        <v>0</v>
      </c>
      <c r="R91" s="316">
        <f>COUNTIFS(input!$O:$O,July!$R$70,input!$G:$G,July!N91,input!$A:$A,July!$B$2)</f>
        <v>0</v>
      </c>
      <c r="S91" s="316">
        <f>COUNTIFS(input!$O:$O,July!$S$70,input!$G:$G,July!N91,input!$A:$A,July!$B$2)</f>
        <v>0</v>
      </c>
      <c r="T91" s="321">
        <f>COUNTIFS(input!$O:$O,July!$T$70,input!$G:$G,July!N91,input!$A:$A,July!$B$2)</f>
        <v>1</v>
      </c>
      <c r="U91" s="322">
        <f>COUNTIFS(input!$O:$O,July!$U$70,input!$G:$G,July!N91,input!$A:$A,July!$B$2)</f>
        <v>0</v>
      </c>
      <c r="V91" s="322">
        <f>COUNTIFS(input!$O:$O,July!$V$70,input!$G:$G,July!N91,input!$A:$A,July!$B$2)</f>
        <v>0</v>
      </c>
      <c r="W91" s="323">
        <f>COUNTIFS(input!$O:$O,July!$W$70,input!$G:$G,July!N91,input!$A:$A,July!$B$2)</f>
        <v>0</v>
      </c>
      <c r="X91" s="324">
        <f>COUNTIFS(input!$O:$O,July!$X$70,input!$G:$G,July!N91,input!$A:$A,July!$B$2)</f>
        <v>0</v>
      </c>
      <c r="Y91" s="312">
        <f t="shared" si="8"/>
        <v>1</v>
      </c>
      <c r="Z91" s="315" cm="1">
        <f t="array" ref="Z91">_xlfn.IFS(Y91=0,0,Y91&gt;=1,Y91/$Y$123)</f>
        <v>6.25E-2</v>
      </c>
    </row>
    <row r="92" spans="2:26" ht="92" customHeight="1" x14ac:dyDescent="0.25">
      <c r="B92" s="1030"/>
      <c r="C92" s="1031"/>
      <c r="D92" s="1038"/>
      <c r="E92" s="1038"/>
      <c r="F92" s="1038"/>
      <c r="G92" s="1044"/>
      <c r="H92" s="1044"/>
      <c r="I92" s="1056"/>
      <c r="J92" s="1044"/>
      <c r="K92" s="1044"/>
      <c r="L92" s="1023"/>
      <c r="M92" s="1026"/>
      <c r="N92" s="1016" t="s">
        <v>89</v>
      </c>
      <c r="O92" s="1016"/>
      <c r="P92" s="991"/>
      <c r="Q92" s="316">
        <f>COUNTIFS(input!$O:$O,July!$Q$70,input!$G:$G,July!N92,input!$A:$A,July!$B$2)</f>
        <v>0</v>
      </c>
      <c r="R92" s="316">
        <f>COUNTIFS(input!$O:$O,July!$R$70,input!$G:$G,July!N92,input!$A:$A,July!$B$2)</f>
        <v>0</v>
      </c>
      <c r="S92" s="316">
        <f>COUNTIFS(input!$O:$O,July!$S$70,input!$G:$G,July!N92,input!$A:$A,July!$B$2)</f>
        <v>0</v>
      </c>
      <c r="T92" s="321">
        <f>COUNTIFS(input!$O:$O,July!$T$70,input!$G:$G,July!N92,input!$A:$A,July!$B$2)</f>
        <v>0</v>
      </c>
      <c r="U92" s="322">
        <f>COUNTIFS(input!$O:$O,July!$U$70,input!$G:$G,July!N92,input!$A:$A,July!$B$2)</f>
        <v>0</v>
      </c>
      <c r="V92" s="322">
        <f>COUNTIFS(input!$O:$O,July!$V$70,input!$G:$G,July!N92,input!$A:$A,July!$B$2)</f>
        <v>1</v>
      </c>
      <c r="W92" s="323">
        <f>COUNTIFS(input!$O:$O,July!$W$70,input!$G:$G,July!N92,input!$A:$A,July!$B$2)</f>
        <v>0</v>
      </c>
      <c r="X92" s="324">
        <f>COUNTIFS(input!$O:$O,July!$X$70,input!$G:$G,July!N92,input!$A:$A,July!$B$2)</f>
        <v>0</v>
      </c>
      <c r="Y92" s="312">
        <f>SUM(Q92:X92)</f>
        <v>1</v>
      </c>
      <c r="Z92" s="315" cm="1">
        <f t="array" ref="Z92">_xlfn.IFS(Y92=0,0,Y92&gt;=1,Y92/$Y$123)</f>
        <v>6.25E-2</v>
      </c>
    </row>
    <row r="93" spans="2:26" ht="92" hidden="1" customHeight="1" x14ac:dyDescent="0.25">
      <c r="B93" s="1030"/>
      <c r="C93" s="1031"/>
      <c r="D93" s="1038"/>
      <c r="E93" s="1038"/>
      <c r="F93" s="1038"/>
      <c r="G93" s="1044"/>
      <c r="H93" s="1044"/>
      <c r="I93" s="1056"/>
      <c r="J93" s="1044"/>
      <c r="K93" s="1044"/>
      <c r="L93" s="1023"/>
      <c r="M93" s="1026"/>
      <c r="N93" s="1065" t="s">
        <v>108</v>
      </c>
      <c r="O93" s="1065"/>
      <c r="P93" s="1066"/>
      <c r="Q93" s="316">
        <f>COUNTIFS(input!$O:$O,July!$Q$70,input!$G:$G,July!N93,input!$A:$A,July!$B$2)</f>
        <v>0</v>
      </c>
      <c r="R93" s="316">
        <f>COUNTIFS(input!$O:$O,July!$R$70,input!$G:$G,July!N93,input!$A:$A,July!$B$2)</f>
        <v>0</v>
      </c>
      <c r="S93" s="316">
        <f>COUNTIFS(input!$O:$O,July!$S$70,input!$G:$G,July!N93,input!$A:$A,July!$B$2)</f>
        <v>0</v>
      </c>
      <c r="T93" s="321">
        <f>COUNTIFS(input!$O:$O,July!$T$70,input!$G:$G,July!N93,input!$A:$A,July!$B$2)</f>
        <v>0</v>
      </c>
      <c r="U93" s="322">
        <f>COUNTIFS(input!$O:$O,July!$U$70,input!$G:$G,July!N93,input!$A:$A,July!$B$2)</f>
        <v>0</v>
      </c>
      <c r="V93" s="322">
        <f>COUNTIFS(input!$O:$O,July!$V$70,input!$G:$G,July!N93,input!$A:$A,July!$B$2)</f>
        <v>0</v>
      </c>
      <c r="W93" s="323">
        <f>COUNTIFS(input!$O:$O,July!$W$70,input!$G:$G,July!N93,input!$A:$A,July!$B$2)</f>
        <v>0</v>
      </c>
      <c r="X93" s="324">
        <f>COUNTIFS(input!$O:$O,July!$X$70,input!$G:$G,July!N93,input!$A:$A,July!$B$2)</f>
        <v>0</v>
      </c>
      <c r="Y93" s="312">
        <f t="shared" si="8"/>
        <v>0</v>
      </c>
      <c r="Z93" s="315" cm="1">
        <f t="array" ref="Z93">_xlfn.IFS(Y93=0,0,Y93&gt;=1,Y93/$Y$123)</f>
        <v>0</v>
      </c>
    </row>
    <row r="94" spans="2:26" ht="92" hidden="1" customHeight="1" x14ac:dyDescent="0.25">
      <c r="B94" s="1030"/>
      <c r="C94" s="1031"/>
      <c r="D94" s="1038"/>
      <c r="E94" s="1038"/>
      <c r="F94" s="1038"/>
      <c r="G94" s="1044"/>
      <c r="H94" s="1044"/>
      <c r="I94" s="1056"/>
      <c r="J94" s="1044"/>
      <c r="K94" s="1044"/>
      <c r="L94" s="1023"/>
      <c r="M94" s="1026"/>
      <c r="N94" s="1065" t="s">
        <v>398</v>
      </c>
      <c r="O94" s="1065"/>
      <c r="P94" s="1066"/>
      <c r="Q94" s="316">
        <f>COUNTIFS(input!$O:$O,July!$Q$70,input!$G:$G,July!N94,input!$A:$A,July!$B$2)</f>
        <v>0</v>
      </c>
      <c r="R94" s="316">
        <f>COUNTIFS(input!$O:$O,July!$R$70,input!$G:$G,July!N94,input!$A:$A,July!$B$2)</f>
        <v>0</v>
      </c>
      <c r="S94" s="316">
        <f>COUNTIFS(input!$O:$O,July!$S$70,input!$G:$G,July!N94,input!$A:$A,July!$B$2)</f>
        <v>0</v>
      </c>
      <c r="T94" s="321">
        <f>COUNTIFS(input!$O:$O,July!$T$70,input!$G:$G,July!N94,input!$A:$A,July!$B$2)</f>
        <v>0</v>
      </c>
      <c r="U94" s="322">
        <f>COUNTIFS(input!$O:$O,July!$U$70,input!$G:$G,July!N94,input!$A:$A,July!$B$2)</f>
        <v>0</v>
      </c>
      <c r="V94" s="322">
        <f>COUNTIFS(input!$O:$O,July!$V$70,input!$G:$G,July!N94,input!$A:$A,July!$B$2)</f>
        <v>0</v>
      </c>
      <c r="W94" s="323">
        <f>COUNTIFS(input!$O:$O,July!$W$70,input!$G:$G,July!N94,input!$A:$A,July!$B$2)</f>
        <v>0</v>
      </c>
      <c r="X94" s="324">
        <f>COUNTIFS(input!$O:$O,July!$X$70,input!$G:$G,July!N94,input!$A:$A,July!$B$2)</f>
        <v>0</v>
      </c>
      <c r="Y94" s="312">
        <f t="shared" si="8"/>
        <v>0</v>
      </c>
      <c r="Z94" s="315" cm="1">
        <f t="array" ref="Z94">_xlfn.IFS(Y94=0,0,Y94&gt;=1,Y94/$Y$123)</f>
        <v>0</v>
      </c>
    </row>
    <row r="95" spans="2:26" ht="92" customHeight="1" x14ac:dyDescent="0.25">
      <c r="B95" s="1030"/>
      <c r="C95" s="1031"/>
      <c r="D95" s="1038"/>
      <c r="E95" s="1038"/>
      <c r="F95" s="1038"/>
      <c r="G95" s="1044"/>
      <c r="H95" s="1044"/>
      <c r="I95" s="1056"/>
      <c r="J95" s="1044"/>
      <c r="K95" s="1044"/>
      <c r="L95" s="1023"/>
      <c r="M95" s="1026"/>
      <c r="N95" s="1016" t="s">
        <v>83</v>
      </c>
      <c r="O95" s="1016"/>
      <c r="P95" s="991"/>
      <c r="Q95" s="316">
        <f>COUNTIFS(input!$O:$O,July!$Q$70,input!$G:$G,July!N95,input!$A:$A,July!$B$2)</f>
        <v>0</v>
      </c>
      <c r="R95" s="316">
        <f>COUNTIFS(input!$O:$O,July!$R$70,input!$G:$G,July!N95,input!$A:$A,July!$B$2)</f>
        <v>0</v>
      </c>
      <c r="S95" s="316">
        <f>COUNTIFS(input!$O:$O,July!$S$70,input!$G:$G,July!N95,input!$A:$A,July!$B$2)</f>
        <v>0</v>
      </c>
      <c r="T95" s="321">
        <f>COUNTIFS(input!$O:$O,July!$T$70,input!$G:$G,July!N95,input!$A:$A,July!$B$2)</f>
        <v>2</v>
      </c>
      <c r="U95" s="322">
        <f>COUNTIFS(input!$O:$O,July!$U$70,input!$G:$G,July!N95,input!$A:$A,July!$B$2)</f>
        <v>0</v>
      </c>
      <c r="V95" s="322">
        <f>COUNTIFS(input!$O:$O,July!$V$70,input!$G:$G,July!N95,input!$A:$A,July!$B$2)</f>
        <v>1</v>
      </c>
      <c r="W95" s="323">
        <f>COUNTIFS(input!$O:$O,July!$W$70,input!$G:$G,July!N95,input!$A:$A,July!$B$2)</f>
        <v>1</v>
      </c>
      <c r="X95" s="324">
        <f>COUNTIFS(input!$O:$O,July!$X$70,input!$G:$G,July!N95,input!$A:$A,July!$B$2)</f>
        <v>0</v>
      </c>
      <c r="Y95" s="312">
        <f t="shared" si="8"/>
        <v>4</v>
      </c>
      <c r="Z95" s="315" cm="1">
        <f t="array" ref="Z95">_xlfn.IFS(Y95=0,0,Y95&gt;=1,Y95/$Y$123)</f>
        <v>0.25</v>
      </c>
    </row>
    <row r="96" spans="2:26" ht="92" hidden="1" customHeight="1" x14ac:dyDescent="0.25">
      <c r="B96" s="1030"/>
      <c r="C96" s="1031"/>
      <c r="D96" s="1038"/>
      <c r="E96" s="1038"/>
      <c r="F96" s="1038"/>
      <c r="G96" s="1044"/>
      <c r="H96" s="1044"/>
      <c r="I96" s="1056"/>
      <c r="J96" s="1044"/>
      <c r="K96" s="1044"/>
      <c r="L96" s="1023"/>
      <c r="M96" s="1026"/>
      <c r="N96" s="1065" t="s">
        <v>1438</v>
      </c>
      <c r="O96" s="1065"/>
      <c r="P96" s="1066"/>
      <c r="Q96" s="316">
        <f>COUNTIFS(input!$O:$O,July!$Q$70,input!$G:$G,July!N96,input!$A:$A,July!$B$2)</f>
        <v>0</v>
      </c>
      <c r="R96" s="316">
        <f>COUNTIFS(input!$O:$O,July!$R$70,input!$G:$G,July!N96,input!$A:$A,July!$B$2)</f>
        <v>0</v>
      </c>
      <c r="S96" s="316">
        <f>COUNTIFS(input!$O:$O,July!$S$70,input!$G:$G,July!N96,input!$A:$A,July!$B$2)</f>
        <v>0</v>
      </c>
      <c r="T96" s="321">
        <f>COUNTIFS(input!$O:$O,July!$T$70,input!$G:$G,July!N96,input!$A:$A,July!$B$2)</f>
        <v>0</v>
      </c>
      <c r="U96" s="322">
        <f>COUNTIFS(input!$O:$O,July!$U$70,input!$G:$G,July!N96,input!$A:$A,July!$B$2)</f>
        <v>0</v>
      </c>
      <c r="V96" s="322">
        <f>COUNTIFS(input!$O:$O,July!$V$70,input!$G:$G,July!N96,input!$A:$A,July!$B$2)</f>
        <v>0</v>
      </c>
      <c r="W96" s="323">
        <f>COUNTIFS(input!$O:$O,July!$W$70,input!$G:$G,July!N96,input!$A:$A,July!$B$2)</f>
        <v>0</v>
      </c>
      <c r="X96" s="324">
        <f>COUNTIFS(input!$O:$O,July!$X$70,input!$G:$G,July!N96,input!$A:$A,July!$B$2)</f>
        <v>0</v>
      </c>
      <c r="Y96" s="312">
        <f t="shared" si="8"/>
        <v>0</v>
      </c>
      <c r="Z96" s="315" cm="1">
        <f t="array" ref="Z96">_xlfn.IFS(Y96=0,0,Y96&gt;=1,Y96/$Y$123)</f>
        <v>0</v>
      </c>
    </row>
    <row r="97" spans="2:26" ht="92" hidden="1" customHeight="1" x14ac:dyDescent="0.25">
      <c r="B97" s="1030"/>
      <c r="C97" s="1031"/>
      <c r="D97" s="1038"/>
      <c r="E97" s="1038"/>
      <c r="F97" s="1038"/>
      <c r="G97" s="1044"/>
      <c r="H97" s="1044"/>
      <c r="I97" s="1056"/>
      <c r="J97" s="1044"/>
      <c r="K97" s="1044"/>
      <c r="L97" s="1023"/>
      <c r="M97" s="1026"/>
      <c r="N97" s="1065" t="s">
        <v>876</v>
      </c>
      <c r="O97" s="1065"/>
      <c r="P97" s="1066"/>
      <c r="Q97" s="316">
        <f>COUNTIFS(input!$O:$O,July!$Q$70,input!$G:$G,July!N97,input!$A:$A,July!$B$2)</f>
        <v>0</v>
      </c>
      <c r="R97" s="316">
        <f>COUNTIFS(input!$O:$O,July!$R$70,input!$G:$G,July!N97,input!$A:$A,July!$B$2)</f>
        <v>0</v>
      </c>
      <c r="S97" s="316">
        <f>COUNTIFS(input!$O:$O,July!$S$70,input!$G:$G,July!N97,input!$A:$A,July!$B$2)</f>
        <v>0</v>
      </c>
      <c r="T97" s="321">
        <f>COUNTIFS(input!$O:$O,July!$T$70,input!$G:$G,July!N97,input!$A:$A,July!$B$2)</f>
        <v>0</v>
      </c>
      <c r="U97" s="322">
        <f>COUNTIFS(input!$O:$O,July!$U$70,input!$G:$G,July!N97,input!$A:$A,July!$B$2)</f>
        <v>0</v>
      </c>
      <c r="V97" s="322">
        <f>COUNTIFS(input!$O:$O,July!$V$70,input!$G:$G,July!N97,input!$A:$A,July!$B$2)</f>
        <v>0</v>
      </c>
      <c r="W97" s="323">
        <f>COUNTIFS(input!$O:$O,July!$W$70,input!$G:$G,July!N97,input!$A:$A,July!$B$2)</f>
        <v>0</v>
      </c>
      <c r="X97" s="324">
        <f>COUNTIFS(input!$O:$O,July!$X$70,input!$G:$G,July!N97,input!$A:$A,July!$B$2)</f>
        <v>0</v>
      </c>
      <c r="Y97" s="312">
        <f t="shared" si="8"/>
        <v>0</v>
      </c>
      <c r="Z97" s="315" cm="1">
        <f t="array" ref="Z97">_xlfn.IFS(Y97=0,0,Y97&gt;=1,Y97/$Y$123)</f>
        <v>0</v>
      </c>
    </row>
    <row r="98" spans="2:26" ht="92" hidden="1" customHeight="1" x14ac:dyDescent="0.25">
      <c r="B98" s="1030"/>
      <c r="C98" s="1031"/>
      <c r="D98" s="1038"/>
      <c r="E98" s="1038"/>
      <c r="F98" s="1038"/>
      <c r="G98" s="1044"/>
      <c r="H98" s="1044"/>
      <c r="I98" s="1056"/>
      <c r="J98" s="1044"/>
      <c r="K98" s="1044"/>
      <c r="L98" s="1023"/>
      <c r="M98" s="1026"/>
      <c r="N98" s="1065" t="s">
        <v>1492</v>
      </c>
      <c r="O98" s="1065"/>
      <c r="P98" s="1066"/>
      <c r="Q98" s="316">
        <f>COUNTIFS(input!$O:$O,July!$Q$70,input!$G:$G,July!N98,input!$A:$A,July!$B$2)</f>
        <v>0</v>
      </c>
      <c r="R98" s="316">
        <f>COUNTIFS(input!$O:$O,July!$R$70,input!$G:$G,July!N98,input!$A:$A,July!$B$2)</f>
        <v>0</v>
      </c>
      <c r="S98" s="316">
        <f>COUNTIFS(input!$O:$O,July!$S$70,input!$G:$G,July!N98,input!$A:$A,July!$B$2)</f>
        <v>0</v>
      </c>
      <c r="T98" s="321">
        <f>COUNTIFS(input!$O:$O,July!$T$70,input!$G:$G,July!N98,input!$A:$A,July!$B$2)</f>
        <v>0</v>
      </c>
      <c r="U98" s="322">
        <f>COUNTIFS(input!$O:$O,July!$U$70,input!$G:$G,July!N98,input!$A:$A,July!$B$2)</f>
        <v>0</v>
      </c>
      <c r="V98" s="322">
        <f>COUNTIFS(input!$O:$O,July!$V$70,input!$G:$G,July!N98,input!$A:$A,July!$B$2)</f>
        <v>0</v>
      </c>
      <c r="W98" s="323">
        <f>COUNTIFS(input!$O:$O,July!$W$70,input!$G:$G,July!N98,input!$A:$A,July!$B$2)</f>
        <v>0</v>
      </c>
      <c r="X98" s="324">
        <f>COUNTIFS(input!$O:$O,July!$X$70,input!$G:$G,July!N98,input!$A:$A,July!$B$2)</f>
        <v>0</v>
      </c>
      <c r="Y98" s="312">
        <f t="shared" si="8"/>
        <v>0</v>
      </c>
      <c r="Z98" s="315" cm="1">
        <f t="array" ref="Z98">_xlfn.IFS(Y98=0,0,Y98&gt;=1,Y98/$Y$123)</f>
        <v>0</v>
      </c>
    </row>
    <row r="99" spans="2:26" ht="92" hidden="1" customHeight="1" x14ac:dyDescent="0.25">
      <c r="B99" s="1030"/>
      <c r="C99" s="1031"/>
      <c r="D99" s="1038"/>
      <c r="E99" s="1038"/>
      <c r="F99" s="1038"/>
      <c r="G99" s="1044"/>
      <c r="H99" s="1044"/>
      <c r="I99" s="1056"/>
      <c r="J99" s="1044"/>
      <c r="K99" s="1044"/>
      <c r="L99" s="1023"/>
      <c r="M99" s="1026"/>
      <c r="N99" s="1065" t="s">
        <v>1839</v>
      </c>
      <c r="O99" s="1065"/>
      <c r="P99" s="1066"/>
      <c r="Q99" s="316">
        <f>COUNTIFS(input!$O:$O,July!$Q$70,input!$G:$G,July!N99,input!$A:$A,July!$B$2)</f>
        <v>0</v>
      </c>
      <c r="R99" s="316">
        <f>COUNTIFS(input!$O:$O,July!$R$70,input!$G:$G,July!N99,input!$A:$A,July!$B$2)</f>
        <v>0</v>
      </c>
      <c r="S99" s="316">
        <f>COUNTIFS(input!$O:$O,July!$S$70,input!$G:$G,July!N99,input!$A:$A,July!$B$2)</f>
        <v>0</v>
      </c>
      <c r="T99" s="321">
        <f>COUNTIFS(input!$O:$O,July!$T$70,input!$G:$G,July!N99,input!$A:$A,July!$B$2)</f>
        <v>0</v>
      </c>
      <c r="U99" s="322">
        <f>COUNTIFS(input!$O:$O,July!$U$70,input!$G:$G,July!N99,input!$A:$A,July!$B$2)</f>
        <v>0</v>
      </c>
      <c r="V99" s="322">
        <f>COUNTIFS(input!$O:$O,July!$V$70,input!$G:$G,July!N99,input!$A:$A,July!$B$2)</f>
        <v>0</v>
      </c>
      <c r="W99" s="323">
        <f>COUNTIFS(input!$O:$O,July!$W$70,input!$G:$G,July!N99,input!$A:$A,July!$B$2)</f>
        <v>0</v>
      </c>
      <c r="X99" s="324">
        <f>COUNTIFS(input!$O:$O,July!$X$70,input!$G:$G,July!N99,input!$A:$A,July!$B$2)</f>
        <v>0</v>
      </c>
      <c r="Y99" s="312">
        <f t="shared" si="8"/>
        <v>0</v>
      </c>
      <c r="Z99" s="315" cm="1">
        <f t="array" ref="Z99">_xlfn.IFS(Y99=0,0,Y99&gt;=1,Y99/$Y$123)</f>
        <v>0</v>
      </c>
    </row>
    <row r="100" spans="2:26" ht="92" hidden="1" customHeight="1" x14ac:dyDescent="0.25">
      <c r="B100" s="1030"/>
      <c r="C100" s="1031"/>
      <c r="D100" s="1038"/>
      <c r="E100" s="1038"/>
      <c r="F100" s="1038"/>
      <c r="G100" s="1044"/>
      <c r="H100" s="1044"/>
      <c r="I100" s="1056"/>
      <c r="J100" s="1044"/>
      <c r="K100" s="1044"/>
      <c r="L100" s="1023"/>
      <c r="M100" s="1026"/>
      <c r="N100" s="1065" t="s">
        <v>895</v>
      </c>
      <c r="O100" s="1065"/>
      <c r="P100" s="1066"/>
      <c r="Q100" s="316">
        <f>COUNTIFS(input!$O:$O,July!$Q$70,input!$G:$G,July!N100,input!$A:$A,July!$B$2)</f>
        <v>0</v>
      </c>
      <c r="R100" s="316">
        <f>COUNTIFS(input!$O:$O,July!$R$70,input!$G:$G,July!N100,input!$A:$A,July!$B$2)</f>
        <v>0</v>
      </c>
      <c r="S100" s="316">
        <f>COUNTIFS(input!$O:$O,July!$S$70,input!$G:$G,July!N100,input!$A:$A,July!$B$2)</f>
        <v>0</v>
      </c>
      <c r="T100" s="321">
        <f>COUNTIFS(input!$O:$O,July!$T$70,input!$G:$G,July!N100,input!$A:$A,July!$B$2)</f>
        <v>0</v>
      </c>
      <c r="U100" s="322">
        <f>COUNTIFS(input!$O:$O,July!$U$70,input!$G:$G,July!N100,input!$A:$A,July!$B$2)</f>
        <v>0</v>
      </c>
      <c r="V100" s="322">
        <f>COUNTIFS(input!$O:$O,July!$V$70,input!$G:$G,July!N100,input!$A:$A,July!$B$2)</f>
        <v>0</v>
      </c>
      <c r="W100" s="323">
        <f>COUNTIFS(input!$O:$O,July!$W$70,input!$G:$G,July!N100,input!$A:$A,July!$B$2)</f>
        <v>0</v>
      </c>
      <c r="X100" s="324">
        <f>COUNTIFS(input!$O:$O,July!$X$70,input!$G:$G,July!N100,input!$A:$A,July!$B$2)</f>
        <v>0</v>
      </c>
      <c r="Y100" s="312">
        <f t="shared" si="8"/>
        <v>0</v>
      </c>
      <c r="Z100" s="315" cm="1">
        <f t="array" ref="Z100">_xlfn.IFS(Y100=0,0,Y100&gt;=1,Y100/$Y$123)</f>
        <v>0</v>
      </c>
    </row>
    <row r="101" spans="2:26" ht="92" hidden="1" customHeight="1" x14ac:dyDescent="0.25">
      <c r="B101" s="1030"/>
      <c r="C101" s="1031"/>
      <c r="D101" s="1038"/>
      <c r="E101" s="1038"/>
      <c r="F101" s="1038"/>
      <c r="G101" s="1044"/>
      <c r="H101" s="1044"/>
      <c r="I101" s="1056"/>
      <c r="J101" s="1044"/>
      <c r="K101" s="1044"/>
      <c r="L101" s="1023"/>
      <c r="M101" s="1026"/>
      <c r="N101" s="1065" t="s">
        <v>1767</v>
      </c>
      <c r="O101" s="1065"/>
      <c r="P101" s="1066"/>
      <c r="Q101" s="316">
        <f>COUNTIFS(input!$O:$O,July!$Q$70,input!$G:$G,July!N101,input!$A:$A,July!$B$2)</f>
        <v>0</v>
      </c>
      <c r="R101" s="316">
        <f>COUNTIFS(input!$O:$O,July!$R$70,input!$G:$G,July!N101,input!$A:$A,July!$B$2)</f>
        <v>0</v>
      </c>
      <c r="S101" s="316">
        <f>COUNTIFS(input!$O:$O,July!$S$70,input!$G:$G,July!N101,input!$A:$A,July!$B$2)</f>
        <v>0</v>
      </c>
      <c r="T101" s="321">
        <f>COUNTIFS(input!$O:$O,July!$T$70,input!$G:$G,July!N101,input!$A:$A,July!$B$2)</f>
        <v>0</v>
      </c>
      <c r="U101" s="322">
        <f>COUNTIFS(input!$O:$O,July!$U$70,input!$G:$G,July!N101,input!$A:$A,July!$B$2)</f>
        <v>0</v>
      </c>
      <c r="V101" s="322">
        <f>COUNTIFS(input!$O:$O,July!$V$70,input!$G:$G,July!N101,input!$A:$A,July!$B$2)</f>
        <v>0</v>
      </c>
      <c r="W101" s="323">
        <f>COUNTIFS(input!$O:$O,July!$W$70,input!$G:$G,July!N101,input!$A:$A,July!$B$2)</f>
        <v>0</v>
      </c>
      <c r="X101" s="324">
        <f>COUNTIFS(input!$O:$O,July!$X$70,input!$G:$G,July!N101,input!$A:$A,July!$B$2)</f>
        <v>0</v>
      </c>
      <c r="Y101" s="312">
        <f t="shared" si="8"/>
        <v>0</v>
      </c>
      <c r="Z101" s="315" cm="1">
        <f t="array" ref="Z101">_xlfn.IFS(Y101=0,0,Y101&gt;=1,Y101/$Y$123)</f>
        <v>0</v>
      </c>
    </row>
    <row r="102" spans="2:26" ht="92" hidden="1" customHeight="1" x14ac:dyDescent="0.25">
      <c r="B102" s="1109"/>
      <c r="C102" s="1110"/>
      <c r="D102" s="1114"/>
      <c r="E102" s="1114"/>
      <c r="F102" s="1114"/>
      <c r="G102" s="1054"/>
      <c r="H102" s="1054"/>
      <c r="I102" s="1057"/>
      <c r="J102" s="1054"/>
      <c r="K102" s="1054"/>
      <c r="L102" s="417"/>
      <c r="M102" s="1027"/>
      <c r="N102" s="1065" t="s">
        <v>1889</v>
      </c>
      <c r="O102" s="1065"/>
      <c r="P102" s="1066"/>
      <c r="Q102" s="316">
        <f>COUNTIFS(input!$O:$O,July!$Q$70,input!$G:$G,July!N102,input!$A:$A,July!$B$2)</f>
        <v>0</v>
      </c>
      <c r="R102" s="316">
        <f>COUNTIFS(input!$O:$O,July!$R$70,input!$G:$G,July!N102,input!$A:$A,July!$B$2)</f>
        <v>0</v>
      </c>
      <c r="S102" s="316">
        <f>COUNTIFS(input!$O:$O,July!$S$70,input!$G:$G,July!N102,input!$A:$A,July!$B$2)</f>
        <v>0</v>
      </c>
      <c r="T102" s="321">
        <f>COUNTIFS(input!$O:$O,July!$T$70,input!$G:$G,July!N102,input!$A:$A,July!$B$2)</f>
        <v>0</v>
      </c>
      <c r="U102" s="322">
        <f>COUNTIFS(input!$O:$O,July!$U$70,input!$G:$G,July!N102,input!$A:$A,July!$B$2)</f>
        <v>0</v>
      </c>
      <c r="V102" s="322">
        <f>COUNTIFS(input!$O:$O,July!$V$70,input!$G:$G,July!N102,input!$A:$A,July!$B$2)</f>
        <v>0</v>
      </c>
      <c r="W102" s="323">
        <f>COUNTIFS(input!$O:$O,July!$W$70,input!$G:$G,July!N102,input!$A:$A,July!$B$2)</f>
        <v>0</v>
      </c>
      <c r="X102" s="324">
        <f>COUNTIFS(input!$O:$O,July!$X$70,input!$G:$G,July!N102,input!$A:$A,July!$B$2)</f>
        <v>0</v>
      </c>
      <c r="Y102" s="312">
        <f t="shared" si="8"/>
        <v>0</v>
      </c>
      <c r="Z102" s="315" cm="1">
        <f t="array" ref="Z102">_xlfn.IFS(Y102=0,0,Y102&gt;=1,Y102/$Y$123)</f>
        <v>0</v>
      </c>
    </row>
    <row r="103" spans="2:26" ht="92" hidden="1" customHeight="1" x14ac:dyDescent="0.25">
      <c r="B103" s="1028" t="s">
        <v>15</v>
      </c>
      <c r="C103" s="1029"/>
      <c r="D103" s="1037">
        <f>COUNTIFS(input!$O:$O,July!$D$70,input!$K:$K,July!B103,input!$A:$A,July!$B$2)</f>
        <v>0</v>
      </c>
      <c r="E103" s="1037">
        <f>COUNTIFS(input!$O:$O,July!$E$70,input!$K:$K,July!B103,input!$A:$A,July!$B$2)</f>
        <v>0</v>
      </c>
      <c r="F103" s="1037">
        <f>COUNTIFS(input!$O:$O,July!$F$70,input!$K:$K,July!B103,input!$A:$A,July!$B$2)</f>
        <v>0</v>
      </c>
      <c r="G103" s="1043">
        <f>COUNTIFS(input!$O:$O,July!$G$70,input!$K:$K,July!B103,input!$A:$A,July!$B$2)</f>
        <v>2</v>
      </c>
      <c r="H103" s="1043">
        <f>COUNTIFS(input!$O:$O,July!$H$70,input!$K:$K,July!B103,input!$A:$A,July!$B$2)</f>
        <v>0</v>
      </c>
      <c r="I103" s="1055">
        <f>COUNTIFS(input!$O:$O,July!$I$70,input!$K:$K,July!B103,input!$A:$A,July!$B$2)</f>
        <v>1</v>
      </c>
      <c r="J103" s="1043">
        <f>COUNTIFS(input!$O:$O,July!$J$70,input!$K:$K,July!B103,input!$A:$A,July!$B$2)</f>
        <v>1</v>
      </c>
      <c r="K103" s="1043">
        <f>COUNTIFS(input!$O:$O,July!$K$70,input!$K:$K,July!B103,input!$A:$A,July!$B$2)</f>
        <v>0</v>
      </c>
      <c r="L103" s="1345">
        <f>SUM(D103:K119)</f>
        <v>4</v>
      </c>
      <c r="M103" s="1025">
        <f>_xlfn.IFS(L103=0,0,L103&gt;=1,L103/L123)</f>
        <v>0.25</v>
      </c>
      <c r="N103" s="1065" t="s">
        <v>55</v>
      </c>
      <c r="O103" s="1065"/>
      <c r="P103" s="1066"/>
      <c r="Q103" s="316">
        <f>COUNTIFS(input!$O:$O,July!$Q$70,input!$G:$G,July!N103,input!$A:$A,July!$B$2)</f>
        <v>0</v>
      </c>
      <c r="R103" s="316">
        <f>COUNTIFS(input!$O:$O,July!$R$70,input!$G:$G,July!N103,input!$A:$A,July!$B$2)</f>
        <v>0</v>
      </c>
      <c r="S103" s="316">
        <f>COUNTIFS(input!$O:$O,July!$S$70,input!$G:$G,July!N103,input!$A:$A,July!$B$2)</f>
        <v>0</v>
      </c>
      <c r="T103" s="321">
        <f>COUNTIFS(input!$O:$O,July!$T$70,input!$G:$G,July!N103,input!$A:$A,July!$B$2)</f>
        <v>0</v>
      </c>
      <c r="U103" s="322">
        <f>COUNTIFS(input!$O:$O,July!$U$70,input!$G:$G,July!N103,input!$A:$A,July!$B$2)</f>
        <v>0</v>
      </c>
      <c r="V103" s="322">
        <f>COUNTIFS(input!$O:$O,July!$V$70,input!$G:$G,July!N103,input!$A:$A,July!$B$2)</f>
        <v>0</v>
      </c>
      <c r="W103" s="323">
        <f>COUNTIFS(input!$O:$O,July!$W$70,input!$G:$G,July!N103,input!$A:$A,July!$B$2)</f>
        <v>0</v>
      </c>
      <c r="X103" s="324">
        <f>COUNTIFS(input!$O:$O,July!$X$70,input!$G:$G,July!N103,input!$A:$A,July!$B$2)</f>
        <v>0</v>
      </c>
      <c r="Y103" s="312">
        <f t="shared" si="8"/>
        <v>0</v>
      </c>
      <c r="Z103" s="315" cm="1">
        <f t="array" ref="Z103">_xlfn.IFS(Y103=0,0,Y103&gt;=1,Y103/$Y$123)</f>
        <v>0</v>
      </c>
    </row>
    <row r="104" spans="2:26" ht="92" hidden="1" customHeight="1" x14ac:dyDescent="0.25">
      <c r="B104" s="1030"/>
      <c r="C104" s="1031"/>
      <c r="D104" s="1038"/>
      <c r="E104" s="1038"/>
      <c r="F104" s="1038"/>
      <c r="G104" s="1044"/>
      <c r="H104" s="1044"/>
      <c r="I104" s="1056"/>
      <c r="J104" s="1044"/>
      <c r="K104" s="1044"/>
      <c r="L104" s="1011"/>
      <c r="M104" s="1026"/>
      <c r="N104" s="1065" t="s">
        <v>285</v>
      </c>
      <c r="O104" s="1065"/>
      <c r="P104" s="1066"/>
      <c r="Q104" s="316">
        <f>COUNTIFS(input!$O:$O,July!$Q$70,input!$G:$G,July!N104,input!$A:$A,July!$B$2)</f>
        <v>0</v>
      </c>
      <c r="R104" s="316">
        <f>COUNTIFS(input!$O:$O,July!$R$70,input!$G:$G,July!N104,input!$A:$A,July!$B$2)</f>
        <v>0</v>
      </c>
      <c r="S104" s="316">
        <f>COUNTIFS(input!$O:$O,July!$S$70,input!$G:$G,July!N104,input!$A:$A,July!$B$2)</f>
        <v>0</v>
      </c>
      <c r="T104" s="321">
        <f>COUNTIFS(input!$O:$O,July!$T$70,input!$G:$G,July!N104,input!$A:$A,July!$B$2)</f>
        <v>0</v>
      </c>
      <c r="U104" s="322">
        <f>COUNTIFS(input!$O:$O,July!$U$70,input!$G:$G,July!N104,input!$A:$A,July!$B$2)</f>
        <v>0</v>
      </c>
      <c r="V104" s="322">
        <f>COUNTIFS(input!$O:$O,July!$V$70,input!$G:$G,July!N104,input!$A:$A,July!$B$2)</f>
        <v>0</v>
      </c>
      <c r="W104" s="323">
        <f>COUNTIFS(input!$O:$O,July!$W$70,input!$G:$G,July!N104,input!$A:$A,July!$B$2)</f>
        <v>0</v>
      </c>
      <c r="X104" s="324">
        <f>COUNTIFS(input!$O:$O,July!$X$70,input!$G:$G,July!N104,input!$A:$A,July!$B$2)</f>
        <v>0</v>
      </c>
      <c r="Y104" s="312">
        <f t="shared" si="8"/>
        <v>0</v>
      </c>
      <c r="Z104" s="315" cm="1">
        <f t="array" ref="Z104">_xlfn.IFS(Y104=0,0,Y104&gt;=1,Y104/$Y$123)</f>
        <v>0</v>
      </c>
    </row>
    <row r="105" spans="2:26" ht="92" hidden="1" customHeight="1" x14ac:dyDescent="0.25">
      <c r="B105" s="1030"/>
      <c r="C105" s="1031"/>
      <c r="D105" s="1038"/>
      <c r="E105" s="1038"/>
      <c r="F105" s="1038"/>
      <c r="G105" s="1044"/>
      <c r="H105" s="1044"/>
      <c r="I105" s="1056"/>
      <c r="J105" s="1044"/>
      <c r="K105" s="1044"/>
      <c r="L105" s="1011"/>
      <c r="M105" s="1026"/>
      <c r="N105" s="1065" t="s">
        <v>142</v>
      </c>
      <c r="O105" s="1065"/>
      <c r="P105" s="1066"/>
      <c r="Q105" s="316">
        <f>COUNTIFS(input!$O:$O,July!$Q$70,input!$G:$G,July!N105,input!$A:$A,July!$B$2)</f>
        <v>0</v>
      </c>
      <c r="R105" s="316">
        <f>COUNTIFS(input!$O:$O,July!$R$70,input!$G:$G,July!N105,input!$A:$A,July!$B$2)</f>
        <v>0</v>
      </c>
      <c r="S105" s="316">
        <f>COUNTIFS(input!$O:$O,July!$S$70,input!$G:$G,July!N105,input!$A:$A,July!$B$2)</f>
        <v>0</v>
      </c>
      <c r="T105" s="321">
        <f>COUNTIFS(input!$O:$O,July!$T$70,input!$G:$G,July!N105,input!$A:$A,July!$B$2)</f>
        <v>0</v>
      </c>
      <c r="U105" s="322">
        <f>COUNTIFS(input!$O:$O,July!$U$70,input!$G:$G,July!N105,input!$A:$A,July!$B$2)</f>
        <v>0</v>
      </c>
      <c r="V105" s="322">
        <f>COUNTIFS(input!$O:$O,July!$V$70,input!$G:$G,July!N105,input!$A:$A,July!$B$2)</f>
        <v>0</v>
      </c>
      <c r="W105" s="323">
        <f>COUNTIFS(input!$O:$O,July!$W$70,input!$G:$G,July!N105,input!$A:$A,July!$B$2)</f>
        <v>0</v>
      </c>
      <c r="X105" s="324">
        <f>COUNTIFS(input!$O:$O,July!$X$70,input!$G:$G,July!N105,input!$A:$A,July!$B$2)</f>
        <v>0</v>
      </c>
      <c r="Y105" s="312">
        <f t="shared" si="8"/>
        <v>0</v>
      </c>
      <c r="Z105" s="315" cm="1">
        <f t="array" ref="Z105">_xlfn.IFS(Y105=0,0,Y105&gt;=1,Y105/$Y$123)</f>
        <v>0</v>
      </c>
    </row>
    <row r="106" spans="2:26" ht="92" hidden="1" customHeight="1" x14ac:dyDescent="0.25">
      <c r="B106" s="1030"/>
      <c r="C106" s="1031"/>
      <c r="D106" s="1038"/>
      <c r="E106" s="1038"/>
      <c r="F106" s="1038"/>
      <c r="G106" s="1044"/>
      <c r="H106" s="1044"/>
      <c r="I106" s="1056"/>
      <c r="J106" s="1044"/>
      <c r="K106" s="1044"/>
      <c r="L106" s="1011"/>
      <c r="M106" s="1026"/>
      <c r="N106" s="1065" t="s">
        <v>778</v>
      </c>
      <c r="O106" s="1065"/>
      <c r="P106" s="1066"/>
      <c r="Q106" s="316">
        <f>COUNTIFS(input!$O:$O,July!$Q$70,input!$G:$G,July!N106,input!$A:$A,July!$B$2)</f>
        <v>0</v>
      </c>
      <c r="R106" s="316">
        <f>COUNTIFS(input!$O:$O,July!$R$70,input!$G:$G,July!N106,input!$A:$A,July!$B$2)</f>
        <v>0</v>
      </c>
      <c r="S106" s="316">
        <f>COUNTIFS(input!$O:$O,July!$S$70,input!$G:$G,July!N106,input!$A:$A,July!$B$2)</f>
        <v>0</v>
      </c>
      <c r="T106" s="321">
        <f>COUNTIFS(input!$O:$O,July!$T$70,input!$G:$G,July!N106,input!$A:$A,July!$B$2)</f>
        <v>0</v>
      </c>
      <c r="U106" s="322">
        <f>COUNTIFS(input!$O:$O,July!$U$70,input!$G:$G,July!N106,input!$A:$A,July!$B$2)</f>
        <v>0</v>
      </c>
      <c r="V106" s="322">
        <f>COUNTIFS(input!$O:$O,July!$V$70,input!$G:$G,July!N106,input!$A:$A,July!$B$2)</f>
        <v>0</v>
      </c>
      <c r="W106" s="323">
        <f>COUNTIFS(input!$O:$O,July!$W$70,input!$G:$G,July!N106,input!$A:$A,July!$B$2)</f>
        <v>0</v>
      </c>
      <c r="X106" s="324">
        <f>COUNTIFS(input!$O:$O,July!$X$70,input!$G:$G,July!N106,input!$A:$A,July!$B$2)</f>
        <v>0</v>
      </c>
      <c r="Y106" s="312">
        <f t="shared" si="8"/>
        <v>0</v>
      </c>
      <c r="Z106" s="315" cm="1">
        <f t="array" ref="Z106">_xlfn.IFS(Y106=0,0,Y106&gt;=1,Y106/$Y$123)</f>
        <v>0</v>
      </c>
    </row>
    <row r="107" spans="2:26" ht="92" hidden="1" customHeight="1" x14ac:dyDescent="0.25">
      <c r="B107" s="1030"/>
      <c r="C107" s="1031"/>
      <c r="D107" s="1038"/>
      <c r="E107" s="1038"/>
      <c r="F107" s="1038"/>
      <c r="G107" s="1044"/>
      <c r="H107" s="1044"/>
      <c r="I107" s="1056"/>
      <c r="J107" s="1044"/>
      <c r="K107" s="1044"/>
      <c r="L107" s="1011"/>
      <c r="M107" s="1026"/>
      <c r="N107" s="1065" t="s">
        <v>1411</v>
      </c>
      <c r="O107" s="1065"/>
      <c r="P107" s="1066"/>
      <c r="Q107" s="316">
        <f>COUNTIFS(input!$O:$O,July!$Q$70,input!$G:$G,July!N107,input!$A:$A,July!$B$2)</f>
        <v>0</v>
      </c>
      <c r="R107" s="316">
        <f>COUNTIFS(input!$O:$O,July!$R$70,input!$G:$G,July!N107,input!$A:$A,July!$B$2)</f>
        <v>0</v>
      </c>
      <c r="S107" s="316">
        <f>COUNTIFS(input!$O:$O,July!$S$70,input!$G:$G,July!N107,input!$A:$A,July!$B$2)</f>
        <v>0</v>
      </c>
      <c r="T107" s="321">
        <f>COUNTIFS(input!$O:$O,July!$T$70,input!$G:$G,July!N107,input!$A:$A,July!$B$2)</f>
        <v>0</v>
      </c>
      <c r="U107" s="322">
        <f>COUNTIFS(input!$O:$O,July!$U$70,input!$G:$G,July!N107,input!$A:$A,July!$B$2)</f>
        <v>0</v>
      </c>
      <c r="V107" s="322">
        <f>COUNTIFS(input!$O:$O,July!$V$70,input!$G:$G,July!N107,input!$A:$A,July!$B$2)</f>
        <v>0</v>
      </c>
      <c r="W107" s="323">
        <f>COUNTIFS(input!$O:$O,July!$W$70,input!$G:$G,July!N107,input!$A:$A,July!$B$2)</f>
        <v>0</v>
      </c>
      <c r="X107" s="324">
        <f>COUNTIFS(input!$O:$O,July!$X$70,input!$G:$G,July!N107,input!$A:$A,July!$B$2)</f>
        <v>0</v>
      </c>
      <c r="Y107" s="312">
        <f t="shared" si="8"/>
        <v>0</v>
      </c>
      <c r="Z107" s="315" cm="1">
        <f t="array" ref="Z107">_xlfn.IFS(Y107=0,0,Y107&gt;=1,Y107/$Y$123)</f>
        <v>0</v>
      </c>
    </row>
    <row r="108" spans="2:26" ht="92" hidden="1" customHeight="1" x14ac:dyDescent="0.25">
      <c r="B108" s="1030"/>
      <c r="C108" s="1031"/>
      <c r="D108" s="1038"/>
      <c r="E108" s="1038"/>
      <c r="F108" s="1038"/>
      <c r="G108" s="1044"/>
      <c r="H108" s="1044"/>
      <c r="I108" s="1056"/>
      <c r="J108" s="1044"/>
      <c r="K108" s="1044"/>
      <c r="L108" s="1011"/>
      <c r="M108" s="1026"/>
      <c r="N108" s="1121" t="s">
        <v>877</v>
      </c>
      <c r="O108" s="1065"/>
      <c r="P108" s="1066"/>
      <c r="Q108" s="316">
        <f>COUNTIFS(input!$O:$O,July!$Q$70,input!$G:$G,July!N108,input!$A:$A,July!$B$2)</f>
        <v>0</v>
      </c>
      <c r="R108" s="316">
        <f>COUNTIFS(input!$O:$O,July!$R$70,input!$G:$G,July!N108,input!$A:$A,July!$B$2)</f>
        <v>0</v>
      </c>
      <c r="S108" s="316">
        <f>COUNTIFS(input!$O:$O,July!$S$70,input!$G:$G,July!N108,input!$A:$A,July!$B$2)</f>
        <v>0</v>
      </c>
      <c r="T108" s="321">
        <f>COUNTIFS(input!$O:$O,July!$T$70,input!$G:$G,July!N108,input!$A:$A,July!$B$2)</f>
        <v>0</v>
      </c>
      <c r="U108" s="322">
        <f>COUNTIFS(input!$O:$O,July!$U$70,input!$G:$G,July!N108,input!$A:$A,July!$B$2)</f>
        <v>0</v>
      </c>
      <c r="V108" s="322">
        <f>COUNTIFS(input!$O:$O,July!$V$70,input!$G:$G,July!N108,input!$A:$A,July!$B$2)</f>
        <v>0</v>
      </c>
      <c r="W108" s="323">
        <f>COUNTIFS(input!$O:$O,July!$W$70,input!$G:$G,July!N108,input!$A:$A,July!$B$2)</f>
        <v>0</v>
      </c>
      <c r="X108" s="324">
        <f>COUNTIFS(input!$O:$O,July!$X$70,input!$G:$G,July!N108,input!$A:$A,July!$B$2)</f>
        <v>0</v>
      </c>
      <c r="Y108" s="312">
        <f t="shared" si="8"/>
        <v>0</v>
      </c>
      <c r="Z108" s="315" cm="1">
        <f t="array" ref="Z108">_xlfn.IFS(Y108=0,0,Y108&gt;=1,Y108/$Y$123)</f>
        <v>0</v>
      </c>
    </row>
    <row r="109" spans="2:26" ht="92" hidden="1" customHeight="1" x14ac:dyDescent="0.25">
      <c r="B109" s="1030"/>
      <c r="C109" s="1031"/>
      <c r="D109" s="1038"/>
      <c r="E109" s="1038"/>
      <c r="F109" s="1038"/>
      <c r="G109" s="1044"/>
      <c r="H109" s="1044"/>
      <c r="I109" s="1056"/>
      <c r="J109" s="1044"/>
      <c r="K109" s="1044"/>
      <c r="L109" s="1011"/>
      <c r="M109" s="1026"/>
      <c r="N109" s="1065" t="s">
        <v>356</v>
      </c>
      <c r="O109" s="1065"/>
      <c r="P109" s="1066"/>
      <c r="Q109" s="316">
        <f>COUNTIFS(input!$O:$O,July!$Q$70,input!$G:$G,July!N109,input!$A:$A,July!$B$2)</f>
        <v>0</v>
      </c>
      <c r="R109" s="316">
        <f>COUNTIFS(input!$O:$O,July!$R$70,input!$G:$G,July!N109,input!$A:$A,July!$B$2)</f>
        <v>0</v>
      </c>
      <c r="S109" s="316">
        <f>COUNTIFS(input!$O:$O,July!$S$70,input!$G:$G,July!N109,input!$A:$A,July!$B$2)</f>
        <v>0</v>
      </c>
      <c r="T109" s="321">
        <f>COUNTIFS(input!$O:$O,July!$T$70,input!$G:$G,July!N109,input!$A:$A,July!$B$2)</f>
        <v>0</v>
      </c>
      <c r="U109" s="322">
        <f>COUNTIFS(input!$O:$O,July!$U$70,input!$G:$G,July!N109,input!$A:$A,July!$B$2)</f>
        <v>0</v>
      </c>
      <c r="V109" s="322">
        <f>COUNTIFS(input!$O:$O,July!$V$70,input!$G:$G,July!N109,input!$A:$A,July!$B$2)</f>
        <v>0</v>
      </c>
      <c r="W109" s="323">
        <f>COUNTIFS(input!$O:$O,July!$W$70,input!$G:$G,July!N109,input!$A:$A,July!$B$2)</f>
        <v>0</v>
      </c>
      <c r="X109" s="324">
        <f>COUNTIFS(input!$O:$O,July!$X$70,input!$G:$G,July!N109,input!$A:$A,July!$B$2)</f>
        <v>0</v>
      </c>
      <c r="Y109" s="312">
        <f t="shared" si="8"/>
        <v>0</v>
      </c>
      <c r="Z109" s="315" cm="1">
        <f t="array" ref="Z109">_xlfn.IFS(Y109=0,0,Y109&gt;=1,Y109/$Y$123)</f>
        <v>0</v>
      </c>
    </row>
    <row r="110" spans="2:26" ht="92" hidden="1" customHeight="1" x14ac:dyDescent="0.25">
      <c r="B110" s="1030"/>
      <c r="C110" s="1031"/>
      <c r="D110" s="1038"/>
      <c r="E110" s="1038"/>
      <c r="F110" s="1038"/>
      <c r="G110" s="1044"/>
      <c r="H110" s="1044"/>
      <c r="I110" s="1056"/>
      <c r="J110" s="1044"/>
      <c r="K110" s="1044"/>
      <c r="L110" s="1011"/>
      <c r="M110" s="1026"/>
      <c r="N110" s="1065" t="s">
        <v>760</v>
      </c>
      <c r="O110" s="1065"/>
      <c r="P110" s="1066"/>
      <c r="Q110" s="316">
        <f>COUNTIFS(input!$O:$O,July!$Q$70,input!$G:$G,July!N110,input!$A:$A,July!$B$2)</f>
        <v>0</v>
      </c>
      <c r="R110" s="316">
        <f>COUNTIFS(input!$O:$O,July!$R$70,input!$G:$G,July!N110,input!$A:$A,July!$B$2)</f>
        <v>0</v>
      </c>
      <c r="S110" s="316">
        <f>COUNTIFS(input!$O:$O,July!$S$70,input!$G:$G,July!N110,input!$A:$A,July!$B$2)</f>
        <v>0</v>
      </c>
      <c r="T110" s="321">
        <f>COUNTIFS(input!$O:$O,July!$T$70,input!$G:$G,July!N110,input!$A:$A,July!$B$2)</f>
        <v>0</v>
      </c>
      <c r="U110" s="322">
        <f>COUNTIFS(input!$O:$O,July!$U$70,input!$G:$G,July!N110,input!$A:$A,July!$B$2)</f>
        <v>0</v>
      </c>
      <c r="V110" s="322">
        <f>COUNTIFS(input!$O:$O,July!$V$70,input!$G:$G,July!N110,input!$A:$A,July!$B$2)</f>
        <v>0</v>
      </c>
      <c r="W110" s="323">
        <f>COUNTIFS(input!$O:$O,July!$W$70,input!$G:$G,July!N110,input!$A:$A,July!$B$2)</f>
        <v>0</v>
      </c>
      <c r="X110" s="324">
        <f>COUNTIFS(input!$O:$O,July!$X$70,input!$G:$G,July!N110,input!$A:$A,July!$B$2)</f>
        <v>0</v>
      </c>
      <c r="Y110" s="312">
        <f t="shared" si="8"/>
        <v>0</v>
      </c>
      <c r="Z110" s="315" cm="1">
        <f t="array" ref="Z110">_xlfn.IFS(Y110=0,0,Y110&gt;=1,Y110/$Y$123)</f>
        <v>0</v>
      </c>
    </row>
    <row r="111" spans="2:26" ht="92" hidden="1" customHeight="1" x14ac:dyDescent="0.25">
      <c r="B111" s="1030"/>
      <c r="C111" s="1031"/>
      <c r="D111" s="1038"/>
      <c r="E111" s="1038"/>
      <c r="F111" s="1038"/>
      <c r="G111" s="1044"/>
      <c r="H111" s="1044"/>
      <c r="I111" s="1056"/>
      <c r="J111" s="1044"/>
      <c r="K111" s="1044"/>
      <c r="L111" s="1011"/>
      <c r="M111" s="1026"/>
      <c r="N111" s="1065" t="s">
        <v>414</v>
      </c>
      <c r="O111" s="1065"/>
      <c r="P111" s="1066"/>
      <c r="Q111" s="316">
        <f>COUNTIFS(input!$O:$O,July!$Q$70,input!$G:$G,July!N111,input!$A:$A,July!$B$2)</f>
        <v>0</v>
      </c>
      <c r="R111" s="316">
        <f>COUNTIFS(input!$O:$O,July!$R$70,input!$G:$G,July!N111,input!$A:$A,July!$B$2)</f>
        <v>0</v>
      </c>
      <c r="S111" s="316">
        <f>COUNTIFS(input!$O:$O,July!$S$70,input!$G:$G,July!N111,input!$A:$A,July!$B$2)</f>
        <v>0</v>
      </c>
      <c r="T111" s="321">
        <f>COUNTIFS(input!$O:$O,July!$T$70,input!$G:$G,July!N111,input!$A:$A,July!$B$2)</f>
        <v>0</v>
      </c>
      <c r="U111" s="322">
        <f>COUNTIFS(input!$O:$O,July!$U$70,input!$G:$G,July!N111,input!$A:$A,July!$B$2)</f>
        <v>0</v>
      </c>
      <c r="V111" s="322">
        <f>COUNTIFS(input!$O:$O,July!$V$70,input!$G:$G,July!N111,input!$A:$A,July!$B$2)</f>
        <v>0</v>
      </c>
      <c r="W111" s="323">
        <f>COUNTIFS(input!$O:$O,July!$W$70,input!$G:$G,July!N111,input!$A:$A,July!$B$2)</f>
        <v>0</v>
      </c>
      <c r="X111" s="324">
        <f>COUNTIFS(input!$O:$O,July!$X$70,input!$G:$G,July!N111,input!$A:$A,July!$B$2)</f>
        <v>0</v>
      </c>
      <c r="Y111" s="312">
        <f t="shared" si="8"/>
        <v>0</v>
      </c>
      <c r="Z111" s="315" cm="1">
        <f t="array" ref="Z111">_xlfn.IFS(Y111=0,0,Y111&gt;=1,Y111/$Y$123)</f>
        <v>0</v>
      </c>
    </row>
    <row r="112" spans="2:26" ht="92" customHeight="1" x14ac:dyDescent="0.25">
      <c r="B112" s="1030"/>
      <c r="C112" s="1031"/>
      <c r="D112" s="1038"/>
      <c r="E112" s="1038"/>
      <c r="F112" s="1038"/>
      <c r="G112" s="1044"/>
      <c r="H112" s="1044"/>
      <c r="I112" s="1056"/>
      <c r="J112" s="1044"/>
      <c r="K112" s="1044"/>
      <c r="L112" s="1011"/>
      <c r="M112" s="1026"/>
      <c r="N112" s="1016" t="s">
        <v>23</v>
      </c>
      <c r="O112" s="1016"/>
      <c r="P112" s="991"/>
      <c r="Q112" s="316">
        <f>COUNTIFS(input!$O:$O,July!$Q$70,input!$G:$G,July!N112,input!$A:$A,July!$B$2)</f>
        <v>0</v>
      </c>
      <c r="R112" s="316">
        <f>COUNTIFS(input!$O:$O,July!$R$70,input!$G:$G,July!N112,input!$A:$A,July!$B$2)</f>
        <v>0</v>
      </c>
      <c r="S112" s="316">
        <f>COUNTIFS(input!$O:$O,July!$S$70,input!$G:$G,July!N112,input!$A:$A,July!$B$2)</f>
        <v>0</v>
      </c>
      <c r="T112" s="321">
        <f>COUNTIFS(input!$O:$O,July!$T$70,input!$G:$G,July!N112,input!$A:$A,July!$B$2)</f>
        <v>1</v>
      </c>
      <c r="U112" s="322">
        <f>COUNTIFS(input!$O:$O,July!$U$70,input!$G:$G,July!N112,input!$A:$A,July!$B$2)</f>
        <v>0</v>
      </c>
      <c r="V112" s="322">
        <f>COUNTIFS(input!$O:$O,July!$V$70,input!$G:$G,July!N112,input!$A:$A,July!$B$2)</f>
        <v>0</v>
      </c>
      <c r="W112" s="323">
        <f>COUNTIFS(input!$O:$O,July!$W$70,input!$G:$G,July!N112,input!$A:$A,July!$B$2)</f>
        <v>0</v>
      </c>
      <c r="X112" s="324">
        <f>COUNTIFS(input!$O:$O,July!$X$70,input!$G:$G,July!N112,input!$A:$A,July!$B$2)</f>
        <v>0</v>
      </c>
      <c r="Y112" s="312">
        <f t="shared" si="8"/>
        <v>1</v>
      </c>
      <c r="Z112" s="315" cm="1">
        <f t="array" ref="Z112">_xlfn.IFS(Y112=0,0,Y112&gt;=1,Y112/$Y$123)</f>
        <v>6.25E-2</v>
      </c>
    </row>
    <row r="113" spans="2:26" ht="92" customHeight="1" x14ac:dyDescent="0.25">
      <c r="B113" s="1030"/>
      <c r="C113" s="1031"/>
      <c r="D113" s="1038"/>
      <c r="E113" s="1038"/>
      <c r="F113" s="1038"/>
      <c r="G113" s="1044"/>
      <c r="H113" s="1044"/>
      <c r="I113" s="1056"/>
      <c r="J113" s="1044"/>
      <c r="K113" s="1044"/>
      <c r="L113" s="1011"/>
      <c r="M113" s="1026"/>
      <c r="N113" s="1016" t="s">
        <v>2029</v>
      </c>
      <c r="O113" s="1016"/>
      <c r="P113" s="991"/>
      <c r="Q113" s="316">
        <f>COUNTIFS(input!$O:$O,July!$Q$70,input!$G:$G,July!N113,input!$A:$A,July!$B$2)</f>
        <v>0</v>
      </c>
      <c r="R113" s="316">
        <f>COUNTIFS(input!$O:$O,July!$R$70,input!$G:$G,July!N113,input!$A:$A,July!$B$2)</f>
        <v>0</v>
      </c>
      <c r="S113" s="316">
        <f>COUNTIFS(input!$O:$O,July!$S$70,input!$G:$G,July!N113,input!$A:$A,July!$B$2)</f>
        <v>0</v>
      </c>
      <c r="T113" s="321">
        <f>COUNTIFS(input!$O:$O,July!$T$70,input!$G:$G,July!N113,input!$A:$A,July!$B$2)</f>
        <v>1</v>
      </c>
      <c r="U113" s="322">
        <f>COUNTIFS(input!$O:$O,July!$U$70,input!$G:$G,July!N113,input!$A:$A,July!$B$2)</f>
        <v>0</v>
      </c>
      <c r="V113" s="322">
        <f>COUNTIFS(input!$O:$O,July!$V$70,input!$G:$G,July!N113,input!$A:$A,July!$B$2)</f>
        <v>0</v>
      </c>
      <c r="W113" s="323">
        <f>COUNTIFS(input!$O:$O,July!$W$70,input!$G:$G,July!N113,input!$A:$A,July!$B$2)</f>
        <v>0</v>
      </c>
      <c r="X113" s="324">
        <f>COUNTIFS(input!$O:$O,July!$X$70,input!$G:$G,July!N113,input!$A:$A,July!$B$2)</f>
        <v>0</v>
      </c>
      <c r="Y113" s="312">
        <f>SUM(Q113:X113)</f>
        <v>1</v>
      </c>
      <c r="Z113" s="315" cm="1">
        <f t="array" ref="Z113">_xlfn.IFS(Y113=0,0,Y113&gt;=1,Y113/$Y$123)</f>
        <v>6.25E-2</v>
      </c>
    </row>
    <row r="114" spans="2:26" ht="92" hidden="1" customHeight="1" x14ac:dyDescent="0.25">
      <c r="B114" s="1030"/>
      <c r="C114" s="1031"/>
      <c r="D114" s="1038"/>
      <c r="E114" s="1038"/>
      <c r="F114" s="1038"/>
      <c r="G114" s="1044"/>
      <c r="H114" s="1044"/>
      <c r="I114" s="1056"/>
      <c r="J114" s="1044"/>
      <c r="K114" s="1044"/>
      <c r="L114" s="1011"/>
      <c r="M114" s="1026"/>
      <c r="N114" s="1065" t="s">
        <v>704</v>
      </c>
      <c r="O114" s="1065"/>
      <c r="P114" s="1066"/>
      <c r="Q114" s="316">
        <f>COUNTIFS(input!$O:$O,July!$Q$70,input!$G:$G,July!N114,input!$A:$A,July!$B$2)</f>
        <v>0</v>
      </c>
      <c r="R114" s="316">
        <f>COUNTIFS(input!$O:$O,July!$R$70,input!$G:$G,July!N114,input!$A:$A,July!$B$2)</f>
        <v>0</v>
      </c>
      <c r="S114" s="316">
        <f>COUNTIFS(input!$O:$O,July!$S$70,input!$G:$G,July!N114,input!$A:$A,July!$B$2)</f>
        <v>0</v>
      </c>
      <c r="T114" s="321">
        <f>COUNTIFS(input!$O:$O,July!$T$70,input!$G:$G,July!N114,input!$A:$A,July!$B$2)</f>
        <v>0</v>
      </c>
      <c r="U114" s="322">
        <f>COUNTIFS(input!$O:$O,July!$U$70,input!$G:$G,July!N114,input!$A:$A,July!$B$2)</f>
        <v>0</v>
      </c>
      <c r="V114" s="322">
        <f>COUNTIFS(input!$O:$O,July!$V$70,input!$G:$G,July!N114,input!$A:$A,July!$B$2)</f>
        <v>0</v>
      </c>
      <c r="W114" s="323">
        <f>COUNTIFS(input!$O:$O,July!$W$70,input!$G:$G,July!N114,input!$A:$A,July!$B$2)</f>
        <v>0</v>
      </c>
      <c r="X114" s="324">
        <f>COUNTIFS(input!$O:$O,July!$X$70,input!$G:$G,July!N114,input!$A:$A,July!$B$2)</f>
        <v>0</v>
      </c>
      <c r="Y114" s="312">
        <f t="shared" si="8"/>
        <v>0</v>
      </c>
      <c r="Z114" s="315" cm="1">
        <f t="array" ref="Z114">_xlfn.IFS(Y114=0,0,Y114&gt;=1,Y114/$Y$123)</f>
        <v>0</v>
      </c>
    </row>
    <row r="115" spans="2:26" ht="92" hidden="1" customHeight="1" x14ac:dyDescent="0.25">
      <c r="B115" s="1030"/>
      <c r="C115" s="1031"/>
      <c r="D115" s="1038"/>
      <c r="E115" s="1038"/>
      <c r="F115" s="1038"/>
      <c r="G115" s="1044"/>
      <c r="H115" s="1044"/>
      <c r="I115" s="1056"/>
      <c r="J115" s="1044"/>
      <c r="K115" s="1044"/>
      <c r="L115" s="1011"/>
      <c r="M115" s="1026"/>
      <c r="N115" s="1065" t="s">
        <v>710</v>
      </c>
      <c r="O115" s="1065"/>
      <c r="P115" s="1066"/>
      <c r="Q115" s="316">
        <f>COUNTIFS(input!$O:$O,July!$Q$70,input!$G:$G,July!N115,input!$A:$A,July!$B$2)</f>
        <v>0</v>
      </c>
      <c r="R115" s="316">
        <f>COUNTIFS(input!$O:$O,July!$R$70,input!$G:$G,July!N115,input!$A:$A,July!$B$2)</f>
        <v>0</v>
      </c>
      <c r="S115" s="316">
        <f>COUNTIFS(input!$O:$O,July!$S$70,input!$G:$G,July!N115,input!$A:$A,July!$B$2)</f>
        <v>0</v>
      </c>
      <c r="T115" s="321">
        <f>COUNTIFS(input!$O:$O,July!$T$70,input!$G:$G,July!N115,input!$A:$A,July!$B$2)</f>
        <v>0</v>
      </c>
      <c r="U115" s="322">
        <f>COUNTIFS(input!$O:$O,July!$U$70,input!$G:$G,July!N115,input!$A:$A,July!$B$2)</f>
        <v>0</v>
      </c>
      <c r="V115" s="322">
        <f>COUNTIFS(input!$O:$O,July!$V$70,input!$G:$G,July!N115,input!$A:$A,July!$B$2)</f>
        <v>0</v>
      </c>
      <c r="W115" s="323">
        <f>COUNTIFS(input!$O:$O,July!$W$70,input!$G:$G,July!N115,input!$A:$A,July!$B$2)</f>
        <v>0</v>
      </c>
      <c r="X115" s="324">
        <f>COUNTIFS(input!$O:$O,July!$X$70,input!$G:$G,July!N115,input!$A:$A,July!$B$2)</f>
        <v>0</v>
      </c>
      <c r="Y115" s="312">
        <f t="shared" si="8"/>
        <v>0</v>
      </c>
      <c r="Z115" s="315" cm="1">
        <f t="array" ref="Z115">_xlfn.IFS(Y115=0,0,Y115&gt;=1,Y115/$Y$123)</f>
        <v>0</v>
      </c>
    </row>
    <row r="116" spans="2:26" ht="92" hidden="1" customHeight="1" x14ac:dyDescent="0.25">
      <c r="B116" s="1030"/>
      <c r="C116" s="1031"/>
      <c r="D116" s="1038"/>
      <c r="E116" s="1038"/>
      <c r="F116" s="1038"/>
      <c r="G116" s="1044"/>
      <c r="H116" s="1044"/>
      <c r="I116" s="1056"/>
      <c r="J116" s="1044"/>
      <c r="K116" s="1044"/>
      <c r="L116" s="1011"/>
      <c r="M116" s="1026"/>
      <c r="N116" s="1065" t="s">
        <v>1407</v>
      </c>
      <c r="O116" s="1065"/>
      <c r="P116" s="1066"/>
      <c r="Q116" s="316">
        <f>COUNTIFS(input!$O:$O,July!$Q$70,input!$G:$G,July!N116,input!$A:$A,July!$B$2)</f>
        <v>0</v>
      </c>
      <c r="R116" s="316">
        <f>COUNTIFS(input!$O:$O,July!$R$70,input!$G:$G,July!N116,input!$A:$A,July!$B$2)</f>
        <v>0</v>
      </c>
      <c r="S116" s="316">
        <f>COUNTIFS(input!$O:$O,July!$S$70,input!$G:$G,July!N116,input!$A:$A,July!$B$2)</f>
        <v>0</v>
      </c>
      <c r="T116" s="321">
        <f>COUNTIFS(input!$O:$O,July!$T$70,input!$G:$G,July!N116,input!$A:$A,July!$B$2)</f>
        <v>0</v>
      </c>
      <c r="U116" s="322">
        <f>COUNTIFS(input!$O:$O,July!$U$70,input!$G:$G,July!N116,input!$A:$A,July!$B$2)</f>
        <v>0</v>
      </c>
      <c r="V116" s="322">
        <f>COUNTIFS(input!$O:$O,July!$V$70,input!$G:$G,July!N116,input!$A:$A,July!$B$2)</f>
        <v>0</v>
      </c>
      <c r="W116" s="323">
        <f>COUNTIFS(input!$O:$O,July!$W$70,input!$G:$G,July!N116,input!$A:$A,July!$B$2)</f>
        <v>0</v>
      </c>
      <c r="X116" s="324">
        <f>COUNTIFS(input!$O:$O,July!$X$70,input!$G:$G,July!N116,input!$A:$A,July!$B$2)</f>
        <v>0</v>
      </c>
      <c r="Y116" s="312">
        <f t="shared" si="8"/>
        <v>0</v>
      </c>
      <c r="Z116" s="315" cm="1">
        <f t="array" ref="Z116">_xlfn.IFS(Y116=0,0,Y116&gt;=1,Y116/$Y$123)</f>
        <v>0</v>
      </c>
    </row>
    <row r="117" spans="2:26" ht="92" hidden="1" customHeight="1" x14ac:dyDescent="0.25">
      <c r="B117" s="1030"/>
      <c r="C117" s="1031"/>
      <c r="D117" s="1038"/>
      <c r="E117" s="1038"/>
      <c r="F117" s="1038"/>
      <c r="G117" s="1044"/>
      <c r="H117" s="1044"/>
      <c r="I117" s="1056"/>
      <c r="J117" s="1044"/>
      <c r="K117" s="1044"/>
      <c r="L117" s="1011"/>
      <c r="M117" s="1026"/>
      <c r="N117" s="1065" t="s">
        <v>779</v>
      </c>
      <c r="O117" s="1065"/>
      <c r="P117" s="1066"/>
      <c r="Q117" s="316">
        <f>COUNTIFS(input!$O:$O,July!$Q$70,input!$G:$G,July!N117,input!$A:$A,July!$B$2)</f>
        <v>0</v>
      </c>
      <c r="R117" s="316">
        <f>COUNTIFS(input!$O:$O,July!$R$70,input!$G:$G,July!N117,input!$A:$A,July!$B$2)</f>
        <v>0</v>
      </c>
      <c r="S117" s="316">
        <f>COUNTIFS(input!$O:$O,July!$S$70,input!$G:$G,July!N117,input!$A:$A,July!$B$2)</f>
        <v>0</v>
      </c>
      <c r="T117" s="321">
        <f>COUNTIFS(input!$O:$O,July!$T$70,input!$G:$G,July!N117,input!$A:$A,July!$B$2)</f>
        <v>0</v>
      </c>
      <c r="U117" s="322">
        <f>COUNTIFS(input!$O:$O,July!$U$70,input!$G:$G,July!N117,input!$A:$A,July!$B$2)</f>
        <v>0</v>
      </c>
      <c r="V117" s="322">
        <f>COUNTIFS(input!$O:$O,July!$V$70,input!$G:$G,July!N117,input!$A:$A,July!$B$2)</f>
        <v>0</v>
      </c>
      <c r="W117" s="323">
        <f>COUNTIFS(input!$O:$O,July!$W$70,input!$G:$G,July!N117,input!$A:$A,July!$B$2)</f>
        <v>0</v>
      </c>
      <c r="X117" s="324">
        <f>COUNTIFS(input!$O:$O,July!$X$70,input!$G:$G,July!N117,input!$A:$A,July!$B$2)</f>
        <v>0</v>
      </c>
      <c r="Y117" s="312">
        <f t="shared" si="8"/>
        <v>0</v>
      </c>
      <c r="Z117" s="315" cm="1">
        <f t="array" ref="Z117">_xlfn.IFS(Y117=0,0,Y117&gt;=1,Y117/$Y$123)</f>
        <v>0</v>
      </c>
    </row>
    <row r="118" spans="2:26" ht="92" hidden="1" customHeight="1" x14ac:dyDescent="0.25">
      <c r="B118" s="1030"/>
      <c r="C118" s="1031"/>
      <c r="D118" s="1038"/>
      <c r="E118" s="1038"/>
      <c r="F118" s="1038"/>
      <c r="G118" s="1044"/>
      <c r="H118" s="1044"/>
      <c r="I118" s="1056"/>
      <c r="J118" s="1044"/>
      <c r="K118" s="1044"/>
      <c r="L118" s="1011"/>
      <c r="M118" s="1026"/>
      <c r="N118" s="1065" t="s">
        <v>1391</v>
      </c>
      <c r="O118" s="1065"/>
      <c r="P118" s="1066"/>
      <c r="Q118" s="316">
        <f>COUNTIFS(input!$O:$O,July!$Q$70,input!$G:$G,July!N118,input!$A:$A,July!$B$2)</f>
        <v>0</v>
      </c>
      <c r="R118" s="316">
        <f>COUNTIFS(input!$O:$O,July!$R$70,input!$G:$G,July!N118,input!$A:$A,July!$B$2)</f>
        <v>0</v>
      </c>
      <c r="S118" s="316">
        <f>COUNTIFS(input!$O:$O,July!$S$70,input!$G:$G,July!N118,input!$A:$A,July!$B$2)</f>
        <v>0</v>
      </c>
      <c r="T118" s="321">
        <f>COUNTIFS(input!$O:$O,July!$T$70,input!$G:$G,July!N118,input!$A:$A,July!$B$2)</f>
        <v>0</v>
      </c>
      <c r="U118" s="322">
        <f>COUNTIFS(input!$O:$O,July!$U$70,input!$G:$G,July!N118,input!$A:$A,July!$B$2)</f>
        <v>0</v>
      </c>
      <c r="V118" s="322">
        <f>COUNTIFS(input!$O:$O,July!$V$70,input!$G:$G,July!N118,input!$A:$A,July!$B$2)</f>
        <v>0</v>
      </c>
      <c r="W118" s="323">
        <f>COUNTIFS(input!$O:$O,July!$W$70,input!$G:$G,July!N118,input!$A:$A,July!$B$2)</f>
        <v>0</v>
      </c>
      <c r="X118" s="324">
        <f>COUNTIFS(input!$O:$O,July!$X$70,input!$G:$G,July!N118,input!$A:$A,July!$B$2)</f>
        <v>0</v>
      </c>
      <c r="Y118" s="312">
        <f t="shared" si="8"/>
        <v>0</v>
      </c>
      <c r="Z118" s="315" cm="1">
        <f t="array" ref="Z118">_xlfn.IFS(Y118=0,0,Y118&gt;=1,Y118/$Y$123)</f>
        <v>0</v>
      </c>
    </row>
    <row r="119" spans="2:26" ht="92" hidden="1" customHeight="1" x14ac:dyDescent="0.25">
      <c r="B119" s="1030"/>
      <c r="C119" s="1031"/>
      <c r="D119" s="1038"/>
      <c r="E119" s="1038"/>
      <c r="F119" s="1038"/>
      <c r="G119" s="1044"/>
      <c r="H119" s="1044"/>
      <c r="I119" s="1056"/>
      <c r="J119" s="1044"/>
      <c r="K119" s="1044"/>
      <c r="L119" s="1011"/>
      <c r="M119" s="1026"/>
      <c r="N119" s="1065" t="s">
        <v>181</v>
      </c>
      <c r="O119" s="1065"/>
      <c r="P119" s="1066"/>
      <c r="Q119" s="316">
        <f>COUNTIFS(input!$O:$O,July!$Q$70,input!$G:$G,July!N119,input!$A:$A,July!$B$2)</f>
        <v>0</v>
      </c>
      <c r="R119" s="316">
        <f>COUNTIFS(input!$O:$O,July!$R$70,input!$G:$G,July!N119,input!$A:$A,July!$B$2)</f>
        <v>0</v>
      </c>
      <c r="S119" s="316">
        <f>COUNTIFS(input!$O:$O,July!$S$70,input!$G:$G,July!N119,input!$A:$A,July!$B$2)</f>
        <v>0</v>
      </c>
      <c r="T119" s="321">
        <f>COUNTIFS(input!$O:$O,July!$T$70,input!$G:$G,July!N119,input!$A:$A,July!$B$2)</f>
        <v>0</v>
      </c>
      <c r="U119" s="322">
        <f>COUNTIFS(input!$O:$O,July!$U$70,input!$G:$G,July!N119,input!$A:$A,July!$B$2)</f>
        <v>0</v>
      </c>
      <c r="V119" s="322">
        <f>COUNTIFS(input!$O:$O,July!$V$70,input!$G:$G,July!N119,input!$A:$A,July!$B$2)</f>
        <v>0</v>
      </c>
      <c r="W119" s="323">
        <f>COUNTIFS(input!$O:$O,July!$W$70,input!$G:$G,July!N119,input!$A:$A,July!$B$2)</f>
        <v>0</v>
      </c>
      <c r="X119" s="324">
        <f>COUNTIFS(input!$O:$O,July!$X$70,input!$G:$G,July!N119,input!$A:$A,July!$B$2)</f>
        <v>0</v>
      </c>
      <c r="Y119" s="312">
        <f t="shared" si="8"/>
        <v>0</v>
      </c>
      <c r="Z119" s="315" cm="1">
        <f t="array" ref="Z119">_xlfn.IFS(Y119=0,0,Y119&gt;=1,Y119/$Y$123)</f>
        <v>0</v>
      </c>
    </row>
    <row r="120" spans="2:26" ht="92" x14ac:dyDescent="0.25">
      <c r="B120" s="1030"/>
      <c r="C120" s="1031"/>
      <c r="D120" s="1038"/>
      <c r="E120" s="1038"/>
      <c r="F120" s="1038"/>
      <c r="G120" s="1044"/>
      <c r="H120" s="1044"/>
      <c r="I120" s="1056"/>
      <c r="J120" s="1044"/>
      <c r="K120" s="1044"/>
      <c r="L120" s="1011"/>
      <c r="M120" s="1026"/>
      <c r="N120" s="1016" t="s">
        <v>2168</v>
      </c>
      <c r="O120" s="1016"/>
      <c r="P120" s="991"/>
      <c r="Q120" s="316">
        <f>COUNTIFS(input!$O:$O,July!$Q$70,input!$G:$G,July!N120,input!$A:$A,July!$B$2)</f>
        <v>0</v>
      </c>
      <c r="R120" s="316">
        <f>COUNTIFS(input!$O:$O,July!$R$70,input!$G:$G,July!N120,input!$A:$A,July!$B$2)</f>
        <v>0</v>
      </c>
      <c r="S120" s="316">
        <f>COUNTIFS(input!$O:$O,July!$S$70,input!$G:$G,July!N120,input!$A:$A,July!$B$2)</f>
        <v>0</v>
      </c>
      <c r="T120" s="321">
        <f>COUNTIFS(input!$O:$O,July!$T$70,input!$G:$G,July!N120,input!$A:$A,July!$B$2)</f>
        <v>0</v>
      </c>
      <c r="U120" s="322">
        <f>COUNTIFS(input!$O:$O,July!$U$70,input!$G:$G,July!N120,input!$A:$A,July!$B$2)</f>
        <v>0</v>
      </c>
      <c r="V120" s="322">
        <f>COUNTIFS(input!$O:$O,July!$V$70,input!$G:$G,July!N120,input!$A:$A,July!$B$2)</f>
        <v>0</v>
      </c>
      <c r="W120" s="323">
        <f>COUNTIFS(input!$O:$O,July!$W$70,input!$G:$G,July!N120,input!$A:$A,July!$B$2)</f>
        <v>1</v>
      </c>
      <c r="X120" s="324">
        <f>COUNTIFS(input!$O:$O,July!$X$70,input!$G:$G,July!N120,input!$A:$A,July!$B$2)</f>
        <v>0</v>
      </c>
      <c r="Y120" s="312">
        <f>SUM(Q120:X120)</f>
        <v>1</v>
      </c>
      <c r="Z120" s="315" cm="1">
        <f t="array" ref="Z120">_xlfn.IFS(Y120=0,0,Y120&gt;=1,Y120/$Y$123)</f>
        <v>6.25E-2</v>
      </c>
    </row>
    <row r="121" spans="2:26" ht="92" x14ac:dyDescent="0.25">
      <c r="B121" s="1030"/>
      <c r="C121" s="1031"/>
      <c r="D121" s="1038"/>
      <c r="E121" s="1038"/>
      <c r="F121" s="1038"/>
      <c r="G121" s="1044"/>
      <c r="H121" s="1044"/>
      <c r="I121" s="1056"/>
      <c r="J121" s="1044"/>
      <c r="K121" s="1044"/>
      <c r="L121" s="1011"/>
      <c r="M121" s="1026"/>
      <c r="N121" s="1065" t="s">
        <v>1828</v>
      </c>
      <c r="O121" s="1065"/>
      <c r="P121" s="1066"/>
      <c r="Q121" s="316">
        <f>COUNTIFS(input!$O:$O,July!$Q$70,input!$G:$G,July!N121,input!$A:$A,July!$B$2)</f>
        <v>0</v>
      </c>
      <c r="R121" s="316">
        <f>COUNTIFS(input!$O:$O,July!$R$70,input!$G:$G,July!N121,input!$A:$A,July!$B$2)</f>
        <v>0</v>
      </c>
      <c r="S121" s="316">
        <f>COUNTIFS(input!$O:$O,July!$S$70,input!$G:$G,July!N121,input!$A:$A,July!$B$2)</f>
        <v>0</v>
      </c>
      <c r="T121" s="321">
        <f>COUNTIFS(input!$O:$O,July!$T$70,input!$G:$G,July!N121,input!$A:$A,July!$B$2)</f>
        <v>0</v>
      </c>
      <c r="U121" s="322">
        <f>COUNTIFS(input!$O:$O,July!$U$70,input!$G:$G,July!N121,input!$A:$A,July!$B$2)</f>
        <v>0</v>
      </c>
      <c r="V121" s="322">
        <f>COUNTIFS(input!$O:$O,July!$V$70,input!$G:$G,July!N121,input!$A:$A,July!$B$2)</f>
        <v>0</v>
      </c>
      <c r="W121" s="323">
        <f>COUNTIFS(input!$O:$O,July!$W$70,input!$G:$G,July!N121,input!$A:$A,July!$B$2)</f>
        <v>0</v>
      </c>
      <c r="X121" s="324">
        <f>COUNTIFS(input!$O:$O,July!$X$70,input!$G:$G,July!N121,input!$A:$A,July!$B$2)</f>
        <v>0</v>
      </c>
      <c r="Y121" s="312">
        <f t="shared" si="8"/>
        <v>0</v>
      </c>
      <c r="Z121" s="315" cm="1">
        <f t="array" ref="Z121">_xlfn.IFS(Y121=0,0,Y121&gt;=1,Y121/$Y$123)</f>
        <v>0</v>
      </c>
    </row>
    <row r="122" spans="2:26" ht="92" x14ac:dyDescent="0.25">
      <c r="B122" s="1032"/>
      <c r="C122" s="1033"/>
      <c r="D122" s="1039"/>
      <c r="E122" s="1039"/>
      <c r="F122" s="1039"/>
      <c r="G122" s="1045"/>
      <c r="H122" s="1045"/>
      <c r="I122" s="1175"/>
      <c r="J122" s="1045"/>
      <c r="K122" s="1045"/>
      <c r="L122" s="1012"/>
      <c r="M122" s="1173"/>
      <c r="N122" s="1016" t="s">
        <v>2030</v>
      </c>
      <c r="O122" s="1016"/>
      <c r="P122" s="991"/>
      <c r="Q122" s="316">
        <f>COUNTIFS(input!$O:$O,July!$Q$70,input!$G:$G,July!N122,input!$A:$A,July!$B$2)</f>
        <v>0</v>
      </c>
      <c r="R122" s="316">
        <f>COUNTIFS(input!$O:$O,July!$R$70,input!$G:$G,July!N122,input!$A:$A,July!$B$2)</f>
        <v>0</v>
      </c>
      <c r="S122" s="316">
        <f>COUNTIFS(input!$O:$O,July!$S$70,input!$G:$G,July!N122,input!$A:$A,July!$B$2)</f>
        <v>0</v>
      </c>
      <c r="T122" s="321">
        <f>COUNTIFS(input!$O:$O,July!$T$70,input!$G:$G,July!N122,input!$A:$A,July!$B$2)</f>
        <v>1</v>
      </c>
      <c r="U122" s="322">
        <f>COUNTIFS(input!$O:$O,July!$U$70,input!$G:$G,July!N122,input!$A:$A,July!$B$2)</f>
        <v>0</v>
      </c>
      <c r="V122" s="322">
        <f>COUNTIFS(input!$O:$O,July!$V$70,input!$G:$G,July!N122,input!$A:$A,July!$B$2)</f>
        <v>0</v>
      </c>
      <c r="W122" s="323">
        <f>COUNTIFS(input!$O:$O,July!$W$70,input!$G:$G,July!N122,input!$A:$A,July!$B$2)</f>
        <v>0</v>
      </c>
      <c r="X122" s="324">
        <f>COUNTIFS(input!$O:$O,July!$X$70,input!$G:$G,July!N122,input!$A:$A,July!$B$2)</f>
        <v>0</v>
      </c>
      <c r="Y122" s="312">
        <f>SUM(Q122:X122)</f>
        <v>1</v>
      </c>
      <c r="Z122" s="315" cm="1">
        <f t="array" ref="Z122">_xlfn.IFS(Y122=0,0,Y122&gt;=1,Y122/$Y$123)</f>
        <v>6.25E-2</v>
      </c>
    </row>
    <row r="123" spans="2:26" ht="90.5" thickBot="1" x14ac:dyDescent="0.3">
      <c r="B123" s="1005" t="s">
        <v>4</v>
      </c>
      <c r="C123" s="984"/>
      <c r="D123" s="340">
        <f t="shared" ref="D123:M123" si="9">SUM(D71:D110)</f>
        <v>0</v>
      </c>
      <c r="E123" s="340">
        <f t="shared" si="9"/>
        <v>0</v>
      </c>
      <c r="F123" s="340">
        <f t="shared" si="9"/>
        <v>0</v>
      </c>
      <c r="G123" s="340">
        <f t="shared" si="9"/>
        <v>11</v>
      </c>
      <c r="H123" s="340">
        <f t="shared" si="9"/>
        <v>0</v>
      </c>
      <c r="I123" s="340">
        <f t="shared" si="9"/>
        <v>2</v>
      </c>
      <c r="J123" s="340">
        <f t="shared" si="9"/>
        <v>3</v>
      </c>
      <c r="K123" s="340">
        <f t="shared" si="9"/>
        <v>0</v>
      </c>
      <c r="L123" s="340">
        <f t="shared" si="9"/>
        <v>16</v>
      </c>
      <c r="M123" s="341">
        <f t="shared" si="9"/>
        <v>1</v>
      </c>
      <c r="N123" s="983" t="s">
        <v>4</v>
      </c>
      <c r="O123" s="983"/>
      <c r="P123" s="984"/>
      <c r="Q123" s="340">
        <f t="shared" ref="Q123:W123" si="10">SUM(Q71:Q110)</f>
        <v>0</v>
      </c>
      <c r="R123" s="340">
        <f t="shared" si="10"/>
        <v>0</v>
      </c>
      <c r="S123" s="340">
        <f t="shared" si="10"/>
        <v>0</v>
      </c>
      <c r="T123" s="340">
        <f t="shared" si="10"/>
        <v>8</v>
      </c>
      <c r="U123" s="340">
        <f t="shared" si="10"/>
        <v>0</v>
      </c>
      <c r="V123" s="340">
        <f t="shared" si="10"/>
        <v>2</v>
      </c>
      <c r="W123" s="340">
        <f t="shared" si="10"/>
        <v>2</v>
      </c>
      <c r="X123" s="340">
        <f>SUM(X71:X119)</f>
        <v>0</v>
      </c>
      <c r="Y123" s="340">
        <f>SUM(Y71:Y122)</f>
        <v>16</v>
      </c>
      <c r="Z123" s="341">
        <f>SUM(Z71:Z122)</f>
        <v>1</v>
      </c>
    </row>
    <row r="124" spans="2:26" ht="270" x14ac:dyDescent="0.25">
      <c r="B124" s="1006" t="s">
        <v>44</v>
      </c>
      <c r="C124" s="1007"/>
      <c r="D124" s="308" t="s">
        <v>6</v>
      </c>
      <c r="E124" s="308" t="s">
        <v>2</v>
      </c>
      <c r="F124" s="308" t="s">
        <v>3</v>
      </c>
      <c r="G124" s="308" t="s">
        <v>1</v>
      </c>
      <c r="H124" s="308" t="s">
        <v>0</v>
      </c>
      <c r="I124" s="308" t="s">
        <v>53</v>
      </c>
      <c r="J124" s="308" t="s">
        <v>12</v>
      </c>
      <c r="K124" s="308" t="s">
        <v>693</v>
      </c>
      <c r="L124" s="308" t="s">
        <v>5</v>
      </c>
      <c r="M124" s="336" t="s">
        <v>40</v>
      </c>
      <c r="N124" s="1008" t="s">
        <v>70</v>
      </c>
      <c r="O124" s="1008"/>
      <c r="P124" s="1007"/>
      <c r="Q124" s="308" t="s">
        <v>6</v>
      </c>
      <c r="R124" s="308" t="s">
        <v>2</v>
      </c>
      <c r="S124" s="308" t="s">
        <v>3</v>
      </c>
      <c r="T124" s="308" t="s">
        <v>1</v>
      </c>
      <c r="U124" s="308" t="s">
        <v>0</v>
      </c>
      <c r="V124" s="308" t="s">
        <v>53</v>
      </c>
      <c r="W124" s="308" t="s">
        <v>12</v>
      </c>
      <c r="X124" s="308" t="s">
        <v>693</v>
      </c>
      <c r="Y124" s="308" t="s">
        <v>5</v>
      </c>
      <c r="Z124" s="309" t="s">
        <v>40</v>
      </c>
    </row>
    <row r="125" spans="2:26" ht="92" customHeight="1" x14ac:dyDescent="0.25">
      <c r="B125" s="1121" t="s">
        <v>357</v>
      </c>
      <c r="C125" s="1066"/>
      <c r="D125" s="310">
        <f>COUNTIFS(input!$O:$O,July!$D$124,input!$W:$W,July!B125,input!$A:$A,July!$B$2)</f>
        <v>0</v>
      </c>
      <c r="E125" s="310">
        <f>COUNTIFS(input!$O:$O,July!$E$124,input!$W:$W,July!B125,input!$A:$A,July!$B$2)</f>
        <v>0</v>
      </c>
      <c r="F125" s="310">
        <f>COUNTIFS(input!$O:$O,July!$F$124,input!$W:$W,July!B125,input!$A:$A,July!$B$2)</f>
        <v>0</v>
      </c>
      <c r="G125" s="314">
        <f>COUNTIFS(input!$O:$O,July!$G$124,input!$W:$W,July!B125,input!$A:$A,July!$B$2)</f>
        <v>0</v>
      </c>
      <c r="H125" s="314">
        <f>COUNTIFS(input!$O:$O,July!$H$124,input!$W:$W,July!B125,input!$A:$A,July!$B$2)</f>
        <v>0</v>
      </c>
      <c r="I125" s="314">
        <f>COUNTIFS(input!$O:$O,July!$I$124,input!$W:$W,July!B125,input!$A:$A,July!$B$2)</f>
        <v>0</v>
      </c>
      <c r="J125" s="314">
        <f>COUNTIFS(input!$O:$O,July!$J$124,input!$W:$W,July!B125,input!$A:$A,July!$B$2)</f>
        <v>0</v>
      </c>
      <c r="K125" s="314">
        <f>COUNTIFS(input!$O:$O,July!$K$124,input!$W:$W,July!B125,input!$A:$A,July!$B$2)</f>
        <v>0</v>
      </c>
      <c r="L125" s="312">
        <f>SUM(D125:K125)</f>
        <v>0</v>
      </c>
      <c r="M125" s="313" cm="1">
        <f t="array" ref="M125">_xlfn.IFS(L125=0,0,L125&gt;=1,L125/$L$189)</f>
        <v>0</v>
      </c>
      <c r="N125" s="992" t="s">
        <v>370</v>
      </c>
      <c r="O125" s="993"/>
      <c r="P125" s="994"/>
      <c r="Q125" s="310">
        <f>COUNTIFS(input!$O:$O,July!$Q$124,input!$X:$X,July!N125,input!$A:$A,July!$B$2)</f>
        <v>0</v>
      </c>
      <c r="R125" s="310">
        <f>COUNTIFS(input!$O:$O,July!$R$124,input!$X:$X,July!N125,input!$A:$A,July!$B$2)</f>
        <v>0</v>
      </c>
      <c r="S125" s="310">
        <f>COUNTIFS(input!$O:$O,July!$S$124,input!$X:$X,July!N125,input!$A:$A,July!$B$2)</f>
        <v>0</v>
      </c>
      <c r="T125" s="314">
        <f>COUNTIFS(input!$O:$O,July!$T$124,input!$X:$X,July!N125,input!$A:$A,July!$B$2)</f>
        <v>2</v>
      </c>
      <c r="U125" s="314">
        <f>COUNTIFS(input!$O:$O,July!$U$124,input!$X:$X,July!N125,input!$A:$A,July!$B$2)</f>
        <v>0</v>
      </c>
      <c r="V125" s="342">
        <f>COUNTIFS(input!$O:$O,July!$V$124,input!$X:$X,July!N125,input!$A:$A,July!$B$2)</f>
        <v>1</v>
      </c>
      <c r="W125" s="342">
        <f>COUNTIFS(input!$O:$O,July!$W$124,input!$X:$X,July!N125,input!$A:$A,July!$B$2)</f>
        <v>0</v>
      </c>
      <c r="X125" s="314">
        <f>COUNTIFS(input!$O:$O,July!$X$124,input!$X:$X,July!N125,input!$A:$A,July!$B$2)</f>
        <v>0</v>
      </c>
      <c r="Y125" s="312">
        <f>SUM(Q125:X125)</f>
        <v>3</v>
      </c>
      <c r="Z125" s="315" cm="1">
        <f t="array" ref="Z125">_xlfn.IFS(Y125=0,0,Y125&gt;=1,Y125/$Y$189)</f>
        <v>0.1875</v>
      </c>
    </row>
    <row r="126" spans="2:26" ht="92" customHeight="1" x14ac:dyDescent="0.25">
      <c r="B126" s="1121" t="s">
        <v>605</v>
      </c>
      <c r="C126" s="1066"/>
      <c r="D126" s="316">
        <f>COUNTIFS(input!$O:$O,July!$D$124,input!$W:$W,July!B126,input!$A:$A,July!$B$2)</f>
        <v>0</v>
      </c>
      <c r="E126" s="316">
        <f>COUNTIFS(input!$O:$O,July!$E$124,input!$W:$W,July!B126,input!$A:$A,July!$B$2)</f>
        <v>0</v>
      </c>
      <c r="F126" s="316">
        <f>COUNTIFS(input!$O:$O,July!$F$124,input!$W:$W,July!B126,input!$A:$A,July!$B$2)</f>
        <v>0</v>
      </c>
      <c r="G126" s="322">
        <f>COUNTIFS(input!$O:$O,July!$G$124,input!$W:$W,July!B126,input!$A:$A,July!$B$2)</f>
        <v>0</v>
      </c>
      <c r="H126" s="321">
        <f>COUNTIFS(input!$O:$O,July!$H$124,input!$W:$W,July!B126,input!$A:$A,July!$B$2)</f>
        <v>0</v>
      </c>
      <c r="I126" s="321">
        <f>COUNTIFS(input!$O:$O,July!$I$124,input!$W:$W,July!B126,input!$A:$A,July!$B$2)</f>
        <v>0</v>
      </c>
      <c r="J126" s="321">
        <f>COUNTIFS(input!$O:$O,July!$J$124,input!$W:$W,July!B126,input!$A:$A,July!$B$2)</f>
        <v>0</v>
      </c>
      <c r="K126" s="343">
        <f>COUNTIFS(input!$O:$O,July!$K$124,input!$W:$W,July!B126,input!$A:$A,July!$B$2)</f>
        <v>0</v>
      </c>
      <c r="L126" s="312">
        <f>SUM(D126:K126)</f>
        <v>0</v>
      </c>
      <c r="M126" s="320" cm="1">
        <f t="array" ref="M126">_xlfn.IFS(L126=0,0,L126&gt;=1,L126/$L$189)</f>
        <v>0</v>
      </c>
      <c r="N126" s="992" t="s">
        <v>371</v>
      </c>
      <c r="O126" s="993"/>
      <c r="P126" s="994"/>
      <c r="Q126" s="316">
        <f>COUNTIFS(input!$O:$O,July!$Q$124,input!$X:$X,July!N126,input!$A:$A,July!$B$2)</f>
        <v>0</v>
      </c>
      <c r="R126" s="316">
        <f>COUNTIFS(input!$O:$O,July!$R$124,input!$X:$X,July!N126,input!$A:$A,July!$B$2)</f>
        <v>0</v>
      </c>
      <c r="S126" s="316">
        <f>COUNTIFS(input!$O:$O,July!$S$124,input!$X:$X,July!N126,input!$A:$A,July!$B$2)</f>
        <v>0</v>
      </c>
      <c r="T126" s="322">
        <f>COUNTIFS(input!$O:$O,July!$T$124,input!$X:$X,July!N126,input!$A:$A,July!$B$2)</f>
        <v>0</v>
      </c>
      <c r="U126" s="322">
        <f>COUNTIFS(input!$O:$O,July!$U$124,input!$X:$X,July!N126,input!$A:$A,July!$B$2)</f>
        <v>0</v>
      </c>
      <c r="V126" s="323">
        <f>COUNTIFS(input!$O:$O,July!$V$124,input!$X:$X,July!N126,input!$A:$A,July!$B$2)</f>
        <v>1</v>
      </c>
      <c r="W126" s="323">
        <f>COUNTIFS(input!$O:$O,July!$W$124,input!$X:$X,July!N126,input!$A:$A,July!$B$2)</f>
        <v>0</v>
      </c>
      <c r="X126" s="324">
        <f>COUNTIFS(input!$O:$O,July!$X$124,input!$X:$X,July!N126,input!$A:$A,July!$B$2)</f>
        <v>0</v>
      </c>
      <c r="Y126" s="312">
        <f t="shared" ref="Y126:Y188" si="11">SUM(Q126:X126)</f>
        <v>1</v>
      </c>
      <c r="Z126" s="315" cm="1">
        <f t="array" ref="Z126">_xlfn.IFS(Y126=0,0,Y126&gt;=1,Y126/$Y$189)</f>
        <v>6.25E-2</v>
      </c>
    </row>
    <row r="127" spans="2:26" ht="92" customHeight="1" x14ac:dyDescent="0.25">
      <c r="B127" s="1121" t="s">
        <v>359</v>
      </c>
      <c r="C127" s="1066"/>
      <c r="D127" s="316">
        <f>COUNTIFS(input!$O:$O,July!$D$124,input!$W:$W,July!B127,input!$A:$A,July!$B$2)</f>
        <v>0</v>
      </c>
      <c r="E127" s="316">
        <f>COUNTIFS(input!$O:$O,July!$E$124,input!$W:$W,July!B127,input!$A:$A,July!$B$2)</f>
        <v>0</v>
      </c>
      <c r="F127" s="316">
        <f>COUNTIFS(input!$O:$O,July!$F$124,input!$W:$W,July!B127,input!$A:$A,July!$B$2)</f>
        <v>0</v>
      </c>
      <c r="G127" s="322">
        <f>COUNTIFS(input!$O:$O,July!$G$124,input!$W:$W,July!B127,input!$A:$A,July!$B$2)</f>
        <v>0</v>
      </c>
      <c r="H127" s="321">
        <f>COUNTIFS(input!$O:$O,July!$H$124,input!$W:$W,July!B127,input!$A:$A,July!$B$2)</f>
        <v>0</v>
      </c>
      <c r="I127" s="321">
        <f>COUNTIFS(input!$O:$O,July!$I$124,input!$W:$W,July!B127,input!$A:$A,July!$B$2)</f>
        <v>0</v>
      </c>
      <c r="J127" s="321">
        <f>COUNTIFS(input!$O:$O,July!$J$124,input!$W:$W,July!B127,input!$A:$A,July!$B$2)</f>
        <v>0</v>
      </c>
      <c r="K127" s="343">
        <f>COUNTIFS(input!$O:$O,July!$K$124,input!$W:$W,July!B127,input!$A:$A,July!$B$2)</f>
        <v>0</v>
      </c>
      <c r="L127" s="312">
        <f>SUM(D127:K127)</f>
        <v>0</v>
      </c>
      <c r="M127" s="320" cm="1">
        <f t="array" ref="M127">_xlfn.IFS(L127=0,0,L127&gt;=1,L127/$L$189)</f>
        <v>0</v>
      </c>
      <c r="N127" s="992" t="s">
        <v>372</v>
      </c>
      <c r="O127" s="993"/>
      <c r="P127" s="994"/>
      <c r="Q127" s="316">
        <f>COUNTIFS(input!$O:$O,July!$Q$124,input!$X:$X,July!N127,input!$A:$A,July!$B$2)</f>
        <v>0</v>
      </c>
      <c r="R127" s="316">
        <f>COUNTIFS(input!$O:$O,July!$R$124,input!$X:$X,July!N127,input!$A:$A,July!$B$2)</f>
        <v>0</v>
      </c>
      <c r="S127" s="316">
        <f>COUNTIFS(input!$O:$O,July!$S$124,input!$X:$X,July!N127,input!$A:$A,July!$B$2)</f>
        <v>0</v>
      </c>
      <c r="T127" s="322">
        <f>COUNTIFS(input!$O:$O,July!$T$124,input!$X:$X,July!N127,input!$A:$A,July!$B$2)</f>
        <v>0</v>
      </c>
      <c r="U127" s="322">
        <f>COUNTIFS(input!$O:$O,July!$U$124,input!$X:$X,July!N127,input!$A:$A,July!$B$2)</f>
        <v>0</v>
      </c>
      <c r="V127" s="323">
        <f>COUNTIFS(input!$O:$O,July!$V$124,input!$X:$X,July!N127,input!$A:$A,July!$B$2)</f>
        <v>0</v>
      </c>
      <c r="W127" s="323">
        <f>COUNTIFS(input!$O:$O,July!$W$124,input!$X:$X,July!N127,input!$A:$A,July!$B$2)</f>
        <v>0</v>
      </c>
      <c r="X127" s="324">
        <f>COUNTIFS(input!$O:$O,July!$X$124,input!$X:$X,July!N127,input!$A:$A,July!$B$2)</f>
        <v>0</v>
      </c>
      <c r="Y127" s="312">
        <f>SUM(Q127:X127)</f>
        <v>0</v>
      </c>
      <c r="Z127" s="315" cm="1">
        <f t="array" ref="Z127">_xlfn.IFS(Y127=0,0,Y127&gt;=1,Y127/$Y$189)</f>
        <v>0</v>
      </c>
    </row>
    <row r="128" spans="2:26" ht="92" hidden="1" customHeight="1" x14ac:dyDescent="0.25">
      <c r="B128" s="1121" t="s">
        <v>1542</v>
      </c>
      <c r="C128" s="1066"/>
      <c r="D128" s="316">
        <f>COUNTIFS(input!$O:$O,July!$D$124,input!$W:$W,July!B128,input!$A:$A,July!$B$2)</f>
        <v>0</v>
      </c>
      <c r="E128" s="316">
        <f>COUNTIFS(input!$O:$O,July!$E$124,input!$W:$W,July!B128,input!$A:$A,July!$B$2)</f>
        <v>0</v>
      </c>
      <c r="F128" s="316">
        <f>COUNTIFS(input!$O:$O,July!$F$124,input!$W:$W,July!B128,input!$A:$A,July!$B$2)</f>
        <v>0</v>
      </c>
      <c r="G128" s="322">
        <f>COUNTIFS(input!$O:$O,July!$G$124,input!$W:$W,July!B128,input!$A:$A,July!$B$2)</f>
        <v>0</v>
      </c>
      <c r="H128" s="321">
        <f>COUNTIFS(input!$O:$O,July!$H$124,input!$W:$W,July!B128,input!$A:$A,July!$B$2)</f>
        <v>0</v>
      </c>
      <c r="I128" s="321">
        <f>COUNTIFS(input!$O:$O,July!$I$124,input!$W:$W,July!B128,input!$A:$A,July!$B$2)</f>
        <v>0</v>
      </c>
      <c r="J128" s="321">
        <f>COUNTIFS(input!$O:$O,July!$J$124,input!$W:$W,July!B128,input!$A:$A,July!$B$2)</f>
        <v>0</v>
      </c>
      <c r="K128" s="343">
        <f>COUNTIFS(input!$O:$O,July!$K$124,input!$W:$W,July!B128,input!$A:$A,July!$B$2)</f>
        <v>0</v>
      </c>
      <c r="L128" s="312">
        <f t="shared" ref="L128:L188" si="12">SUM(D128:K128)</f>
        <v>0</v>
      </c>
      <c r="M128" s="320" cm="1">
        <f t="array" ref="M128">_xlfn.IFS(L128=0,0,L128&gt;=1,L128/$L$189)</f>
        <v>0</v>
      </c>
      <c r="N128" s="995" t="s">
        <v>373</v>
      </c>
      <c r="O128" s="996"/>
      <c r="P128" s="997"/>
      <c r="Q128" s="316">
        <f>COUNTIFS(input!$O:$O,July!$Q$124,input!$X:$X,July!N128,input!$A:$A,July!$B$2)</f>
        <v>0</v>
      </c>
      <c r="R128" s="316">
        <f>COUNTIFS(input!$O:$O,July!$R$124,input!$X:$X,July!N128,input!$A:$A,July!$B$2)</f>
        <v>0</v>
      </c>
      <c r="S128" s="316">
        <f>COUNTIFS(input!$O:$O,July!$S$124,input!$X:$X,July!N128,input!$A:$A,July!$B$2)</f>
        <v>0</v>
      </c>
      <c r="T128" s="322">
        <f>COUNTIFS(input!$O:$O,July!$T$124,input!$X:$X,July!N128,input!$A:$A,July!$B$2)</f>
        <v>0</v>
      </c>
      <c r="U128" s="322">
        <f>COUNTIFS(input!$O:$O,July!$U$124,input!$X:$X,July!N128,input!$A:$A,July!$B$2)</f>
        <v>0</v>
      </c>
      <c r="V128" s="323">
        <f>COUNTIFS(input!$O:$O,July!$V$124,input!$X:$X,July!N128,input!$A:$A,July!$B$2)</f>
        <v>0</v>
      </c>
      <c r="W128" s="323">
        <f>COUNTIFS(input!$O:$O,July!$W$124,input!$X:$X,July!N128,input!$A:$A,July!$B$2)</f>
        <v>0</v>
      </c>
      <c r="X128" s="324">
        <f>COUNTIFS(input!$O:$O,July!$X$124,input!$X:$X,July!N128,input!$A:$A,July!$B$2)</f>
        <v>0</v>
      </c>
      <c r="Y128" s="312">
        <f t="shared" si="11"/>
        <v>0</v>
      </c>
      <c r="Z128" s="315" cm="1">
        <f t="array" ref="Z128">_xlfn.IFS(Y128=0,0,Y128&gt;=1,Y128/$Y$189)</f>
        <v>0</v>
      </c>
    </row>
    <row r="129" spans="2:26" ht="92" hidden="1" customHeight="1" x14ac:dyDescent="0.25">
      <c r="B129" s="1121" t="s">
        <v>648</v>
      </c>
      <c r="C129" s="1066"/>
      <c r="D129" s="316">
        <f>COUNTIFS(input!$O:$O,July!$D$124,input!$W:$W,July!B129,input!$A:$A,July!$B$2)</f>
        <v>0</v>
      </c>
      <c r="E129" s="316">
        <f>COUNTIFS(input!$O:$O,July!$E$124,input!$W:$W,July!B129,input!$A:$A,July!$B$2)</f>
        <v>0</v>
      </c>
      <c r="F129" s="316">
        <f>COUNTIFS(input!$O:$O,July!$F$124,input!$W:$W,July!B129,input!$A:$A,July!$B$2)</f>
        <v>0</v>
      </c>
      <c r="G129" s="322">
        <f>COUNTIFS(input!$O:$O,July!$G$124,input!$W:$W,July!B129,input!$A:$A,July!$B$2)</f>
        <v>0</v>
      </c>
      <c r="H129" s="321">
        <f>COUNTIFS(input!$O:$O,July!$H$124,input!$W:$W,July!B129,input!$A:$A,July!$B$2)</f>
        <v>0</v>
      </c>
      <c r="I129" s="321">
        <f>COUNTIFS(input!$O:$O,July!$I$124,input!$W:$W,July!B129,input!$A:$A,July!$B$2)</f>
        <v>0</v>
      </c>
      <c r="J129" s="321">
        <f>COUNTIFS(input!$O:$O,July!$J$124,input!$W:$W,July!B129,input!$A:$A,July!$B$2)</f>
        <v>0</v>
      </c>
      <c r="K129" s="343">
        <f>COUNTIFS(input!$O:$O,July!$K$124,input!$W:$W,July!B129,input!$A:$A,July!$B$2)</f>
        <v>0</v>
      </c>
      <c r="L129" s="312">
        <f t="shared" si="12"/>
        <v>0</v>
      </c>
      <c r="M129" s="320" cm="1">
        <f t="array" ref="M129">_xlfn.IFS(L129=0,0,L129&gt;=1,L129/$L$189)</f>
        <v>0</v>
      </c>
      <c r="N129" s="995" t="s">
        <v>374</v>
      </c>
      <c r="O129" s="996"/>
      <c r="P129" s="997"/>
      <c r="Q129" s="316">
        <f>COUNTIFS(input!$O:$O,July!$Q$124,input!$X:$X,July!N129,input!$A:$A,July!$B$2)</f>
        <v>0</v>
      </c>
      <c r="R129" s="316">
        <f>COUNTIFS(input!$O:$O,July!$R$124,input!$X:$X,July!N129,input!$A:$A,July!$B$2)</f>
        <v>0</v>
      </c>
      <c r="S129" s="316">
        <f>COUNTIFS(input!$O:$O,July!$S$124,input!$X:$X,July!N129,input!$A:$A,July!$B$2)</f>
        <v>0</v>
      </c>
      <c r="T129" s="322">
        <f>COUNTIFS(input!$O:$O,July!$T$124,input!$X:$X,July!N129,input!$A:$A,July!$B$2)</f>
        <v>0</v>
      </c>
      <c r="U129" s="322">
        <f>COUNTIFS(input!$O:$O,July!$U$124,input!$X:$X,July!N129,input!$A:$A,July!$B$2)</f>
        <v>0</v>
      </c>
      <c r="V129" s="323">
        <f>COUNTIFS(input!$O:$O,July!$V$124,input!$X:$X,July!N129,input!$A:$A,July!$B$2)</f>
        <v>0</v>
      </c>
      <c r="W129" s="323">
        <f>COUNTIFS(input!$O:$O,July!$W$124,input!$X:$X,July!N129,input!$A:$A,July!$B$2)</f>
        <v>0</v>
      </c>
      <c r="X129" s="324">
        <f>COUNTIFS(input!$O:$O,July!$X$124,input!$X:$X,July!N129,input!$A:$A,July!$B$2)</f>
        <v>0</v>
      </c>
      <c r="Y129" s="312">
        <f t="shared" si="11"/>
        <v>0</v>
      </c>
      <c r="Z129" s="315" cm="1">
        <f t="array" ref="Z129">_xlfn.IFS(Y129=0,0,Y129&gt;=1,Y129/$Y$189)</f>
        <v>0</v>
      </c>
    </row>
    <row r="130" spans="2:26" ht="92" customHeight="1" x14ac:dyDescent="0.25">
      <c r="B130" s="1121" t="s">
        <v>827</v>
      </c>
      <c r="C130" s="1066"/>
      <c r="D130" s="316">
        <f>COUNTIFS(input!$O:$O,July!$D$124,input!$W:$W,July!B130,input!$A:$A,July!$B$2)</f>
        <v>0</v>
      </c>
      <c r="E130" s="316">
        <f>COUNTIFS(input!$O:$O,July!$E$124,input!$W:$W,July!B130,input!$A:$A,July!$B$2)</f>
        <v>0</v>
      </c>
      <c r="F130" s="316">
        <f>COUNTIFS(input!$O:$O,July!$F$124,input!$W:$W,July!B130,input!$A:$A,July!$B$2)</f>
        <v>0</v>
      </c>
      <c r="G130" s="322">
        <f>COUNTIFS(input!$O:$O,July!$G$124,input!$W:$W,July!B130,input!$A:$A,July!$B$2)</f>
        <v>0</v>
      </c>
      <c r="H130" s="321">
        <f>COUNTIFS(input!$O:$O,July!$H$124,input!$W:$W,July!B130,input!$A:$A,July!$B$2)</f>
        <v>0</v>
      </c>
      <c r="I130" s="321">
        <f>COUNTIFS(input!$O:$O,July!$I$124,input!$W:$W,July!B130,input!$A:$A,July!$B$2)</f>
        <v>0</v>
      </c>
      <c r="J130" s="321">
        <f>COUNTIFS(input!$O:$O,July!$J$124,input!$W:$W,July!B130,input!$A:$A,July!$B$2)</f>
        <v>0</v>
      </c>
      <c r="K130" s="343">
        <f>COUNTIFS(input!$O:$O,July!$K$124,input!$W:$W,July!B130,input!$A:$A,July!$B$2)</f>
        <v>0</v>
      </c>
      <c r="L130" s="312">
        <f t="shared" si="12"/>
        <v>0</v>
      </c>
      <c r="M130" s="320" cm="1">
        <f t="array" ref="M130">_xlfn.IFS(L130=0,0,L130&gt;=1,L130/$L$189)</f>
        <v>0</v>
      </c>
      <c r="N130" s="992" t="s">
        <v>375</v>
      </c>
      <c r="O130" s="993"/>
      <c r="P130" s="994"/>
      <c r="Q130" s="316">
        <f>COUNTIFS(input!$O:$O,July!$Q$124,input!$X:$X,July!N130,input!$A:$A,July!$B$2)</f>
        <v>0</v>
      </c>
      <c r="R130" s="316">
        <f>COUNTIFS(input!$O:$O,July!$R$124,input!$X:$X,July!N130,input!$A:$A,July!$B$2)</f>
        <v>0</v>
      </c>
      <c r="S130" s="316">
        <f>COUNTIFS(input!$O:$O,July!$S$124,input!$X:$X,July!N130,input!$A:$A,July!$B$2)</f>
        <v>0</v>
      </c>
      <c r="T130" s="322">
        <f>COUNTIFS(input!$O:$O,July!$T$124,input!$X:$X,July!N130,input!$A:$A,July!$B$2)</f>
        <v>1</v>
      </c>
      <c r="U130" s="322">
        <f>COUNTIFS(input!$O:$O,July!$U$124,input!$X:$X,July!N130,input!$A:$A,July!$B$2)</f>
        <v>0</v>
      </c>
      <c r="V130" s="323">
        <f>COUNTIFS(input!$O:$O,July!$V$124,input!$X:$X,July!N130,input!$A:$A,July!$B$2)</f>
        <v>0</v>
      </c>
      <c r="W130" s="323">
        <f>COUNTIFS(input!$O:$O,July!$W$124,input!$X:$X,July!N130,input!$A:$A,July!$B$2)</f>
        <v>0</v>
      </c>
      <c r="X130" s="324">
        <f>COUNTIFS(input!$O:$O,July!$X$124,input!$X:$X,July!N130,input!$A:$A,July!$B$2)</f>
        <v>0</v>
      </c>
      <c r="Y130" s="312">
        <f t="shared" si="11"/>
        <v>1</v>
      </c>
      <c r="Z130" s="315" cm="1">
        <f t="array" ref="Z130">_xlfn.IFS(Y130=0,0,Y130&gt;=1,Y130/$Y$189)</f>
        <v>6.25E-2</v>
      </c>
    </row>
    <row r="131" spans="2:26" ht="92" hidden="1" customHeight="1" x14ac:dyDescent="0.25">
      <c r="B131" s="1121" t="s">
        <v>1834</v>
      </c>
      <c r="C131" s="1066"/>
      <c r="D131" s="316">
        <f>COUNTIFS(input!$O:$O,July!$D$124,input!$W:$W,July!B131,input!$A:$A,July!$B$2)</f>
        <v>0</v>
      </c>
      <c r="E131" s="316">
        <f>COUNTIFS(input!$O:$O,July!$E$124,input!$W:$W,July!B131,input!$A:$A,July!$B$2)</f>
        <v>0</v>
      </c>
      <c r="F131" s="316">
        <f>COUNTIFS(input!$O:$O,July!$F$124,input!$W:$W,July!B131,input!$A:$A,July!$B$2)</f>
        <v>0</v>
      </c>
      <c r="G131" s="322">
        <f>COUNTIFS(input!$O:$O,July!$G$124,input!$W:$W,July!B131,input!$A:$A,July!$B$2)</f>
        <v>0</v>
      </c>
      <c r="H131" s="321">
        <f>COUNTIFS(input!$O:$O,July!$H$124,input!$W:$W,July!B131,input!$A:$A,July!$B$2)</f>
        <v>0</v>
      </c>
      <c r="I131" s="321">
        <f>COUNTIFS(input!$O:$O,July!$I$124,input!$W:$W,July!B131,input!$A:$A,July!$B$2)</f>
        <v>0</v>
      </c>
      <c r="J131" s="321">
        <f>COUNTIFS(input!$O:$O,July!$J$124,input!$W:$W,July!B131,input!$A:$A,July!$B$2)</f>
        <v>0</v>
      </c>
      <c r="K131" s="343">
        <f>COUNTIFS(input!$O:$O,July!$K$124,input!$W:$W,July!B131,input!$A:$A,July!$B$2)</f>
        <v>0</v>
      </c>
      <c r="L131" s="312">
        <f t="shared" si="12"/>
        <v>0</v>
      </c>
      <c r="M131" s="320" cm="1">
        <f t="array" ref="M131">_xlfn.IFS(L131=0,0,L131&gt;=1,L131/$L$189)</f>
        <v>0</v>
      </c>
      <c r="N131" s="995" t="s">
        <v>376</v>
      </c>
      <c r="O131" s="996"/>
      <c r="P131" s="997"/>
      <c r="Q131" s="316">
        <f>COUNTIFS(input!$O:$O,July!$Q$124,input!$X:$X,July!N131,input!$A:$A,July!$B$2)</f>
        <v>0</v>
      </c>
      <c r="R131" s="316">
        <f>COUNTIFS(input!$O:$O,July!$R$124,input!$X:$X,July!N131,input!$A:$A,July!$B$2)</f>
        <v>0</v>
      </c>
      <c r="S131" s="316">
        <f>COUNTIFS(input!$O:$O,July!$S$124,input!$X:$X,July!N131,input!$A:$A,July!$B$2)</f>
        <v>0</v>
      </c>
      <c r="T131" s="322">
        <f>COUNTIFS(input!$O:$O,July!$T$124,input!$X:$X,July!N131,input!$A:$A,July!$B$2)</f>
        <v>0</v>
      </c>
      <c r="U131" s="322">
        <f>COUNTIFS(input!$O:$O,July!$U$124,input!$X:$X,July!N131,input!$A:$A,July!$B$2)</f>
        <v>0</v>
      </c>
      <c r="V131" s="323">
        <f>COUNTIFS(input!$O:$O,July!$V$124,input!$X:$X,July!N131,input!$A:$A,July!$B$2)</f>
        <v>0</v>
      </c>
      <c r="W131" s="323">
        <f>COUNTIFS(input!$O:$O,July!$W$124,input!$X:$X,July!N131,input!$A:$A,July!$B$2)</f>
        <v>0</v>
      </c>
      <c r="X131" s="324">
        <f>COUNTIFS(input!$O:$O,July!$X$124,input!$X:$X,July!N131,input!$A:$A,July!$B$2)</f>
        <v>0</v>
      </c>
      <c r="Y131" s="312">
        <f t="shared" si="11"/>
        <v>0</v>
      </c>
      <c r="Z131" s="315" cm="1">
        <f t="array" ref="Z131">_xlfn.IFS(Y131=0,0,Y131&gt;=1,Y131/$Y$189)</f>
        <v>0</v>
      </c>
    </row>
    <row r="132" spans="2:26" ht="92" customHeight="1" x14ac:dyDescent="0.25">
      <c r="B132" s="990" t="s">
        <v>2064</v>
      </c>
      <c r="C132" s="991"/>
      <c r="D132" s="316">
        <f>COUNTIFS(input!$O:$O,July!$D$124,input!$W:$W,July!B132,input!$A:$A,July!$B$2)</f>
        <v>0</v>
      </c>
      <c r="E132" s="316">
        <f>COUNTIFS(input!$O:$O,July!$E$124,input!$W:$W,July!B132,input!$A:$A,July!$B$2)</f>
        <v>0</v>
      </c>
      <c r="F132" s="316">
        <f>COUNTIFS(input!$O:$O,July!$F$124,input!$W:$W,July!B132,input!$A:$A,July!$B$2)</f>
        <v>0</v>
      </c>
      <c r="G132" s="322">
        <f>COUNTIFS(input!$O:$O,July!$G$124,input!$W:$W,July!B132,input!$A:$A,July!$B$2)</f>
        <v>1</v>
      </c>
      <c r="H132" s="321">
        <f>COUNTIFS(input!$O:$O,July!$H$124,input!$W:$W,July!B132,input!$A:$A,July!$B$2)</f>
        <v>0</v>
      </c>
      <c r="I132" s="321">
        <f>COUNTIFS(input!$O:$O,July!$I$124,input!$W:$W,July!B132,input!$A:$A,July!$B$2)</f>
        <v>0</v>
      </c>
      <c r="J132" s="321">
        <f>COUNTIFS(input!$O:$O,July!$J$124,input!$W:$W,July!B132,input!$A:$A,July!$B$2)</f>
        <v>0</v>
      </c>
      <c r="K132" s="343">
        <f>COUNTIFS(input!$O:$O,July!$K$124,input!$W:$W,July!B132,input!$A:$A,July!$B$2)</f>
        <v>0</v>
      </c>
      <c r="L132" s="312">
        <f t="shared" si="12"/>
        <v>1</v>
      </c>
      <c r="M132" s="320" cm="1">
        <f t="array" ref="M132">_xlfn.IFS(L132=0,0,L132&gt;=1,L132/$L$189)</f>
        <v>6.25E-2</v>
      </c>
      <c r="N132" s="995" t="s">
        <v>378</v>
      </c>
      <c r="O132" s="996"/>
      <c r="P132" s="997"/>
      <c r="Q132" s="316">
        <f>COUNTIFS(input!$O:$O,July!$Q$124,input!$X:$X,July!N132,input!$A:$A,July!$B$2)</f>
        <v>0</v>
      </c>
      <c r="R132" s="316">
        <f>COUNTIFS(input!$O:$O,July!$R$124,input!$X:$X,July!N132,input!$A:$A,July!$B$2)</f>
        <v>0</v>
      </c>
      <c r="S132" s="316">
        <f>COUNTIFS(input!$O:$O,July!$S$124,input!$X:$X,July!N132,input!$A:$A,July!$B$2)</f>
        <v>0</v>
      </c>
      <c r="T132" s="322">
        <f>COUNTIFS(input!$O:$O,July!$T$124,input!$X:$X,July!N132,input!$A:$A,July!$B$2)</f>
        <v>0</v>
      </c>
      <c r="U132" s="322">
        <f>COUNTIFS(input!$O:$O,July!$U$124,input!$X:$X,July!N132,input!$A:$A,July!$B$2)</f>
        <v>0</v>
      </c>
      <c r="V132" s="323">
        <f>COUNTIFS(input!$O:$O,July!$V$124,input!$X:$X,July!N132,input!$A:$A,July!$B$2)</f>
        <v>0</v>
      </c>
      <c r="W132" s="323">
        <f>COUNTIFS(input!$O:$O,July!$W$124,input!$X:$X,July!N132,input!$A:$A,July!$B$2)</f>
        <v>0</v>
      </c>
      <c r="X132" s="324">
        <f>COUNTIFS(input!$O:$O,July!$X$124,input!$X:$X,July!N132,input!$A:$A,July!$B$2)</f>
        <v>0</v>
      </c>
      <c r="Y132" s="312">
        <f t="shared" si="11"/>
        <v>0</v>
      </c>
      <c r="Z132" s="315" cm="1">
        <f t="array" ref="Z132">_xlfn.IFS(Y132=0,0,Y132&gt;=1,Y132/$Y$189)</f>
        <v>0</v>
      </c>
    </row>
    <row r="133" spans="2:26" ht="92" customHeight="1" x14ac:dyDescent="0.25">
      <c r="B133" s="990" t="s">
        <v>358</v>
      </c>
      <c r="C133" s="991"/>
      <c r="D133" s="316">
        <f>COUNTIFS(input!$O:$O,July!$D$124,input!$W:$W,July!B133,input!$A:$A,July!$B$2)</f>
        <v>0</v>
      </c>
      <c r="E133" s="316">
        <f>COUNTIFS(input!$O:$O,July!$E$124,input!$W:$W,July!B133,input!$A:$A,July!$B$2)</f>
        <v>0</v>
      </c>
      <c r="F133" s="316">
        <f>COUNTIFS(input!$O:$O,July!$F$124,input!$W:$W,July!B133,input!$A:$A,July!$B$2)</f>
        <v>0</v>
      </c>
      <c r="G133" s="322">
        <f>COUNTIFS(input!$O:$O,July!$G$124,input!$W:$W,July!B133,input!$A:$A,July!$B$2)</f>
        <v>0</v>
      </c>
      <c r="H133" s="321">
        <f>COUNTIFS(input!$O:$O,July!$H$124,input!$W:$W,July!B133,input!$A:$A,July!$B$2)</f>
        <v>0</v>
      </c>
      <c r="I133" s="321">
        <f>COUNTIFS(input!$O:$O,July!$I$124,input!$W:$W,July!B133,input!$A:$A,July!$B$2)</f>
        <v>1</v>
      </c>
      <c r="J133" s="321">
        <f>COUNTIFS(input!$O:$O,July!$J$124,input!$W:$W,July!B133,input!$A:$A,July!$B$2)</f>
        <v>0</v>
      </c>
      <c r="K133" s="343">
        <f>COUNTIFS(input!$O:$O,July!$K$124,input!$W:$W,July!B133,input!$A:$A,July!$B$2)</f>
        <v>0</v>
      </c>
      <c r="L133" s="312">
        <f t="shared" si="12"/>
        <v>1</v>
      </c>
      <c r="M133" s="320" cm="1">
        <f t="array" ref="M133">_xlfn.IFS(L133=0,0,L133&gt;=1,L133/$L$189)</f>
        <v>6.25E-2</v>
      </c>
      <c r="N133" s="995" t="s">
        <v>379</v>
      </c>
      <c r="O133" s="996"/>
      <c r="P133" s="997"/>
      <c r="Q133" s="316">
        <f>COUNTIFS(input!$O:$O,July!$Q$124,input!$X:$X,July!N133,input!$A:$A,July!$B$2)</f>
        <v>0</v>
      </c>
      <c r="R133" s="316">
        <f>COUNTIFS(input!$O:$O,July!$R$124,input!$X:$X,July!N133,input!$A:$A,July!$B$2)</f>
        <v>0</v>
      </c>
      <c r="S133" s="316">
        <f>COUNTIFS(input!$O:$O,July!$S$124,input!$X:$X,July!N133,input!$A:$A,July!$B$2)</f>
        <v>0</v>
      </c>
      <c r="T133" s="322">
        <f>COUNTIFS(input!$O:$O,July!$T$124,input!$X:$X,July!N133,input!$A:$A,July!$B$2)</f>
        <v>0</v>
      </c>
      <c r="U133" s="322">
        <f>COUNTIFS(input!$O:$O,July!$U$124,input!$X:$X,July!N133,input!$A:$A,July!$B$2)</f>
        <v>0</v>
      </c>
      <c r="V133" s="323">
        <f>COUNTIFS(input!$O:$O,July!$V$124,input!$X:$X,July!N133,input!$A:$A,July!$B$2)</f>
        <v>0</v>
      </c>
      <c r="W133" s="323">
        <f>COUNTIFS(input!$O:$O,July!$W$124,input!$X:$X,July!N133,input!$A:$A,July!$B$2)</f>
        <v>0</v>
      </c>
      <c r="X133" s="324">
        <f>COUNTIFS(input!$O:$O,July!$X$124,input!$X:$X,July!N133,input!$A:$A,July!$B$2)</f>
        <v>0</v>
      </c>
      <c r="Y133" s="312">
        <f t="shared" si="11"/>
        <v>0</v>
      </c>
      <c r="Z133" s="315" cm="1">
        <f t="array" ref="Z133">_xlfn.IFS(Y133=0,0,Y133&gt;=1,Y133/$Y$189)</f>
        <v>0</v>
      </c>
    </row>
    <row r="134" spans="2:26" ht="92" hidden="1" customHeight="1" x14ac:dyDescent="0.25">
      <c r="B134" s="1122" t="s">
        <v>360</v>
      </c>
      <c r="C134" s="997"/>
      <c r="D134" s="316">
        <f>COUNTIFS(input!$O:$O,July!$D$124,input!$W:$W,July!B134,input!$A:$A,July!$B$2)</f>
        <v>0</v>
      </c>
      <c r="E134" s="316">
        <f>COUNTIFS(input!$O:$O,July!$E$124,input!$W:$W,July!B134,input!$A:$A,July!$B$2)</f>
        <v>0</v>
      </c>
      <c r="F134" s="316">
        <f>COUNTIFS(input!$O:$O,July!$F$124,input!$W:$W,July!B134,input!$A:$A,July!$B$2)</f>
        <v>0</v>
      </c>
      <c r="G134" s="322">
        <f>COUNTIFS(input!$O:$O,July!$G$124,input!$W:$W,July!B134,input!$A:$A,July!$B$2)</f>
        <v>0</v>
      </c>
      <c r="H134" s="321">
        <f>COUNTIFS(input!$O:$O,July!$H$124,input!$W:$W,July!B134,input!$A:$A,July!$B$2)</f>
        <v>0</v>
      </c>
      <c r="I134" s="321">
        <f>COUNTIFS(input!$O:$O,July!$I$124,input!$W:$W,July!B134,input!$A:$A,July!$B$2)</f>
        <v>0</v>
      </c>
      <c r="J134" s="321">
        <f>COUNTIFS(input!$O:$O,July!$J$124,input!$W:$W,July!B134,input!$A:$A,July!$B$2)</f>
        <v>0</v>
      </c>
      <c r="K134" s="343">
        <f>COUNTIFS(input!$O:$O,July!$K$124,input!$W:$W,July!B134,input!$A:$A,July!$B$2)</f>
        <v>0</v>
      </c>
      <c r="L134" s="312">
        <f t="shared" si="12"/>
        <v>0</v>
      </c>
      <c r="M134" s="320" cm="1">
        <f t="array" ref="M134">_xlfn.IFS(L134=0,0,L134&gt;=1,L134/$L$189)</f>
        <v>0</v>
      </c>
      <c r="N134" s="995" t="s">
        <v>606</v>
      </c>
      <c r="O134" s="996"/>
      <c r="P134" s="997"/>
      <c r="Q134" s="316">
        <f>COUNTIFS(input!$O:$O,July!$Q$124,input!$X:$X,July!N134,input!$A:$A,July!$B$2)</f>
        <v>0</v>
      </c>
      <c r="R134" s="316">
        <f>COUNTIFS(input!$O:$O,July!$R$124,input!$X:$X,July!N134,input!$A:$A,July!$B$2)</f>
        <v>0</v>
      </c>
      <c r="S134" s="316">
        <f>COUNTIFS(input!$O:$O,July!$S$124,input!$X:$X,July!N134,input!$A:$A,July!$B$2)</f>
        <v>0</v>
      </c>
      <c r="T134" s="322">
        <f>COUNTIFS(input!$O:$O,July!$T$124,input!$X:$X,July!N134,input!$A:$A,July!$B$2)</f>
        <v>0</v>
      </c>
      <c r="U134" s="322">
        <f>COUNTIFS(input!$O:$O,July!$U$124,input!$X:$X,July!N134,input!$A:$A,July!$B$2)</f>
        <v>0</v>
      </c>
      <c r="V134" s="323">
        <f>COUNTIFS(input!$O:$O,July!$V$124,input!$X:$X,July!N134,input!$A:$A,July!$B$2)</f>
        <v>0</v>
      </c>
      <c r="W134" s="323">
        <f>COUNTIFS(input!$O:$O,July!$W$124,input!$X:$X,July!N134,input!$A:$A,July!$B$2)</f>
        <v>0</v>
      </c>
      <c r="X134" s="324">
        <f>COUNTIFS(input!$O:$O,July!$X$124,input!$X:$X,July!N134,input!$A:$A,July!$B$2)</f>
        <v>0</v>
      </c>
      <c r="Y134" s="312">
        <f t="shared" si="11"/>
        <v>0</v>
      </c>
      <c r="Z134" s="315" cm="1">
        <f t="array" ref="Z134">_xlfn.IFS(Y134=0,0,Y134&gt;=1,Y134/$Y$189)</f>
        <v>0</v>
      </c>
    </row>
    <row r="135" spans="2:26" ht="92" customHeight="1" x14ac:dyDescent="0.25">
      <c r="B135" s="1122" t="s">
        <v>600</v>
      </c>
      <c r="C135" s="997"/>
      <c r="D135" s="316">
        <f>COUNTIFS(input!$O:$O,July!$D$124,input!$W:$W,July!B135,input!$A:$A,July!$B$2)</f>
        <v>0</v>
      </c>
      <c r="E135" s="316">
        <f>COUNTIFS(input!$O:$O,July!$E$124,input!$W:$W,July!B135,input!$A:$A,July!$B$2)</f>
        <v>0</v>
      </c>
      <c r="F135" s="316">
        <f>COUNTIFS(input!$O:$O,July!$F$124,input!$W:$W,July!B135,input!$A:$A,July!$B$2)</f>
        <v>0</v>
      </c>
      <c r="G135" s="322">
        <f>COUNTIFS(input!$O:$O,July!$G$124,input!$W:$W,July!B135,input!$A:$A,July!$B$2)</f>
        <v>0</v>
      </c>
      <c r="H135" s="321">
        <f>COUNTIFS(input!$O:$O,July!$H$124,input!$W:$W,July!B135,input!$A:$A,July!$B$2)</f>
        <v>0</v>
      </c>
      <c r="I135" s="321">
        <f>COUNTIFS(input!$O:$O,July!$I$124,input!$W:$W,July!B135,input!$A:$A,July!$B$2)</f>
        <v>0</v>
      </c>
      <c r="J135" s="321">
        <f>COUNTIFS(input!$O:$O,July!$J$124,input!$W:$W,July!B135,input!$A:$A,July!$B$2)</f>
        <v>0</v>
      </c>
      <c r="K135" s="343">
        <f>COUNTIFS(input!$O:$O,July!$K$124,input!$W:$W,July!B135,input!$A:$A,July!$B$2)</f>
        <v>0</v>
      </c>
      <c r="L135" s="312">
        <f t="shared" si="12"/>
        <v>0</v>
      </c>
      <c r="M135" s="320" cm="1">
        <f t="array" ref="M135">_xlfn.IFS(L135=0,0,L135&gt;=1,L135/$L$189)</f>
        <v>0</v>
      </c>
      <c r="N135" s="992" t="s">
        <v>380</v>
      </c>
      <c r="O135" s="993"/>
      <c r="P135" s="994"/>
      <c r="Q135" s="316">
        <f>COUNTIFS(input!$O:$O,July!$Q$124,input!$X:$X,July!N135,input!$A:$A,July!$B$2)</f>
        <v>0</v>
      </c>
      <c r="R135" s="316">
        <f>COUNTIFS(input!$O:$O,July!$R$124,input!$X:$X,July!N135,input!$A:$A,July!$B$2)</f>
        <v>0</v>
      </c>
      <c r="S135" s="316">
        <f>COUNTIFS(input!$O:$O,July!$S$124,input!$X:$X,July!N135,input!$A:$A,July!$B$2)</f>
        <v>0</v>
      </c>
      <c r="T135" s="322">
        <f>COUNTIFS(input!$O:$O,July!$T$124,input!$X:$X,July!N135,input!$A:$A,July!$B$2)</f>
        <v>1</v>
      </c>
      <c r="U135" s="322">
        <f>COUNTIFS(input!$O:$O,July!$U$124,input!$X:$X,July!N135,input!$A:$A,July!$B$2)</f>
        <v>0</v>
      </c>
      <c r="V135" s="323">
        <f>COUNTIFS(input!$O:$O,July!$V$124,input!$X:$X,July!N135,input!$A:$A,July!$B$2)</f>
        <v>0</v>
      </c>
      <c r="W135" s="323">
        <f>COUNTIFS(input!$O:$O,July!$W$124,input!$X:$X,July!N135,input!$A:$A,July!$B$2)</f>
        <v>0</v>
      </c>
      <c r="X135" s="324">
        <f>COUNTIFS(input!$O:$O,July!$X$124,input!$X:$X,July!N135,input!$A:$A,July!$B$2)</f>
        <v>0</v>
      </c>
      <c r="Y135" s="312">
        <f t="shared" si="11"/>
        <v>1</v>
      </c>
      <c r="Z135" s="315" cm="1">
        <f t="array" ref="Z135">_xlfn.IFS(Y135=0,0,Y135&gt;=1,Y135/$Y$189)</f>
        <v>6.25E-2</v>
      </c>
    </row>
    <row r="136" spans="2:26" ht="92" customHeight="1" x14ac:dyDescent="0.25">
      <c r="B136" s="998" t="s">
        <v>2103</v>
      </c>
      <c r="C136" s="994"/>
      <c r="D136" s="316">
        <f>COUNTIFS(input!$O:$O,July!$D$124,input!$W:$W,July!B136,input!$A:$A,July!$B$2)</f>
        <v>0</v>
      </c>
      <c r="E136" s="316">
        <f>COUNTIFS(input!$O:$O,July!$E$124,input!$W:$W,July!B136,input!$A:$A,July!$B$2)</f>
        <v>0</v>
      </c>
      <c r="F136" s="316">
        <f>COUNTIFS(input!$O:$O,July!$F$124,input!$W:$W,July!B136,input!$A:$A,July!$B$2)</f>
        <v>0</v>
      </c>
      <c r="G136" s="322">
        <f>COUNTIFS(input!$O:$O,July!$G$124,input!$W:$W,July!B136,input!$A:$A,July!$B$2)</f>
        <v>0</v>
      </c>
      <c r="H136" s="321">
        <f>COUNTIFS(input!$O:$O,July!$H$124,input!$W:$W,July!B136,input!$A:$A,July!$B$2)</f>
        <v>0</v>
      </c>
      <c r="I136" s="321">
        <f>COUNTIFS(input!$O:$O,July!$I$124,input!$W:$W,July!B136,input!$A:$A,July!$B$2)</f>
        <v>0</v>
      </c>
      <c r="J136" s="321">
        <f>COUNTIFS(input!$O:$O,July!$J$124,input!$W:$W,July!B136,input!$A:$A,July!$B$2)</f>
        <v>0</v>
      </c>
      <c r="K136" s="343">
        <f>COUNTIFS(input!$O:$O,July!$K$124,input!$W:$W,July!B136,input!$A:$A,July!$B$2)</f>
        <v>0</v>
      </c>
      <c r="L136" s="312">
        <f>SUM(D136:K136)</f>
        <v>0</v>
      </c>
      <c r="M136" s="320" cm="1">
        <f t="array" ref="M136">_xlfn.IFS(L136=0,0,L136&gt;=1,L136/$L$189)</f>
        <v>0</v>
      </c>
      <c r="N136" s="992" t="s">
        <v>381</v>
      </c>
      <c r="O136" s="993"/>
      <c r="P136" s="994"/>
      <c r="Q136" s="316">
        <f>COUNTIFS(input!$O:$O,July!$Q$124,input!$X:$X,July!N136,input!$A:$A,July!$B$2)</f>
        <v>0</v>
      </c>
      <c r="R136" s="316">
        <f>COUNTIFS(input!$O:$O,July!$R$124,input!$X:$X,July!N136,input!$A:$A,July!$B$2)</f>
        <v>0</v>
      </c>
      <c r="S136" s="316">
        <f>COUNTIFS(input!$O:$O,July!$S$124,input!$X:$X,July!N136,input!$A:$A,July!$B$2)</f>
        <v>0</v>
      </c>
      <c r="T136" s="322">
        <f>COUNTIFS(input!$O:$O,July!$T$124,input!$X:$X,July!N136,input!$A:$A,July!$B$2)</f>
        <v>1</v>
      </c>
      <c r="U136" s="322">
        <f>COUNTIFS(input!$O:$O,July!$U$124,input!$X:$X,July!N136,input!$A:$A,July!$B$2)</f>
        <v>0</v>
      </c>
      <c r="V136" s="323">
        <f>COUNTIFS(input!$O:$O,July!$V$124,input!$X:$X,July!N136,input!$A:$A,July!$B$2)</f>
        <v>0</v>
      </c>
      <c r="W136" s="323">
        <f>COUNTIFS(input!$O:$O,July!$W$124,input!$X:$X,July!N136,input!$A:$A,July!$B$2)</f>
        <v>0</v>
      </c>
      <c r="X136" s="324">
        <f>COUNTIFS(input!$O:$O,July!$X$124,input!$X:$X,July!N136,input!$A:$A,July!$B$2)</f>
        <v>0</v>
      </c>
      <c r="Y136" s="312">
        <f>SUM(Q136:X136)</f>
        <v>1</v>
      </c>
      <c r="Z136" s="315" cm="1">
        <f t="array" ref="Z136">_xlfn.IFS(Y136=0,0,Y136&gt;=1,Y136/$Y$189)</f>
        <v>6.25E-2</v>
      </c>
    </row>
    <row r="137" spans="2:26" ht="92" hidden="1" customHeight="1" x14ac:dyDescent="0.25">
      <c r="B137" s="1122" t="s">
        <v>561</v>
      </c>
      <c r="C137" s="997"/>
      <c r="D137" s="316">
        <f>COUNTIFS(input!$O:$O,July!$D$124,input!$W:$W,July!B137,input!$A:$A,July!$B$2)</f>
        <v>0</v>
      </c>
      <c r="E137" s="316">
        <f>COUNTIFS(input!$O:$O,July!$E$124,input!$W:$W,July!B137,input!$A:$A,July!$B$2)</f>
        <v>0</v>
      </c>
      <c r="F137" s="316">
        <f>COUNTIFS(input!$O:$O,July!$F$124,input!$W:$W,July!B137,input!$A:$A,July!$B$2)</f>
        <v>0</v>
      </c>
      <c r="G137" s="322">
        <f>COUNTIFS(input!$O:$O,July!$G$124,input!$W:$W,July!B137,input!$A:$A,July!$B$2)</f>
        <v>0</v>
      </c>
      <c r="H137" s="321">
        <f>COUNTIFS(input!$O:$O,July!$H$124,input!$W:$W,July!B137,input!$A:$A,July!$B$2)</f>
        <v>0</v>
      </c>
      <c r="I137" s="321">
        <f>COUNTIFS(input!$O:$O,July!$I$124,input!$W:$W,July!B137,input!$A:$A,July!$B$2)</f>
        <v>0</v>
      </c>
      <c r="J137" s="321">
        <f>COUNTIFS(input!$O:$O,July!$J$124,input!$W:$W,July!B137,input!$A:$A,July!$B$2)</f>
        <v>0</v>
      </c>
      <c r="K137" s="343">
        <f>COUNTIFS(input!$O:$O,July!$K$124,input!$W:$W,July!B137,input!$A:$A,July!$B$2)</f>
        <v>0</v>
      </c>
      <c r="L137" s="312">
        <f t="shared" si="12"/>
        <v>0</v>
      </c>
      <c r="M137" s="320" cm="1">
        <f t="array" ref="M137">_xlfn.IFS(L137=0,0,L137&gt;=1,L137/$L$189)</f>
        <v>0</v>
      </c>
      <c r="N137" s="995" t="s">
        <v>1842</v>
      </c>
      <c r="O137" s="996"/>
      <c r="P137" s="997"/>
      <c r="Q137" s="316">
        <f>COUNTIFS(input!$O:$O,July!$Q$124,input!$X:$X,July!N137,input!$A:$A,July!$B$2)</f>
        <v>0</v>
      </c>
      <c r="R137" s="316">
        <f>COUNTIFS(input!$O:$O,July!$R$124,input!$X:$X,July!N137,input!$A:$A,July!$B$2)</f>
        <v>0</v>
      </c>
      <c r="S137" s="316">
        <f>COUNTIFS(input!$O:$O,July!$S$124,input!$X:$X,July!N137,input!$A:$A,July!$B$2)</f>
        <v>0</v>
      </c>
      <c r="T137" s="322">
        <f>COUNTIFS(input!$O:$O,July!$T$124,input!$X:$X,July!N137,input!$A:$A,July!$B$2)</f>
        <v>0</v>
      </c>
      <c r="U137" s="322">
        <f>COUNTIFS(input!$O:$O,July!$U$124,input!$X:$X,July!N137,input!$A:$A,July!$B$2)</f>
        <v>0</v>
      </c>
      <c r="V137" s="323">
        <f>COUNTIFS(input!$O:$O,July!$V$124,input!$X:$X,July!N137,input!$A:$A,July!$B$2)</f>
        <v>0</v>
      </c>
      <c r="W137" s="323">
        <f>COUNTIFS(input!$O:$O,July!$W$124,input!$X:$X,July!N137,input!$A:$A,July!$B$2)</f>
        <v>0</v>
      </c>
      <c r="X137" s="324">
        <f>COUNTIFS(input!$O:$O,July!$X$124,input!$X:$X,July!N137,input!$A:$A,July!$B$2)</f>
        <v>0</v>
      </c>
      <c r="Y137" s="312">
        <f t="shared" si="11"/>
        <v>0</v>
      </c>
      <c r="Z137" s="315" cm="1">
        <f t="array" ref="Z137">_xlfn.IFS(Y137=0,0,Y137&gt;=1,Y137/$Y$189)</f>
        <v>0</v>
      </c>
    </row>
    <row r="138" spans="2:26" ht="92" customHeight="1" x14ac:dyDescent="0.25">
      <c r="B138" s="998" t="s">
        <v>1837</v>
      </c>
      <c r="C138" s="994"/>
      <c r="D138" s="316">
        <f>COUNTIFS(input!$O:$O,July!$D$124,input!$W:$W,July!B138,input!$A:$A,July!$B$2)</f>
        <v>0</v>
      </c>
      <c r="E138" s="316">
        <f>COUNTIFS(input!$O:$O,July!$E$124,input!$W:$W,July!B138,input!$A:$A,July!$B$2)</f>
        <v>0</v>
      </c>
      <c r="F138" s="316">
        <f>COUNTIFS(input!$O:$O,July!$F$124,input!$W:$W,July!B138,input!$A:$A,July!$B$2)</f>
        <v>0</v>
      </c>
      <c r="G138" s="322">
        <f>COUNTIFS(input!$O:$O,July!$G$124,input!$W:$W,July!B138,input!$A:$A,July!$B$2)</f>
        <v>1</v>
      </c>
      <c r="H138" s="321">
        <f>COUNTIFS(input!$O:$O,July!$H$124,input!$W:$W,July!B138,input!$A:$A,July!$B$2)</f>
        <v>0</v>
      </c>
      <c r="I138" s="321">
        <f>COUNTIFS(input!$O:$O,July!$I$124,input!$W:$W,July!B138,input!$A:$A,July!$B$2)</f>
        <v>0</v>
      </c>
      <c r="J138" s="321">
        <f>COUNTIFS(input!$O:$O,July!$J$124,input!$W:$W,July!B138,input!$A:$A,July!$B$2)</f>
        <v>0</v>
      </c>
      <c r="K138" s="343">
        <f>COUNTIFS(input!$O:$O,July!$K$124,input!$W:$W,July!B138,input!$A:$A,July!$B$2)</f>
        <v>0</v>
      </c>
      <c r="L138" s="312">
        <f t="shared" si="12"/>
        <v>1</v>
      </c>
      <c r="M138" s="320" cm="1">
        <f t="array" ref="M138">_xlfn.IFS(L138=0,0,L138&gt;=1,L138/$L$189)</f>
        <v>6.25E-2</v>
      </c>
      <c r="N138" s="995" t="s">
        <v>1843</v>
      </c>
      <c r="O138" s="996"/>
      <c r="P138" s="997"/>
      <c r="Q138" s="316">
        <f>COUNTIFS(input!$O:$O,July!$Q$124,input!$X:$X,July!N138,input!$A:$A,July!$B$2)</f>
        <v>0</v>
      </c>
      <c r="R138" s="316">
        <f>COUNTIFS(input!$O:$O,July!$R$124,input!$X:$X,July!N138,input!$A:$A,July!$B$2)</f>
        <v>0</v>
      </c>
      <c r="S138" s="316">
        <f>COUNTIFS(input!$O:$O,July!$S$124,input!$X:$X,July!N138,input!$A:$A,July!$B$2)</f>
        <v>0</v>
      </c>
      <c r="T138" s="322">
        <f>COUNTIFS(input!$O:$O,July!$T$124,input!$X:$X,July!N138,input!$A:$A,July!$B$2)</f>
        <v>0</v>
      </c>
      <c r="U138" s="322">
        <f>COUNTIFS(input!$O:$O,July!$U$124,input!$X:$X,July!N138,input!$A:$A,July!$B$2)</f>
        <v>0</v>
      </c>
      <c r="V138" s="323">
        <f>COUNTIFS(input!$O:$O,July!$V$124,input!$X:$X,July!N138,input!$A:$A,July!$B$2)</f>
        <v>0</v>
      </c>
      <c r="W138" s="323">
        <f>COUNTIFS(input!$O:$O,July!$W$124,input!$X:$X,July!N138,input!$A:$A,July!$B$2)</f>
        <v>0</v>
      </c>
      <c r="X138" s="324">
        <f>COUNTIFS(input!$O:$O,July!$X$124,input!$X:$X,July!N138,input!$A:$A,July!$B$2)</f>
        <v>0</v>
      </c>
      <c r="Y138" s="312">
        <f t="shared" si="11"/>
        <v>0</v>
      </c>
      <c r="Z138" s="315" cm="1">
        <f t="array" ref="Z138">_xlfn.IFS(Y138=0,0,Y138&gt;=1,Y138/$Y$189)</f>
        <v>0</v>
      </c>
    </row>
    <row r="139" spans="2:26" ht="92" hidden="1" customHeight="1" x14ac:dyDescent="0.25">
      <c r="B139" s="1122" t="s">
        <v>601</v>
      </c>
      <c r="C139" s="997"/>
      <c r="D139" s="316">
        <f>COUNTIFS(input!$O:$O,July!$D$124,input!$W:$W,July!B139,input!$A:$A,July!$B$2)</f>
        <v>0</v>
      </c>
      <c r="E139" s="316">
        <f>COUNTIFS(input!$O:$O,July!$E$124,input!$W:$W,July!B139,input!$A:$A,July!$B$2)</f>
        <v>0</v>
      </c>
      <c r="F139" s="316">
        <f>COUNTIFS(input!$O:$O,July!$F$124,input!$W:$W,July!B139,input!$A:$A,July!$B$2)</f>
        <v>0</v>
      </c>
      <c r="G139" s="322">
        <f>COUNTIFS(input!$O:$O,July!$G$124,input!$W:$W,July!B139,input!$A:$A,July!$B$2)</f>
        <v>0</v>
      </c>
      <c r="H139" s="321">
        <f>COUNTIFS(input!$O:$O,July!$H$124,input!$W:$W,July!B139,input!$A:$A,July!$B$2)</f>
        <v>0</v>
      </c>
      <c r="I139" s="321">
        <f>COUNTIFS(input!$O:$O,July!$I$124,input!$W:$W,July!B139,input!$A:$A,July!$B$2)</f>
        <v>0</v>
      </c>
      <c r="J139" s="321">
        <f>COUNTIFS(input!$O:$O,July!$J$124,input!$W:$W,July!B139,input!$A:$A,July!$B$2)</f>
        <v>0</v>
      </c>
      <c r="K139" s="343">
        <f>COUNTIFS(input!$O:$O,July!$K$124,input!$W:$W,July!B139,input!$A:$A,July!$B$2)</f>
        <v>0</v>
      </c>
      <c r="L139" s="312">
        <f t="shared" si="12"/>
        <v>0</v>
      </c>
      <c r="M139" s="320" cm="1">
        <f t="array" ref="M139">_xlfn.IFS(L139=0,0,L139&gt;=1,L139/$L$189)</f>
        <v>0</v>
      </c>
      <c r="N139" s="995" t="s">
        <v>72</v>
      </c>
      <c r="O139" s="996"/>
      <c r="P139" s="997"/>
      <c r="Q139" s="316">
        <f>COUNTIFS(input!$O:$O,July!$Q$124,input!$X:$X,July!N139,input!$A:$A,July!$B$2)</f>
        <v>0</v>
      </c>
      <c r="R139" s="316">
        <f>COUNTIFS(input!$O:$O,July!$R$124,input!$X:$X,July!N139,input!$A:$A,July!$B$2)</f>
        <v>0</v>
      </c>
      <c r="S139" s="316">
        <f>COUNTIFS(input!$O:$O,July!$S$124,input!$X:$X,July!N139,input!$A:$A,July!$B$2)</f>
        <v>0</v>
      </c>
      <c r="T139" s="322">
        <f>COUNTIFS(input!$O:$O,July!$T$124,input!$X:$X,July!N139,input!$A:$A,July!$B$2)</f>
        <v>0</v>
      </c>
      <c r="U139" s="322">
        <f>COUNTIFS(input!$O:$O,July!$U$124,input!$X:$X,July!N139,input!$A:$A,July!$B$2)</f>
        <v>0</v>
      </c>
      <c r="V139" s="323">
        <f>COUNTIFS(input!$O:$O,July!$V$124,input!$X:$X,July!N139,input!$A:$A,July!$B$2)</f>
        <v>0</v>
      </c>
      <c r="W139" s="323">
        <f>COUNTIFS(input!$O:$O,July!$W$124,input!$X:$X,July!N139,input!$A:$A,July!$B$2)</f>
        <v>0</v>
      </c>
      <c r="X139" s="324">
        <f>COUNTIFS(input!$O:$O,July!$X$124,input!$X:$X,July!N139,input!$A:$A,July!$B$2)</f>
        <v>0</v>
      </c>
      <c r="Y139" s="312">
        <f t="shared" si="11"/>
        <v>0</v>
      </c>
      <c r="Z139" s="315" cm="1">
        <f t="array" ref="Z139">_xlfn.IFS(Y139=0,0,Y139&gt;=1,Y139/$Y$189)</f>
        <v>0</v>
      </c>
    </row>
    <row r="140" spans="2:26" ht="92" hidden="1" customHeight="1" x14ac:dyDescent="0.25">
      <c r="B140" s="1122" t="s">
        <v>645</v>
      </c>
      <c r="C140" s="997"/>
      <c r="D140" s="316">
        <f>COUNTIFS(input!$O:$O,July!$D$124,input!$W:$W,July!B140,input!$A:$A,July!$B$2)</f>
        <v>0</v>
      </c>
      <c r="E140" s="316">
        <f>COUNTIFS(input!$O:$O,July!$E$124,input!$W:$W,July!B140,input!$A:$A,July!$B$2)</f>
        <v>0</v>
      </c>
      <c r="F140" s="316">
        <f>COUNTIFS(input!$O:$O,July!$F$124,input!$W:$W,July!B140,input!$A:$A,July!$B$2)</f>
        <v>0</v>
      </c>
      <c r="G140" s="322">
        <f>COUNTIFS(input!$O:$O,July!$G$124,input!$W:$W,July!B140,input!$A:$A,July!$B$2)</f>
        <v>0</v>
      </c>
      <c r="H140" s="321">
        <f>COUNTIFS(input!$O:$O,July!$H$124,input!$W:$W,July!B140,input!$A:$A,July!$B$2)</f>
        <v>0</v>
      </c>
      <c r="I140" s="321">
        <f>COUNTIFS(input!$O:$O,July!$I$124,input!$W:$W,July!B140,input!$A:$A,July!$B$2)</f>
        <v>0</v>
      </c>
      <c r="J140" s="321">
        <f>COUNTIFS(input!$O:$O,July!$J$124,input!$W:$W,July!B140,input!$A:$A,July!$B$2)</f>
        <v>0</v>
      </c>
      <c r="K140" s="343">
        <f>COUNTIFS(input!$O:$O,July!$K$124,input!$W:$W,July!B140,input!$A:$A,July!$B$2)</f>
        <v>0</v>
      </c>
      <c r="L140" s="312">
        <f t="shared" si="12"/>
        <v>0</v>
      </c>
      <c r="M140" s="320" cm="1">
        <f t="array" ref="M140">_xlfn.IFS(L140=0,0,L140&gt;=1,L140/$L$189)</f>
        <v>0</v>
      </c>
      <c r="N140" s="995" t="s">
        <v>73</v>
      </c>
      <c r="O140" s="996"/>
      <c r="P140" s="997"/>
      <c r="Q140" s="316">
        <f>COUNTIFS(input!$O:$O,July!$Q$124,input!$X:$X,July!N140,input!$A:$A,July!$B$2)</f>
        <v>0</v>
      </c>
      <c r="R140" s="316">
        <f>COUNTIFS(input!$O:$O,July!$R$124,input!$X:$X,July!N140,input!$A:$A,July!$B$2)</f>
        <v>0</v>
      </c>
      <c r="S140" s="316">
        <f>COUNTIFS(input!$O:$O,July!$S$124,input!$X:$X,July!N140,input!$A:$A,July!$B$2)</f>
        <v>0</v>
      </c>
      <c r="T140" s="322">
        <f>COUNTIFS(input!$O:$O,July!$T$124,input!$X:$X,July!N140,input!$A:$A,July!$B$2)</f>
        <v>0</v>
      </c>
      <c r="U140" s="322">
        <f>COUNTIFS(input!$O:$O,July!$U$124,input!$X:$X,July!N140,input!$A:$A,July!$B$2)</f>
        <v>0</v>
      </c>
      <c r="V140" s="323">
        <f>COUNTIFS(input!$O:$O,July!$V$124,input!$X:$X,July!N140,input!$A:$A,July!$B$2)</f>
        <v>0</v>
      </c>
      <c r="W140" s="323">
        <f>COUNTIFS(input!$O:$O,July!$W$124,input!$X:$X,July!N140,input!$A:$A,July!$B$2)</f>
        <v>0</v>
      </c>
      <c r="X140" s="324">
        <f>COUNTIFS(input!$O:$O,July!$X$124,input!$X:$X,July!N140,input!$A:$A,July!$B$2)</f>
        <v>0</v>
      </c>
      <c r="Y140" s="312">
        <f t="shared" si="11"/>
        <v>0</v>
      </c>
      <c r="Z140" s="315" cm="1">
        <f t="array" ref="Z140">_xlfn.IFS(Y140=0,0,Y140&gt;=1,Y140/$Y$189)</f>
        <v>0</v>
      </c>
    </row>
    <row r="141" spans="2:26" ht="92" hidden="1" customHeight="1" x14ac:dyDescent="0.25">
      <c r="B141" s="1122" t="s">
        <v>829</v>
      </c>
      <c r="C141" s="997"/>
      <c r="D141" s="316">
        <f>COUNTIFS(input!$O:$O,July!$D$124,input!$W:$W,July!B141,input!$A:$A,July!$B$2)</f>
        <v>0</v>
      </c>
      <c r="E141" s="316">
        <f>COUNTIFS(input!$O:$O,July!$E$124,input!$W:$W,July!B141,input!$A:$A,July!$B$2)</f>
        <v>0</v>
      </c>
      <c r="F141" s="316">
        <f>COUNTIFS(input!$O:$O,July!$F$124,input!$W:$W,July!B141,input!$A:$A,July!$B$2)</f>
        <v>0</v>
      </c>
      <c r="G141" s="322">
        <f>COUNTIFS(input!$O:$O,July!$G$124,input!$W:$W,July!B141,input!$A:$A,July!$B$2)</f>
        <v>0</v>
      </c>
      <c r="H141" s="321">
        <f>COUNTIFS(input!$O:$O,July!$H$124,input!$W:$W,July!B141,input!$A:$A,July!$B$2)</f>
        <v>0</v>
      </c>
      <c r="I141" s="321">
        <f>COUNTIFS(input!$O:$O,July!$I$124,input!$W:$W,July!B141,input!$A:$A,July!$B$2)</f>
        <v>0</v>
      </c>
      <c r="J141" s="321">
        <f>COUNTIFS(input!$O:$O,July!$J$124,input!$W:$W,July!B141,input!$A:$A,July!$B$2)</f>
        <v>0</v>
      </c>
      <c r="K141" s="343">
        <f>COUNTIFS(input!$O:$O,July!$K$124,input!$W:$W,July!B141,input!$A:$A,July!$B$2)</f>
        <v>0</v>
      </c>
      <c r="L141" s="312">
        <f t="shared" si="12"/>
        <v>0</v>
      </c>
      <c r="M141" s="320" cm="1">
        <f t="array" ref="M141">_xlfn.IFS(L141=0,0,L141&gt;=1,L141/$L$189)</f>
        <v>0</v>
      </c>
      <c r="N141" s="995" t="s">
        <v>744</v>
      </c>
      <c r="O141" s="996"/>
      <c r="P141" s="997"/>
      <c r="Q141" s="316">
        <f>COUNTIFS(input!$O:$O,July!$Q$124,input!$X:$X,July!N141,input!$A:$A,July!$B$2)</f>
        <v>0</v>
      </c>
      <c r="R141" s="316">
        <f>COUNTIFS(input!$O:$O,July!$R$124,input!$X:$X,July!N141,input!$A:$A,July!$B$2)</f>
        <v>0</v>
      </c>
      <c r="S141" s="316">
        <f>COUNTIFS(input!$O:$O,July!$S$124,input!$X:$X,July!N141,input!$A:$A,July!$B$2)</f>
        <v>0</v>
      </c>
      <c r="T141" s="322">
        <f>COUNTIFS(input!$O:$O,July!$T$124,input!$X:$X,July!N141,input!$A:$A,July!$B$2)</f>
        <v>0</v>
      </c>
      <c r="U141" s="322">
        <f>COUNTIFS(input!$O:$O,July!$U$124,input!$X:$X,July!N141,input!$A:$A,July!$B$2)</f>
        <v>0</v>
      </c>
      <c r="V141" s="323">
        <f>COUNTIFS(input!$O:$O,July!$V$124,input!$X:$X,July!N141,input!$A:$A,July!$B$2)</f>
        <v>0</v>
      </c>
      <c r="W141" s="323">
        <f>COUNTIFS(input!$O:$O,July!$W$124,input!$X:$X,July!N141,input!$A:$A,July!$B$2)</f>
        <v>0</v>
      </c>
      <c r="X141" s="324">
        <f>COUNTIFS(input!$O:$O,July!$X$124,input!$X:$X,July!N141,input!$A:$A,July!$B$2)</f>
        <v>0</v>
      </c>
      <c r="Y141" s="312">
        <f t="shared" si="11"/>
        <v>0</v>
      </c>
      <c r="Z141" s="315" cm="1">
        <f t="array" ref="Z141">_xlfn.IFS(Y141=0,0,Y141&gt;=1,Y141/$Y$189)</f>
        <v>0</v>
      </c>
    </row>
    <row r="142" spans="2:26" ht="92" customHeight="1" x14ac:dyDescent="0.25">
      <c r="B142" s="998" t="s">
        <v>2002</v>
      </c>
      <c r="C142" s="994"/>
      <c r="D142" s="316">
        <f>COUNTIFS(input!$O:$O,July!$D$124,input!$W:$W,July!B142,input!$A:$A,July!$B$2)</f>
        <v>0</v>
      </c>
      <c r="E142" s="316">
        <f>COUNTIFS(input!$O:$O,July!$E$124,input!$W:$W,July!B142,input!$A:$A,July!$B$2)</f>
        <v>0</v>
      </c>
      <c r="F142" s="316">
        <f>COUNTIFS(input!$O:$O,July!$F$124,input!$W:$W,July!B142,input!$A:$A,July!$B$2)</f>
        <v>0</v>
      </c>
      <c r="G142" s="322">
        <f>COUNTIFS(input!$O:$O,July!$G$124,input!$W:$W,July!B142,input!$A:$A,July!$B$2)</f>
        <v>1</v>
      </c>
      <c r="H142" s="321">
        <f>COUNTIFS(input!$O:$O,July!$H$124,input!$W:$W,July!B142,input!$A:$A,July!$B$2)</f>
        <v>0</v>
      </c>
      <c r="I142" s="321">
        <f>COUNTIFS(input!$O:$O,July!$I$124,input!$W:$W,July!B142,input!$A:$A,July!$B$2)</f>
        <v>1</v>
      </c>
      <c r="J142" s="321">
        <f>COUNTIFS(input!$O:$O,July!$J$124,input!$W:$W,July!B142,input!$A:$A,July!$B$2)</f>
        <v>0</v>
      </c>
      <c r="K142" s="343">
        <f>COUNTIFS(input!$O:$O,July!$K$124,input!$W:$W,July!B142,input!$A:$A,July!$B$2)</f>
        <v>0</v>
      </c>
      <c r="L142" s="312">
        <f>SUM(D142:K142)</f>
        <v>2</v>
      </c>
      <c r="M142" s="320" cm="1">
        <f t="array" ref="M142">_xlfn.IFS(L142=0,0,L142&gt;=1,L142/$L$189)</f>
        <v>0.125</v>
      </c>
      <c r="N142" s="992" t="s">
        <v>444</v>
      </c>
      <c r="O142" s="993"/>
      <c r="P142" s="994"/>
      <c r="Q142" s="316">
        <f>COUNTIFS(input!$O:$O,July!$Q$124,input!$X:$X,July!N142,input!$A:$A,July!$B$2)</f>
        <v>0</v>
      </c>
      <c r="R142" s="316">
        <f>COUNTIFS(input!$O:$O,July!$R$124,input!$X:$X,July!N142,input!$A:$A,July!$B$2)</f>
        <v>0</v>
      </c>
      <c r="S142" s="316">
        <f>COUNTIFS(input!$O:$O,July!$S$124,input!$X:$X,July!N142,input!$A:$A,July!$B$2)</f>
        <v>0</v>
      </c>
      <c r="T142" s="322">
        <f>COUNTIFS(input!$O:$O,July!$T$124,input!$X:$X,July!N142,input!$A:$A,July!$B$2)</f>
        <v>1</v>
      </c>
      <c r="U142" s="322">
        <f>COUNTIFS(input!$O:$O,July!$U$124,input!$X:$X,July!N142,input!$A:$A,July!$B$2)</f>
        <v>0</v>
      </c>
      <c r="V142" s="323">
        <f>COUNTIFS(input!$O:$O,July!$V$124,input!$X:$X,July!N142,input!$A:$A,July!$B$2)</f>
        <v>0</v>
      </c>
      <c r="W142" s="323">
        <f>COUNTIFS(input!$O:$O,July!$W$124,input!$X:$X,July!N142,input!$A:$A,July!$B$2)</f>
        <v>0</v>
      </c>
      <c r="X142" s="324">
        <f>COUNTIFS(input!$O:$O,July!$X$124,input!$X:$X,July!N142,input!$A:$A,July!$B$2)</f>
        <v>0</v>
      </c>
      <c r="Y142" s="312">
        <f>SUM(Q142:X142)</f>
        <v>1</v>
      </c>
      <c r="Z142" s="315" cm="1">
        <f t="array" ref="Z142">_xlfn.IFS(Y142=0,0,Y142&gt;=1,Y142/$Y$189)</f>
        <v>6.25E-2</v>
      </c>
    </row>
    <row r="143" spans="2:26" ht="92" customHeight="1" x14ac:dyDescent="0.25">
      <c r="B143" s="1122" t="s">
        <v>604</v>
      </c>
      <c r="C143" s="997"/>
      <c r="D143" s="316">
        <f>COUNTIFS(input!$O:$O,July!$D$124,input!$W:$W,July!B143,input!$A:$A,July!$B$2)</f>
        <v>0</v>
      </c>
      <c r="E143" s="316">
        <f>COUNTIFS(input!$O:$O,July!$E$124,input!$W:$W,July!B143,input!$A:$A,July!$B$2)</f>
        <v>0</v>
      </c>
      <c r="F143" s="316">
        <f>COUNTIFS(input!$O:$O,July!$F$124,input!$W:$W,July!B143,input!$A:$A,July!$B$2)</f>
        <v>0</v>
      </c>
      <c r="G143" s="322">
        <f>COUNTIFS(input!$O:$O,July!$G$124,input!$W:$W,July!B143,input!$A:$A,July!$B$2)</f>
        <v>0</v>
      </c>
      <c r="H143" s="321">
        <f>COUNTIFS(input!$O:$O,July!$H$124,input!$W:$W,July!B143,input!$A:$A,July!$B$2)</f>
        <v>0</v>
      </c>
      <c r="I143" s="321">
        <f>COUNTIFS(input!$O:$O,July!$I$124,input!$W:$W,July!B143,input!$A:$A,July!$B$2)</f>
        <v>0</v>
      </c>
      <c r="J143" s="321">
        <f>COUNTIFS(input!$O:$O,July!$J$124,input!$W:$W,July!B143,input!$A:$A,July!$B$2)</f>
        <v>0</v>
      </c>
      <c r="K143" s="343">
        <f>COUNTIFS(input!$O:$O,July!$K$124,input!$W:$W,July!B143,input!$A:$A,July!$B$2)</f>
        <v>0</v>
      </c>
      <c r="L143" s="312">
        <f t="shared" si="12"/>
        <v>0</v>
      </c>
      <c r="M143" s="320" cm="1">
        <f t="array" ref="M143">_xlfn.IFS(L143=0,0,L143&gt;=1,L143/$L$189)</f>
        <v>0</v>
      </c>
      <c r="N143" s="992" t="s">
        <v>764</v>
      </c>
      <c r="O143" s="993"/>
      <c r="P143" s="994"/>
      <c r="Q143" s="316">
        <f>COUNTIFS(input!$O:$O,July!$Q$124,input!$X:$X,July!N143,input!$A:$A,July!$B$2)</f>
        <v>0</v>
      </c>
      <c r="R143" s="316">
        <f>COUNTIFS(input!$O:$O,July!$R$124,input!$X:$X,July!N143,input!$A:$A,July!$B$2)</f>
        <v>0</v>
      </c>
      <c r="S143" s="316">
        <f>COUNTIFS(input!$O:$O,July!$S$124,input!$X:$X,July!N143,input!$A:$A,July!$B$2)</f>
        <v>0</v>
      </c>
      <c r="T143" s="322">
        <f>COUNTIFS(input!$O:$O,July!$T$124,input!$X:$X,July!N143,input!$A:$A,July!$B$2)</f>
        <v>1</v>
      </c>
      <c r="U143" s="322">
        <f>COUNTIFS(input!$O:$O,July!$U$124,input!$X:$X,July!N143,input!$A:$A,July!$B$2)</f>
        <v>0</v>
      </c>
      <c r="V143" s="323">
        <f>COUNTIFS(input!$O:$O,July!$V$124,input!$X:$X,July!N143,input!$A:$A,July!$B$2)</f>
        <v>0</v>
      </c>
      <c r="W143" s="323">
        <f>COUNTIFS(input!$O:$O,July!$W$124,input!$X:$X,July!N143,input!$A:$A,July!$B$2)</f>
        <v>0</v>
      </c>
      <c r="X143" s="324">
        <f>COUNTIFS(input!$O:$O,July!$X$124,input!$X:$X,July!N143,input!$A:$A,July!$B$2)</f>
        <v>0</v>
      </c>
      <c r="Y143" s="312">
        <f t="shared" si="11"/>
        <v>1</v>
      </c>
      <c r="Z143" s="315" cm="1">
        <f t="array" ref="Z143">_xlfn.IFS(Y143=0,0,Y143&gt;=1,Y143/$Y$189)</f>
        <v>6.25E-2</v>
      </c>
    </row>
    <row r="144" spans="2:26" ht="92" hidden="1" customHeight="1" x14ac:dyDescent="0.25">
      <c r="B144" s="1122" t="s">
        <v>1541</v>
      </c>
      <c r="C144" s="997"/>
      <c r="D144" s="316">
        <f>COUNTIFS(input!$O:$O,July!$D$124,input!$W:$W,July!B144,input!$A:$A,July!$B$2)</f>
        <v>0</v>
      </c>
      <c r="E144" s="316">
        <f>COUNTIFS(input!$O:$O,July!$E$124,input!$W:$W,July!B144,input!$A:$A,July!$B$2)</f>
        <v>0</v>
      </c>
      <c r="F144" s="316">
        <f>COUNTIFS(input!$O:$O,July!$F$124,input!$W:$W,July!B144,input!$A:$A,July!$B$2)</f>
        <v>0</v>
      </c>
      <c r="G144" s="322">
        <f>COUNTIFS(input!$O:$O,July!$G$124,input!$W:$W,July!B144,input!$A:$A,July!$B$2)</f>
        <v>0</v>
      </c>
      <c r="H144" s="321">
        <f>COUNTIFS(input!$O:$O,July!$H$124,input!$W:$W,July!B144,input!$A:$A,July!$B$2)</f>
        <v>0</v>
      </c>
      <c r="I144" s="321">
        <f>COUNTIFS(input!$O:$O,July!$I$124,input!$W:$W,July!B144,input!$A:$A,July!$B$2)</f>
        <v>0</v>
      </c>
      <c r="J144" s="321">
        <f>COUNTIFS(input!$O:$O,July!$J$124,input!$W:$W,July!B144,input!$A:$A,July!$B$2)</f>
        <v>0</v>
      </c>
      <c r="K144" s="343">
        <f>COUNTIFS(input!$O:$O,July!$K$124,input!$W:$W,July!B144,input!$A:$A,July!$B$2)</f>
        <v>0</v>
      </c>
      <c r="L144" s="312">
        <f t="shared" si="12"/>
        <v>0</v>
      </c>
      <c r="M144" s="320" cm="1">
        <f t="array" ref="M144">_xlfn.IFS(L144=0,0,L144&gt;=1,L144/$L$189)</f>
        <v>0</v>
      </c>
      <c r="N144" s="995" t="s">
        <v>507</v>
      </c>
      <c r="O144" s="996"/>
      <c r="P144" s="997"/>
      <c r="Q144" s="316">
        <f>COUNTIFS(input!$O:$O,July!$Q$124,input!$X:$X,July!N144,input!$A:$A,July!$B$2)</f>
        <v>0</v>
      </c>
      <c r="R144" s="316">
        <f>COUNTIFS(input!$O:$O,July!$R$124,input!$X:$X,July!N144,input!$A:$A,July!$B$2)</f>
        <v>0</v>
      </c>
      <c r="S144" s="316">
        <f>COUNTIFS(input!$O:$O,July!$S$124,input!$X:$X,July!N144,input!$A:$A,July!$B$2)</f>
        <v>0</v>
      </c>
      <c r="T144" s="322">
        <f>COUNTIFS(input!$O:$O,July!$T$124,input!$X:$X,July!N144,input!$A:$A,July!$B$2)</f>
        <v>0</v>
      </c>
      <c r="U144" s="322">
        <f>COUNTIFS(input!$O:$O,July!$U$124,input!$X:$X,July!N144,input!$A:$A,July!$B$2)</f>
        <v>0</v>
      </c>
      <c r="V144" s="323">
        <f>COUNTIFS(input!$O:$O,July!$V$124,input!$X:$X,July!N144,input!$A:$A,July!$B$2)</f>
        <v>0</v>
      </c>
      <c r="W144" s="323">
        <f>COUNTIFS(input!$O:$O,July!$W$124,input!$X:$X,July!N144,input!$A:$A,July!$B$2)</f>
        <v>0</v>
      </c>
      <c r="X144" s="324">
        <f>COUNTIFS(input!$O:$O,July!$X$124,input!$X:$X,July!N144,input!$A:$A,July!$B$2)</f>
        <v>0</v>
      </c>
      <c r="Y144" s="312">
        <f t="shared" si="11"/>
        <v>0</v>
      </c>
      <c r="Z144" s="315" cm="1">
        <f t="array" ref="Z144">_xlfn.IFS(Y144=0,0,Y144&gt;=1,Y144/$Y$189)</f>
        <v>0</v>
      </c>
    </row>
    <row r="145" spans="2:26" ht="92" hidden="1" customHeight="1" x14ac:dyDescent="0.25">
      <c r="B145" s="1122" t="s">
        <v>646</v>
      </c>
      <c r="C145" s="997"/>
      <c r="D145" s="316">
        <f>COUNTIFS(input!$O:$O,July!$D$124,input!$W:$W,July!B145,input!$A:$A,July!$B$2)</f>
        <v>0</v>
      </c>
      <c r="E145" s="316">
        <f>COUNTIFS(input!$O:$O,July!$E$124,input!$W:$W,July!B145,input!$A:$A,July!$B$2)</f>
        <v>0</v>
      </c>
      <c r="F145" s="316">
        <f>COUNTIFS(input!$O:$O,July!$F$124,input!$W:$W,July!B145,input!$A:$A,July!$B$2)</f>
        <v>0</v>
      </c>
      <c r="G145" s="322">
        <f>COUNTIFS(input!$O:$O,July!$G$124,input!$W:$W,July!B145,input!$A:$A,July!$B$2)</f>
        <v>0</v>
      </c>
      <c r="H145" s="321">
        <f>COUNTIFS(input!$O:$O,July!$H$124,input!$W:$W,July!B145,input!$A:$A,July!$B$2)</f>
        <v>0</v>
      </c>
      <c r="I145" s="321">
        <f>COUNTIFS(input!$O:$O,July!$I$124,input!$W:$W,July!B145,input!$A:$A,July!$B$2)</f>
        <v>0</v>
      </c>
      <c r="J145" s="321">
        <f>COUNTIFS(input!$O:$O,July!$J$124,input!$W:$W,July!B145,input!$A:$A,July!$B$2)</f>
        <v>0</v>
      </c>
      <c r="K145" s="343">
        <f>COUNTIFS(input!$O:$O,July!$K$124,input!$W:$W,July!B145,input!$A:$A,July!$B$2)</f>
        <v>0</v>
      </c>
      <c r="L145" s="312">
        <f t="shared" si="12"/>
        <v>0</v>
      </c>
      <c r="M145" s="320" cm="1">
        <f t="array" ref="M145">_xlfn.IFS(L145=0,0,L145&gt;=1,L145/$L$189)</f>
        <v>0</v>
      </c>
      <c r="N145" s="995" t="s">
        <v>75</v>
      </c>
      <c r="O145" s="996"/>
      <c r="P145" s="997"/>
      <c r="Q145" s="316">
        <f>COUNTIFS(input!$O:$O,July!$Q$124,input!$X:$X,July!N145,input!$A:$A,July!$B$2)</f>
        <v>0</v>
      </c>
      <c r="R145" s="316">
        <f>COUNTIFS(input!$O:$O,July!$R$124,input!$X:$X,July!N145,input!$A:$A,July!$B$2)</f>
        <v>0</v>
      </c>
      <c r="S145" s="316">
        <f>COUNTIFS(input!$O:$O,July!$S$124,input!$X:$X,July!N145,input!$A:$A,July!$B$2)</f>
        <v>0</v>
      </c>
      <c r="T145" s="322">
        <f>COUNTIFS(input!$O:$O,July!$T$124,input!$X:$X,July!N145,input!$A:$A,July!$B$2)</f>
        <v>0</v>
      </c>
      <c r="U145" s="322">
        <f>COUNTIFS(input!$O:$O,July!$U$124,input!$X:$X,July!N145,input!$A:$A,July!$B$2)</f>
        <v>0</v>
      </c>
      <c r="V145" s="323">
        <f>COUNTIFS(input!$O:$O,July!$V$124,input!$X:$X,July!N145,input!$A:$A,July!$B$2)</f>
        <v>0</v>
      </c>
      <c r="W145" s="323">
        <f>COUNTIFS(input!$O:$O,July!$W$124,input!$X:$X,July!N145,input!$A:$A,July!$B$2)</f>
        <v>0</v>
      </c>
      <c r="X145" s="324">
        <f>COUNTIFS(input!$O:$O,July!$X$124,input!$X:$X,July!N145,input!$A:$A,July!$B$2)</f>
        <v>0</v>
      </c>
      <c r="Y145" s="312">
        <f t="shared" si="11"/>
        <v>0</v>
      </c>
      <c r="Z145" s="315" cm="1">
        <f t="array" ref="Z145">_xlfn.IFS(Y145=0,0,Y145&gt;=1,Y145/$Y$189)</f>
        <v>0</v>
      </c>
    </row>
    <row r="146" spans="2:26" ht="92" hidden="1" customHeight="1" x14ac:dyDescent="0.25">
      <c r="B146" s="1122" t="s">
        <v>1840</v>
      </c>
      <c r="C146" s="997"/>
      <c r="D146" s="316">
        <f>COUNTIFS(input!$O:$O,July!$D$124,input!$W:$W,July!B146,input!$A:$A,July!$B$2)</f>
        <v>0</v>
      </c>
      <c r="E146" s="316">
        <f>COUNTIFS(input!$O:$O,July!$E$124,input!$W:$W,July!B146,input!$A:$A,July!$B$2)</f>
        <v>0</v>
      </c>
      <c r="F146" s="316">
        <f>COUNTIFS(input!$O:$O,July!$F$124,input!$W:$W,July!B146,input!$A:$A,July!$B$2)</f>
        <v>0</v>
      </c>
      <c r="G146" s="322">
        <f>COUNTIFS(input!$O:$O,July!$G$124,input!$W:$W,July!B146,input!$A:$A,July!$B$2)</f>
        <v>0</v>
      </c>
      <c r="H146" s="321">
        <f>COUNTIFS(input!$O:$O,July!$H$124,input!$W:$W,July!B146,input!$A:$A,July!$B$2)</f>
        <v>0</v>
      </c>
      <c r="I146" s="321">
        <f>COUNTIFS(input!$O:$O,July!$I$124,input!$W:$W,July!B146,input!$A:$A,July!$B$2)</f>
        <v>0</v>
      </c>
      <c r="J146" s="321">
        <f>COUNTIFS(input!$O:$O,July!$J$124,input!$W:$W,July!B146,input!$A:$A,July!$B$2)</f>
        <v>0</v>
      </c>
      <c r="K146" s="343">
        <f>COUNTIFS(input!$O:$O,July!$K$124,input!$W:$W,July!B146,input!$A:$A,July!$B$2)</f>
        <v>0</v>
      </c>
      <c r="L146" s="312">
        <f t="shared" si="12"/>
        <v>0</v>
      </c>
      <c r="M146" s="320" cm="1">
        <f t="array" ref="M146">_xlfn.IFS(L146=0,0,L146&gt;=1,L146/$L$189)</f>
        <v>0</v>
      </c>
      <c r="N146" s="995" t="s">
        <v>76</v>
      </c>
      <c r="O146" s="996"/>
      <c r="P146" s="997"/>
      <c r="Q146" s="316">
        <f>COUNTIFS(input!$O:$O,July!$Q$124,input!$X:$X,July!N146,input!$A:$A,July!$B$2)</f>
        <v>0</v>
      </c>
      <c r="R146" s="316">
        <f>COUNTIFS(input!$O:$O,July!$R$124,input!$X:$X,July!N146,input!$A:$A,July!$B$2)</f>
        <v>0</v>
      </c>
      <c r="S146" s="316">
        <f>COUNTIFS(input!$O:$O,July!$S$124,input!$X:$X,July!N146,input!$A:$A,July!$B$2)</f>
        <v>0</v>
      </c>
      <c r="T146" s="322">
        <f>COUNTIFS(input!$O:$O,July!$T$124,input!$X:$X,July!N146,input!$A:$A,July!$B$2)</f>
        <v>0</v>
      </c>
      <c r="U146" s="322">
        <f>COUNTIFS(input!$O:$O,July!$U$124,input!$X:$X,July!N146,input!$A:$A,July!$B$2)</f>
        <v>0</v>
      </c>
      <c r="V146" s="323">
        <f>COUNTIFS(input!$O:$O,July!$V$124,input!$X:$X,July!N146,input!$A:$A,July!$B$2)</f>
        <v>0</v>
      </c>
      <c r="W146" s="323">
        <f>COUNTIFS(input!$O:$O,July!$W$124,input!$X:$X,July!N146,input!$A:$A,July!$B$2)</f>
        <v>0</v>
      </c>
      <c r="X146" s="324">
        <f>COUNTIFS(input!$O:$O,July!$X$124,input!$X:$X,July!N146,input!$A:$A,July!$B$2)</f>
        <v>0</v>
      </c>
      <c r="Y146" s="312">
        <f t="shared" si="11"/>
        <v>0</v>
      </c>
      <c r="Z146" s="315" cm="1">
        <f t="array" ref="Z146">_xlfn.IFS(Y146=0,0,Y146&gt;=1,Y146/$Y$189)</f>
        <v>0</v>
      </c>
    </row>
    <row r="147" spans="2:26" ht="92" hidden="1" customHeight="1" x14ac:dyDescent="0.25">
      <c r="B147" s="1122" t="s">
        <v>366</v>
      </c>
      <c r="C147" s="997"/>
      <c r="D147" s="316">
        <f>COUNTIFS(input!$O:$O,July!$D$124,input!$W:$W,July!B147,input!$A:$A,July!$B$2)</f>
        <v>0</v>
      </c>
      <c r="E147" s="316">
        <f>COUNTIFS(input!$O:$O,July!$E$124,input!$W:$W,July!B147,input!$A:$A,July!$B$2)</f>
        <v>0</v>
      </c>
      <c r="F147" s="316">
        <f>COUNTIFS(input!$O:$O,July!$F$124,input!$W:$W,July!B147,input!$A:$A,July!$B$2)</f>
        <v>0</v>
      </c>
      <c r="G147" s="322">
        <f>COUNTIFS(input!$O:$O,July!$G$124,input!$W:$W,July!B147,input!$A:$A,July!$B$2)</f>
        <v>0</v>
      </c>
      <c r="H147" s="321">
        <f>COUNTIFS(input!$O:$O,July!$H$124,input!$W:$W,July!B147,input!$A:$A,July!$B$2)</f>
        <v>0</v>
      </c>
      <c r="I147" s="321">
        <f>COUNTIFS(input!$O:$O,July!$I$124,input!$W:$W,July!B147,input!$A:$A,July!$B$2)</f>
        <v>0</v>
      </c>
      <c r="J147" s="321">
        <f>COUNTIFS(input!$O:$O,July!$J$124,input!$W:$W,July!B147,input!$A:$A,July!$B$2)</f>
        <v>0</v>
      </c>
      <c r="K147" s="343">
        <f>COUNTIFS(input!$O:$O,July!$K$124,input!$W:$W,July!B147,input!$A:$A,July!$B$2)</f>
        <v>0</v>
      </c>
      <c r="L147" s="312">
        <f t="shared" si="12"/>
        <v>0</v>
      </c>
      <c r="M147" s="320" cm="1">
        <f t="array" ref="M147">_xlfn.IFS(L147=0,0,L147&gt;=1,L147/$L$189)</f>
        <v>0</v>
      </c>
      <c r="N147" s="995" t="s">
        <v>77</v>
      </c>
      <c r="O147" s="996"/>
      <c r="P147" s="997"/>
      <c r="Q147" s="316">
        <f>COUNTIFS(input!$O:$O,July!$Q$124,input!$X:$X,July!N147,input!$A:$A,July!$B$2)</f>
        <v>0</v>
      </c>
      <c r="R147" s="316">
        <f>COUNTIFS(input!$O:$O,July!$R$124,input!$X:$X,July!N147,input!$A:$A,July!$B$2)</f>
        <v>0</v>
      </c>
      <c r="S147" s="316">
        <f>COUNTIFS(input!$O:$O,July!$S$124,input!$X:$X,July!N147,input!$A:$A,July!$B$2)</f>
        <v>0</v>
      </c>
      <c r="T147" s="322">
        <f>COUNTIFS(input!$O:$O,July!$T$124,input!$X:$X,July!N147,input!$A:$A,July!$B$2)</f>
        <v>0</v>
      </c>
      <c r="U147" s="322">
        <f>COUNTIFS(input!$O:$O,July!$U$124,input!$X:$X,July!N147,input!$A:$A,July!$B$2)</f>
        <v>0</v>
      </c>
      <c r="V147" s="323">
        <f>COUNTIFS(input!$O:$O,July!$V$124,input!$X:$X,July!N147,input!$A:$A,July!$B$2)</f>
        <v>0</v>
      </c>
      <c r="W147" s="323">
        <f>COUNTIFS(input!$O:$O,July!$W$124,input!$X:$X,July!N147,input!$A:$A,July!$B$2)</f>
        <v>0</v>
      </c>
      <c r="X147" s="324">
        <f>COUNTIFS(input!$O:$O,July!$X$124,input!$X:$X,July!N147,input!$A:$A,July!$B$2)</f>
        <v>0</v>
      </c>
      <c r="Y147" s="312">
        <f t="shared" si="11"/>
        <v>0</v>
      </c>
      <c r="Z147" s="315" cm="1">
        <f t="array" ref="Z147">_xlfn.IFS(Y147=0,0,Y147&gt;=1,Y147/$Y$189)</f>
        <v>0</v>
      </c>
    </row>
    <row r="148" spans="2:26" ht="92" hidden="1" customHeight="1" x14ac:dyDescent="0.25">
      <c r="B148" s="1122" t="s">
        <v>1539</v>
      </c>
      <c r="C148" s="997"/>
      <c r="D148" s="316">
        <f>COUNTIFS(input!$O:$O,July!$D$124,input!$W:$W,July!B148,input!$A:$A,July!$B$2)</f>
        <v>0</v>
      </c>
      <c r="E148" s="316">
        <f>COUNTIFS(input!$O:$O,July!$E$124,input!$W:$W,July!B148,input!$A:$A,July!$B$2)</f>
        <v>0</v>
      </c>
      <c r="F148" s="316">
        <f>COUNTIFS(input!$O:$O,July!$F$124,input!$W:$W,July!B148,input!$A:$A,July!$B$2)</f>
        <v>0</v>
      </c>
      <c r="G148" s="322">
        <f>COUNTIFS(input!$O:$O,July!$G$124,input!$W:$W,July!B148,input!$A:$A,July!$B$2)</f>
        <v>0</v>
      </c>
      <c r="H148" s="321">
        <f>COUNTIFS(input!$O:$O,July!$H$124,input!$W:$W,July!B148,input!$A:$A,July!$B$2)</f>
        <v>0</v>
      </c>
      <c r="I148" s="321">
        <f>COUNTIFS(input!$O:$O,July!$I$124,input!$W:$W,July!B148,input!$A:$A,July!$B$2)</f>
        <v>0</v>
      </c>
      <c r="J148" s="321">
        <f>COUNTIFS(input!$O:$O,July!$J$124,input!$W:$W,July!B148,input!$A:$A,July!$B$2)</f>
        <v>0</v>
      </c>
      <c r="K148" s="343">
        <f>COUNTIFS(input!$O:$O,July!$K$124,input!$W:$W,July!B148,input!$A:$A,July!$B$2)</f>
        <v>0</v>
      </c>
      <c r="L148" s="312">
        <f t="shared" si="12"/>
        <v>0</v>
      </c>
      <c r="M148" s="320" cm="1">
        <f t="array" ref="M148">_xlfn.IFS(L148=0,0,L148&gt;=1,L148/$L$189)</f>
        <v>0</v>
      </c>
      <c r="N148" s="995" t="s">
        <v>78</v>
      </c>
      <c r="O148" s="996"/>
      <c r="P148" s="997"/>
      <c r="Q148" s="316">
        <f>COUNTIFS(input!$O:$O,July!$Q$124,input!$X:$X,July!N148,input!$A:$A,July!$B$2)</f>
        <v>0</v>
      </c>
      <c r="R148" s="316">
        <f>COUNTIFS(input!$O:$O,July!$R$124,input!$X:$X,July!N148,input!$A:$A,July!$B$2)</f>
        <v>0</v>
      </c>
      <c r="S148" s="316">
        <f>COUNTIFS(input!$O:$O,July!$S$124,input!$X:$X,July!N148,input!$A:$A,July!$B$2)</f>
        <v>0</v>
      </c>
      <c r="T148" s="322">
        <f>COUNTIFS(input!$O:$O,July!$T$124,input!$X:$X,July!N148,input!$A:$A,July!$B$2)</f>
        <v>0</v>
      </c>
      <c r="U148" s="322">
        <f>COUNTIFS(input!$O:$O,July!$U$124,input!$X:$X,July!N148,input!$A:$A,July!$B$2)</f>
        <v>0</v>
      </c>
      <c r="V148" s="323">
        <f>COUNTIFS(input!$O:$O,July!$V$124,input!$X:$X,July!N148,input!$A:$A,July!$B$2)</f>
        <v>0</v>
      </c>
      <c r="W148" s="323">
        <f>COUNTIFS(input!$O:$O,July!$W$124,input!$X:$X,July!N148,input!$A:$A,July!$B$2)</f>
        <v>0</v>
      </c>
      <c r="X148" s="324">
        <f>COUNTIFS(input!$O:$O,July!$X$124,input!$X:$X,July!N148,input!$A:$A,July!$B$2)</f>
        <v>0</v>
      </c>
      <c r="Y148" s="312">
        <f t="shared" si="11"/>
        <v>0</v>
      </c>
      <c r="Z148" s="315" cm="1">
        <f t="array" ref="Z148">_xlfn.IFS(Y148=0,0,Y148&gt;=1,Y148/$Y$189)</f>
        <v>0</v>
      </c>
    </row>
    <row r="149" spans="2:26" ht="92" hidden="1" customHeight="1" x14ac:dyDescent="0.25">
      <c r="B149" s="1122" t="s">
        <v>498</v>
      </c>
      <c r="C149" s="997"/>
      <c r="D149" s="316">
        <f>COUNTIFS(input!$O:$O,July!$D$124,input!$W:$W,July!B149,input!$A:$A,July!$B$2)</f>
        <v>0</v>
      </c>
      <c r="E149" s="316">
        <f>COUNTIFS(input!$O:$O,July!$E$124,input!$W:$W,July!B149,input!$A:$A,July!$B$2)</f>
        <v>0</v>
      </c>
      <c r="F149" s="316">
        <f>COUNTIFS(input!$O:$O,July!$F$124,input!$W:$W,July!B149,input!$A:$A,July!$B$2)</f>
        <v>0</v>
      </c>
      <c r="G149" s="322">
        <f>COUNTIFS(input!$O:$O,July!$G$124,input!$W:$W,July!B149,input!$A:$A,July!$B$2)</f>
        <v>0</v>
      </c>
      <c r="H149" s="321">
        <f>COUNTIFS(input!$O:$O,July!$H$124,input!$W:$W,July!B149,input!$A:$A,July!$B$2)</f>
        <v>0</v>
      </c>
      <c r="I149" s="321">
        <f>COUNTIFS(input!$O:$O,July!$I$124,input!$W:$W,July!B149,input!$A:$A,July!$B$2)</f>
        <v>0</v>
      </c>
      <c r="J149" s="321">
        <f>COUNTIFS(input!$O:$O,July!$J$124,input!$W:$W,July!B149,input!$A:$A,July!$B$2)</f>
        <v>0</v>
      </c>
      <c r="K149" s="343">
        <f>COUNTIFS(input!$O:$O,July!$K$124,input!$W:$W,July!B149,input!$A:$A,July!$B$2)</f>
        <v>0</v>
      </c>
      <c r="L149" s="312">
        <f t="shared" si="12"/>
        <v>0</v>
      </c>
      <c r="M149" s="320" cm="1">
        <f t="array" ref="M149">_xlfn.IFS(L149=0,0,L149&gt;=1,L149/$L$189)</f>
        <v>0</v>
      </c>
      <c r="N149" s="1064" t="s">
        <v>390</v>
      </c>
      <c r="O149" s="1065"/>
      <c r="P149" s="1066"/>
      <c r="Q149" s="316">
        <f>COUNTIFS(input!$O:$O,July!$Q$124,input!$X:$X,July!N149,input!$A:$A,July!$B$2)</f>
        <v>0</v>
      </c>
      <c r="R149" s="316">
        <f>COUNTIFS(input!$O:$O,July!$R$124,input!$X:$X,July!N149,input!$A:$A,July!$B$2)</f>
        <v>0</v>
      </c>
      <c r="S149" s="316">
        <f>COUNTIFS(input!$O:$O,July!$S$124,input!$X:$X,July!N149,input!$A:$A,July!$B$2)</f>
        <v>0</v>
      </c>
      <c r="T149" s="322">
        <f>COUNTIFS(input!$O:$O,July!$T$124,input!$X:$X,July!N149,input!$A:$A,July!$B$2)</f>
        <v>0</v>
      </c>
      <c r="U149" s="322">
        <f>COUNTIFS(input!$O:$O,July!$U$124,input!$X:$X,July!N149,input!$A:$A,July!$B$2)</f>
        <v>0</v>
      </c>
      <c r="V149" s="323">
        <f>COUNTIFS(input!$O:$O,July!$V$124,input!$X:$X,July!N149,input!$A:$A,July!$B$2)</f>
        <v>0</v>
      </c>
      <c r="W149" s="323">
        <f>COUNTIFS(input!$O:$O,July!$W$124,input!$X:$X,July!N149,input!$A:$A,July!$B$2)</f>
        <v>0</v>
      </c>
      <c r="X149" s="324">
        <f>COUNTIFS(input!$O:$O,July!$X$124,input!$X:$X,July!N149,input!$A:$A,July!$B$2)</f>
        <v>0</v>
      </c>
      <c r="Y149" s="312">
        <f t="shared" si="11"/>
        <v>0</v>
      </c>
      <c r="Z149" s="315" cm="1">
        <f t="array" ref="Z149">_xlfn.IFS(Y149=0,0,Y149&gt;=1,Y149/$Y$189)</f>
        <v>0</v>
      </c>
    </row>
    <row r="150" spans="2:26" ht="92" customHeight="1" x14ac:dyDescent="0.25">
      <c r="B150" s="1122" t="s">
        <v>864</v>
      </c>
      <c r="C150" s="997"/>
      <c r="D150" s="316">
        <f>COUNTIFS(input!$O:$O,July!$D$124,input!$W:$W,July!B150,input!$A:$A,July!$B$2)</f>
        <v>0</v>
      </c>
      <c r="E150" s="316">
        <f>COUNTIFS(input!$O:$O,July!$E$124,input!$W:$W,July!B150,input!$A:$A,July!$B$2)</f>
        <v>0</v>
      </c>
      <c r="F150" s="316">
        <f>COUNTIFS(input!$O:$O,July!$F$124,input!$W:$W,July!B150,input!$A:$A,July!$B$2)</f>
        <v>0</v>
      </c>
      <c r="G150" s="322">
        <f>COUNTIFS(input!$O:$O,July!$G$124,input!$W:$W,July!B150,input!$A:$A,July!$B$2)</f>
        <v>0</v>
      </c>
      <c r="H150" s="321">
        <f>COUNTIFS(input!$O:$O,July!$H$124,input!$W:$W,July!B150,input!$A:$A,July!$B$2)</f>
        <v>0</v>
      </c>
      <c r="I150" s="321">
        <f>COUNTIFS(input!$O:$O,July!$I$124,input!$W:$W,July!B150,input!$A:$A,July!$B$2)</f>
        <v>0</v>
      </c>
      <c r="J150" s="321">
        <f>COUNTIFS(input!$O:$O,July!$J$124,input!$W:$W,July!B150,input!$A:$A,July!$B$2)</f>
        <v>0</v>
      </c>
      <c r="K150" s="343">
        <f>COUNTIFS(input!$O:$O,July!$K$124,input!$W:$W,July!B150,input!$A:$A,July!$B$2)</f>
        <v>0</v>
      </c>
      <c r="L150" s="312">
        <f t="shared" si="12"/>
        <v>0</v>
      </c>
      <c r="M150" s="320" cm="1">
        <f t="array" ref="M150">_xlfn.IFS(L150=0,0,L150&gt;=1,L150/$L$189)</f>
        <v>0</v>
      </c>
      <c r="N150" s="1058" t="s">
        <v>2158</v>
      </c>
      <c r="O150" s="1016"/>
      <c r="P150" s="991"/>
      <c r="Q150" s="316">
        <f>COUNTIFS(input!$O:$O,July!$Q$124,input!$X:$X,July!N150,input!$A:$A,July!$B$2)</f>
        <v>0</v>
      </c>
      <c r="R150" s="316">
        <f>COUNTIFS(input!$O:$O,July!$R$124,input!$X:$X,July!N150,input!$A:$A,July!$B$2)</f>
        <v>0</v>
      </c>
      <c r="S150" s="316">
        <f>COUNTIFS(input!$O:$O,July!$S$124,input!$X:$X,July!N150,input!$A:$A,July!$B$2)</f>
        <v>0</v>
      </c>
      <c r="T150" s="322">
        <f>COUNTIFS(input!$O:$O,July!$T$124,input!$X:$X,July!N150,input!$A:$A,July!$B$2)</f>
        <v>0</v>
      </c>
      <c r="U150" s="322">
        <f>COUNTIFS(input!$O:$O,July!$U$124,input!$X:$X,July!N150,input!$A:$A,July!$B$2)</f>
        <v>0</v>
      </c>
      <c r="V150" s="323">
        <f>COUNTIFS(input!$O:$O,July!$V$124,input!$X:$X,July!N150,input!$A:$A,July!$B$2)</f>
        <v>0</v>
      </c>
      <c r="W150" s="323">
        <f>COUNTIFS(input!$O:$O,July!$W$124,input!$X:$X,July!N150,input!$A:$A,July!$B$2)</f>
        <v>1</v>
      </c>
      <c r="X150" s="324">
        <f>COUNTIFS(input!$O:$O,July!$X$124,input!$X:$X,July!N150,input!$A:$A,July!$B$2)</f>
        <v>0</v>
      </c>
      <c r="Y150" s="312">
        <f t="shared" si="11"/>
        <v>1</v>
      </c>
      <c r="Z150" s="315" cm="1">
        <f t="array" ref="Z150">_xlfn.IFS(Y150=0,0,Y150&gt;=1,Y150/$Y$189)</f>
        <v>6.25E-2</v>
      </c>
    </row>
    <row r="151" spans="2:26" ht="92" hidden="1" customHeight="1" x14ac:dyDescent="0.25">
      <c r="B151" s="1122" t="s">
        <v>489</v>
      </c>
      <c r="C151" s="997"/>
      <c r="D151" s="316">
        <f>COUNTIFS(input!$O:$O,July!$D$124,input!$W:$W,July!B151,input!$A:$A,July!$B$2)</f>
        <v>0</v>
      </c>
      <c r="E151" s="316">
        <f>COUNTIFS(input!$O:$O,July!$E$124,input!$W:$W,July!B151,input!$A:$A,July!$B$2)</f>
        <v>0</v>
      </c>
      <c r="F151" s="316">
        <f>COUNTIFS(input!$O:$O,July!$F$124,input!$W:$W,July!B151,input!$A:$A,July!$B$2)</f>
        <v>0</v>
      </c>
      <c r="G151" s="322">
        <f>COUNTIFS(input!$O:$O,July!$G$124,input!$W:$W,July!B151,input!$A:$A,July!$B$2)</f>
        <v>0</v>
      </c>
      <c r="H151" s="321">
        <f>COUNTIFS(input!$O:$O,July!$H$124,input!$W:$W,July!B151,input!$A:$A,July!$B$2)</f>
        <v>0</v>
      </c>
      <c r="I151" s="321">
        <f>COUNTIFS(input!$O:$O,July!$I$124,input!$W:$W,July!B151,input!$A:$A,July!$B$2)</f>
        <v>0</v>
      </c>
      <c r="J151" s="321">
        <f>COUNTIFS(input!$O:$O,July!$J$124,input!$W:$W,July!B151,input!$A:$A,July!$B$2)</f>
        <v>0</v>
      </c>
      <c r="K151" s="343">
        <f>COUNTIFS(input!$O:$O,July!$K$124,input!$W:$W,July!B151,input!$A:$A,July!$B$2)</f>
        <v>0</v>
      </c>
      <c r="L151" s="312">
        <f t="shared" si="12"/>
        <v>0</v>
      </c>
      <c r="M151" s="320" cm="1">
        <f t="array" ref="M151">_xlfn.IFS(L151=0,0,L151&gt;=1,L151/$L$189)</f>
        <v>0</v>
      </c>
      <c r="N151" s="1064" t="s">
        <v>1740</v>
      </c>
      <c r="O151" s="1065"/>
      <c r="P151" s="1066"/>
      <c r="Q151" s="316">
        <f>COUNTIFS(input!$O:$O,July!$Q$124,input!$X:$X,July!N151,input!$A:$A,July!$B$2)</f>
        <v>0</v>
      </c>
      <c r="R151" s="316">
        <f>COUNTIFS(input!$O:$O,July!$R$124,input!$X:$X,July!N151,input!$A:$A,July!$B$2)</f>
        <v>0</v>
      </c>
      <c r="S151" s="316">
        <f>COUNTIFS(input!$O:$O,July!$S$124,input!$X:$X,July!N151,input!$A:$A,July!$B$2)</f>
        <v>0</v>
      </c>
      <c r="T151" s="322">
        <f>COUNTIFS(input!$O:$O,July!$T$124,input!$X:$X,July!N151,input!$A:$A,July!$B$2)</f>
        <v>0</v>
      </c>
      <c r="U151" s="322">
        <f>COUNTIFS(input!$O:$O,July!$U$124,input!$X:$X,July!N151,input!$A:$A,July!$B$2)</f>
        <v>0</v>
      </c>
      <c r="V151" s="323">
        <f>COUNTIFS(input!$O:$O,July!$V$124,input!$X:$X,July!N151,input!$A:$A,July!$B$2)</f>
        <v>0</v>
      </c>
      <c r="W151" s="323">
        <f>COUNTIFS(input!$O:$O,July!$W$124,input!$X:$X,July!N151,input!$A:$A,July!$B$2)</f>
        <v>0</v>
      </c>
      <c r="X151" s="324">
        <f>COUNTIFS(input!$O:$O,July!$X$124,input!$X:$X,July!N151,input!$A:$A,July!$B$2)</f>
        <v>0</v>
      </c>
      <c r="Y151" s="312">
        <f t="shared" si="11"/>
        <v>0</v>
      </c>
      <c r="Z151" s="315" cm="1">
        <f t="array" ref="Z151">_xlfn.IFS(Y151=0,0,Y151&gt;=1,Y151/$Y$189)</f>
        <v>0</v>
      </c>
    </row>
    <row r="152" spans="2:26" ht="92" hidden="1" customHeight="1" x14ac:dyDescent="0.25">
      <c r="B152" s="1121" t="s">
        <v>466</v>
      </c>
      <c r="C152" s="1066"/>
      <c r="D152" s="316">
        <f>COUNTIFS(input!$O:$O,July!$D$124,input!$W:$W,July!B152,input!$A:$A,July!$B$2)</f>
        <v>0</v>
      </c>
      <c r="E152" s="316">
        <f>COUNTIFS(input!$O:$O,July!$E$124,input!$W:$W,July!B152,input!$A:$A,July!$B$2)</f>
        <v>0</v>
      </c>
      <c r="F152" s="316">
        <f>COUNTIFS(input!$O:$O,July!$F$124,input!$W:$W,July!B152,input!$A:$A,July!$B$2)</f>
        <v>0</v>
      </c>
      <c r="G152" s="322">
        <f>COUNTIFS(input!$O:$O,July!$G$124,input!$W:$W,July!B152,input!$A:$A,July!$B$2)</f>
        <v>0</v>
      </c>
      <c r="H152" s="321">
        <f>COUNTIFS(input!$O:$O,July!$H$124,input!$W:$W,July!B152,input!$A:$A,July!$B$2)</f>
        <v>0</v>
      </c>
      <c r="I152" s="321">
        <f>COUNTIFS(input!$O:$O,July!$I$124,input!$W:$W,July!B152,input!$A:$A,July!$B$2)</f>
        <v>0</v>
      </c>
      <c r="J152" s="321">
        <f>COUNTIFS(input!$O:$O,July!$J$124,input!$W:$W,July!B152,input!$A:$A,July!$B$2)</f>
        <v>0</v>
      </c>
      <c r="K152" s="343">
        <f>COUNTIFS(input!$O:$O,July!$K$124,input!$W:$W,July!B152,input!$A:$A,July!$B$2)</f>
        <v>0</v>
      </c>
      <c r="L152" s="312">
        <f t="shared" si="12"/>
        <v>0</v>
      </c>
      <c r="M152" s="320" cm="1">
        <f t="array" ref="M152">_xlfn.IFS(L152=0,0,L152&gt;=1,L152/$L$189)</f>
        <v>0</v>
      </c>
      <c r="N152" s="1064" t="s">
        <v>1741</v>
      </c>
      <c r="O152" s="1065"/>
      <c r="P152" s="1066"/>
      <c r="Q152" s="316">
        <f>COUNTIFS(input!$O:$O,July!$Q$124,input!$X:$X,July!N152,input!$A:$A,July!$B$2)</f>
        <v>0</v>
      </c>
      <c r="R152" s="316">
        <f>COUNTIFS(input!$O:$O,July!$R$124,input!$X:$X,July!N152,input!$A:$A,July!$B$2)</f>
        <v>0</v>
      </c>
      <c r="S152" s="316">
        <f>COUNTIFS(input!$O:$O,July!$S$124,input!$X:$X,July!N152,input!$A:$A,July!$B$2)</f>
        <v>0</v>
      </c>
      <c r="T152" s="322">
        <f>COUNTIFS(input!$O:$O,July!$T$124,input!$X:$X,July!N152,input!$A:$A,July!$B$2)</f>
        <v>0</v>
      </c>
      <c r="U152" s="322">
        <f>COUNTIFS(input!$O:$O,July!$U$124,input!$X:$X,July!N152,input!$A:$A,July!$B$2)</f>
        <v>0</v>
      </c>
      <c r="V152" s="323">
        <f>COUNTIFS(input!$O:$O,July!$V$124,input!$X:$X,July!N152,input!$A:$A,July!$B$2)</f>
        <v>0</v>
      </c>
      <c r="W152" s="323">
        <f>COUNTIFS(input!$O:$O,July!$W$124,input!$X:$X,July!N152,input!$A:$A,July!$B$2)</f>
        <v>0</v>
      </c>
      <c r="X152" s="324">
        <f>COUNTIFS(input!$O:$O,July!$X$124,input!$X:$X,July!N152,input!$A:$A,July!$B$2)</f>
        <v>0</v>
      </c>
      <c r="Y152" s="312">
        <f t="shared" si="11"/>
        <v>0</v>
      </c>
      <c r="Z152" s="315" cm="1">
        <f t="array" ref="Z152">_xlfn.IFS(Y152=0,0,Y152&gt;=1,Y152/$Y$189)</f>
        <v>0</v>
      </c>
    </row>
    <row r="153" spans="2:26" ht="92" hidden="1" customHeight="1" x14ac:dyDescent="0.25">
      <c r="B153" s="1121" t="s">
        <v>458</v>
      </c>
      <c r="C153" s="1066"/>
      <c r="D153" s="316">
        <f>COUNTIFS(input!$O:$O,July!$D$124,input!$W:$W,July!B153,input!$A:$A,July!$B$2)</f>
        <v>0</v>
      </c>
      <c r="E153" s="316">
        <f>COUNTIFS(input!$O:$O,July!$E$124,input!$W:$W,July!B153,input!$A:$A,July!$B$2)</f>
        <v>0</v>
      </c>
      <c r="F153" s="316">
        <f>COUNTIFS(input!$O:$O,July!$F$124,input!$W:$W,July!B153,input!$A:$A,July!$B$2)</f>
        <v>0</v>
      </c>
      <c r="G153" s="322">
        <f>COUNTIFS(input!$O:$O,July!$G$124,input!$W:$W,July!B153,input!$A:$A,July!$B$2)</f>
        <v>0</v>
      </c>
      <c r="H153" s="321">
        <f>COUNTIFS(input!$O:$O,July!$H$124,input!$W:$W,July!B153,input!$A:$A,July!$B$2)</f>
        <v>0</v>
      </c>
      <c r="I153" s="321">
        <f>COUNTIFS(input!$O:$O,July!$I$124,input!$W:$W,July!B153,input!$A:$A,July!$B$2)</f>
        <v>0</v>
      </c>
      <c r="J153" s="321">
        <f>COUNTIFS(input!$O:$O,July!$J$124,input!$W:$W,July!B153,input!$A:$A,July!$B$2)</f>
        <v>0</v>
      </c>
      <c r="K153" s="343">
        <f>COUNTIFS(input!$O:$O,July!$K$124,input!$W:$W,July!B153,input!$A:$A,July!$B$2)</f>
        <v>0</v>
      </c>
      <c r="L153" s="312">
        <f t="shared" si="12"/>
        <v>0</v>
      </c>
      <c r="M153" s="320" cm="1">
        <f t="array" ref="M153">_xlfn.IFS(L153=0,0,L153&gt;=1,L153/$L$189)</f>
        <v>0</v>
      </c>
      <c r="N153" s="1064" t="s">
        <v>481</v>
      </c>
      <c r="O153" s="1065"/>
      <c r="P153" s="1066"/>
      <c r="Q153" s="316">
        <f>COUNTIFS(input!$O:$O,July!$Q$124,input!$X:$X,July!N153,input!$A:$A,July!$B$2)</f>
        <v>0</v>
      </c>
      <c r="R153" s="316">
        <f>COUNTIFS(input!$O:$O,July!$R$124,input!$X:$X,July!N153,input!$A:$A,July!$B$2)</f>
        <v>0</v>
      </c>
      <c r="S153" s="316">
        <f>COUNTIFS(input!$O:$O,July!$S$124,input!$X:$X,July!N153,input!$A:$A,July!$B$2)</f>
        <v>0</v>
      </c>
      <c r="T153" s="322">
        <f>COUNTIFS(input!$O:$O,July!$T$124,input!$X:$X,July!N153,input!$A:$A,July!$B$2)</f>
        <v>0</v>
      </c>
      <c r="U153" s="322">
        <f>COUNTIFS(input!$O:$O,July!$U$124,input!$X:$X,July!N153,input!$A:$A,July!$B$2)</f>
        <v>0</v>
      </c>
      <c r="V153" s="323">
        <f>COUNTIFS(input!$O:$O,July!$V$124,input!$X:$X,July!N153,input!$A:$A,July!$B$2)</f>
        <v>0</v>
      </c>
      <c r="W153" s="323">
        <f>COUNTIFS(input!$O:$O,July!$W$124,input!$X:$X,July!N153,input!$A:$A,July!$B$2)</f>
        <v>0</v>
      </c>
      <c r="X153" s="324">
        <f>COUNTIFS(input!$O:$O,July!$X$124,input!$X:$X,July!N153,input!$A:$A,July!$B$2)</f>
        <v>0</v>
      </c>
      <c r="Y153" s="312">
        <f t="shared" si="11"/>
        <v>0</v>
      </c>
      <c r="Z153" s="315" cm="1">
        <f t="array" ref="Z153">_xlfn.IFS(Y153=0,0,Y153&gt;=1,Y153/$Y$189)</f>
        <v>0</v>
      </c>
    </row>
    <row r="154" spans="2:26" ht="92" hidden="1" customHeight="1" x14ac:dyDescent="0.25">
      <c r="B154" s="1121" t="s">
        <v>647</v>
      </c>
      <c r="C154" s="1066"/>
      <c r="D154" s="316">
        <f>COUNTIFS(input!$O:$O,July!$D$124,input!$W:$W,July!B154,input!$A:$A,July!$B$2)</f>
        <v>0</v>
      </c>
      <c r="E154" s="316">
        <f>COUNTIFS(input!$O:$O,July!$E$124,input!$W:$W,July!B154,input!$A:$A,July!$B$2)</f>
        <v>0</v>
      </c>
      <c r="F154" s="316">
        <f>COUNTIFS(input!$O:$O,July!$F$124,input!$W:$W,July!B154,input!$A:$A,July!$B$2)</f>
        <v>0</v>
      </c>
      <c r="G154" s="322">
        <f>COUNTIFS(input!$O:$O,July!$G$124,input!$W:$W,July!B154,input!$A:$A,July!$B$2)</f>
        <v>0</v>
      </c>
      <c r="H154" s="321">
        <f>COUNTIFS(input!$O:$O,July!$H$124,input!$W:$W,July!B154,input!$A:$A,July!$B$2)</f>
        <v>0</v>
      </c>
      <c r="I154" s="321">
        <f>COUNTIFS(input!$O:$O,July!$I$124,input!$W:$W,July!B154,input!$A:$A,July!$B$2)</f>
        <v>0</v>
      </c>
      <c r="J154" s="321">
        <f>COUNTIFS(input!$O:$O,July!$J$124,input!$W:$W,July!B154,input!$A:$A,July!$B$2)</f>
        <v>0</v>
      </c>
      <c r="K154" s="343">
        <f>COUNTIFS(input!$O:$O,July!$K$124,input!$W:$W,July!B154,input!$A:$A,July!$B$2)</f>
        <v>0</v>
      </c>
      <c r="L154" s="312">
        <f t="shared" si="12"/>
        <v>0</v>
      </c>
      <c r="M154" s="320" cm="1">
        <f t="array" ref="M154">_xlfn.IFS(L154=0,0,L154&gt;=1,L154/$L$189)</f>
        <v>0</v>
      </c>
      <c r="N154" s="1064" t="s">
        <v>467</v>
      </c>
      <c r="O154" s="1065"/>
      <c r="P154" s="1066"/>
      <c r="Q154" s="316">
        <f>COUNTIFS(input!$O:$O,July!$Q$124,input!$X:$X,July!N154,input!$A:$A,July!$B$2)</f>
        <v>0</v>
      </c>
      <c r="R154" s="316">
        <f>COUNTIFS(input!$O:$O,July!$R$124,input!$X:$X,July!N154,input!$A:$A,July!$B$2)</f>
        <v>0</v>
      </c>
      <c r="S154" s="316">
        <f>COUNTIFS(input!$O:$O,July!$S$124,input!$X:$X,July!N154,input!$A:$A,July!$B$2)</f>
        <v>0</v>
      </c>
      <c r="T154" s="322">
        <f>COUNTIFS(input!$O:$O,July!$T$124,input!$X:$X,July!N154,input!$A:$A,July!$B$2)</f>
        <v>0</v>
      </c>
      <c r="U154" s="322">
        <f>COUNTIFS(input!$O:$O,July!$U$124,input!$X:$X,July!N154,input!$A:$A,July!$B$2)</f>
        <v>0</v>
      </c>
      <c r="V154" s="323">
        <f>COUNTIFS(input!$O:$O,July!$V$124,input!$X:$X,July!N154,input!$A:$A,July!$B$2)</f>
        <v>0</v>
      </c>
      <c r="W154" s="323">
        <f>COUNTIFS(input!$O:$O,July!$W$124,input!$X:$X,July!N154,input!$A:$A,July!$B$2)</f>
        <v>0</v>
      </c>
      <c r="X154" s="324">
        <f>COUNTIFS(input!$O:$O,July!$X$124,input!$X:$X,July!N154,input!$A:$A,July!$B$2)</f>
        <v>0</v>
      </c>
      <c r="Y154" s="312">
        <f t="shared" si="11"/>
        <v>0</v>
      </c>
      <c r="Z154" s="315" cm="1">
        <f t="array" ref="Z154">_xlfn.IFS(Y154=0,0,Y154&gt;=1,Y154/$Y$189)</f>
        <v>0</v>
      </c>
    </row>
    <row r="155" spans="2:26" ht="92" customHeight="1" x14ac:dyDescent="0.25">
      <c r="B155" s="1122" t="s">
        <v>826</v>
      </c>
      <c r="C155" s="997"/>
      <c r="D155" s="316">
        <f>COUNTIFS(input!$O:$O,July!$D$124,input!$W:$W,July!B155,input!$A:$A,July!$B$2)</f>
        <v>0</v>
      </c>
      <c r="E155" s="316">
        <f>COUNTIFS(input!$O:$O,July!$E$124,input!$W:$W,July!B155,input!$A:$A,July!$B$2)</f>
        <v>0</v>
      </c>
      <c r="F155" s="316">
        <f>COUNTIFS(input!$O:$O,July!$F$124,input!$W:$W,July!B155,input!$A:$A,July!$B$2)</f>
        <v>0</v>
      </c>
      <c r="G155" s="322">
        <f>COUNTIFS(input!$O:$O,July!$G$124,input!$W:$W,July!B155,input!$A:$A,July!$B$2)</f>
        <v>0</v>
      </c>
      <c r="H155" s="321">
        <f>COUNTIFS(input!$O:$O,July!$H$124,input!$W:$W,July!B155,input!$A:$A,July!$B$2)</f>
        <v>0</v>
      </c>
      <c r="I155" s="321">
        <f>COUNTIFS(input!$O:$O,July!$I$124,input!$W:$W,July!B155,input!$A:$A,July!$B$2)</f>
        <v>0</v>
      </c>
      <c r="J155" s="321">
        <f>COUNTIFS(input!$O:$O,July!$J$124,input!$W:$W,July!B155,input!$A:$A,July!$B$2)</f>
        <v>0</v>
      </c>
      <c r="K155" s="343">
        <f>COUNTIFS(input!$O:$O,July!$K$124,input!$W:$W,July!B155,input!$A:$A,July!$B$2)</f>
        <v>0</v>
      </c>
      <c r="L155" s="312">
        <f t="shared" si="12"/>
        <v>0</v>
      </c>
      <c r="M155" s="320" cm="1">
        <f t="array" ref="M155">_xlfn.IFS(L155=0,0,L155&gt;=1,L155/$L$189)</f>
        <v>0</v>
      </c>
      <c r="N155" s="1058" t="s">
        <v>2011</v>
      </c>
      <c r="O155" s="1016"/>
      <c r="P155" s="991"/>
      <c r="Q155" s="316">
        <f>COUNTIFS(input!$O:$O,July!$Q$124,input!$X:$X,July!N155,input!$A:$A,July!$B$2)</f>
        <v>0</v>
      </c>
      <c r="R155" s="316">
        <f>COUNTIFS(input!$O:$O,July!$R$124,input!$X:$X,July!N155,input!$A:$A,July!$B$2)</f>
        <v>0</v>
      </c>
      <c r="S155" s="316">
        <f>COUNTIFS(input!$O:$O,July!$S$124,input!$X:$X,July!N155,input!$A:$A,July!$B$2)</f>
        <v>0</v>
      </c>
      <c r="T155" s="322">
        <f>COUNTIFS(input!$O:$O,July!$T$124,input!$X:$X,July!N155,input!$A:$A,July!$B$2)</f>
        <v>0</v>
      </c>
      <c r="U155" s="322">
        <f>COUNTIFS(input!$O:$O,July!$U$124,input!$X:$X,July!N156,input!$A:$A,July!$B$2)</f>
        <v>0</v>
      </c>
      <c r="V155" s="323">
        <f>COUNTIFS(input!$O:$O,July!$V$124,input!$X:$X,July!N155,input!$A:$A,July!$B$2)</f>
        <v>0</v>
      </c>
      <c r="W155" s="323">
        <f>COUNTIFS(input!$O:$O,July!$W$124,input!$X:$X,July!N155,input!$A:$A,July!$B$2)</f>
        <v>1</v>
      </c>
      <c r="X155" s="324">
        <f>COUNTIFS(input!$O:$O,July!$X$124,input!$X:$X,July!N155,input!$A:$A,July!$B$2)</f>
        <v>0</v>
      </c>
      <c r="Y155" s="312">
        <f>SUM(Q155:X155)</f>
        <v>1</v>
      </c>
      <c r="Z155" s="315" cm="1">
        <f t="array" ref="Z155">_xlfn.IFS(Y155=0,0,Y155&gt;=1,Y155/$Y$189)</f>
        <v>6.25E-2</v>
      </c>
    </row>
    <row r="156" spans="2:26" ht="92" customHeight="1" x14ac:dyDescent="0.25">
      <c r="B156" s="1122" t="s">
        <v>1537</v>
      </c>
      <c r="C156" s="997"/>
      <c r="D156" s="316">
        <f>COUNTIFS(input!$O:$O,July!$D$124,input!$W:$W,July!B156,input!$A:$A,July!$B$2)</f>
        <v>0</v>
      </c>
      <c r="E156" s="316">
        <f>COUNTIFS(input!$O:$O,July!$E$124,input!$W:$W,July!B156,input!$A:$A,July!$B$2)</f>
        <v>0</v>
      </c>
      <c r="F156" s="316">
        <f>COUNTIFS(input!$O:$O,July!$F$124,input!$W:$W,July!B156,input!$A:$A,July!$B$2)</f>
        <v>0</v>
      </c>
      <c r="G156" s="322">
        <f>COUNTIFS(input!$O:$O,July!$G$124,input!$W:$W,July!B156,input!$A:$A,July!$B$2)</f>
        <v>0</v>
      </c>
      <c r="H156" s="321">
        <f>COUNTIFS(input!$O:$O,July!$H$124,input!$W:$W,July!B156,input!$A:$A,July!$B$2)</f>
        <v>0</v>
      </c>
      <c r="I156" s="321">
        <f>COUNTIFS(input!$O:$O,July!$I$124,input!$W:$W,July!B156,input!$A:$A,July!$B$2)</f>
        <v>0</v>
      </c>
      <c r="J156" s="321">
        <f>COUNTIFS(input!$O:$O,July!$J$124,input!$W:$W,July!B156,input!$A:$A,July!$B$2)</f>
        <v>0</v>
      </c>
      <c r="K156" s="343">
        <f>COUNTIFS(input!$O:$O,July!$K$124,input!$W:$W,July!B156,input!$A:$A,July!$B$2)</f>
        <v>0</v>
      </c>
      <c r="L156" s="312">
        <f t="shared" si="12"/>
        <v>0</v>
      </c>
      <c r="M156" s="320" cm="1">
        <f t="array" ref="M156">_xlfn.IFS(L156=0,0,L156&gt;=1,L156/$L$189)</f>
        <v>0</v>
      </c>
      <c r="N156" s="1058" t="s">
        <v>2006</v>
      </c>
      <c r="O156" s="1016"/>
      <c r="P156" s="991"/>
      <c r="Q156" s="316">
        <f>COUNTIFS(input!$O:$O,July!$Q$124,input!$X:$X,July!N156,input!$A:$A,July!$B$2)</f>
        <v>0</v>
      </c>
      <c r="R156" s="316">
        <f>COUNTIFS(input!$O:$O,July!$R$124,input!$X:$X,July!N156,input!$A:$A,July!$B$2)</f>
        <v>0</v>
      </c>
      <c r="S156" s="316">
        <f>COUNTIFS(input!$O:$O,July!$S$124,input!$X:$X,July!N156,input!$A:$A,July!$B$2)</f>
        <v>0</v>
      </c>
      <c r="T156" s="322">
        <f>COUNTIFS(input!$O:$O,July!$T$124,input!$X:$X,July!N156,input!$A:$A,July!$B$2)</f>
        <v>0</v>
      </c>
      <c r="U156" s="322">
        <f>COUNTIFS(input!$O:$O,July!$U$124,input!$X:$X,July!N157,input!$A:$A,July!$B$2)</f>
        <v>0</v>
      </c>
      <c r="V156" s="323">
        <f>COUNTIFS(input!$O:$O,July!$V$124,input!$X:$X,July!N156,input!$A:$A,July!$B$2)</f>
        <v>0</v>
      </c>
      <c r="W156" s="323">
        <f>COUNTIFS(input!$O:$O,July!$W$124,input!$X:$X,July!N156,input!$A:$A,July!$B$2)</f>
        <v>1</v>
      </c>
      <c r="X156" s="324">
        <f>COUNTIFS(input!$O:$O,July!$X$124,input!$X:$X,July!N156,input!$A:$A,July!$B$2)</f>
        <v>0</v>
      </c>
      <c r="Y156" s="312">
        <f>SUM(Q156:X156)</f>
        <v>1</v>
      </c>
      <c r="Z156" s="315" cm="1">
        <f t="array" ref="Z156">_xlfn.IFS(Y156=0,0,Y156&gt;=1,Y156/$Y$189)</f>
        <v>6.25E-2</v>
      </c>
    </row>
    <row r="157" spans="2:26" ht="92" customHeight="1" x14ac:dyDescent="0.25">
      <c r="B157" s="1121" t="s">
        <v>603</v>
      </c>
      <c r="C157" s="1066"/>
      <c r="D157" s="316">
        <f>COUNTIFS(input!$O:$O,July!$D$124,input!$W:$W,July!B157,input!$A:$A,July!$B$2)</f>
        <v>0</v>
      </c>
      <c r="E157" s="316">
        <f>COUNTIFS(input!$O:$O,July!$E$124,input!$W:$W,July!B157,input!$A:$A,July!$B$2)</f>
        <v>0</v>
      </c>
      <c r="F157" s="316">
        <f>COUNTIFS(input!$O:$O,July!$F$124,input!$W:$W,July!B157,input!$A:$A,July!$B$2)</f>
        <v>0</v>
      </c>
      <c r="G157" s="322">
        <f>COUNTIFS(input!$O:$O,July!$G$124,input!$W:$W,July!B157,input!$A:$A,July!$B$2)</f>
        <v>0</v>
      </c>
      <c r="H157" s="321">
        <f>COUNTIFS(input!$O:$O,July!$H$124,input!$W:$W,July!B157,input!$A:$A,July!$B$2)</f>
        <v>0</v>
      </c>
      <c r="I157" s="321">
        <f>COUNTIFS(input!$O:$O,July!$I$124,input!$W:$W,July!B157,input!$A:$A,July!$B$2)</f>
        <v>0</v>
      </c>
      <c r="J157" s="321">
        <f>COUNTIFS(input!$O:$O,July!$J$124,input!$W:$W,July!B157,input!$A:$A,July!$B$2)</f>
        <v>0</v>
      </c>
      <c r="K157" s="343">
        <f>COUNTIFS(input!$O:$O,July!$K$124,input!$W:$W,July!B157,input!$A:$A,July!$B$2)</f>
        <v>0</v>
      </c>
      <c r="L157" s="312">
        <f t="shared" si="12"/>
        <v>0</v>
      </c>
      <c r="M157" s="320" cm="1">
        <f t="array" ref="M157">_xlfn.IFS(L157=0,0,L157&gt;=1,L157/$L$189)</f>
        <v>0</v>
      </c>
      <c r="N157" s="1058" t="s">
        <v>2159</v>
      </c>
      <c r="O157" s="1016"/>
      <c r="P157" s="991"/>
      <c r="Q157" s="316">
        <f>COUNTIFS(input!$O:$O,July!$Q$124,input!$X:$X,July!N157,input!$A:$A,July!$B$2)</f>
        <v>0</v>
      </c>
      <c r="R157" s="316">
        <f>COUNTIFS(input!$O:$O,July!$R$124,input!$X:$X,July!N157,input!$A:$A,July!$B$2)</f>
        <v>0</v>
      </c>
      <c r="S157" s="316">
        <f>COUNTIFS(input!$O:$O,July!$S$124,input!$X:$X,July!N157,input!$A:$A,July!$B$2)</f>
        <v>0</v>
      </c>
      <c r="T157" s="322">
        <f>COUNTIFS(input!$O:$O,July!$T$124,input!$X:$X,July!N157,input!$A:$A,July!$B$2)</f>
        <v>1</v>
      </c>
      <c r="U157" s="322">
        <f>COUNTIFS(input!$O:$O,July!$U$124,input!$X:$X,July!N157,input!$A:$A,July!$B$2)</f>
        <v>0</v>
      </c>
      <c r="V157" s="323">
        <f>COUNTIFS(input!$O:$O,July!$V$124,input!$X:$X,July!N157,input!$A:$A,July!$B$2)</f>
        <v>0</v>
      </c>
      <c r="W157" s="323">
        <f>COUNTIFS(input!$O:$O,July!$W$124,input!$X:$X,July!N157,input!$A:$A,July!$B$2)</f>
        <v>0</v>
      </c>
      <c r="X157" s="324">
        <f>COUNTIFS(input!$O:$O,July!$X$124,input!$X:$X,July!N157,input!$A:$A,July!$B$2)</f>
        <v>0</v>
      </c>
      <c r="Y157" s="312">
        <f t="shared" si="11"/>
        <v>1</v>
      </c>
      <c r="Z157" s="315" cm="1">
        <f t="array" ref="Z157">_xlfn.IFS(Y157=0,0,Y157&gt;=1,Y157/$Y$189)</f>
        <v>6.25E-2</v>
      </c>
    </row>
    <row r="158" spans="2:26" ht="92" customHeight="1" x14ac:dyDescent="0.25">
      <c r="B158" s="1122" t="s">
        <v>828</v>
      </c>
      <c r="C158" s="997"/>
      <c r="D158" s="316">
        <f>COUNTIFS(input!$O:$O,July!$D$124,input!$W:$W,July!B158,input!$A:$A,July!$B$2)</f>
        <v>0</v>
      </c>
      <c r="E158" s="316">
        <f>COUNTIFS(input!$O:$O,July!$E$124,input!$W:$W,July!B158,input!$A:$A,July!$B$2)</f>
        <v>0</v>
      </c>
      <c r="F158" s="316">
        <f>COUNTIFS(input!$O:$O,July!$F$124,input!$W:$W,July!B158,input!$A:$A,July!$B$2)</f>
        <v>0</v>
      </c>
      <c r="G158" s="322">
        <f>COUNTIFS(input!$O:$O,July!$G$124,input!$W:$W,July!B158,input!$A:$A,July!$B$2)</f>
        <v>0</v>
      </c>
      <c r="H158" s="321">
        <f>COUNTIFS(input!$O:$O,July!$H$124,input!$W:$W,July!B158,input!$A:$A,July!$B$2)</f>
        <v>0</v>
      </c>
      <c r="I158" s="321">
        <f>COUNTIFS(input!$O:$O,July!$I$124,input!$W:$W,July!B158,input!$A:$A,July!$B$2)</f>
        <v>0</v>
      </c>
      <c r="J158" s="321">
        <f>COUNTIFS(input!$O:$O,July!$J$124,input!$W:$W,July!B158,input!$A:$A,July!$B$2)</f>
        <v>0</v>
      </c>
      <c r="K158" s="343">
        <f>COUNTIFS(input!$O:$O,July!$K$124,input!$W:$W,July!B158,input!$A:$A,July!$B$2)</f>
        <v>0</v>
      </c>
      <c r="L158" s="312">
        <f t="shared" si="12"/>
        <v>0</v>
      </c>
      <c r="M158" s="320" cm="1">
        <f t="array" ref="M158">_xlfn.IFS(L158=0,0,L158&gt;=1,L158/$L$189)</f>
        <v>0</v>
      </c>
      <c r="N158" s="1058" t="s">
        <v>188</v>
      </c>
      <c r="O158" s="1016"/>
      <c r="P158" s="991"/>
      <c r="Q158" s="316">
        <f>COUNTIFS(input!$O:$O,July!$Q$124,input!$X:$X,July!N158,input!$A:$A,July!$B$2)</f>
        <v>0</v>
      </c>
      <c r="R158" s="316">
        <f>COUNTIFS(input!$O:$O,July!$R$124,input!$X:$X,July!N158,input!$A:$A,July!$B$2)</f>
        <v>0</v>
      </c>
      <c r="S158" s="316">
        <f>COUNTIFS(input!$O:$O,July!$S$124,input!$X:$X,July!N158,input!$A:$A,July!$B$2)</f>
        <v>0</v>
      </c>
      <c r="T158" s="322">
        <f>COUNTIFS(input!$O:$O,July!$T$124,input!$X:$X,July!N158,input!$A:$A,July!$B$2)</f>
        <v>3</v>
      </c>
      <c r="U158" s="322">
        <f>COUNTIFS(input!$O:$O,July!$U$124,input!$X:$X,July!N158,input!$A:$A,July!$B$2)</f>
        <v>0</v>
      </c>
      <c r="V158" s="323">
        <f>COUNTIFS(input!$O:$O,July!$V$124,input!$X:$X,July!N158,input!$A:$A,July!$B$2)</f>
        <v>0</v>
      </c>
      <c r="W158" s="323">
        <f>COUNTIFS(input!$O:$O,July!$W$124,input!$X:$X,July!N158,input!$A:$A,July!$B$2)</f>
        <v>0</v>
      </c>
      <c r="X158" s="324">
        <f>COUNTIFS(input!$O:$O,July!$X$124,input!$X:$X,July!N158,input!$A:$A,July!$B$2)</f>
        <v>0</v>
      </c>
      <c r="Y158" s="312">
        <f t="shared" si="11"/>
        <v>3</v>
      </c>
      <c r="Z158" s="315" cm="1">
        <f t="array" ref="Z158">_xlfn.IFS(Y158=0,0,Y158&gt;=1,Y158/$Y$189)</f>
        <v>0.1875</v>
      </c>
    </row>
    <row r="159" spans="2:26" ht="92" customHeight="1" x14ac:dyDescent="0.25">
      <c r="B159" s="998" t="s">
        <v>2169</v>
      </c>
      <c r="C159" s="994"/>
      <c r="D159" s="316">
        <f>COUNTIFS(input!$O:$O,July!$D$124,input!$W:$W,July!B159,input!$A:$A,July!$B$2)</f>
        <v>0</v>
      </c>
      <c r="E159" s="316">
        <f>COUNTIFS(input!$O:$O,July!$E$124,input!$W:$W,July!B159,input!$A:$A,July!$B$2)</f>
        <v>0</v>
      </c>
      <c r="F159" s="316">
        <f>COUNTIFS(input!$O:$O,July!$F$124,input!$W:$W,July!B159,input!$A:$A,July!$B$2)</f>
        <v>0</v>
      </c>
      <c r="G159" s="322">
        <f>COUNTIFS(input!$O:$O,July!$G$124,input!$W:$W,July!B159,input!$A:$A,July!$B$2)</f>
        <v>1</v>
      </c>
      <c r="H159" s="321">
        <f>COUNTIFS(input!$O:$O,July!$H$124,input!$W:$W,July!B159,input!$A:$A,July!$B$2)</f>
        <v>0</v>
      </c>
      <c r="I159" s="321">
        <f>COUNTIFS(input!$O:$O,July!$I$124,input!$W:$W,July!B159,input!$A:$A,July!$B$2)</f>
        <v>0</v>
      </c>
      <c r="J159" s="321">
        <f>COUNTIFS(input!$O:$O,July!$J$124,input!$W:$W,July!B159,input!$A:$A,July!$B$2)</f>
        <v>0</v>
      </c>
      <c r="K159" s="343">
        <f>COUNTIFS(input!$O:$O,July!$K$124,input!$W:$W,July!B159,input!$A:$A,July!$B$2)</f>
        <v>0</v>
      </c>
      <c r="L159" s="312">
        <f>SUM(D159:K159)</f>
        <v>1</v>
      </c>
      <c r="M159" s="320" cm="1">
        <f t="array" ref="M159">_xlfn.IFS(L159=0,0,L159&gt;=1,L159/$L$189)</f>
        <v>6.25E-2</v>
      </c>
      <c r="N159" s="995"/>
      <c r="O159" s="996"/>
      <c r="P159" s="997"/>
      <c r="Q159" s="316">
        <f>COUNTIFS(input!$O:$O,July!$Q$124,input!$X:$X,July!N159,input!$A:$A,July!$B$2)</f>
        <v>0</v>
      </c>
      <c r="R159" s="316">
        <f>COUNTIFS(input!$O:$O,July!$R$124,input!$X:$X,July!N159,input!$A:$A,July!$B$2)</f>
        <v>0</v>
      </c>
      <c r="S159" s="316">
        <f>COUNTIFS(input!$O:$O,July!$S$124,input!$X:$X,July!N159,input!$A:$A,July!$B$2)</f>
        <v>0</v>
      </c>
      <c r="T159" s="322">
        <f>COUNTIFS(input!$O:$O,July!$T$124,input!$X:$X,July!N159,input!$A:$A,July!$B$2)</f>
        <v>0</v>
      </c>
      <c r="U159" s="322">
        <f>COUNTIFS(input!$O:$O,July!$U$124,input!$X:$X,July!N159,input!$A:$A,July!$B$2)</f>
        <v>0</v>
      </c>
      <c r="V159" s="323">
        <f>COUNTIFS(input!$O:$O,July!$V$124,input!$X:$X,July!N159,input!$A:$A,July!$B$2)</f>
        <v>0</v>
      </c>
      <c r="W159" s="323">
        <f>COUNTIFS(input!$O:$O,July!$W$124,input!$X:$X,July!N159,input!$A:$A,July!$B$2)</f>
        <v>0</v>
      </c>
      <c r="X159" s="324">
        <f>COUNTIFS(input!$O:$O,July!$X$124,input!$X:$X,July!N159,input!$A:$A,July!$B$2)</f>
        <v>0</v>
      </c>
      <c r="Y159" s="312">
        <f>SUM(Q159:X159)</f>
        <v>0</v>
      </c>
      <c r="Z159" s="315" cm="1">
        <f t="array" ref="Z159">_xlfn.IFS(Y159=0,0,Y159&gt;=1,Y159/$Y$189)</f>
        <v>0</v>
      </c>
    </row>
    <row r="160" spans="2:26" ht="92" x14ac:dyDescent="0.25">
      <c r="B160" s="998" t="s">
        <v>1543</v>
      </c>
      <c r="C160" s="994"/>
      <c r="D160" s="316">
        <f>COUNTIFS(input!$O:$O,July!$D$124,input!$W:$W,July!B160,input!$A:$A,July!$B$2)</f>
        <v>0</v>
      </c>
      <c r="E160" s="316">
        <f>COUNTIFS(input!$O:$O,July!$E$124,input!$W:$W,July!B160,input!$A:$A,July!$B$2)</f>
        <v>0</v>
      </c>
      <c r="F160" s="316">
        <f>COUNTIFS(input!$O:$O,July!$F$124,input!$W:$W,July!B160,input!$A:$A,July!$B$2)</f>
        <v>0</v>
      </c>
      <c r="G160" s="322">
        <f>COUNTIFS(input!$O:$O,July!$G$124,input!$W:$W,July!B160,input!$A:$A,July!$B$2)</f>
        <v>1</v>
      </c>
      <c r="H160" s="321">
        <f>COUNTIFS(input!$O:$O,July!$H$124,input!$W:$W,July!B160,input!$A:$A,July!$B$2)</f>
        <v>0</v>
      </c>
      <c r="I160" s="321">
        <f>COUNTIFS(input!$O:$O,July!$I$124,input!$W:$W,July!B160,input!$A:$A,July!$B$2)</f>
        <v>0</v>
      </c>
      <c r="J160" s="321">
        <f>COUNTIFS(input!$O:$O,July!$J$124,input!$W:$W,July!B160,input!$A:$A,July!$B$2)</f>
        <v>0</v>
      </c>
      <c r="K160" s="343">
        <f>COUNTIFS(input!$O:$O,July!$K$124,input!$W:$W,July!B160,input!$A:$A,July!$B$2)</f>
        <v>0</v>
      </c>
      <c r="L160" s="312">
        <f t="shared" si="12"/>
        <v>1</v>
      </c>
      <c r="M160" s="320" cm="1">
        <f t="array" ref="M160">_xlfn.IFS(L160=0,0,L160&gt;=1,L160/$L$189)</f>
        <v>6.25E-2</v>
      </c>
      <c r="N160" s="995"/>
      <c r="O160" s="996"/>
      <c r="P160" s="997"/>
      <c r="Q160" s="316">
        <f>COUNTIFS(input!$O:$O,July!$Q$124,input!$X:$X,July!N160,input!$A:$A,July!$B$2)</f>
        <v>0</v>
      </c>
      <c r="R160" s="316">
        <f>COUNTIFS(input!$O:$O,July!$R$124,input!$X:$X,July!N160,input!$A:$A,July!$B$2)</f>
        <v>0</v>
      </c>
      <c r="S160" s="316">
        <f>COUNTIFS(input!$O:$O,July!$S$124,input!$X:$X,July!N160,input!$A:$A,July!$B$2)</f>
        <v>0</v>
      </c>
      <c r="T160" s="322">
        <f>COUNTIFS(input!$O:$O,July!$T$124,input!$X:$X,July!N160,input!$A:$A,July!$B$2)</f>
        <v>0</v>
      </c>
      <c r="U160" s="322">
        <f>COUNTIFS(input!$O:$O,July!$U$124,input!$X:$X,July!N160,input!$A:$A,July!$B$2)</f>
        <v>0</v>
      </c>
      <c r="V160" s="323">
        <f>COUNTIFS(input!$O:$O,July!$V$124,input!$X:$X,July!N160,input!$A:$A,July!$B$2)</f>
        <v>0</v>
      </c>
      <c r="W160" s="323">
        <f>COUNTIFS(input!$O:$O,July!$W$124,input!$X:$X,July!N160,input!$A:$A,July!$B$2)</f>
        <v>0</v>
      </c>
      <c r="X160" s="324">
        <f>COUNTIFS(input!$O:$O,July!$X$124,input!$X:$X,July!N160,input!$A:$A,July!$B$2)</f>
        <v>0</v>
      </c>
      <c r="Y160" s="312">
        <f t="shared" si="11"/>
        <v>0</v>
      </c>
      <c r="Z160" s="315" cm="1">
        <f t="array" ref="Z160">_xlfn.IFS(Y160=0,0,Y160&gt;=1,Y160/$Y$189)</f>
        <v>0</v>
      </c>
    </row>
    <row r="161" spans="2:26" ht="92" hidden="1" x14ac:dyDescent="0.25">
      <c r="B161" s="1122" t="s">
        <v>1540</v>
      </c>
      <c r="C161" s="997"/>
      <c r="D161" s="316">
        <f>COUNTIFS(input!$O:$O,July!$D$124,input!$W:$W,July!B161,input!$A:$A,July!$B$2)</f>
        <v>0</v>
      </c>
      <c r="E161" s="316">
        <f>COUNTIFS(input!$O:$O,July!$E$124,input!$W:$W,July!B161,input!$A:$A,July!$B$2)</f>
        <v>0</v>
      </c>
      <c r="F161" s="316">
        <f>COUNTIFS(input!$O:$O,July!$F$124,input!$W:$W,July!B161,input!$A:$A,July!$B$2)</f>
        <v>0</v>
      </c>
      <c r="G161" s="322">
        <f>COUNTIFS(input!$O:$O,July!$G$124,input!$W:$W,July!B161,input!$A:$A,July!$B$2)</f>
        <v>0</v>
      </c>
      <c r="H161" s="321">
        <f>COUNTIFS(input!$O:$O,July!$H$124,input!$W:$W,July!B161,input!$A:$A,July!$B$2)</f>
        <v>0</v>
      </c>
      <c r="I161" s="321">
        <f>COUNTIFS(input!$O:$O,July!$I$124,input!$W:$W,July!B161,input!$A:$A,July!$B$2)</f>
        <v>0</v>
      </c>
      <c r="J161" s="321">
        <f>COUNTIFS(input!$O:$O,July!$J$124,input!$W:$W,July!B161,input!$A:$A,July!$B$2)</f>
        <v>0</v>
      </c>
      <c r="K161" s="343">
        <f>COUNTIFS(input!$O:$O,July!$K$124,input!$W:$W,July!B161,input!$A:$A,July!$B$2)</f>
        <v>0</v>
      </c>
      <c r="L161" s="312">
        <f t="shared" si="12"/>
        <v>0</v>
      </c>
      <c r="M161" s="320" cm="1">
        <f t="array" ref="M161">_xlfn.IFS(L161=0,0,L161&gt;=1,L161/$L$189)</f>
        <v>0</v>
      </c>
      <c r="N161" s="382"/>
      <c r="O161" s="383"/>
      <c r="P161" s="384"/>
      <c r="Q161" s="316">
        <f>COUNTIFS(input!$O:$O,July!$Q$124,input!$X:$X,July!N161,input!$A:$A,July!$B$2)</f>
        <v>0</v>
      </c>
      <c r="R161" s="316">
        <f>COUNTIFS(input!$O:$O,July!$R$124,input!$X:$X,July!N161,input!$A:$A,July!$B$2)</f>
        <v>0</v>
      </c>
      <c r="S161" s="316">
        <f>COUNTIFS(input!$O:$O,July!$S$124,input!$X:$X,July!N161,input!$A:$A,July!$B$2)</f>
        <v>0</v>
      </c>
      <c r="T161" s="322">
        <f>COUNTIFS(input!$O:$O,July!$T$124,input!$X:$X,July!N161,input!$A:$A,July!$B$2)</f>
        <v>0</v>
      </c>
      <c r="U161" s="322">
        <f>COUNTIFS(input!$O:$O,July!$U$124,input!$X:$X,July!N161,input!$A:$A,July!$B$2)</f>
        <v>0</v>
      </c>
      <c r="V161" s="323">
        <f>COUNTIFS(input!$O:$O,July!$V$124,input!$X:$X,July!N161,input!$A:$A,July!$B$2)</f>
        <v>0</v>
      </c>
      <c r="W161" s="323">
        <f>COUNTIFS(input!$O:$O,July!$W$124,input!$X:$X,July!N161,input!$A:$A,July!$B$2)</f>
        <v>0</v>
      </c>
      <c r="X161" s="324">
        <f>COUNTIFS(input!$O:$O,July!$X$124,input!$X:$X,July!N161,input!$A:$A,July!$B$2)</f>
        <v>0</v>
      </c>
      <c r="Y161" s="312">
        <f t="shared" si="11"/>
        <v>0</v>
      </c>
      <c r="Z161" s="315" cm="1">
        <f t="array" ref="Z161">_xlfn.IFS(Y161=0,0,Y161&gt;=1,Y161/$Y$189)</f>
        <v>0</v>
      </c>
    </row>
    <row r="162" spans="2:26" ht="92" hidden="1" x14ac:dyDescent="0.25">
      <c r="B162" s="1122" t="s">
        <v>1538</v>
      </c>
      <c r="C162" s="997"/>
      <c r="D162" s="316">
        <f>COUNTIFS(input!$O:$O,July!$D$124,input!$W:$W,July!B162,input!$A:$A,July!$B$2)</f>
        <v>0</v>
      </c>
      <c r="E162" s="316">
        <f>COUNTIFS(input!$O:$O,July!$E$124,input!$W:$W,July!B162,input!$A:$A,July!$B$2)</f>
        <v>0</v>
      </c>
      <c r="F162" s="316">
        <f>COUNTIFS(input!$O:$O,July!$F$124,input!$W:$W,July!B162,input!$A:$A,July!$B$2)</f>
        <v>0</v>
      </c>
      <c r="G162" s="322">
        <f>COUNTIFS(input!$O:$O,July!$G$124,input!$W:$W,July!B162,input!$A:$A,July!$B$2)</f>
        <v>0</v>
      </c>
      <c r="H162" s="321">
        <f>COUNTIFS(input!$O:$O,July!$H$124,input!$W:$W,July!B162,input!$A:$A,July!$B$2)</f>
        <v>0</v>
      </c>
      <c r="I162" s="321">
        <f>COUNTIFS(input!$O:$O,July!$I$124,input!$W:$W,July!B162,input!$A:$A,July!$B$2)</f>
        <v>0</v>
      </c>
      <c r="J162" s="321">
        <f>COUNTIFS(input!$O:$O,July!$J$124,input!$W:$W,July!B162,input!$A:$A,July!$B$2)</f>
        <v>0</v>
      </c>
      <c r="K162" s="343">
        <f>COUNTIFS(input!$O:$O,July!$K$124,input!$W:$W,July!B162,input!$A:$A,July!$B$2)</f>
        <v>0</v>
      </c>
      <c r="L162" s="312">
        <f t="shared" si="12"/>
        <v>0</v>
      </c>
      <c r="M162" s="320" cm="1">
        <f t="array" ref="M162">_xlfn.IFS(L162=0,0,L162&gt;=1,L162/$L$189)</f>
        <v>0</v>
      </c>
      <c r="N162" s="382"/>
      <c r="O162" s="383"/>
      <c r="P162" s="384"/>
      <c r="Q162" s="316">
        <f>COUNTIFS(input!$O:$O,July!$Q$124,input!$X:$X,July!N162,input!$A:$A,July!$B$2)</f>
        <v>0</v>
      </c>
      <c r="R162" s="316">
        <f>COUNTIFS(input!$O:$O,July!$R$124,input!$X:$X,July!N162,input!$A:$A,July!$B$2)</f>
        <v>0</v>
      </c>
      <c r="S162" s="316">
        <f>COUNTIFS(input!$O:$O,July!$S$124,input!$X:$X,July!N162,input!$A:$A,July!$B$2)</f>
        <v>0</v>
      </c>
      <c r="T162" s="322">
        <f>COUNTIFS(input!$O:$O,July!$T$124,input!$X:$X,July!N162,input!$A:$A,July!$B$2)</f>
        <v>0</v>
      </c>
      <c r="U162" s="322">
        <f>COUNTIFS(input!$O:$O,July!$U$124,input!$X:$X,July!N162,input!$A:$A,July!$B$2)</f>
        <v>0</v>
      </c>
      <c r="V162" s="323">
        <f>COUNTIFS(input!$O:$O,July!$V$124,input!$X:$X,July!N162,input!$A:$A,July!$B$2)</f>
        <v>0</v>
      </c>
      <c r="W162" s="323">
        <f>COUNTIFS(input!$O:$O,July!$W$124,input!$X:$X,July!N162,input!$A:$A,July!$B$2)</f>
        <v>0</v>
      </c>
      <c r="X162" s="324">
        <f>COUNTIFS(input!$O:$O,July!$X$124,input!$X:$X,July!N162,input!$A:$A,July!$B$2)</f>
        <v>0</v>
      </c>
      <c r="Y162" s="312">
        <f t="shared" si="11"/>
        <v>0</v>
      </c>
      <c r="Z162" s="315" cm="1">
        <f t="array" ref="Z162">_xlfn.IFS(Y162=0,0,Y162&gt;=1,Y162/$Y$189)</f>
        <v>0</v>
      </c>
    </row>
    <row r="163" spans="2:26" ht="92" hidden="1" x14ac:dyDescent="0.25">
      <c r="B163" s="1121" t="s">
        <v>666</v>
      </c>
      <c r="C163" s="1066"/>
      <c r="D163" s="316">
        <f>COUNTIFS(input!$O:$O,July!$D$124,input!$W:$W,July!B163,input!$A:$A,July!$B$2)</f>
        <v>0</v>
      </c>
      <c r="E163" s="316">
        <f>COUNTIFS(input!$O:$O,July!$E$124,input!$W:$W,July!B163,input!$A:$A,July!$B$2)</f>
        <v>0</v>
      </c>
      <c r="F163" s="316">
        <f>COUNTIFS(input!$O:$O,July!$F$124,input!$W:$W,July!B163,input!$A:$A,July!$B$2)</f>
        <v>0</v>
      </c>
      <c r="G163" s="322">
        <f>COUNTIFS(input!$O:$O,July!$G$124,input!$W:$W,July!B163,input!$A:$A,July!$B$2)</f>
        <v>0</v>
      </c>
      <c r="H163" s="321">
        <f>COUNTIFS(input!$O:$O,July!$H$124,input!$W:$W,July!B163,input!$A:$A,July!$B$2)</f>
        <v>0</v>
      </c>
      <c r="I163" s="321">
        <f>COUNTIFS(input!$O:$O,July!$I$124,input!$W:$W,July!B163,input!$A:$A,July!$B$2)</f>
        <v>0</v>
      </c>
      <c r="J163" s="321">
        <f>COUNTIFS(input!$O:$O,July!$J$124,input!$W:$W,July!B163,input!$A:$A,July!$B$2)</f>
        <v>0</v>
      </c>
      <c r="K163" s="343">
        <f>COUNTIFS(input!$O:$O,July!$K$124,input!$W:$W,July!B163,input!$A:$A,July!$B$2)</f>
        <v>0</v>
      </c>
      <c r="L163" s="312">
        <f t="shared" si="12"/>
        <v>0</v>
      </c>
      <c r="M163" s="320" cm="1">
        <f t="array" ref="M163">_xlfn.IFS(L163=0,0,L163&gt;=1,L163/$L$189)</f>
        <v>0</v>
      </c>
      <c r="N163" s="995"/>
      <c r="O163" s="996"/>
      <c r="P163" s="997"/>
      <c r="Q163" s="316">
        <f>COUNTIFS(input!$O:$O,July!$Q$124,input!$X:$X,July!N163,input!$A:$A,July!$B$2)</f>
        <v>0</v>
      </c>
      <c r="R163" s="316">
        <f>COUNTIFS(input!$O:$O,July!$R$124,input!$X:$X,July!N163,input!$A:$A,July!$B$2)</f>
        <v>0</v>
      </c>
      <c r="S163" s="316">
        <f>COUNTIFS(input!$O:$O,July!$S$124,input!$X:$X,July!N163,input!$A:$A,July!$B$2)</f>
        <v>0</v>
      </c>
      <c r="T163" s="322">
        <f>COUNTIFS(input!$O:$O,July!$T$124,input!$X:$X,July!N163,input!$A:$A,July!$B$2)</f>
        <v>0</v>
      </c>
      <c r="U163" s="322">
        <f>COUNTIFS(input!$O:$O,July!$U$124,input!$X:$X,July!N163,input!$A:$A,July!$B$2)</f>
        <v>0</v>
      </c>
      <c r="V163" s="323">
        <f>COUNTIFS(input!$O:$O,July!$V$124,input!$X:$X,July!N163,input!$A:$A,July!$B$2)</f>
        <v>0</v>
      </c>
      <c r="W163" s="323">
        <f>COUNTIFS(input!$O:$O,July!$W$124,input!$X:$X,July!N163,input!$A:$A,July!$B$2)</f>
        <v>0</v>
      </c>
      <c r="X163" s="324">
        <f>COUNTIFS(input!$O:$O,July!$X$124,input!$X:$X,July!N163,input!$A:$A,July!$B$2)</f>
        <v>0</v>
      </c>
      <c r="Y163" s="312">
        <f t="shared" si="11"/>
        <v>0</v>
      </c>
      <c r="Z163" s="315" cm="1">
        <f t="array" ref="Z163">_xlfn.IFS(Y163=0,0,Y163&gt;=1,Y163/$Y$189)</f>
        <v>0</v>
      </c>
    </row>
    <row r="164" spans="2:26" ht="92" hidden="1" x14ac:dyDescent="0.25">
      <c r="B164" s="1121" t="s">
        <v>765</v>
      </c>
      <c r="C164" s="1066"/>
      <c r="D164" s="316">
        <f>COUNTIFS(input!$O:$O,July!$D$124,input!$W:$W,July!B164,input!$A:$A,July!$B$2)</f>
        <v>0</v>
      </c>
      <c r="E164" s="316">
        <f>COUNTIFS(input!$O:$O,July!$E$124,input!$W:$W,July!B164,input!$A:$A,July!$B$2)</f>
        <v>0</v>
      </c>
      <c r="F164" s="316">
        <f>COUNTIFS(input!$O:$O,July!$F$124,input!$W:$W,July!B164,input!$A:$A,July!$B$2)</f>
        <v>0</v>
      </c>
      <c r="G164" s="322">
        <f>COUNTIFS(input!$O:$O,July!$G$124,input!$W:$W,July!B164,input!$A:$A,July!$B$2)</f>
        <v>0</v>
      </c>
      <c r="H164" s="321">
        <f>COUNTIFS(input!$O:$O,July!$H$124,input!$W:$W,July!B164,input!$A:$A,July!$B$2)</f>
        <v>0</v>
      </c>
      <c r="I164" s="321">
        <f>COUNTIFS(input!$O:$O,July!$I$124,input!$W:$W,July!B164,input!$A:$A,July!$B$2)</f>
        <v>0</v>
      </c>
      <c r="J164" s="321">
        <f>COUNTIFS(input!$O:$O,July!$J$124,input!$W:$W,July!B164,input!$A:$A,July!$B$2)</f>
        <v>0</v>
      </c>
      <c r="K164" s="343">
        <f>COUNTIFS(input!$O:$O,July!$K$124,input!$W:$W,July!B164,input!$A:$A,July!$B$2)</f>
        <v>0</v>
      </c>
      <c r="L164" s="312">
        <f t="shared" si="12"/>
        <v>0</v>
      </c>
      <c r="M164" s="320" cm="1">
        <f t="array" ref="M164">_xlfn.IFS(L164=0,0,L164&gt;=1,L164/$L$189)</f>
        <v>0</v>
      </c>
      <c r="N164" s="995"/>
      <c r="O164" s="996"/>
      <c r="P164" s="997"/>
      <c r="Q164" s="316">
        <f>COUNTIFS(input!$O:$O,July!$Q$124,input!$X:$X,July!N164,input!$A:$A,July!$B$2)</f>
        <v>0</v>
      </c>
      <c r="R164" s="316">
        <f>COUNTIFS(input!$O:$O,July!$R$124,input!$X:$X,July!N164,input!$A:$A,July!$B$2)</f>
        <v>0</v>
      </c>
      <c r="S164" s="316">
        <f>COUNTIFS(input!$O:$O,July!$S$124,input!$X:$X,July!N164,input!$A:$A,July!$B$2)</f>
        <v>0</v>
      </c>
      <c r="T164" s="322">
        <f>COUNTIFS(input!$O:$O,July!$T$124,input!$X:$X,July!N164,input!$A:$A,July!$B$2)</f>
        <v>0</v>
      </c>
      <c r="U164" s="322">
        <f>COUNTIFS(input!$O:$O,July!$U$124,input!$X:$X,July!N164,input!$A:$A,July!$B$2)</f>
        <v>0</v>
      </c>
      <c r="V164" s="323">
        <f>COUNTIFS(input!$O:$O,July!$V$124,input!$X:$X,July!N164,input!$A:$A,July!$B$2)</f>
        <v>0</v>
      </c>
      <c r="W164" s="323">
        <f>COUNTIFS(input!$O:$O,July!$W$124,input!$X:$X,July!N164,input!$A:$A,July!$B$2)</f>
        <v>0</v>
      </c>
      <c r="X164" s="324">
        <f>COUNTIFS(input!$O:$O,July!$X$124,input!$X:$X,July!N164,input!$A:$A,July!$B$2)</f>
        <v>0</v>
      </c>
      <c r="Y164" s="312">
        <f t="shared" si="11"/>
        <v>0</v>
      </c>
      <c r="Z164" s="315" cm="1">
        <f t="array" ref="Z164">_xlfn.IFS(Y164=0,0,Y164&gt;=1,Y164/$Y$189)</f>
        <v>0</v>
      </c>
    </row>
    <row r="165" spans="2:26" ht="92" hidden="1" x14ac:dyDescent="0.25">
      <c r="B165" s="1121" t="s">
        <v>1787</v>
      </c>
      <c r="C165" s="1066"/>
      <c r="D165" s="316">
        <f>COUNTIFS(input!$O:$O,July!$D$124,input!$W:$W,July!B165,input!$A:$A,July!$B$2)</f>
        <v>0</v>
      </c>
      <c r="E165" s="316">
        <f>COUNTIFS(input!$O:$O,July!$E$124,input!$W:$W,July!B165,input!$A:$A,July!$B$2)</f>
        <v>0</v>
      </c>
      <c r="F165" s="316">
        <f>COUNTIFS(input!$O:$O,July!$F$124,input!$W:$W,July!B165,input!$A:$A,July!$B$2)</f>
        <v>0</v>
      </c>
      <c r="G165" s="322">
        <f>COUNTIFS(input!$O:$O,July!$G$124,input!$W:$W,July!B165,input!$A:$A,July!$B$2)</f>
        <v>0</v>
      </c>
      <c r="H165" s="321">
        <f>COUNTIFS(input!$O:$O,July!$H$124,input!$W:$W,July!B165,input!$A:$A,July!$B$2)</f>
        <v>0</v>
      </c>
      <c r="I165" s="321">
        <f>COUNTIFS(input!$O:$O,July!$I$124,input!$W:$W,July!B165,input!$A:$A,July!$B$2)</f>
        <v>0</v>
      </c>
      <c r="J165" s="321">
        <f>COUNTIFS(input!$O:$O,July!$J$124,input!$W:$W,July!B165,input!$A:$A,July!$B$2)</f>
        <v>0</v>
      </c>
      <c r="K165" s="343">
        <f>COUNTIFS(input!$O:$O,July!$K$124,input!$W:$W,July!B165,input!$A:$A,July!$B$2)</f>
        <v>0</v>
      </c>
      <c r="L165" s="312">
        <f t="shared" si="12"/>
        <v>0</v>
      </c>
      <c r="M165" s="320" cm="1">
        <f t="array" ref="M165">_xlfn.IFS(L165=0,0,L165&gt;=1,L165/$L$189)</f>
        <v>0</v>
      </c>
      <c r="N165" s="995" t="s">
        <v>1544</v>
      </c>
      <c r="O165" s="996"/>
      <c r="P165" s="997"/>
      <c r="Q165" s="316">
        <f>COUNTIFS(input!$O:$O,July!$Q$124,input!$X:$X,July!N165,input!$A:$A,July!$B$2)</f>
        <v>0</v>
      </c>
      <c r="R165" s="316">
        <f>COUNTIFS(input!$O:$O,July!$R$124,input!$X:$X,July!N165,input!$A:$A,July!$B$2)</f>
        <v>0</v>
      </c>
      <c r="S165" s="316">
        <f>COUNTIFS(input!$O:$O,July!$S$124,input!$X:$X,July!N165,input!$A:$A,July!$B$2)</f>
        <v>0</v>
      </c>
      <c r="T165" s="322">
        <f>COUNTIFS(input!$O:$O,July!$T$124,input!$X:$X,July!N165,input!$A:$A,July!$B$2)</f>
        <v>0</v>
      </c>
      <c r="U165" s="322">
        <f>COUNTIFS(input!$O:$O,July!$U$124,input!$X:$X,July!N165,input!$A:$A,July!$B$2)</f>
        <v>0</v>
      </c>
      <c r="V165" s="323">
        <f>COUNTIFS(input!$O:$O,July!$V$124,input!$X:$X,July!N165,input!$A:$A,July!$B$2)</f>
        <v>0</v>
      </c>
      <c r="W165" s="323">
        <f>COUNTIFS(input!$O:$O,July!$W$124,input!$X:$X,July!N165,input!$A:$A,July!$B$2)</f>
        <v>0</v>
      </c>
      <c r="X165" s="324">
        <f>COUNTIFS(input!$O:$O,July!$X$124,input!$X:$X,July!N165,input!$A:$A,July!$B$2)</f>
        <v>0</v>
      </c>
      <c r="Y165" s="312">
        <f t="shared" si="11"/>
        <v>0</v>
      </c>
      <c r="Z165" s="315" cm="1">
        <f t="array" ref="Z165">_xlfn.IFS(Y165=0,0,Y165&gt;=1,Y165/$Y$189)</f>
        <v>0</v>
      </c>
    </row>
    <row r="166" spans="2:26" ht="92" hidden="1" x14ac:dyDescent="0.25">
      <c r="B166" s="1121" t="s">
        <v>1560</v>
      </c>
      <c r="C166" s="1066"/>
      <c r="D166" s="316">
        <f>COUNTIFS(input!$O:$O,July!$D$124,input!$W:$W,July!B166,input!$A:$A,July!$B$2)</f>
        <v>0</v>
      </c>
      <c r="E166" s="316">
        <f>COUNTIFS(input!$O:$O,July!$E$124,input!$W:$W,July!B166,input!$A:$A,July!$B$2)</f>
        <v>0</v>
      </c>
      <c r="F166" s="316">
        <f>COUNTIFS(input!$O:$O,July!$F$124,input!$W:$W,July!B166,input!$A:$A,July!$B$2)</f>
        <v>0</v>
      </c>
      <c r="G166" s="322">
        <f>COUNTIFS(input!$O:$O,July!$G$124,input!$W:$W,July!B166,input!$A:$A,July!$B$2)</f>
        <v>0</v>
      </c>
      <c r="H166" s="321">
        <f>COUNTIFS(input!$O:$O,July!$H$124,input!$W:$W,July!B166,input!$A:$A,July!$B$2)</f>
        <v>0</v>
      </c>
      <c r="I166" s="321">
        <f>COUNTIFS(input!$O:$O,July!$I$124,input!$W:$W,July!B166,input!$A:$A,July!$B$2)</f>
        <v>0</v>
      </c>
      <c r="J166" s="321">
        <f>COUNTIFS(input!$O:$O,July!$J$124,input!$W:$W,July!B166,input!$A:$A,July!$B$2)</f>
        <v>0</v>
      </c>
      <c r="K166" s="343">
        <f>COUNTIFS(input!$O:$O,July!$K$124,input!$W:$W,July!B166,input!$A:$A,July!$B$2)</f>
        <v>0</v>
      </c>
      <c r="L166" s="312">
        <f t="shared" si="12"/>
        <v>0</v>
      </c>
      <c r="M166" s="320" cm="1">
        <f t="array" ref="M166">_xlfn.IFS(L166=0,0,L166&gt;=1,L166/$L$189)</f>
        <v>0</v>
      </c>
      <c r="N166" s="385"/>
      <c r="O166" s="386"/>
      <c r="P166" s="387"/>
      <c r="Q166" s="316">
        <f>COUNTIFS(input!$O:$O,July!$Q$124,input!$X:$X,July!N166,input!$A:$A,July!$B$2)</f>
        <v>0</v>
      </c>
      <c r="R166" s="316">
        <f>COUNTIFS(input!$O:$O,July!$R$124,input!$X:$X,July!N166,input!$A:$A,July!$B$2)</f>
        <v>0</v>
      </c>
      <c r="S166" s="316">
        <f>COUNTIFS(input!$O:$O,July!$S$124,input!$X:$X,July!N166,input!$A:$A,July!$B$2)</f>
        <v>0</v>
      </c>
      <c r="T166" s="322">
        <f>COUNTIFS(input!$O:$O,July!$T$124,input!$X:$X,July!N166,input!$A:$A,July!$B$2)</f>
        <v>0</v>
      </c>
      <c r="U166" s="322">
        <f>COUNTIFS(input!$O:$O,July!$U$124,input!$X:$X,July!N166,input!$A:$A,July!$B$2)</f>
        <v>0</v>
      </c>
      <c r="V166" s="323">
        <f>COUNTIFS(input!$O:$O,July!$V$124,input!$X:$X,July!N166,input!$A:$A,July!$B$2)</f>
        <v>0</v>
      </c>
      <c r="W166" s="323">
        <f>COUNTIFS(input!$O:$O,July!$W$124,input!$X:$X,July!N166,input!$A:$A,July!$B$2)</f>
        <v>0</v>
      </c>
      <c r="X166" s="324">
        <f>COUNTIFS(input!$O:$O,July!$X$124,input!$X:$X,July!N166,input!$A:$A,July!$B$2)</f>
        <v>0</v>
      </c>
      <c r="Y166" s="312">
        <f t="shared" si="11"/>
        <v>0</v>
      </c>
      <c r="Z166" s="315" cm="1">
        <f t="array" ref="Z166">_xlfn.IFS(Y166=0,0,Y166&gt;=1,Y166/$Y$189)</f>
        <v>0</v>
      </c>
    </row>
    <row r="167" spans="2:26" ht="92" hidden="1" x14ac:dyDescent="0.25">
      <c r="B167" s="1121" t="s">
        <v>1838</v>
      </c>
      <c r="C167" s="1066"/>
      <c r="D167" s="316">
        <f>COUNTIFS(input!$O:$O,July!$D$124,input!$W:$W,July!B167,input!$A:$A,July!$B$2)</f>
        <v>0</v>
      </c>
      <c r="E167" s="316">
        <f>COUNTIFS(input!$O:$O,July!$E$124,input!$W:$W,July!B167,input!$A:$A,July!$B$2)</f>
        <v>0</v>
      </c>
      <c r="F167" s="316">
        <f>COUNTIFS(input!$O:$O,July!$F$124,input!$W:$W,July!B167,input!$A:$A,July!$B$2)</f>
        <v>0</v>
      </c>
      <c r="G167" s="322">
        <f>COUNTIFS(input!$O:$O,July!$G$124,input!$W:$W,July!B167,input!$A:$A,July!$B$2)</f>
        <v>0</v>
      </c>
      <c r="H167" s="321">
        <f>COUNTIFS(input!$O:$O,July!$H$124,input!$W:$W,July!B167,input!$A:$A,July!$B$2)</f>
        <v>0</v>
      </c>
      <c r="I167" s="321">
        <f>COUNTIFS(input!$O:$O,July!$I$124,input!$W:$W,July!B167,input!$A:$A,July!$B$2)</f>
        <v>0</v>
      </c>
      <c r="J167" s="321">
        <f>COUNTIFS(input!$O:$O,July!$J$124,input!$W:$W,July!B167,input!$A:$A,July!$B$2)</f>
        <v>0</v>
      </c>
      <c r="K167" s="343">
        <f>COUNTIFS(input!$O:$O,July!$K$124,input!$W:$W,July!B167,input!$A:$A,July!$B$2)</f>
        <v>0</v>
      </c>
      <c r="L167" s="312">
        <f t="shared" si="12"/>
        <v>0</v>
      </c>
      <c r="M167" s="320" cm="1">
        <f t="array" ref="M167">_xlfn.IFS(L167=0,0,L167&gt;=1,L167/$L$189)</f>
        <v>0</v>
      </c>
      <c r="N167" s="385"/>
      <c r="O167" s="386"/>
      <c r="P167" s="387"/>
      <c r="Q167" s="316">
        <f>COUNTIFS(input!$O:$O,July!$Q$124,input!$X:$X,July!N167,input!$A:$A,July!$B$2)</f>
        <v>0</v>
      </c>
      <c r="R167" s="316">
        <f>COUNTIFS(input!$O:$O,July!$R$124,input!$X:$X,July!N167,input!$A:$A,July!$B$2)</f>
        <v>0</v>
      </c>
      <c r="S167" s="316">
        <f>COUNTIFS(input!$O:$O,July!$S$124,input!$X:$X,July!N167,input!$A:$A,July!$B$2)</f>
        <v>0</v>
      </c>
      <c r="T167" s="322">
        <f>COUNTIFS(input!$O:$O,July!$T$124,input!$X:$X,July!N167,input!$A:$A,July!$B$2)</f>
        <v>0</v>
      </c>
      <c r="U167" s="322">
        <f>COUNTIFS(input!$O:$O,July!$U$124,input!$X:$X,July!N167,input!$A:$A,July!$B$2)</f>
        <v>0</v>
      </c>
      <c r="V167" s="323">
        <f>COUNTIFS(input!$O:$O,July!$V$124,input!$X:$X,July!N167,input!$A:$A,July!$B$2)</f>
        <v>0</v>
      </c>
      <c r="W167" s="323">
        <f>COUNTIFS(input!$O:$O,July!$W$124,input!$X:$X,July!N167,input!$A:$A,July!$B$2)</f>
        <v>0</v>
      </c>
      <c r="X167" s="324">
        <f>COUNTIFS(input!$O:$O,July!$X$124,input!$X:$X,July!N167,input!$A:$A,July!$B$2)</f>
        <v>0</v>
      </c>
      <c r="Y167" s="312">
        <f t="shared" si="11"/>
        <v>0</v>
      </c>
      <c r="Z167" s="315" cm="1">
        <f t="array" ref="Z167">_xlfn.IFS(Y167=0,0,Y167&gt;=1,Y167/$Y$189)</f>
        <v>0</v>
      </c>
    </row>
    <row r="168" spans="2:26" ht="92" hidden="1" x14ac:dyDescent="0.25">
      <c r="B168" s="1121" t="s">
        <v>1561</v>
      </c>
      <c r="C168" s="1066"/>
      <c r="D168" s="316">
        <f>COUNTIFS(input!$O:$O,July!$D$124,input!$W:$W,July!B168,input!$A:$A,July!$B$2)</f>
        <v>0</v>
      </c>
      <c r="E168" s="316">
        <f>COUNTIFS(input!$O:$O,July!$E$124,input!$W:$W,July!B168,input!$A:$A,July!$B$2)</f>
        <v>0</v>
      </c>
      <c r="F168" s="316">
        <f>COUNTIFS(input!$O:$O,July!$F$124,input!$W:$W,July!B168,input!$A:$A,July!$B$2)</f>
        <v>0</v>
      </c>
      <c r="G168" s="322">
        <f>COUNTIFS(input!$O:$O,July!$G$124,input!$W:$W,July!B168,input!$A:$A,July!$B$2)</f>
        <v>0</v>
      </c>
      <c r="H168" s="321">
        <f>COUNTIFS(input!$O:$O,July!$H$124,input!$W:$W,July!B168,input!$A:$A,July!$B$2)</f>
        <v>0</v>
      </c>
      <c r="I168" s="321">
        <f>COUNTIFS(input!$O:$O,July!$I$124,input!$W:$W,July!B168,input!$A:$A,July!$B$2)</f>
        <v>0</v>
      </c>
      <c r="J168" s="321">
        <f>COUNTIFS(input!$O:$O,July!$J$124,input!$W:$W,July!B168,input!$A:$A,July!$B$2)</f>
        <v>0</v>
      </c>
      <c r="K168" s="343">
        <f>COUNTIFS(input!$O:$O,July!$K$124,input!$W:$W,July!B168,input!$A:$A,July!$B$2)</f>
        <v>0</v>
      </c>
      <c r="L168" s="312">
        <f t="shared" si="12"/>
        <v>0</v>
      </c>
      <c r="M168" s="320" cm="1">
        <f t="array" ref="M168">_xlfn.IFS(L168=0,0,L168&gt;=1,L168/$L$189)</f>
        <v>0</v>
      </c>
      <c r="N168" s="385"/>
      <c r="O168" s="386"/>
      <c r="P168" s="387"/>
      <c r="Q168" s="316">
        <f>COUNTIFS(input!$O:$O,July!$Q$124,input!$X:$X,July!N168,input!$A:$A,July!$B$2)</f>
        <v>0</v>
      </c>
      <c r="R168" s="316">
        <f>COUNTIFS(input!$O:$O,July!$R$124,input!$X:$X,July!N168,input!$A:$A,July!$B$2)</f>
        <v>0</v>
      </c>
      <c r="S168" s="316">
        <f>COUNTIFS(input!$O:$O,July!$S$124,input!$X:$X,July!N168,input!$A:$A,July!$B$2)</f>
        <v>0</v>
      </c>
      <c r="T168" s="322">
        <f>COUNTIFS(input!$O:$O,July!$T$124,input!$X:$X,July!N168,input!$A:$A,July!$B$2)</f>
        <v>0</v>
      </c>
      <c r="U168" s="322">
        <f>COUNTIFS(input!$O:$O,July!$U$124,input!$X:$X,July!N168,input!$A:$A,July!$B$2)</f>
        <v>0</v>
      </c>
      <c r="V168" s="323">
        <f>COUNTIFS(input!$O:$O,July!$V$124,input!$X:$X,July!N168,input!$A:$A,July!$B$2)</f>
        <v>0</v>
      </c>
      <c r="W168" s="323">
        <f>COUNTIFS(input!$O:$O,July!$W$124,input!$X:$X,July!N168,input!$A:$A,July!$B$2)</f>
        <v>0</v>
      </c>
      <c r="X168" s="324">
        <f>COUNTIFS(input!$O:$O,July!$X$124,input!$X:$X,July!N168,input!$A:$A,July!$B$2)</f>
        <v>0</v>
      </c>
      <c r="Y168" s="312">
        <f t="shared" si="11"/>
        <v>0</v>
      </c>
      <c r="Z168" s="315" cm="1">
        <f t="array" ref="Z168">_xlfn.IFS(Y168=0,0,Y168&gt;=1,Y168/$Y$189)</f>
        <v>0</v>
      </c>
    </row>
    <row r="169" spans="2:26" ht="92" hidden="1" x14ac:dyDescent="0.25">
      <c r="B169" s="1121" t="s">
        <v>1797</v>
      </c>
      <c r="C169" s="1066"/>
      <c r="D169" s="316">
        <f>COUNTIFS(input!$O:$O,July!$D$124,input!$W:$W,July!B169,input!$A:$A,July!$B$2)</f>
        <v>0</v>
      </c>
      <c r="E169" s="316">
        <f>COUNTIFS(input!$O:$O,July!$E$124,input!$W:$W,July!B169,input!$A:$A,July!$B$2)</f>
        <v>0</v>
      </c>
      <c r="F169" s="316">
        <f>COUNTIFS(input!$O:$O,July!$F$124,input!$W:$W,July!B169,input!$A:$A,July!$B$2)</f>
        <v>0</v>
      </c>
      <c r="G169" s="322">
        <f>COUNTIFS(input!$O:$O,July!$G$124,input!$W:$W,July!B169,input!$A:$A,July!$B$2)</f>
        <v>0</v>
      </c>
      <c r="H169" s="321">
        <f>COUNTIFS(input!$O:$O,July!$H$124,input!$W:$W,July!B169,input!$A:$A,July!$B$2)</f>
        <v>0</v>
      </c>
      <c r="I169" s="321">
        <f>COUNTIFS(input!$O:$O,July!$I$124,input!$W:$W,July!B169,input!$A:$A,July!$B$2)</f>
        <v>0</v>
      </c>
      <c r="J169" s="321">
        <f>COUNTIFS(input!$O:$O,July!$J$124,input!$W:$W,July!B169,input!$A:$A,July!$B$2)</f>
        <v>0</v>
      </c>
      <c r="K169" s="343">
        <f>COUNTIFS(input!$O:$O,July!$K$124,input!$W:$W,July!B169,input!$A:$A,July!$B$2)</f>
        <v>0</v>
      </c>
      <c r="L169" s="312">
        <f t="shared" si="12"/>
        <v>0</v>
      </c>
      <c r="M169" s="320" cm="1">
        <f t="array" ref="M169">_xlfn.IFS(L169=0,0,L169&gt;=1,L169/$L$189)</f>
        <v>0</v>
      </c>
      <c r="N169" s="385"/>
      <c r="O169" s="386"/>
      <c r="P169" s="387"/>
      <c r="Q169" s="316">
        <f>COUNTIFS(input!$O:$O,July!$Q$124,input!$X:$X,July!N169,input!$A:$A,July!$B$2)</f>
        <v>0</v>
      </c>
      <c r="R169" s="316">
        <f>COUNTIFS(input!$O:$O,July!$R$124,input!$X:$X,July!N169,input!$A:$A,July!$B$2)</f>
        <v>0</v>
      </c>
      <c r="S169" s="316">
        <f>COUNTIFS(input!$O:$O,July!$S$124,input!$X:$X,July!N169,input!$A:$A,July!$B$2)</f>
        <v>0</v>
      </c>
      <c r="T169" s="322">
        <f>COUNTIFS(input!$O:$O,July!$T$124,input!$X:$X,July!N169,input!$A:$A,July!$B$2)</f>
        <v>0</v>
      </c>
      <c r="U169" s="322">
        <f>COUNTIFS(input!$O:$O,July!$U$124,input!$X:$X,July!N169,input!$A:$A,July!$B$2)</f>
        <v>0</v>
      </c>
      <c r="V169" s="323">
        <f>COUNTIFS(input!$O:$O,July!$V$124,input!$X:$X,July!N169,input!$A:$A,July!$B$2)</f>
        <v>0</v>
      </c>
      <c r="W169" s="323">
        <f>COUNTIFS(input!$O:$O,July!$W$124,input!$X:$X,July!N169,input!$A:$A,July!$B$2)</f>
        <v>0</v>
      </c>
      <c r="X169" s="324">
        <f>COUNTIFS(input!$O:$O,July!$X$124,input!$X:$X,July!N169,input!$A:$A,July!$B$2)</f>
        <v>0</v>
      </c>
      <c r="Y169" s="312">
        <f t="shared" si="11"/>
        <v>0</v>
      </c>
      <c r="Z169" s="315" cm="1">
        <f t="array" ref="Z169">_xlfn.IFS(Y169=0,0,Y169&gt;=1,Y169/$Y$189)</f>
        <v>0</v>
      </c>
    </row>
    <row r="170" spans="2:26" ht="92" x14ac:dyDescent="0.25">
      <c r="B170" s="990" t="s">
        <v>2162</v>
      </c>
      <c r="C170" s="991"/>
      <c r="D170" s="316">
        <f>COUNTIFS(input!$O:$O,July!$D$124,input!$W:$W,July!B170,input!$A:$A,July!$B$2)</f>
        <v>0</v>
      </c>
      <c r="E170" s="316">
        <f>COUNTIFS(input!$O:$O,July!$E$124,input!$W:$W,July!B170,input!$A:$A,July!$B$2)</f>
        <v>0</v>
      </c>
      <c r="F170" s="316">
        <f>COUNTIFS(input!$O:$O,July!$F$124,input!$W:$W,July!B170,input!$A:$A,July!$B$2)</f>
        <v>0</v>
      </c>
      <c r="G170" s="322">
        <f>COUNTIFS(input!$O:$O,July!$G$124,input!$W:$W,July!B170,input!$A:$A,July!$B$2)</f>
        <v>1</v>
      </c>
      <c r="H170" s="321">
        <f>COUNTIFS(input!$O:$O,July!$H$124,input!$W:$W,July!B170,input!$A:$A,July!$B$2)</f>
        <v>0</v>
      </c>
      <c r="I170" s="321">
        <f>COUNTIFS(input!$O:$O,July!$I$124,input!$W:$W,July!B170,input!$A:$A,July!$B$2)</f>
        <v>0</v>
      </c>
      <c r="J170" s="321">
        <f>COUNTIFS(input!$O:$O,July!$J$124,input!$W:$W,July!B170,input!$A:$A,July!$B$2)</f>
        <v>0</v>
      </c>
      <c r="K170" s="343">
        <f>COUNTIFS(input!$O:$O,July!$K$124,input!$W:$W,July!B170,input!$A:$A,July!$B$2)</f>
        <v>0</v>
      </c>
      <c r="L170" s="312">
        <f>SUM(D170:K170)</f>
        <v>1</v>
      </c>
      <c r="M170" s="320" cm="1">
        <f t="array" ref="M170">_xlfn.IFS(L170=0,0,L170&gt;=1,L170/$L$189)</f>
        <v>6.25E-2</v>
      </c>
      <c r="N170" s="385"/>
      <c r="O170" s="386"/>
      <c r="P170" s="387"/>
      <c r="Q170" s="316">
        <f>COUNTIFS(input!$O:$O,July!$Q$124,input!$X:$X,July!N170,input!$A:$A,July!$B$2)</f>
        <v>0</v>
      </c>
      <c r="R170" s="316">
        <f>COUNTIFS(input!$O:$O,July!$R$124,input!$X:$X,July!N170,input!$A:$A,July!$B$2)</f>
        <v>0</v>
      </c>
      <c r="S170" s="316">
        <f>COUNTIFS(input!$O:$O,July!$S$124,input!$X:$X,July!N170,input!$A:$A,July!$B$2)</f>
        <v>0</v>
      </c>
      <c r="T170" s="322">
        <f>COUNTIFS(input!$O:$O,July!$T$124,input!$X:$X,July!N170,input!$A:$A,July!$B$2)</f>
        <v>0</v>
      </c>
      <c r="U170" s="322">
        <f>COUNTIFS(input!$O:$O,July!$U$124,input!$X:$X,July!N170,input!$A:$A,July!$B$2)</f>
        <v>0</v>
      </c>
      <c r="V170" s="323">
        <f>COUNTIFS(input!$O:$O,July!$V$124,input!$X:$X,July!N170,input!$A:$A,July!$B$2)</f>
        <v>0</v>
      </c>
      <c r="W170" s="323">
        <f>COUNTIFS(input!$O:$O,July!$W$124,input!$X:$X,July!N170,input!$A:$A,July!$B$2)</f>
        <v>0</v>
      </c>
      <c r="X170" s="324">
        <f>COUNTIFS(input!$O:$O,July!$X$124,input!$X:$X,July!N170,input!$A:$A,July!$B$2)</f>
        <v>0</v>
      </c>
      <c r="Y170" s="312">
        <f>SUM(Q170:X170)</f>
        <v>0</v>
      </c>
      <c r="Z170" s="315" cm="1">
        <f t="array" ref="Z170">_xlfn.IFS(Y170=0,0,Y170&gt;=1,Y170/$Y$189)</f>
        <v>0</v>
      </c>
    </row>
    <row r="171" spans="2:26" ht="92" x14ac:dyDescent="0.25">
      <c r="B171" s="990" t="s">
        <v>2163</v>
      </c>
      <c r="C171" s="991"/>
      <c r="D171" s="316">
        <f>COUNTIFS(input!$O:$O,July!$D$124,input!$W:$W,July!B171,input!$A:$A,July!$B$2)</f>
        <v>0</v>
      </c>
      <c r="E171" s="316">
        <f>COUNTIFS(input!$O:$O,July!$E$124,input!$W:$W,July!B171,input!$A:$A,July!$B$2)</f>
        <v>0</v>
      </c>
      <c r="F171" s="316">
        <f>COUNTIFS(input!$O:$O,July!$F$124,input!$W:$W,July!B171,input!$A:$A,July!$B$2)</f>
        <v>0</v>
      </c>
      <c r="G171" s="322">
        <f>COUNTIFS(input!$O:$O,July!$G$124,input!$W:$W,July!B171,input!$A:$A,July!$B$2)</f>
        <v>1</v>
      </c>
      <c r="H171" s="321">
        <f>COUNTIFS(input!$O:$O,July!$H$124,input!$W:$W,July!B171,input!$A:$A,July!$B$2)</f>
        <v>0</v>
      </c>
      <c r="I171" s="321">
        <f>COUNTIFS(input!$O:$O,July!$I$124,input!$W:$W,July!B171,input!$A:$A,July!$B$2)</f>
        <v>0</v>
      </c>
      <c r="J171" s="321">
        <f>COUNTIFS(input!$O:$O,July!$J$124,input!$W:$W,July!B171,input!$A:$A,July!$B$2)</f>
        <v>0</v>
      </c>
      <c r="K171" s="343">
        <f>COUNTIFS(input!$O:$O,July!$K$124,input!$W:$W,July!B171,input!$A:$A,July!$B$2)</f>
        <v>0</v>
      </c>
      <c r="L171" s="312">
        <f>SUM(D171:K171)</f>
        <v>1</v>
      </c>
      <c r="M171" s="320" cm="1">
        <f t="array" ref="M171">_xlfn.IFS(L171=0,0,L171&gt;=1,L171/$L$189)</f>
        <v>6.25E-2</v>
      </c>
      <c r="N171" s="385"/>
      <c r="O171" s="386"/>
      <c r="P171" s="387"/>
      <c r="Q171" s="316">
        <f>COUNTIFS(input!$O:$O,July!$Q$124,input!$X:$X,July!N171,input!$A:$A,July!$B$2)</f>
        <v>0</v>
      </c>
      <c r="R171" s="316">
        <f>COUNTIFS(input!$O:$O,July!$R$124,input!$X:$X,July!N171,input!$A:$A,July!$B$2)</f>
        <v>0</v>
      </c>
      <c r="S171" s="316">
        <f>COUNTIFS(input!$O:$O,July!$S$124,input!$X:$X,July!N171,input!$A:$A,July!$B$2)</f>
        <v>0</v>
      </c>
      <c r="T171" s="322">
        <f>COUNTIFS(input!$O:$O,July!$T$124,input!$X:$X,July!N171,input!$A:$A,July!$B$2)</f>
        <v>0</v>
      </c>
      <c r="U171" s="322">
        <f>COUNTIFS(input!$O:$O,July!$U$124,input!$X:$X,July!N171,input!$A:$A,July!$B$2)</f>
        <v>0</v>
      </c>
      <c r="V171" s="323">
        <f>COUNTIFS(input!$O:$O,July!$V$124,input!$X:$X,July!N171,input!$A:$A,July!$B$2)</f>
        <v>0</v>
      </c>
      <c r="W171" s="323">
        <f>COUNTIFS(input!$O:$O,July!$W$124,input!$X:$X,July!N171,input!$A:$A,July!$B$2)</f>
        <v>0</v>
      </c>
      <c r="X171" s="324">
        <f>COUNTIFS(input!$O:$O,July!$X$124,input!$X:$X,July!N171,input!$A:$A,July!$B$2)</f>
        <v>0</v>
      </c>
      <c r="Y171" s="312">
        <f>SUM(Q171:X171)</f>
        <v>0</v>
      </c>
      <c r="Z171" s="315" cm="1">
        <f t="array" ref="Z171">_xlfn.IFS(Y171=0,0,Y171&gt;=1,Y171/$Y$189)</f>
        <v>0</v>
      </c>
    </row>
    <row r="172" spans="2:26" ht="92" hidden="1" x14ac:dyDescent="0.25">
      <c r="B172" s="1122" t="s">
        <v>862</v>
      </c>
      <c r="C172" s="997"/>
      <c r="D172" s="316">
        <f>COUNTIFS(input!$O:$O,July!$D$124,input!$W:$W,July!B172,input!$A:$A,July!$B$2)</f>
        <v>0</v>
      </c>
      <c r="E172" s="316">
        <f>COUNTIFS(input!$O:$O,July!$E$124,input!$W:$W,July!B172,input!$A:$A,July!$B$2)</f>
        <v>0</v>
      </c>
      <c r="F172" s="316">
        <f>COUNTIFS(input!$O:$O,July!$F$124,input!$W:$W,July!B172,input!$A:$A,July!$B$2)</f>
        <v>0</v>
      </c>
      <c r="G172" s="322">
        <f>COUNTIFS(input!$O:$O,July!$G$124,input!$W:$W,July!B172,input!$A:$A,July!$B$2)</f>
        <v>0</v>
      </c>
      <c r="H172" s="321">
        <f>COUNTIFS(input!$O:$O,July!$H$124,input!$W:$W,July!B172,input!$A:$A,July!$B$2)</f>
        <v>0</v>
      </c>
      <c r="I172" s="321">
        <f>COUNTIFS(input!$O:$O,July!$I$124,input!$W:$W,July!B172,input!$A:$A,July!$B$2)</f>
        <v>0</v>
      </c>
      <c r="J172" s="321">
        <f>COUNTIFS(input!$O:$O,July!$J$124,input!$W:$W,July!B172,input!$A:$A,July!$B$2)</f>
        <v>0</v>
      </c>
      <c r="K172" s="343">
        <f>COUNTIFS(input!$O:$O,July!$K$124,input!$W:$W,July!B172,input!$A:$A,July!$B$2)</f>
        <v>0</v>
      </c>
      <c r="L172" s="312">
        <f t="shared" si="12"/>
        <v>0</v>
      </c>
      <c r="M172" s="320" cm="1">
        <f t="array" ref="M172">_xlfn.IFS(L172=0,0,L172&gt;=1,L172/$L$189)</f>
        <v>0</v>
      </c>
      <c r="N172" s="992"/>
      <c r="O172" s="993"/>
      <c r="P172" s="994"/>
      <c r="Q172" s="316">
        <f>COUNTIFS(input!$O:$O,July!$Q$124,input!$X:$X,July!N172,input!$A:$A,July!$B$2)</f>
        <v>0</v>
      </c>
      <c r="R172" s="316">
        <f>COUNTIFS(input!$O:$O,July!$R$124,input!$X:$X,July!N172,input!$A:$A,July!$B$2)</f>
        <v>0</v>
      </c>
      <c r="S172" s="316">
        <f>COUNTIFS(input!$O:$O,July!$S$124,input!$X:$X,July!N172,input!$A:$A,July!$B$2)</f>
        <v>0</v>
      </c>
      <c r="T172" s="322">
        <f>COUNTIFS(input!$O:$O,July!$T$124,input!$X:$X,July!N172,input!$A:$A,July!$B$2)</f>
        <v>0</v>
      </c>
      <c r="U172" s="322">
        <f>COUNTIFS(input!$O:$O,July!$U$124,input!$X:$X,July!N172,input!$A:$A,July!$B$2)</f>
        <v>0</v>
      </c>
      <c r="V172" s="323">
        <f>COUNTIFS(input!$O:$O,July!$V$124,input!$X:$X,July!N172,input!$A:$A,July!$B$2)</f>
        <v>0</v>
      </c>
      <c r="W172" s="323">
        <f>COUNTIFS(input!$O:$O,July!$W$124,input!$X:$X,July!N172,input!$A:$A,July!$B$2)</f>
        <v>0</v>
      </c>
      <c r="X172" s="324">
        <f>COUNTIFS(input!$O:$O,July!$X$124,input!$X:$X,July!N172,input!$A:$A,July!$B$2)</f>
        <v>0</v>
      </c>
      <c r="Y172" s="312">
        <f t="shared" si="11"/>
        <v>0</v>
      </c>
      <c r="Z172" s="315" cm="1">
        <f t="array" ref="Z172">_xlfn.IFS(Y172=0,0,Y172&gt;=1,Y172/$Y$189)</f>
        <v>0</v>
      </c>
    </row>
    <row r="173" spans="2:26" ht="92" hidden="1" x14ac:dyDescent="0.25">
      <c r="B173" s="1122" t="s">
        <v>859</v>
      </c>
      <c r="C173" s="997"/>
      <c r="D173" s="316">
        <f>COUNTIFS(input!$O:$O,July!$D$124,input!$W:$W,July!B173,input!$A:$A,July!$B$2)</f>
        <v>0</v>
      </c>
      <c r="E173" s="316">
        <f>COUNTIFS(input!$O:$O,July!$E$124,input!$W:$W,July!B173,input!$A:$A,July!$B$2)</f>
        <v>0</v>
      </c>
      <c r="F173" s="316">
        <f>COUNTIFS(input!$O:$O,July!$F$124,input!$W:$W,July!B173,input!$A:$A,July!$B$2)</f>
        <v>0</v>
      </c>
      <c r="G173" s="322">
        <f>COUNTIFS(input!$O:$O,July!$G$124,input!$W:$W,July!B173,input!$A:$A,July!$B$2)</f>
        <v>0</v>
      </c>
      <c r="H173" s="321">
        <f>COUNTIFS(input!$O:$O,July!$H$124,input!$W:$W,July!B173,input!$A:$A,July!$B$2)</f>
        <v>0</v>
      </c>
      <c r="I173" s="321">
        <f>COUNTIFS(input!$O:$O,July!$I$124,input!$W:$W,July!B173,input!$A:$A,July!$B$2)</f>
        <v>0</v>
      </c>
      <c r="J173" s="321">
        <f>COUNTIFS(input!$O:$O,July!$J$124,input!$W:$W,July!B173,input!$A:$A,July!$B$2)</f>
        <v>0</v>
      </c>
      <c r="K173" s="343">
        <f>COUNTIFS(input!$O:$O,July!$K$124,input!$W:$W,July!B173,input!$A:$A,July!$B$2)</f>
        <v>0</v>
      </c>
      <c r="L173" s="312">
        <f t="shared" si="12"/>
        <v>0</v>
      </c>
      <c r="M173" s="320" cm="1">
        <f t="array" ref="M173">_xlfn.IFS(L173=0,0,L173&gt;=1,L173/$L$189)</f>
        <v>0</v>
      </c>
      <c r="N173" s="992"/>
      <c r="O173" s="993"/>
      <c r="P173" s="994"/>
      <c r="Q173" s="316">
        <f>COUNTIFS(input!$O:$O,July!$Q$124,input!$X:$X,July!N173,input!$A:$A,July!$B$2)</f>
        <v>0</v>
      </c>
      <c r="R173" s="316">
        <f>COUNTIFS(input!$O:$O,July!$R$124,input!$X:$X,July!N173,input!$A:$A,July!$B$2)</f>
        <v>0</v>
      </c>
      <c r="S173" s="316">
        <f>COUNTIFS(input!$O:$O,July!$S$124,input!$X:$X,July!N173,input!$A:$A,July!$B$2)</f>
        <v>0</v>
      </c>
      <c r="T173" s="322">
        <f>COUNTIFS(input!$O:$O,July!$T$124,input!$X:$X,July!N173,input!$A:$A,July!$B$2)</f>
        <v>0</v>
      </c>
      <c r="U173" s="322">
        <f>COUNTIFS(input!$O:$O,July!$U$124,input!$X:$X,July!N173,input!$A:$A,July!$B$2)</f>
        <v>0</v>
      </c>
      <c r="V173" s="323">
        <f>COUNTIFS(input!$O:$O,July!$V$124,input!$X:$X,July!N173,input!$A:$A,July!$B$2)</f>
        <v>0</v>
      </c>
      <c r="W173" s="323">
        <f>COUNTIFS(input!$O:$O,July!$W$124,input!$X:$X,July!N173,input!$A:$A,July!$B$2)</f>
        <v>0</v>
      </c>
      <c r="X173" s="324">
        <f>COUNTIFS(input!$O:$O,July!$X$124,input!$X:$X,July!N173,input!$A:$A,July!$B$2)</f>
        <v>0</v>
      </c>
      <c r="Y173" s="312">
        <f t="shared" si="11"/>
        <v>0</v>
      </c>
      <c r="Z173" s="315" cm="1">
        <f t="array" ref="Z173">_xlfn.IFS(Y173=0,0,Y173&gt;=1,Y173/$Y$189)</f>
        <v>0</v>
      </c>
    </row>
    <row r="174" spans="2:26" ht="92" hidden="1" x14ac:dyDescent="0.25">
      <c r="B174" s="1121" t="s">
        <v>825</v>
      </c>
      <c r="C174" s="1066"/>
      <c r="D174" s="316">
        <f>COUNTIFS(input!$O:$O,July!$D$124,input!$W:$W,July!B174,input!$A:$A,July!$B$2)</f>
        <v>0</v>
      </c>
      <c r="E174" s="316">
        <f>COUNTIFS(input!$O:$O,July!$E$124,input!$W:$W,July!B174,input!$A:$A,July!$B$2)</f>
        <v>0</v>
      </c>
      <c r="F174" s="316">
        <f>COUNTIFS(input!$O:$O,July!$F$124,input!$W:$W,July!B174,input!$A:$A,July!$B$2)</f>
        <v>0</v>
      </c>
      <c r="G174" s="322">
        <f>COUNTIFS(input!$O:$O,July!$G$124,input!$W:$W,July!B174,input!$A:$A,July!$B$2)</f>
        <v>0</v>
      </c>
      <c r="H174" s="321">
        <f>COUNTIFS(input!$O:$O,July!$H$124,input!$W:$W,July!B174,input!$A:$A,July!$B$2)</f>
        <v>0</v>
      </c>
      <c r="I174" s="321">
        <f>COUNTIFS(input!$O:$O,July!$I$124,input!$W:$W,July!B174,input!$A:$A,July!$B$2)</f>
        <v>0</v>
      </c>
      <c r="J174" s="321">
        <f>COUNTIFS(input!$O:$O,July!$J$124,input!$W:$W,July!B174,input!$A:$A,July!$B$2)</f>
        <v>0</v>
      </c>
      <c r="K174" s="343">
        <f>COUNTIFS(input!$O:$O,July!$K$124,input!$W:$W,July!B174,input!$A:$A,July!$B$2)</f>
        <v>0</v>
      </c>
      <c r="L174" s="312">
        <f t="shared" si="12"/>
        <v>0</v>
      </c>
      <c r="M174" s="320" cm="1">
        <f t="array" ref="M174">_xlfn.IFS(L174=0,0,L174&gt;=1,L174/$L$189)</f>
        <v>0</v>
      </c>
      <c r="N174" s="995"/>
      <c r="O174" s="996"/>
      <c r="P174" s="997"/>
      <c r="Q174" s="316">
        <f>COUNTIFS(input!$O:$O,July!$Q$124,input!$X:$X,July!N174,input!$A:$A,July!$B$2)</f>
        <v>0</v>
      </c>
      <c r="R174" s="316">
        <f>COUNTIFS(input!$O:$O,July!$R$124,input!$X:$X,July!N174,input!$A:$A,July!$B$2)</f>
        <v>0</v>
      </c>
      <c r="S174" s="316">
        <f>COUNTIFS(input!$O:$O,July!$S$124,input!$X:$X,July!N174,input!$A:$A,July!$B$2)</f>
        <v>0</v>
      </c>
      <c r="T174" s="322">
        <f>COUNTIFS(input!$O:$O,July!$T$124,input!$X:$X,July!N174,input!$A:$A,July!$B$2)</f>
        <v>0</v>
      </c>
      <c r="U174" s="322">
        <f>COUNTIFS(input!$O:$O,July!$U$124,input!$X:$X,July!N174,input!$A:$A,July!$B$2)</f>
        <v>0</v>
      </c>
      <c r="V174" s="323">
        <f>COUNTIFS(input!$O:$O,July!$V$124,input!$X:$X,July!N174,input!$A:$A,July!$B$2)</f>
        <v>0</v>
      </c>
      <c r="W174" s="323">
        <f>COUNTIFS(input!$O:$O,July!$W$124,input!$X:$X,July!N174,input!$A:$A,July!$B$2)</f>
        <v>0</v>
      </c>
      <c r="X174" s="324">
        <f>COUNTIFS(input!$O:$O,July!$X$124,input!$X:$X,July!N174,input!$A:$A,July!$B$2)</f>
        <v>0</v>
      </c>
      <c r="Y174" s="312">
        <f t="shared" si="11"/>
        <v>0</v>
      </c>
      <c r="Z174" s="315" cm="1">
        <f t="array" ref="Z174">_xlfn.IFS(Y174=0,0,Y174&gt;=1,Y174/$Y$189)</f>
        <v>0</v>
      </c>
    </row>
    <row r="175" spans="2:26" ht="92" hidden="1" x14ac:dyDescent="0.25">
      <c r="B175" s="1121" t="s">
        <v>889</v>
      </c>
      <c r="C175" s="1066"/>
      <c r="D175" s="316">
        <f>COUNTIFS(input!$O:$O,July!$D$124,input!$W:$W,July!B175,input!$A:$A,July!$B$2)</f>
        <v>0</v>
      </c>
      <c r="E175" s="316">
        <f>COUNTIFS(input!$O:$O,July!$E$124,input!$W:$W,July!B175,input!$A:$A,July!$B$2)</f>
        <v>0</v>
      </c>
      <c r="F175" s="316">
        <f>COUNTIFS(input!$O:$O,July!$F$124,input!$W:$W,July!B175,input!$A:$A,July!$B$2)</f>
        <v>0</v>
      </c>
      <c r="G175" s="322">
        <f>COUNTIFS(input!$O:$O,July!$G$124,input!$W:$W,July!B175,input!$A:$A,July!$B$2)</f>
        <v>0</v>
      </c>
      <c r="H175" s="321">
        <f>COUNTIFS(input!$O:$O,July!$H$124,input!$W:$W,July!B175,input!$A:$A,July!$B$2)</f>
        <v>0</v>
      </c>
      <c r="I175" s="321">
        <f>COUNTIFS(input!$O:$O,July!$I$124,input!$W:$W,July!B175,input!$A:$A,July!$B$2)</f>
        <v>0</v>
      </c>
      <c r="J175" s="321">
        <f>COUNTIFS(input!$O:$O,July!$J$124,input!$W:$W,July!B175,input!$A:$A,July!$B$2)</f>
        <v>0</v>
      </c>
      <c r="K175" s="343">
        <f>COUNTIFS(input!$O:$O,July!$K$124,input!$W:$W,July!B175,input!$A:$A,July!$B$2)</f>
        <v>0</v>
      </c>
      <c r="L175" s="312">
        <f t="shared" si="12"/>
        <v>0</v>
      </c>
      <c r="M175" s="320" cm="1">
        <f t="array" ref="M175">_xlfn.IFS(L175=0,0,L175&gt;=1,L175/$L$189)</f>
        <v>0</v>
      </c>
      <c r="N175" s="995"/>
      <c r="O175" s="996"/>
      <c r="P175" s="997"/>
      <c r="Q175" s="316">
        <f>COUNTIFS(input!$O:$O,July!$Q$124,input!$X:$X,July!N175,input!$A:$A,July!$B$2)</f>
        <v>0</v>
      </c>
      <c r="R175" s="316">
        <f>COUNTIFS(input!$O:$O,July!$R$124,input!$X:$X,July!N175,input!$A:$A,July!$B$2)</f>
        <v>0</v>
      </c>
      <c r="S175" s="316">
        <f>COUNTIFS(input!$O:$O,July!$S$124,input!$X:$X,July!N175,input!$A:$A,July!$B$2)</f>
        <v>0</v>
      </c>
      <c r="T175" s="322">
        <f>COUNTIFS(input!$O:$O,July!$T$124,input!$X:$X,July!N175,input!$A:$A,July!$B$2)</f>
        <v>0</v>
      </c>
      <c r="U175" s="322">
        <f>COUNTIFS(input!$O:$O,July!$U$124,input!$X:$X,July!N175,input!$A:$A,July!$B$2)</f>
        <v>0</v>
      </c>
      <c r="V175" s="323">
        <f>COUNTIFS(input!$O:$O,July!$V$124,input!$X:$X,July!N175,input!$A:$A,July!$B$2)</f>
        <v>0</v>
      </c>
      <c r="W175" s="323">
        <f>COUNTIFS(input!$O:$O,July!$W$124,input!$X:$X,July!N175,input!$A:$A,July!$B$2)</f>
        <v>0</v>
      </c>
      <c r="X175" s="324">
        <f>COUNTIFS(input!$O:$O,July!$X$124,input!$X:$X,July!N175,input!$A:$A,July!$B$2)</f>
        <v>0</v>
      </c>
      <c r="Y175" s="312">
        <f t="shared" si="11"/>
        <v>0</v>
      </c>
      <c r="Z175" s="315" cm="1">
        <f t="array" ref="Z175">_xlfn.IFS(Y175=0,0,Y175&gt;=1,Y175/$Y$189)</f>
        <v>0</v>
      </c>
    </row>
    <row r="176" spans="2:26" ht="92" hidden="1" x14ac:dyDescent="0.25">
      <c r="B176" s="1121" t="s">
        <v>1841</v>
      </c>
      <c r="C176" s="1066"/>
      <c r="D176" s="316">
        <f>COUNTIFS(input!$O:$O,July!$D$124,input!$W:$W,July!B176,input!$A:$A,July!$B$2)</f>
        <v>0</v>
      </c>
      <c r="E176" s="316">
        <f>COUNTIFS(input!$O:$O,July!$E$124,input!$W:$W,July!B176,input!$A:$A,July!$B$2)</f>
        <v>0</v>
      </c>
      <c r="F176" s="316">
        <f>COUNTIFS(input!$O:$O,July!$F$124,input!$W:$W,July!B176,input!$A:$A,July!$B$2)</f>
        <v>0</v>
      </c>
      <c r="G176" s="322">
        <f>COUNTIFS(input!$O:$O,July!$G$124,input!$W:$W,July!B176,input!$A:$A,July!$B$2)</f>
        <v>0</v>
      </c>
      <c r="H176" s="321">
        <f>COUNTIFS(input!$O:$O,July!$H$124,input!$W:$W,July!B176,input!$A:$A,July!$B$2)</f>
        <v>0</v>
      </c>
      <c r="I176" s="321">
        <f>COUNTIFS(input!$O:$O,July!$I$124,input!$W:$W,July!B176,input!$A:$A,July!$B$2)</f>
        <v>0</v>
      </c>
      <c r="J176" s="321">
        <f>COUNTIFS(input!$O:$O,July!$J$124,input!$W:$W,July!B176,input!$A:$A,July!$B$2)</f>
        <v>0</v>
      </c>
      <c r="K176" s="343">
        <f>COUNTIFS(input!$O:$O,July!$K$124,input!$W:$W,July!B176,input!$A:$A,July!$B$2)</f>
        <v>0</v>
      </c>
      <c r="L176" s="312">
        <f t="shared" si="12"/>
        <v>0</v>
      </c>
      <c r="M176" s="320" cm="1">
        <f t="array" ref="M176">_xlfn.IFS(L176=0,0,L176&gt;=1,L176/$L$189)</f>
        <v>0</v>
      </c>
      <c r="N176" s="995"/>
      <c r="O176" s="996"/>
      <c r="P176" s="997"/>
      <c r="Q176" s="316">
        <f>COUNTIFS(input!$O:$O,July!$Q$124,input!$X:$X,July!N176,input!$A:$A,July!$B$2)</f>
        <v>0</v>
      </c>
      <c r="R176" s="316">
        <f>COUNTIFS(input!$O:$O,July!$R$124,input!$X:$X,July!N176,input!$A:$A,July!$B$2)</f>
        <v>0</v>
      </c>
      <c r="S176" s="316">
        <f>COUNTIFS(input!$O:$O,July!$S$124,input!$X:$X,July!N176,input!$A:$A,July!$B$2)</f>
        <v>0</v>
      </c>
      <c r="T176" s="322">
        <f>COUNTIFS(input!$O:$O,July!$T$124,input!$X:$X,July!N176,input!$A:$A,July!$B$2)</f>
        <v>0</v>
      </c>
      <c r="U176" s="322">
        <f>COUNTIFS(input!$O:$O,July!$U$124,input!$X:$X,July!N176,input!$A:$A,July!$B$2)</f>
        <v>0</v>
      </c>
      <c r="V176" s="323">
        <f>COUNTIFS(input!$O:$O,July!$V$124,input!$X:$X,July!N176,input!$A:$A,July!$B$2)</f>
        <v>0</v>
      </c>
      <c r="W176" s="323">
        <f>COUNTIFS(input!$O:$O,July!$W$124,input!$X:$X,July!N176,input!$A:$A,July!$B$2)</f>
        <v>0</v>
      </c>
      <c r="X176" s="324">
        <f>COUNTIFS(input!$O:$O,July!$X$124,input!$X:$X,July!N176,input!$A:$A,July!$B$2)</f>
        <v>0</v>
      </c>
      <c r="Y176" s="312">
        <f t="shared" si="11"/>
        <v>0</v>
      </c>
      <c r="Z176" s="315" cm="1">
        <f t="array" ref="Z176">_xlfn.IFS(Y176=0,0,Y176&gt;=1,Y176/$Y$189)</f>
        <v>0</v>
      </c>
    </row>
    <row r="177" spans="2:29" ht="92" hidden="1" x14ac:dyDescent="0.25">
      <c r="B177" s="1122" t="s">
        <v>863</v>
      </c>
      <c r="C177" s="997"/>
      <c r="D177" s="316">
        <f>COUNTIFS(input!$O:$O,July!$D$124,input!$W:$W,July!B177,input!$A:$A,July!$B$2)</f>
        <v>0</v>
      </c>
      <c r="E177" s="316">
        <f>COUNTIFS(input!$O:$O,July!$E$124,input!$W:$W,July!B177,input!$A:$A,July!$B$2)</f>
        <v>0</v>
      </c>
      <c r="F177" s="316">
        <f>COUNTIFS(input!$O:$O,July!$F$124,input!$W:$W,July!B177,input!$A:$A,July!$B$2)</f>
        <v>0</v>
      </c>
      <c r="G177" s="322">
        <f>COUNTIFS(input!$O:$O,July!$G$124,input!$W:$W,July!B177,input!$A:$A,July!$B$2)</f>
        <v>0</v>
      </c>
      <c r="H177" s="321">
        <f>COUNTIFS(input!$O:$O,July!$H$124,input!$W:$W,July!B177,input!$A:$A,July!$B$2)</f>
        <v>0</v>
      </c>
      <c r="I177" s="321">
        <f>COUNTIFS(input!$O:$O,July!$I$124,input!$W:$W,July!B177,input!$A:$A,July!$B$2)</f>
        <v>0</v>
      </c>
      <c r="J177" s="321">
        <f>COUNTIFS(input!$O:$O,July!$J$124,input!$W:$W,July!B177,input!$A:$A,July!$B$2)</f>
        <v>0</v>
      </c>
      <c r="K177" s="343">
        <f>COUNTIFS(input!$O:$O,July!$K$124,input!$W:$W,July!B177,input!$A:$A,July!$B$2)</f>
        <v>0</v>
      </c>
      <c r="L177" s="312">
        <f t="shared" si="12"/>
        <v>0</v>
      </c>
      <c r="M177" s="320" cm="1">
        <f t="array" ref="M177">_xlfn.IFS(L177=0,0,L177&gt;=1,L177/$L$189)</f>
        <v>0</v>
      </c>
      <c r="N177" s="995"/>
      <c r="O177" s="996"/>
      <c r="P177" s="997"/>
      <c r="Q177" s="316">
        <f>COUNTIFS(input!$O:$O,July!$Q$124,input!$X:$X,July!N177,input!$A:$A,July!$B$2)</f>
        <v>0</v>
      </c>
      <c r="R177" s="316">
        <f>COUNTIFS(input!$O:$O,July!$R$124,input!$X:$X,July!N177,input!$A:$A,July!$B$2)</f>
        <v>0</v>
      </c>
      <c r="S177" s="316">
        <f>COUNTIFS(input!$O:$O,July!$S$124,input!$X:$X,July!N177,input!$A:$A,July!$B$2)</f>
        <v>0</v>
      </c>
      <c r="T177" s="322">
        <f>COUNTIFS(input!$O:$O,July!$T$124,input!$X:$X,July!N177,input!$A:$A,July!$B$2)</f>
        <v>0</v>
      </c>
      <c r="U177" s="322">
        <f>COUNTIFS(input!$O:$O,July!$U$124,input!$X:$X,July!N177,input!$A:$A,July!$B$2)</f>
        <v>0</v>
      </c>
      <c r="V177" s="323">
        <f>COUNTIFS(input!$O:$O,July!$V$124,input!$X:$X,July!N177,input!$A:$A,July!$B$2)</f>
        <v>0</v>
      </c>
      <c r="W177" s="323">
        <f>COUNTIFS(input!$O:$O,July!$W$124,input!$X:$X,July!N177,input!$A:$A,July!$B$2)</f>
        <v>0</v>
      </c>
      <c r="X177" s="324">
        <f>COUNTIFS(input!$O:$O,July!$X$124,input!$X:$X,July!N177,input!$A:$A,July!$B$2)</f>
        <v>0</v>
      </c>
      <c r="Y177" s="312">
        <f t="shared" si="11"/>
        <v>0</v>
      </c>
      <c r="Z177" s="315" cm="1">
        <f t="array" ref="Z177">_xlfn.IFS(Y177=0,0,Y177&gt;=1,Y177/$Y$189)</f>
        <v>0</v>
      </c>
    </row>
    <row r="178" spans="2:29" ht="92" hidden="1" x14ac:dyDescent="0.25">
      <c r="B178" s="1122" t="s">
        <v>1760</v>
      </c>
      <c r="C178" s="997"/>
      <c r="D178" s="316">
        <f>COUNTIFS(input!$O:$O,July!$D$124,input!$W:$W,July!B178,input!$A:$A,July!$B$2)</f>
        <v>0</v>
      </c>
      <c r="E178" s="316">
        <f>COUNTIFS(input!$O:$O,July!$E$124,input!$W:$W,July!B178,input!$A:$A,July!$B$2)</f>
        <v>0</v>
      </c>
      <c r="F178" s="316">
        <f>COUNTIFS(input!$O:$O,July!$F$124,input!$W:$W,July!B178,input!$A:$A,July!$B$2)</f>
        <v>0</v>
      </c>
      <c r="G178" s="322">
        <f>COUNTIFS(input!$O:$O,July!$G$124,input!$W:$W,July!B178,input!$A:$A,July!$B$2)</f>
        <v>0</v>
      </c>
      <c r="H178" s="321">
        <f>COUNTIFS(input!$O:$O,July!$H$124,input!$W:$W,July!B178,input!$A:$A,July!$B$2)</f>
        <v>0</v>
      </c>
      <c r="I178" s="321">
        <f>COUNTIFS(input!$O:$O,July!$I$124,input!$W:$W,July!B178,input!$A:$A,July!$B$2)</f>
        <v>0</v>
      </c>
      <c r="J178" s="321">
        <f>COUNTIFS(input!$O:$O,July!$J$124,input!$W:$W,July!B178,input!$A:$A,July!$B$2)</f>
        <v>0</v>
      </c>
      <c r="K178" s="343">
        <f>COUNTIFS(input!$O:$O,July!$K$124,input!$W:$W,July!B178,input!$A:$A,July!$B$2)</f>
        <v>0</v>
      </c>
      <c r="L178" s="312">
        <f t="shared" si="12"/>
        <v>0</v>
      </c>
      <c r="M178" s="320" cm="1">
        <f t="array" ref="M178">_xlfn.IFS(L178=0,0,L178&gt;=1,L178/$L$189)</f>
        <v>0</v>
      </c>
      <c r="N178" s="995"/>
      <c r="O178" s="996"/>
      <c r="P178" s="997"/>
      <c r="Q178" s="316">
        <f>COUNTIFS(input!$O:$O,July!$Q$124,input!$X:$X,July!N178,input!$A:$A,July!$B$2)</f>
        <v>0</v>
      </c>
      <c r="R178" s="316">
        <f>COUNTIFS(input!$O:$O,July!$R$124,input!$X:$X,July!N178,input!$A:$A,July!$B$2)</f>
        <v>0</v>
      </c>
      <c r="S178" s="316">
        <f>COUNTIFS(input!$O:$O,July!$S$124,input!$X:$X,July!N178,input!$A:$A,July!$B$2)</f>
        <v>0</v>
      </c>
      <c r="T178" s="322">
        <f>COUNTIFS(input!$O:$O,July!$T$124,input!$X:$X,July!N178,input!$A:$A,July!$B$2)</f>
        <v>0</v>
      </c>
      <c r="U178" s="322">
        <f>COUNTIFS(input!$O:$O,July!$U$124,input!$X:$X,July!N178,input!$A:$A,July!$B$2)</f>
        <v>0</v>
      </c>
      <c r="V178" s="323">
        <f>COUNTIFS(input!$O:$O,July!$V$124,input!$X:$X,July!N178,input!$A:$A,July!$B$2)</f>
        <v>0</v>
      </c>
      <c r="W178" s="323">
        <f>COUNTIFS(input!$O:$O,July!$W$124,input!$X:$X,July!N178,input!$A:$A,July!$B$2)</f>
        <v>0</v>
      </c>
      <c r="X178" s="324">
        <f>COUNTIFS(input!$O:$O,July!$X$124,input!$X:$X,July!N178,input!$A:$A,July!$B$2)</f>
        <v>0</v>
      </c>
      <c r="Y178" s="312">
        <f t="shared" si="11"/>
        <v>0</v>
      </c>
      <c r="Z178" s="315" cm="1">
        <f t="array" ref="Z178">_xlfn.IFS(Y178=0,0,Y178&gt;=1,Y178/$Y$189)</f>
        <v>0</v>
      </c>
    </row>
    <row r="179" spans="2:29" ht="92" hidden="1" x14ac:dyDescent="0.25">
      <c r="B179" s="1122" t="s">
        <v>1894</v>
      </c>
      <c r="C179" s="997"/>
      <c r="D179" s="316">
        <f>COUNTIFS(input!$O:$O,July!$D$124,input!$W:$W,July!B179,input!$A:$A,July!$B$2)</f>
        <v>0</v>
      </c>
      <c r="E179" s="316">
        <f>COUNTIFS(input!$O:$O,July!$E$124,input!$W:$W,July!B179,input!$A:$A,July!$B$2)</f>
        <v>0</v>
      </c>
      <c r="F179" s="316">
        <f>COUNTIFS(input!$O:$O,July!$F$124,input!$W:$W,July!B179,input!$A:$A,July!$B$2)</f>
        <v>0</v>
      </c>
      <c r="G179" s="322">
        <f>COUNTIFS(input!$O:$O,July!$G$124,input!$W:$W,July!B179,input!$A:$A,July!$B$2)</f>
        <v>0</v>
      </c>
      <c r="H179" s="321">
        <f>COUNTIFS(input!$O:$O,July!$H$124,input!$W:$W,July!B179,input!$A:$A,July!$B$2)</f>
        <v>0</v>
      </c>
      <c r="I179" s="321">
        <f>COUNTIFS(input!$O:$O,July!$I$124,input!$W:$W,July!B179,input!$A:$A,July!$B$2)</f>
        <v>0</v>
      </c>
      <c r="J179" s="321">
        <f>COUNTIFS(input!$O:$O,July!$J$124,input!$W:$W,July!B179,input!$A:$A,July!$B$2)</f>
        <v>0</v>
      </c>
      <c r="K179" s="343">
        <f>COUNTIFS(input!$O:$O,July!$K$124,input!$W:$W,July!B179,input!$A:$A,July!$B$2)</f>
        <v>0</v>
      </c>
      <c r="L179" s="312">
        <f t="shared" si="12"/>
        <v>0</v>
      </c>
      <c r="M179" s="320" cm="1">
        <f t="array" ref="M179">_xlfn.IFS(L179=0,0,L179&gt;=1,L179/$L$189)</f>
        <v>0</v>
      </c>
      <c r="N179" s="995"/>
      <c r="O179" s="996"/>
      <c r="P179" s="997"/>
      <c r="Q179" s="316">
        <f>COUNTIFS(input!$O:$O,July!$Q$124,input!$X:$X,July!N179,input!$A:$A,July!$B$2)</f>
        <v>0</v>
      </c>
      <c r="R179" s="316">
        <f>COUNTIFS(input!$O:$O,July!$R$124,input!$X:$X,July!N179,input!$A:$A,July!$B$2)</f>
        <v>0</v>
      </c>
      <c r="S179" s="316">
        <f>COUNTIFS(input!$O:$O,July!$S$124,input!$X:$X,July!N179,input!$A:$A,July!$B$2)</f>
        <v>0</v>
      </c>
      <c r="T179" s="322">
        <f>COUNTIFS(input!$O:$O,July!$T$124,input!$X:$X,July!N179,input!$A:$A,July!$B$2)</f>
        <v>0</v>
      </c>
      <c r="U179" s="322">
        <f>COUNTIFS(input!$O:$O,July!$U$124,input!$X:$X,July!N179,input!$A:$A,July!$B$2)</f>
        <v>0</v>
      </c>
      <c r="V179" s="323">
        <f>COUNTIFS(input!$O:$O,July!$V$124,input!$X:$X,July!N179,input!$A:$A,July!$B$2)</f>
        <v>0</v>
      </c>
      <c r="W179" s="323">
        <f>COUNTIFS(input!$O:$O,July!$W$124,input!$X:$X,July!N179,input!$A:$A,July!$B$2)</f>
        <v>0</v>
      </c>
      <c r="X179" s="324">
        <f>COUNTIFS(input!$O:$O,July!$X$124,input!$X:$X,July!N179,input!$A:$A,July!$B$2)</f>
        <v>0</v>
      </c>
      <c r="Y179" s="312">
        <f t="shared" si="11"/>
        <v>0</v>
      </c>
      <c r="Z179" s="315" cm="1">
        <f t="array" ref="Z179">_xlfn.IFS(Y179=0,0,Y179&gt;=1,Y179/$Y$189)</f>
        <v>0</v>
      </c>
    </row>
    <row r="180" spans="2:29" ht="92" hidden="1" x14ac:dyDescent="0.25">
      <c r="B180" s="1122" t="s">
        <v>1780</v>
      </c>
      <c r="C180" s="997"/>
      <c r="D180" s="316">
        <f>COUNTIFS(input!$O:$O,July!$D$124,input!$W:$W,July!B180,input!$A:$A,July!$B$2)</f>
        <v>0</v>
      </c>
      <c r="E180" s="316">
        <f>COUNTIFS(input!$O:$O,July!$E$124,input!$W:$W,July!B180,input!$A:$A,July!$B$2)</f>
        <v>0</v>
      </c>
      <c r="F180" s="316">
        <f>COUNTIFS(input!$O:$O,July!$F$124,input!$W:$W,July!B180,input!$A:$A,July!$B$2)</f>
        <v>0</v>
      </c>
      <c r="G180" s="322">
        <f>COUNTIFS(input!$O:$O,July!$G$124,input!$W:$W,July!B180,input!$A:$A,July!$B$2)</f>
        <v>0</v>
      </c>
      <c r="H180" s="321">
        <f>COUNTIFS(input!$O:$O,July!$H$124,input!$W:$W,July!B180,input!$A:$A,July!$B$2)</f>
        <v>0</v>
      </c>
      <c r="I180" s="321">
        <f>COUNTIFS(input!$O:$O,July!$I$124,input!$W:$W,July!B180,input!$A:$A,July!$B$2)</f>
        <v>0</v>
      </c>
      <c r="J180" s="321">
        <f>COUNTIFS(input!$O:$O,July!$J$124,input!$W:$W,July!B180,input!$A:$A,July!$B$2)</f>
        <v>0</v>
      </c>
      <c r="K180" s="343">
        <f>COUNTIFS(input!$O:$O,July!$K$124,input!$W:$W,July!B180,input!$A:$A,July!$B$2)</f>
        <v>0</v>
      </c>
      <c r="L180" s="312">
        <f t="shared" si="12"/>
        <v>0</v>
      </c>
      <c r="M180" s="320" cm="1">
        <f t="array" ref="M180">_xlfn.IFS(L180=0,0,L180&gt;=1,L180/$L$189)</f>
        <v>0</v>
      </c>
      <c r="N180" s="995"/>
      <c r="O180" s="996"/>
      <c r="P180" s="997"/>
      <c r="Q180" s="316">
        <f>COUNTIFS(input!$O:$O,July!$Q$124,input!$X:$X,July!N180,input!$A:$A,July!$B$2)</f>
        <v>0</v>
      </c>
      <c r="R180" s="316">
        <f>COUNTIFS(input!$O:$O,July!$R$124,input!$X:$X,July!N180,input!$A:$A,July!$B$2)</f>
        <v>0</v>
      </c>
      <c r="S180" s="316">
        <f>COUNTIFS(input!$O:$O,July!$S$124,input!$X:$X,July!N180,input!$A:$A,July!$B$2)</f>
        <v>0</v>
      </c>
      <c r="T180" s="322">
        <f>COUNTIFS(input!$O:$O,July!$T$124,input!$X:$X,July!N180,input!$A:$A,July!$B$2)</f>
        <v>0</v>
      </c>
      <c r="U180" s="322">
        <f>COUNTIFS(input!$O:$O,July!$U$124,input!$X:$X,July!N180,input!$A:$A,July!$B$2)</f>
        <v>0</v>
      </c>
      <c r="V180" s="323">
        <f>COUNTIFS(input!$O:$O,July!$V$124,input!$X:$X,July!N180,input!$A:$A,July!$B$2)</f>
        <v>0</v>
      </c>
      <c r="W180" s="323">
        <f>COUNTIFS(input!$O:$O,July!$W$124,input!$X:$X,July!N180,input!$A:$A,July!$B$2)</f>
        <v>0</v>
      </c>
      <c r="X180" s="324">
        <f>COUNTIFS(input!$O:$O,July!$X$124,input!$X:$X,July!N180,input!$A:$A,July!$B$2)</f>
        <v>0</v>
      </c>
      <c r="Y180" s="312">
        <f t="shared" si="11"/>
        <v>0</v>
      </c>
      <c r="Z180" s="315" cm="1">
        <f t="array" ref="Z180">_xlfn.IFS(Y180=0,0,Y180&gt;=1,Y180/$Y$189)</f>
        <v>0</v>
      </c>
    </row>
    <row r="181" spans="2:29" ht="92" x14ac:dyDescent="0.25">
      <c r="B181" s="998" t="s">
        <v>2161</v>
      </c>
      <c r="C181" s="994"/>
      <c r="D181" s="316">
        <f>COUNTIFS(input!$O:$O,July!$D$124,input!$W:$W,July!B181,input!$A:$A,July!$B$2)</f>
        <v>0</v>
      </c>
      <c r="E181" s="316">
        <f>COUNTIFS(input!$O:$O,July!$E$124,input!$W:$W,July!B181,input!$A:$A,July!$B$2)</f>
        <v>0</v>
      </c>
      <c r="F181" s="316">
        <f>COUNTIFS(input!$O:$O,July!$F$124,input!$W:$W,July!B181,input!$A:$A,July!$B$2)</f>
        <v>0</v>
      </c>
      <c r="G181" s="322">
        <f>COUNTIFS(input!$O:$O,July!$G$124,input!$W:$W,July!B181,input!$A:$A,July!$B$2)</f>
        <v>0</v>
      </c>
      <c r="H181" s="321">
        <f>COUNTIFS(input!$O:$O,July!$H$124,input!$W:$W,July!B181,input!$A:$A,July!$B$2)</f>
        <v>0</v>
      </c>
      <c r="I181" s="321">
        <f>COUNTIFS(input!$O:$O,July!$I$124,input!$W:$W,July!B181,input!$A:$A,July!$B$2)</f>
        <v>0</v>
      </c>
      <c r="J181" s="321">
        <f>COUNTIFS(input!$O:$O,July!$J$124,input!$W:$W,July!B181,input!$A:$A,July!$B$2)</f>
        <v>1</v>
      </c>
      <c r="K181" s="343">
        <f>COUNTIFS(input!$O:$O,July!$K$124,input!$W:$W,July!B181,input!$A:$A,July!$B$2)</f>
        <v>0</v>
      </c>
      <c r="L181" s="312">
        <f t="shared" si="12"/>
        <v>1</v>
      </c>
      <c r="M181" s="320" cm="1">
        <f t="array" ref="M181">_xlfn.IFS(L181=0,0,L181&gt;=1,L181/$L$189)</f>
        <v>6.25E-2</v>
      </c>
      <c r="N181" s="995"/>
      <c r="O181" s="996"/>
      <c r="P181" s="997"/>
      <c r="Q181" s="316">
        <f>COUNTIFS(input!$O:$O,July!$Q$124,input!$X:$X,July!N181,input!$A:$A,July!$B$2)</f>
        <v>0</v>
      </c>
      <c r="R181" s="316">
        <f>COUNTIFS(input!$O:$O,July!$R$124,input!$X:$X,July!N181,input!$A:$A,July!$B$2)</f>
        <v>0</v>
      </c>
      <c r="S181" s="316">
        <f>COUNTIFS(input!$O:$O,July!$S$124,input!$X:$X,July!N181,input!$A:$A,July!$B$2)</f>
        <v>0</v>
      </c>
      <c r="T181" s="322">
        <f>COUNTIFS(input!$O:$O,July!$T$124,input!$X:$X,July!N181,input!$A:$A,July!$B$2)</f>
        <v>0</v>
      </c>
      <c r="U181" s="322">
        <f>COUNTIFS(input!$O:$O,July!$U$124,input!$X:$X,July!N181,input!$A:$A,July!$B$2)</f>
        <v>0</v>
      </c>
      <c r="V181" s="323">
        <f>COUNTIFS(input!$O:$O,July!$V$124,input!$X:$X,July!N181,input!$A:$A,July!$B$2)</f>
        <v>0</v>
      </c>
      <c r="W181" s="323">
        <f>COUNTIFS(input!$O:$O,July!$W$124,input!$X:$X,July!N181,input!$A:$A,July!$B$2)</f>
        <v>0</v>
      </c>
      <c r="X181" s="324">
        <f>COUNTIFS(input!$O:$O,July!$X$124,input!$X:$X,July!N181,input!$A:$A,July!$B$2)</f>
        <v>0</v>
      </c>
      <c r="Y181" s="312">
        <f t="shared" si="11"/>
        <v>0</v>
      </c>
      <c r="Z181" s="315" cm="1">
        <f t="array" ref="Z181">_xlfn.IFS(Y181=0,0,Y181&gt;=1,Y181/$Y$189)</f>
        <v>0</v>
      </c>
    </row>
    <row r="182" spans="2:29" ht="92" x14ac:dyDescent="0.25">
      <c r="B182" s="998" t="s">
        <v>2063</v>
      </c>
      <c r="C182" s="994"/>
      <c r="D182" s="316">
        <f>COUNTIFS(input!$O:$O,July!$D$124,input!$W:$W,July!B182,input!$A:$A,July!$B$2)</f>
        <v>0</v>
      </c>
      <c r="E182" s="316">
        <f>COUNTIFS(input!$O:$O,July!$E$124,input!$W:$W,July!B182,input!$A:$A,July!$B$2)</f>
        <v>0</v>
      </c>
      <c r="F182" s="316">
        <f>COUNTIFS(input!$O:$O,July!$F$124,input!$W:$W,July!B182,input!$A:$A,July!$B$2)</f>
        <v>0</v>
      </c>
      <c r="G182" s="322">
        <f>COUNTIFS(input!$O:$O,July!$G$124,input!$W:$W,July!B182,input!$A:$A,July!$B$2)</f>
        <v>0</v>
      </c>
      <c r="H182" s="321">
        <f>COUNTIFS(input!$O:$O,July!$H$124,input!$W:$W,July!B182,input!$A:$A,July!$B$2)</f>
        <v>0</v>
      </c>
      <c r="I182" s="321">
        <f>COUNTIFS(input!$O:$O,July!$I$124,input!$W:$W,July!B182,input!$A:$A,July!$B$2)</f>
        <v>0</v>
      </c>
      <c r="J182" s="321">
        <f>COUNTIFS(input!$O:$O,July!$J$124,input!$W:$W,July!B182,input!$A:$A,July!$B$2)</f>
        <v>1</v>
      </c>
      <c r="K182" s="343">
        <f>COUNTIFS(input!$O:$O,July!$K$124,input!$W:$W,July!B182,input!$A:$A,July!$B$2)</f>
        <v>0</v>
      </c>
      <c r="L182" s="312">
        <f>SUM(D182:K182)</f>
        <v>1</v>
      </c>
      <c r="M182" s="320" cm="1">
        <f t="array" ref="M182">_xlfn.IFS(L182=0,0,L182&gt;=1,L182/$L$189)</f>
        <v>6.25E-2</v>
      </c>
      <c r="N182" s="995"/>
      <c r="O182" s="996"/>
      <c r="P182" s="997"/>
      <c r="Q182" s="316">
        <f>COUNTIFS(input!$O:$O,July!$Q$124,input!$X:$X,July!N182,input!$A:$A,July!$B$2)</f>
        <v>0</v>
      </c>
      <c r="R182" s="316">
        <f>COUNTIFS(input!$O:$O,July!$R$124,input!$X:$X,July!N182,input!$A:$A,July!$B$2)</f>
        <v>0</v>
      </c>
      <c r="S182" s="316">
        <f>COUNTIFS(input!$O:$O,July!$S$124,input!$X:$X,July!N182,input!$A:$A,July!$B$2)</f>
        <v>0</v>
      </c>
      <c r="T182" s="322">
        <f>COUNTIFS(input!$O:$O,July!$T$124,input!$X:$X,July!N182,input!$A:$A,July!$B$2)</f>
        <v>0</v>
      </c>
      <c r="U182" s="322">
        <f>COUNTIFS(input!$O:$O,July!$U$124,input!$X:$X,July!N182,input!$A:$A,July!$B$2)</f>
        <v>0</v>
      </c>
      <c r="V182" s="323">
        <f>COUNTIFS(input!$O:$O,July!$V$124,input!$X:$X,July!N182,input!$A:$A,July!$B$2)</f>
        <v>0</v>
      </c>
      <c r="W182" s="323">
        <f>COUNTIFS(input!$O:$O,July!$W$124,input!$X:$X,July!N182,input!$A:$A,July!$B$2)</f>
        <v>0</v>
      </c>
      <c r="X182" s="324">
        <f>COUNTIFS(input!$O:$O,July!$X$124,input!$X:$X,July!N182,input!$A:$A,July!$B$2)</f>
        <v>0</v>
      </c>
      <c r="Y182" s="312">
        <f>SUM(Q182:X182)</f>
        <v>0</v>
      </c>
      <c r="Z182" s="315" cm="1">
        <f t="array" ref="Z182">_xlfn.IFS(Y182=0,0,Y182&gt;=1,Y182/$Y$189)</f>
        <v>0</v>
      </c>
    </row>
    <row r="183" spans="2:29" ht="92" hidden="1" x14ac:dyDescent="0.25">
      <c r="B183" s="1122" t="s">
        <v>1836</v>
      </c>
      <c r="C183" s="997"/>
      <c r="D183" s="316">
        <f>COUNTIFS(input!$O:$O,July!$D$124,input!$W:$W,July!B183,input!$A:$A,July!$B$2)</f>
        <v>0</v>
      </c>
      <c r="E183" s="316">
        <f>COUNTIFS(input!$O:$O,July!$E$124,input!$W:$W,July!B183,input!$A:$A,July!$B$2)</f>
        <v>0</v>
      </c>
      <c r="F183" s="316">
        <f>COUNTIFS(input!$O:$O,July!$F$124,input!$W:$W,July!B183,input!$A:$A,July!$B$2)</f>
        <v>0</v>
      </c>
      <c r="G183" s="322">
        <f>COUNTIFS(input!$O:$O,July!$G$124,input!$W:$W,July!B183,input!$A:$A,July!$B$2)</f>
        <v>0</v>
      </c>
      <c r="H183" s="321">
        <f>COUNTIFS(input!$O:$O,July!$H$124,input!$W:$W,July!B183,input!$A:$A,July!$B$2)</f>
        <v>0</v>
      </c>
      <c r="I183" s="321">
        <f>COUNTIFS(input!$O:$O,July!$I$124,input!$W:$W,July!B183,input!$A:$A,July!$B$2)</f>
        <v>0</v>
      </c>
      <c r="J183" s="321">
        <f>COUNTIFS(input!$O:$O,July!$J$124,input!$W:$W,July!B183,input!$A:$A,July!$B$2)</f>
        <v>0</v>
      </c>
      <c r="K183" s="343">
        <f>COUNTIFS(input!$O:$O,July!$K$124,input!$W:$W,July!B183,input!$A:$A,July!$B$2)</f>
        <v>0</v>
      </c>
      <c r="L183" s="312">
        <f t="shared" si="12"/>
        <v>0</v>
      </c>
      <c r="M183" s="320" cm="1">
        <f t="array" ref="M183">_xlfn.IFS(L183=0,0,L183&gt;=1,L183/$L$189)</f>
        <v>0</v>
      </c>
      <c r="N183" s="995"/>
      <c r="O183" s="996"/>
      <c r="P183" s="997"/>
      <c r="Q183" s="316">
        <f>COUNTIFS(input!$O:$O,July!$Q$124,input!$X:$X,July!N183,input!$A:$A,July!$B$2)</f>
        <v>0</v>
      </c>
      <c r="R183" s="316">
        <f>COUNTIFS(input!$O:$O,July!$R$124,input!$X:$X,July!N183,input!$A:$A,July!$B$2)</f>
        <v>0</v>
      </c>
      <c r="S183" s="316">
        <f>COUNTIFS(input!$O:$O,July!$S$124,input!$X:$X,July!N183,input!$A:$A,July!$B$2)</f>
        <v>0</v>
      </c>
      <c r="T183" s="322">
        <f>COUNTIFS(input!$O:$O,July!$T$124,input!$X:$X,July!N183,input!$A:$A,July!$B$2)</f>
        <v>0</v>
      </c>
      <c r="U183" s="322">
        <f>COUNTIFS(input!$O:$O,July!$U$124,input!$X:$X,July!N183,input!$A:$A,July!$B$2)</f>
        <v>0</v>
      </c>
      <c r="V183" s="323">
        <f>COUNTIFS(input!$O:$O,July!$V$124,input!$X:$X,July!N183,input!$A:$A,July!$B$2)</f>
        <v>0</v>
      </c>
      <c r="W183" s="323">
        <f>COUNTIFS(input!$O:$O,July!$W$124,input!$X:$X,July!N183,input!$A:$A,July!$B$2)</f>
        <v>0</v>
      </c>
      <c r="X183" s="324">
        <f>COUNTIFS(input!$O:$O,July!$X$124,input!$X:$X,July!N183,input!$A:$A,July!$B$2)</f>
        <v>0</v>
      </c>
      <c r="Y183" s="312">
        <f t="shared" si="11"/>
        <v>0</v>
      </c>
      <c r="Z183" s="315" cm="1">
        <f t="array" ref="Z183">_xlfn.IFS(Y183=0,0,Y183&gt;=1,Y183/$Y$189)</f>
        <v>0</v>
      </c>
    </row>
    <row r="184" spans="2:29" ht="92" x14ac:dyDescent="0.25">
      <c r="B184" s="998" t="s">
        <v>2160</v>
      </c>
      <c r="C184" s="994"/>
      <c r="D184" s="316">
        <f>COUNTIFS(input!$O:$O,July!$D$124,input!$W:$W,July!B184,input!$A:$A,July!$B$2)</f>
        <v>0</v>
      </c>
      <c r="E184" s="316">
        <f>COUNTIFS(input!$O:$O,July!$E$124,input!$W:$W,July!B184,input!$A:$A,July!$B$2)</f>
        <v>0</v>
      </c>
      <c r="F184" s="316">
        <f>COUNTIFS(input!$O:$O,July!$F$124,input!$W:$W,July!B184,input!$A:$A,July!$B$2)</f>
        <v>0</v>
      </c>
      <c r="G184" s="322">
        <f>COUNTIFS(input!$O:$O,July!$G$124,input!$W:$W,July!B184,input!$A:$A,July!$B$2)</f>
        <v>0</v>
      </c>
      <c r="H184" s="321">
        <f>COUNTIFS(input!$O:$O,July!$H$124,input!$W:$W,July!B184,input!$A:$A,July!$B$2)</f>
        <v>0</v>
      </c>
      <c r="I184" s="321">
        <f>COUNTIFS(input!$O:$O,July!$I$124,input!$W:$W,July!B184,input!$A:$A,July!$B$2)</f>
        <v>0</v>
      </c>
      <c r="J184" s="321">
        <f>COUNTIFS(input!$O:$O,July!$J$124,input!$W:$W,July!B184,input!$A:$A,July!$B$2)</f>
        <v>1</v>
      </c>
      <c r="K184" s="343">
        <f>COUNTIFS(input!$O:$O,July!$K$124,input!$W:$W,July!B184,input!$A:$A,July!$B$2)</f>
        <v>0</v>
      </c>
      <c r="L184" s="312">
        <f>SUM(D184:K184)</f>
        <v>1</v>
      </c>
      <c r="M184" s="320" cm="1">
        <f t="array" ref="M184">_xlfn.IFS(L184=0,0,L184&gt;=1,L184/$L$189)</f>
        <v>6.25E-2</v>
      </c>
      <c r="N184" s="995"/>
      <c r="O184" s="996"/>
      <c r="P184" s="997"/>
      <c r="Q184" s="316">
        <f>COUNTIFS(input!$O:$O,July!$Q$124,input!$X:$X,July!N184,input!$A:$A,July!$B$2)</f>
        <v>0</v>
      </c>
      <c r="R184" s="316">
        <f>COUNTIFS(input!$O:$O,July!$R$124,input!$X:$X,July!N184,input!$A:$A,July!$B$2)</f>
        <v>0</v>
      </c>
      <c r="S184" s="316">
        <f>COUNTIFS(input!$O:$O,July!$S$124,input!$X:$X,July!N184,input!$A:$A,July!$B$2)</f>
        <v>0</v>
      </c>
      <c r="T184" s="322">
        <f>COUNTIFS(input!$O:$O,July!$T$124,input!$X:$X,July!N184,input!$A:$A,July!$B$2)</f>
        <v>0</v>
      </c>
      <c r="U184" s="322">
        <f>COUNTIFS(input!$O:$O,July!$U$124,input!$X:$X,July!N184,input!$A:$A,July!$B$2)</f>
        <v>0</v>
      </c>
      <c r="V184" s="323">
        <f>COUNTIFS(input!$O:$O,July!$V$124,input!$X:$X,July!N184,input!$A:$A,July!$B$2)</f>
        <v>0</v>
      </c>
      <c r="W184" s="323">
        <f>COUNTIFS(input!$O:$O,July!$W$124,input!$X:$X,July!N184,input!$A:$A,July!$B$2)</f>
        <v>0</v>
      </c>
      <c r="X184" s="324">
        <f>COUNTIFS(input!$O:$O,July!$X$124,input!$X:$X,July!N184,input!$A:$A,July!$B$2)</f>
        <v>0</v>
      </c>
      <c r="Y184" s="312">
        <f>SUM(Q184:X184)</f>
        <v>0</v>
      </c>
      <c r="Z184" s="315" cm="1">
        <f t="array" ref="Z184">_xlfn.IFS(Y184=0,0,Y184&gt;=1,Y184/$Y$189)</f>
        <v>0</v>
      </c>
    </row>
    <row r="185" spans="2:29" ht="92" x14ac:dyDescent="0.25">
      <c r="B185" s="998" t="s">
        <v>2164</v>
      </c>
      <c r="C185" s="994"/>
      <c r="D185" s="316">
        <f>COUNTIFS(input!$O:$O,July!$D$124,input!$W:$W,July!B185,input!$A:$A,July!$B$2)</f>
        <v>0</v>
      </c>
      <c r="E185" s="316">
        <f>COUNTIFS(input!$O:$O,July!$E$124,input!$W:$W,July!B185,input!$A:$A,July!$B$2)</f>
        <v>0</v>
      </c>
      <c r="F185" s="316">
        <f>COUNTIFS(input!$O:$O,July!$F$124,input!$W:$W,July!B185,input!$A:$A,July!$B$2)</f>
        <v>0</v>
      </c>
      <c r="G185" s="322">
        <f>COUNTIFS(input!$O:$O,July!$G$124,input!$W:$W,July!B185,input!$A:$A,July!$B$2)</f>
        <v>1</v>
      </c>
      <c r="H185" s="321">
        <f>COUNTIFS(input!$O:$O,July!$H$124,input!$W:$W,July!B185,input!$A:$A,July!$B$2)</f>
        <v>0</v>
      </c>
      <c r="I185" s="321">
        <f>COUNTIFS(input!$O:$O,July!$I$124,input!$W:$W,July!B185,input!$A:$A,July!$B$2)</f>
        <v>0</v>
      </c>
      <c r="J185" s="321">
        <f>COUNTIFS(input!$O:$O,July!$J$124,input!$W:$W,July!B185,input!$A:$A,July!$B$2)</f>
        <v>0</v>
      </c>
      <c r="K185" s="343">
        <f>COUNTIFS(input!$O:$O,July!$K$124,input!$W:$W,July!B185,input!$A:$A,July!$B$2)</f>
        <v>0</v>
      </c>
      <c r="L185" s="312">
        <f>SUM(D185:K185)</f>
        <v>1</v>
      </c>
      <c r="M185" s="320" cm="1">
        <f t="array" ref="M185">_xlfn.IFS(L185=0,0,L185&gt;=1,L185/$L$189)</f>
        <v>6.25E-2</v>
      </c>
      <c r="N185" s="995"/>
      <c r="O185" s="996"/>
      <c r="P185" s="997"/>
      <c r="Q185" s="316">
        <f>COUNTIFS(input!$O:$O,July!$Q$124,input!$X:$X,July!N185,input!$A:$A,July!$B$2)</f>
        <v>0</v>
      </c>
      <c r="R185" s="316">
        <f>COUNTIFS(input!$O:$O,July!$R$124,input!$X:$X,July!N185,input!$A:$A,July!$B$2)</f>
        <v>0</v>
      </c>
      <c r="S185" s="316">
        <f>COUNTIFS(input!$O:$O,July!$S$124,input!$X:$X,July!N185,input!$A:$A,July!$B$2)</f>
        <v>0</v>
      </c>
      <c r="T185" s="322">
        <f>COUNTIFS(input!$O:$O,July!$T$124,input!$X:$X,July!N185,input!$A:$A,July!$B$2)</f>
        <v>0</v>
      </c>
      <c r="U185" s="322">
        <f>COUNTIFS(input!$O:$O,July!$U$124,input!$X:$X,July!N185,input!$A:$A,July!$B$2)</f>
        <v>0</v>
      </c>
      <c r="V185" s="323">
        <f>COUNTIFS(input!$O:$O,July!$V$124,input!$X:$X,July!N185,input!$A:$A,July!$B$2)</f>
        <v>0</v>
      </c>
      <c r="W185" s="323">
        <f>COUNTIFS(input!$O:$O,July!$W$124,input!$X:$X,July!N185,input!$A:$A,July!$B$2)</f>
        <v>0</v>
      </c>
      <c r="X185" s="324">
        <f>COUNTIFS(input!$O:$O,July!$X$124,input!$X:$X,July!N185,input!$A:$A,July!$B$2)</f>
        <v>0</v>
      </c>
      <c r="Y185" s="312">
        <f>SUM(Q185:X185)</f>
        <v>0</v>
      </c>
      <c r="Z185" s="315" cm="1">
        <f t="array" ref="Z185">_xlfn.IFS(Y185=0,0,Y185&gt;=1,Y185/$Y$189)</f>
        <v>0</v>
      </c>
    </row>
    <row r="186" spans="2:29" ht="92" hidden="1" x14ac:dyDescent="0.25">
      <c r="B186" s="1121" t="s">
        <v>361</v>
      </c>
      <c r="C186" s="1066"/>
      <c r="D186" s="316">
        <f>COUNTIFS(input!$O:$O,July!$D$124,input!$W:$W,July!B186,input!$A:$A,July!$B$2)</f>
        <v>0</v>
      </c>
      <c r="E186" s="316">
        <f>COUNTIFS(input!$O:$O,July!$E$124,input!$W:$W,July!B186,input!$A:$A,July!$B$2)</f>
        <v>0</v>
      </c>
      <c r="F186" s="316">
        <f>COUNTIFS(input!$O:$O,July!$F$124,input!$W:$W,July!B186,input!$A:$A,July!$B$2)</f>
        <v>0</v>
      </c>
      <c r="G186" s="322">
        <f>COUNTIFS(input!$O:$O,July!$G$124,input!$W:$W,July!B186,input!$A:$A,July!$B$2)</f>
        <v>0</v>
      </c>
      <c r="H186" s="321">
        <f>COUNTIFS(input!$O:$O,July!$H$124,input!$W:$W,July!B186,input!$A:$A,July!$B$2)</f>
        <v>0</v>
      </c>
      <c r="I186" s="321">
        <f>COUNTIFS(input!$O:$O,July!$I$124,input!$W:$W,July!B186,input!$A:$A,July!$B$2)</f>
        <v>0</v>
      </c>
      <c r="J186" s="321">
        <f>COUNTIFS(input!$O:$O,July!$J$124,input!$W:$W,July!B186,input!$A:$A,July!$B$2)</f>
        <v>0</v>
      </c>
      <c r="K186" s="343">
        <f>COUNTIFS(input!$O:$O,July!$K$124,input!$W:$W,July!B186,input!$A:$A,July!$B$2)</f>
        <v>0</v>
      </c>
      <c r="L186" s="312">
        <f t="shared" si="12"/>
        <v>0</v>
      </c>
      <c r="M186" s="320" cm="1">
        <f t="array" ref="M186">_xlfn.IFS(L186=0,0,L186&gt;=1,L186/$L$189)</f>
        <v>0</v>
      </c>
      <c r="N186" s="382"/>
      <c r="O186" s="383"/>
      <c r="P186" s="384"/>
      <c r="Q186" s="316">
        <f>COUNTIFS(input!$O:$O,July!$Q$124,input!$X:$X,July!N186,input!$A:$A,July!$B$2)</f>
        <v>0</v>
      </c>
      <c r="R186" s="316">
        <f>COUNTIFS(input!$O:$O,July!$R$124,input!$X:$X,July!N186,input!$A:$A,July!$B$2)</f>
        <v>0</v>
      </c>
      <c r="S186" s="316">
        <f>COUNTIFS(input!$O:$O,July!$S$124,input!$X:$X,July!N186,input!$A:$A,July!$B$2)</f>
        <v>0</v>
      </c>
      <c r="T186" s="322">
        <f>COUNTIFS(input!$O:$O,July!$T$124,input!$X:$X,July!N186,input!$A:$A,July!$B$2)</f>
        <v>0</v>
      </c>
      <c r="U186" s="322">
        <f>COUNTIFS(input!$O:$O,July!$U$124,input!$X:$X,July!N186,input!$A:$A,July!$B$2)</f>
        <v>0</v>
      </c>
      <c r="V186" s="323">
        <f>COUNTIFS(input!$O:$O,July!$V$124,input!$X:$X,July!N186,input!$A:$A,July!$B$2)</f>
        <v>0</v>
      </c>
      <c r="W186" s="323">
        <f>COUNTIFS(input!$O:$O,July!$W$124,input!$X:$X,July!N186,input!$A:$A,July!$B$2)</f>
        <v>0</v>
      </c>
      <c r="X186" s="324">
        <f>COUNTIFS(input!$O:$O,July!$X$124,input!$X:$X,July!N186,input!$A:$A,July!$B$2)</f>
        <v>0</v>
      </c>
      <c r="Y186" s="312">
        <f t="shared" si="11"/>
        <v>0</v>
      </c>
      <c r="Z186" s="315" cm="1">
        <f t="array" ref="Z186">_xlfn.IFS(Y186=0,0,Y186&gt;=1,Y186/$Y$189)</f>
        <v>0</v>
      </c>
    </row>
    <row r="187" spans="2:29" ht="92" x14ac:dyDescent="0.25">
      <c r="B187" s="990" t="s">
        <v>188</v>
      </c>
      <c r="C187" s="991"/>
      <c r="D187" s="316">
        <f>COUNTIFS(input!$O:$O,July!$D$124,input!$W:$W,July!B187,input!$A:$A,July!$B$2)</f>
        <v>0</v>
      </c>
      <c r="E187" s="316">
        <f>COUNTIFS(input!$O:$O,July!$E$124,input!$W:$W,July!B187,input!$A:$A,July!$B$2)</f>
        <v>0</v>
      </c>
      <c r="F187" s="316">
        <f>COUNTIFS(input!$O:$O,July!$F$124,input!$W:$W,July!B187,input!$A:$A,July!$B$2)</f>
        <v>0</v>
      </c>
      <c r="G187" s="322">
        <f>COUNTIFS(input!$O:$O,July!$G$124,input!$W:$W,July!B187,input!$A:$A,July!$B$2)</f>
        <v>3</v>
      </c>
      <c r="H187" s="321">
        <f>COUNTIFS(input!$O:$O,July!$H$124,input!$W:$W,July!B187,input!$A:$A,July!$B$2)</f>
        <v>0</v>
      </c>
      <c r="I187" s="321">
        <f>COUNTIFS(input!$O:$O,July!$I$124,input!$W:$W,July!B187,input!$A:$A,July!$B$2)</f>
        <v>0</v>
      </c>
      <c r="J187" s="321">
        <f>COUNTIFS(input!$O:$O,July!$J$124,input!$W:$W,July!B187,input!$A:$A,July!$B$2)</f>
        <v>0</v>
      </c>
      <c r="K187" s="343">
        <f>COUNTIFS(input!$O:$O,July!$K$124,input!$W:$W,July!B187,input!$A:$A,July!$B$2)</f>
        <v>0</v>
      </c>
      <c r="L187" s="312">
        <f t="shared" si="12"/>
        <v>3</v>
      </c>
      <c r="M187" s="320" cm="1">
        <f t="array" ref="M187">_xlfn.IFS(L187=0,0,L187&gt;=1,L187/$L$189)</f>
        <v>0.1875</v>
      </c>
      <c r="N187" s="995"/>
      <c r="O187" s="996"/>
      <c r="P187" s="997"/>
      <c r="Q187" s="316">
        <f>COUNTIFS(input!$O:$O,July!$Q$124,input!$X:$X,July!N187,input!$A:$A,July!$B$2)</f>
        <v>0</v>
      </c>
      <c r="R187" s="316">
        <f>COUNTIFS(input!$O:$O,July!$R$124,input!$X:$X,July!N187,input!$A:$A,July!$B$2)</f>
        <v>0</v>
      </c>
      <c r="S187" s="316">
        <f>COUNTIFS(input!$O:$O,July!$S$124,input!$X:$X,July!N187,input!$A:$A,July!$B$2)</f>
        <v>0</v>
      </c>
      <c r="T187" s="322">
        <f>COUNTIFS(input!$O:$O,July!$T$124,input!$X:$X,July!N187,input!$A:$A,July!$B$2)</f>
        <v>0</v>
      </c>
      <c r="U187" s="322">
        <f>COUNTIFS(input!$O:$O,July!$U$124,input!$X:$X,July!N187,input!$A:$A,July!$B$2)</f>
        <v>0</v>
      </c>
      <c r="V187" s="323">
        <f>COUNTIFS(input!$O:$O,July!$V$124,input!$X:$X,July!N187,input!$A:$A,July!$B$2)</f>
        <v>0</v>
      </c>
      <c r="W187" s="323">
        <f>COUNTIFS(input!$O:$O,July!$W$124,input!$X:$X,July!N187,input!$A:$A,July!$B$2)</f>
        <v>0</v>
      </c>
      <c r="X187" s="324">
        <f>COUNTIFS(input!$O:$O,July!$X$124,input!$X:$X,July!N187,input!$A:$A,July!$B$2)</f>
        <v>0</v>
      </c>
      <c r="Y187" s="312">
        <f t="shared" si="11"/>
        <v>0</v>
      </c>
      <c r="Z187" s="315" cm="1">
        <f t="array" ref="Z187">_xlfn.IFS(Y187=0,0,Y187&gt;=1,Y187/$Y$189)</f>
        <v>0</v>
      </c>
    </row>
    <row r="188" spans="2:29" ht="92" hidden="1" x14ac:dyDescent="0.25">
      <c r="B188" s="1239" t="s">
        <v>57</v>
      </c>
      <c r="C188" s="1240"/>
      <c r="D188" s="316">
        <f>COUNTIFS(input!$O:$O,July!$D$124,input!$W:$W,July!B188,input!$A:$A,July!$B$2)</f>
        <v>0</v>
      </c>
      <c r="E188" s="316">
        <f>COUNTIFS(input!$O:$O,July!$E$124,input!$W:$W,July!B188,input!$A:$A,July!$B$2)</f>
        <v>0</v>
      </c>
      <c r="F188" s="316">
        <f>COUNTIFS(input!$O:$O,July!$F$124,input!$W:$W,July!B188,input!$A:$A,July!$B$2)</f>
        <v>0</v>
      </c>
      <c r="G188" s="322">
        <f>COUNTIFS(input!$O:$O,July!$G$124,input!$W:$W,July!B188,input!$A:$A,July!$B$2)</f>
        <v>0</v>
      </c>
      <c r="H188" s="321">
        <f>COUNTIFS(input!$O:$O,July!$H$124,input!$W:$W,July!B188,input!$A:$A,July!$B$2)</f>
        <v>0</v>
      </c>
      <c r="I188" s="321">
        <f>COUNTIFS(input!$O:$O,July!$I$124,input!$W:$W,July!B188,input!$A:$A,July!$B$2)</f>
        <v>0</v>
      </c>
      <c r="J188" s="321">
        <f>COUNTIFS(input!$O:$O,July!$J$124,input!$W:$W,July!B188,input!$A:$A,July!$B$2)</f>
        <v>0</v>
      </c>
      <c r="K188" s="343">
        <f>COUNTIFS(input!$O:$O,July!$K$124,input!$W:$W,July!B188,input!$A:$A,July!$B$2)</f>
        <v>0</v>
      </c>
      <c r="L188" s="312">
        <f t="shared" si="12"/>
        <v>0</v>
      </c>
      <c r="M188" s="344" cm="1">
        <f t="array" ref="M188">_xlfn.IFS(L188=0,0,L188&gt;=1,L188/$L$189)</f>
        <v>0</v>
      </c>
      <c r="N188" s="1241" t="s">
        <v>706</v>
      </c>
      <c r="O188" s="1242"/>
      <c r="P188" s="1243"/>
      <c r="Q188" s="316">
        <f>COUNTIFS(input!$O:$O,July!$Q$124,input!$X:$X,July!N188,input!$A:$A,July!$B$2)</f>
        <v>0</v>
      </c>
      <c r="R188" s="316">
        <f>COUNTIFS(input!$O:$O,July!$R$124,input!$X:$X,July!N188,input!$A:$A,July!$B$2)</f>
        <v>0</v>
      </c>
      <c r="S188" s="316">
        <f>COUNTIFS(input!$O:$O,July!$S$124,input!$X:$X,July!N188,input!$A:$A,July!$B$2)</f>
        <v>0</v>
      </c>
      <c r="T188" s="322">
        <f>COUNTIFS(input!$O:$O,July!$T$124,input!$X:$X,July!N188,input!$A:$A,July!$B$2)</f>
        <v>0</v>
      </c>
      <c r="U188" s="322">
        <f>COUNTIFS(input!$O:$O,July!$U$124,input!$X:$X,July!N188,input!$A:$A,July!$B$2)</f>
        <v>0</v>
      </c>
      <c r="V188" s="323">
        <f>COUNTIFS(input!$O:$O,July!$V$124,input!$X:$X,July!N188,input!$A:$A,July!$B$2)</f>
        <v>0</v>
      </c>
      <c r="W188" s="323">
        <f>COUNTIFS(input!$O:$O,July!$W$124,input!$X:$X,July!N188,input!$A:$A,July!$B$2)</f>
        <v>0</v>
      </c>
      <c r="X188" s="324">
        <f>COUNTIFS(input!$O:$O,July!$X$124,input!$X:$X,July!N188,input!$A:$A,July!$B$2)</f>
        <v>0</v>
      </c>
      <c r="Y188" s="312">
        <f t="shared" si="11"/>
        <v>0</v>
      </c>
      <c r="Z188" s="315" cm="1">
        <f t="array" ref="Z188">_xlfn.IFS(Y188=0,0,Y188&gt;=1,Y188/$Y$189)</f>
        <v>0</v>
      </c>
    </row>
    <row r="189" spans="2:29" ht="90.5" thickBot="1" x14ac:dyDescent="0.3">
      <c r="B189" s="981" t="s">
        <v>4</v>
      </c>
      <c r="C189" s="982"/>
      <c r="D189" s="340">
        <f>SUM(D125:D188)</f>
        <v>0</v>
      </c>
      <c r="E189" s="340">
        <f t="shared" ref="E189:K189" si="13">SUM(E125:E188)</f>
        <v>0</v>
      </c>
      <c r="F189" s="340">
        <f t="shared" si="13"/>
        <v>0</v>
      </c>
      <c r="G189" s="340">
        <f t="shared" si="13"/>
        <v>11</v>
      </c>
      <c r="H189" s="340">
        <f t="shared" si="13"/>
        <v>0</v>
      </c>
      <c r="I189" s="340">
        <f t="shared" si="13"/>
        <v>2</v>
      </c>
      <c r="J189" s="340">
        <f t="shared" si="13"/>
        <v>3</v>
      </c>
      <c r="K189" s="340">
        <f t="shared" si="13"/>
        <v>0</v>
      </c>
      <c r="L189" s="340">
        <f>SUM(L125:L188)</f>
        <v>16</v>
      </c>
      <c r="M189" s="347">
        <f>SUM(M125:M188)</f>
        <v>1</v>
      </c>
      <c r="N189" s="1244" t="s">
        <v>4</v>
      </c>
      <c r="O189" s="1244"/>
      <c r="P189" s="1245"/>
      <c r="Q189" s="348">
        <f>SUM(Q125:Q188)</f>
        <v>0</v>
      </c>
      <c r="R189" s="348">
        <f t="shared" ref="R189:X189" si="14">SUM(R125:R188)</f>
        <v>0</v>
      </c>
      <c r="S189" s="348">
        <f t="shared" si="14"/>
        <v>0</v>
      </c>
      <c r="T189" s="348">
        <f t="shared" si="14"/>
        <v>11</v>
      </c>
      <c r="U189" s="348">
        <f t="shared" si="14"/>
        <v>0</v>
      </c>
      <c r="V189" s="348">
        <f t="shared" si="14"/>
        <v>2</v>
      </c>
      <c r="W189" s="348">
        <f t="shared" si="14"/>
        <v>3</v>
      </c>
      <c r="X189" s="348">
        <f t="shared" si="14"/>
        <v>0</v>
      </c>
      <c r="Y189" s="340">
        <f>SUM(Y125:Y188)</f>
        <v>16</v>
      </c>
      <c r="Z189" s="349">
        <f>SUM(Z125:Z188)</f>
        <v>1</v>
      </c>
    </row>
    <row r="190" spans="2:29" s="133" customFormat="1" ht="90.5" customHeight="1" thickBot="1" x14ac:dyDescent="0.3">
      <c r="B190" s="985"/>
      <c r="C190" s="986"/>
      <c r="D190" s="987" t="s">
        <v>16</v>
      </c>
      <c r="E190" s="988"/>
      <c r="F190" s="988"/>
      <c r="G190" s="988"/>
      <c r="H190" s="988"/>
      <c r="I190" s="988"/>
      <c r="J190" s="988"/>
      <c r="K190" s="988"/>
      <c r="L190" s="988"/>
      <c r="M190" s="989"/>
      <c r="N190" s="987" t="s">
        <v>2171</v>
      </c>
      <c r="O190" s="988"/>
      <c r="P190" s="988"/>
      <c r="Q190" s="988"/>
      <c r="R190" s="988"/>
      <c r="S190" s="988"/>
      <c r="T190" s="988"/>
      <c r="U190" s="988"/>
      <c r="V190" s="988"/>
      <c r="W190" s="988"/>
      <c r="X190" s="988"/>
      <c r="Y190" s="988"/>
      <c r="Z190" s="989"/>
    </row>
    <row r="191" spans="2:29" s="130" customFormat="1" ht="407.5" customHeight="1" x14ac:dyDescent="0.25">
      <c r="B191" s="975" t="str">
        <f>'Description of Incidents'!A296</f>
        <v>FERNANDEZ, CURY-JACOB M.</v>
      </c>
      <c r="C191" s="976"/>
      <c r="D191" s="965" t="s">
        <v>2089</v>
      </c>
      <c r="E191" s="966"/>
      <c r="F191" s="966"/>
      <c r="G191" s="966"/>
      <c r="H191" s="966"/>
      <c r="I191" s="966"/>
      <c r="J191" s="966"/>
      <c r="K191" s="966"/>
      <c r="L191" s="966"/>
      <c r="M191" s="967"/>
      <c r="N191" s="1255" t="s">
        <v>2182</v>
      </c>
      <c r="O191" s="1256"/>
      <c r="P191" s="1256"/>
      <c r="Q191" s="1256"/>
      <c r="R191" s="1256"/>
      <c r="S191" s="1256"/>
      <c r="T191" s="1256"/>
      <c r="U191" s="1256"/>
      <c r="V191" s="1256"/>
      <c r="W191" s="1256"/>
      <c r="X191" s="1256"/>
      <c r="Y191" s="1256"/>
      <c r="Z191" s="1257"/>
    </row>
    <row r="192" spans="2:29" s="130" customFormat="1" ht="407.5" customHeight="1" x14ac:dyDescent="0.25">
      <c r="B192" s="977" t="str">
        <f>'Description of Incidents'!A297</f>
        <v>OI</v>
      </c>
      <c r="C192" s="978"/>
      <c r="D192" s="968"/>
      <c r="E192" s="969"/>
      <c r="F192" s="969"/>
      <c r="G192" s="969"/>
      <c r="H192" s="969"/>
      <c r="I192" s="969"/>
      <c r="J192" s="969"/>
      <c r="K192" s="969"/>
      <c r="L192" s="969"/>
      <c r="M192" s="970"/>
      <c r="N192" s="1258"/>
      <c r="O192" s="1259"/>
      <c r="P192" s="1259"/>
      <c r="Q192" s="1259"/>
      <c r="R192" s="1259"/>
      <c r="S192" s="1259"/>
      <c r="T192" s="1259"/>
      <c r="U192" s="1259"/>
      <c r="V192" s="1259"/>
      <c r="W192" s="1259"/>
      <c r="X192" s="1259"/>
      <c r="Y192" s="1259"/>
      <c r="Z192" s="1260"/>
      <c r="AC192" s="131"/>
    </row>
    <row r="193" spans="2:52" s="130" customFormat="1" ht="407.5" customHeight="1" thickBot="1" x14ac:dyDescent="0.3">
      <c r="B193" s="979" t="str">
        <f>'Description of Incidents'!A298</f>
        <v>195 Loading Bay</v>
      </c>
      <c r="C193" s="980"/>
      <c r="D193" s="971"/>
      <c r="E193" s="972"/>
      <c r="F193" s="972"/>
      <c r="G193" s="972"/>
      <c r="H193" s="972"/>
      <c r="I193" s="972"/>
      <c r="J193" s="972"/>
      <c r="K193" s="972"/>
      <c r="L193" s="972"/>
      <c r="M193" s="973"/>
      <c r="N193" s="1261"/>
      <c r="O193" s="1262"/>
      <c r="P193" s="1262"/>
      <c r="Q193" s="1262"/>
      <c r="R193" s="1262"/>
      <c r="S193" s="1262"/>
      <c r="T193" s="1262"/>
      <c r="U193" s="1262"/>
      <c r="V193" s="1262"/>
      <c r="W193" s="1262"/>
      <c r="X193" s="1262"/>
      <c r="Y193" s="1262"/>
      <c r="Z193" s="1263"/>
    </row>
    <row r="194" spans="2:52" s="130" customFormat="1" ht="407.5" customHeight="1" x14ac:dyDescent="0.25">
      <c r="B194" s="952" t="str">
        <f>'Description of Incidents'!A299</f>
        <v xml:space="preserve">PATINDO, DARWIN L. </v>
      </c>
      <c r="C194" s="953"/>
      <c r="D194" s="956" t="s">
        <v>2090</v>
      </c>
      <c r="E194" s="957"/>
      <c r="F194" s="957"/>
      <c r="G194" s="957"/>
      <c r="H194" s="957"/>
      <c r="I194" s="957"/>
      <c r="J194" s="957"/>
      <c r="K194" s="957"/>
      <c r="L194" s="957"/>
      <c r="M194" s="958"/>
      <c r="N194" s="1264" t="s">
        <v>2173</v>
      </c>
      <c r="O194" s="1265"/>
      <c r="P194" s="1265"/>
      <c r="Q194" s="1265"/>
      <c r="R194" s="1265"/>
      <c r="S194" s="1265"/>
      <c r="T194" s="1265"/>
      <c r="U194" s="1265"/>
      <c r="V194" s="1265"/>
      <c r="W194" s="1265"/>
      <c r="X194" s="1265"/>
      <c r="Y194" s="1265"/>
      <c r="Z194" s="1266"/>
    </row>
    <row r="195" spans="2:52" s="130" customFormat="1" ht="407.5" customHeight="1" x14ac:dyDescent="0.25">
      <c r="B195" s="948" t="str">
        <f>'Description of Incidents'!A300</f>
        <v>FAC</v>
      </c>
      <c r="C195" s="954"/>
      <c r="D195" s="959"/>
      <c r="E195" s="960"/>
      <c r="F195" s="960"/>
      <c r="G195" s="960"/>
      <c r="H195" s="960"/>
      <c r="I195" s="960"/>
      <c r="J195" s="960"/>
      <c r="K195" s="960"/>
      <c r="L195" s="960"/>
      <c r="M195" s="961"/>
      <c r="N195" s="1267"/>
      <c r="O195" s="1268"/>
      <c r="P195" s="1268"/>
      <c r="Q195" s="1268"/>
      <c r="R195" s="1268"/>
      <c r="S195" s="1268"/>
      <c r="T195" s="1268"/>
      <c r="U195" s="1268"/>
      <c r="V195" s="1268"/>
      <c r="W195" s="1268"/>
      <c r="X195" s="1268"/>
      <c r="Y195" s="1268"/>
      <c r="Z195" s="1269"/>
      <c r="AC195" s="131"/>
      <c r="AZ195" s="131"/>
    </row>
    <row r="196" spans="2:52" s="130" customFormat="1" ht="407.5" customHeight="1" thickBot="1" x14ac:dyDescent="0.3">
      <c r="B196" s="950" t="str">
        <f>'Description of Incidents'!A301</f>
        <v>260 I Decline</v>
      </c>
      <c r="C196" s="955"/>
      <c r="D196" s="962"/>
      <c r="E196" s="963"/>
      <c r="F196" s="963"/>
      <c r="G196" s="963"/>
      <c r="H196" s="963"/>
      <c r="I196" s="963"/>
      <c r="J196" s="963"/>
      <c r="K196" s="963"/>
      <c r="L196" s="963"/>
      <c r="M196" s="964"/>
      <c r="N196" s="1270"/>
      <c r="O196" s="1271"/>
      <c r="P196" s="1271"/>
      <c r="Q196" s="1271"/>
      <c r="R196" s="1271"/>
      <c r="S196" s="1271"/>
      <c r="T196" s="1271"/>
      <c r="U196" s="1271"/>
      <c r="V196" s="1271"/>
      <c r="W196" s="1271"/>
      <c r="X196" s="1271"/>
      <c r="Y196" s="1271"/>
      <c r="Z196" s="1272"/>
    </row>
    <row r="197" spans="2:52" s="130" customFormat="1" ht="407.5" customHeight="1" x14ac:dyDescent="0.25">
      <c r="B197" s="975" t="str">
        <f>'Description of Incidents'!A302</f>
        <v>DAYAWON, MARK SHINK T.</v>
      </c>
      <c r="C197" s="976"/>
      <c r="D197" s="965" t="s">
        <v>2091</v>
      </c>
      <c r="E197" s="966"/>
      <c r="F197" s="966"/>
      <c r="G197" s="966"/>
      <c r="H197" s="966"/>
      <c r="I197" s="966"/>
      <c r="J197" s="966"/>
      <c r="K197" s="966"/>
      <c r="L197" s="966"/>
      <c r="M197" s="967"/>
      <c r="N197" s="1246" t="s">
        <v>2174</v>
      </c>
      <c r="O197" s="1247"/>
      <c r="P197" s="1247"/>
      <c r="Q197" s="1247"/>
      <c r="R197" s="1247"/>
      <c r="S197" s="1247"/>
      <c r="T197" s="1247"/>
      <c r="U197" s="1247"/>
      <c r="V197" s="1247"/>
      <c r="W197" s="1247"/>
      <c r="X197" s="1247"/>
      <c r="Y197" s="1247"/>
      <c r="Z197" s="1248"/>
    </row>
    <row r="198" spans="2:52" s="130" customFormat="1" ht="407.5" customHeight="1" x14ac:dyDescent="0.25">
      <c r="B198" s="977" t="str">
        <f>'Description of Incidents'!A303</f>
        <v>FAC</v>
      </c>
      <c r="C198" s="978"/>
      <c r="D198" s="968"/>
      <c r="E198" s="969"/>
      <c r="F198" s="969"/>
      <c r="G198" s="969"/>
      <c r="H198" s="969"/>
      <c r="I198" s="969"/>
      <c r="J198" s="969"/>
      <c r="K198" s="969"/>
      <c r="L198" s="969"/>
      <c r="M198" s="970"/>
      <c r="N198" s="1249"/>
      <c r="O198" s="1250"/>
      <c r="P198" s="1250"/>
      <c r="Q198" s="1250"/>
      <c r="R198" s="1250"/>
      <c r="S198" s="1250"/>
      <c r="T198" s="1250"/>
      <c r="U198" s="1250"/>
      <c r="V198" s="1250"/>
      <c r="W198" s="1250"/>
      <c r="X198" s="1250"/>
      <c r="Y198" s="1250"/>
      <c r="Z198" s="1251"/>
      <c r="AC198" s="131"/>
    </row>
    <row r="199" spans="2:52" s="130" customFormat="1" ht="407.5" customHeight="1" thickBot="1" x14ac:dyDescent="0.3">
      <c r="B199" s="935" t="str">
        <f>'Description of Incidents'!A304</f>
        <v>24055 8M3</v>
      </c>
      <c r="C199" s="936"/>
      <c r="D199" s="971"/>
      <c r="E199" s="972"/>
      <c r="F199" s="972"/>
      <c r="G199" s="972"/>
      <c r="H199" s="972"/>
      <c r="I199" s="972"/>
      <c r="J199" s="972"/>
      <c r="K199" s="972"/>
      <c r="L199" s="972"/>
      <c r="M199" s="973"/>
      <c r="N199" s="1252"/>
      <c r="O199" s="1253"/>
      <c r="P199" s="1253"/>
      <c r="Q199" s="1253"/>
      <c r="R199" s="1253"/>
      <c r="S199" s="1253"/>
      <c r="T199" s="1253"/>
      <c r="U199" s="1253"/>
      <c r="V199" s="1253"/>
      <c r="W199" s="1253"/>
      <c r="X199" s="1253"/>
      <c r="Y199" s="1253"/>
      <c r="Z199" s="1254"/>
    </row>
    <row r="200" spans="2:52" s="130" customFormat="1" ht="387.5" customHeight="1" x14ac:dyDescent="0.25">
      <c r="B200" s="952" t="str">
        <f>'Description of Incidents'!A305</f>
        <v xml:space="preserve">BUSELEY, ISRAEL M. </v>
      </c>
      <c r="C200" s="953"/>
      <c r="D200" s="956" t="s">
        <v>2092</v>
      </c>
      <c r="E200" s="957"/>
      <c r="F200" s="957"/>
      <c r="G200" s="957"/>
      <c r="H200" s="957"/>
      <c r="I200" s="957"/>
      <c r="J200" s="957"/>
      <c r="K200" s="957"/>
      <c r="L200" s="957"/>
      <c r="M200" s="958"/>
      <c r="N200" s="956" t="s">
        <v>2181</v>
      </c>
      <c r="O200" s="957"/>
      <c r="P200" s="957"/>
      <c r="Q200" s="957"/>
      <c r="R200" s="957"/>
      <c r="S200" s="957"/>
      <c r="T200" s="957"/>
      <c r="U200" s="957"/>
      <c r="V200" s="957"/>
      <c r="W200" s="957"/>
      <c r="X200" s="957"/>
      <c r="Y200" s="957"/>
      <c r="Z200" s="958"/>
    </row>
    <row r="201" spans="2:52" s="130" customFormat="1" ht="387.5" customHeight="1" x14ac:dyDescent="0.25">
      <c r="B201" s="948" t="str">
        <f>'Description of Incidents'!A306</f>
        <v>FAC</v>
      </c>
      <c r="C201" s="954"/>
      <c r="D201" s="959"/>
      <c r="E201" s="960"/>
      <c r="F201" s="960"/>
      <c r="G201" s="960"/>
      <c r="H201" s="960"/>
      <c r="I201" s="960"/>
      <c r="J201" s="960"/>
      <c r="K201" s="960"/>
      <c r="L201" s="960"/>
      <c r="M201" s="961"/>
      <c r="N201" s="959"/>
      <c r="O201" s="960"/>
      <c r="P201" s="960"/>
      <c r="Q201" s="960"/>
      <c r="R201" s="960"/>
      <c r="S201" s="960"/>
      <c r="T201" s="960"/>
      <c r="U201" s="960"/>
      <c r="V201" s="960"/>
      <c r="W201" s="960"/>
      <c r="X201" s="960"/>
      <c r="Y201" s="960"/>
      <c r="Z201" s="961"/>
      <c r="AC201" s="131"/>
      <c r="AZ201" s="131"/>
    </row>
    <row r="202" spans="2:52" s="130" customFormat="1" ht="387.5" customHeight="1" thickBot="1" x14ac:dyDescent="0.3">
      <c r="B202" s="950" t="str">
        <f>'Description of Incidents'!A307</f>
        <v>Rock Pass 195</v>
      </c>
      <c r="C202" s="955"/>
      <c r="D202" s="962"/>
      <c r="E202" s="963"/>
      <c r="F202" s="963"/>
      <c r="G202" s="963"/>
      <c r="H202" s="963"/>
      <c r="I202" s="963"/>
      <c r="J202" s="963"/>
      <c r="K202" s="963"/>
      <c r="L202" s="963"/>
      <c r="M202" s="964"/>
      <c r="N202" s="962"/>
      <c r="O202" s="963"/>
      <c r="P202" s="963"/>
      <c r="Q202" s="963"/>
      <c r="R202" s="963"/>
      <c r="S202" s="963"/>
      <c r="T202" s="963"/>
      <c r="U202" s="963"/>
      <c r="V202" s="963"/>
      <c r="W202" s="963"/>
      <c r="X202" s="963"/>
      <c r="Y202" s="963"/>
      <c r="Z202" s="964"/>
    </row>
    <row r="203" spans="2:52" s="130" customFormat="1" ht="87.5" customHeight="1" x14ac:dyDescent="0.25">
      <c r="B203" s="922" t="str">
        <f>'Description of Incidents'!A308</f>
        <v xml:space="preserve">PEROLINO, LEONITO A. </v>
      </c>
      <c r="C203" s="923"/>
      <c r="D203" s="924" t="s">
        <v>2093</v>
      </c>
      <c r="E203" s="925"/>
      <c r="F203" s="925"/>
      <c r="G203" s="925"/>
      <c r="H203" s="925"/>
      <c r="I203" s="925"/>
      <c r="J203" s="925"/>
      <c r="K203" s="925"/>
      <c r="L203" s="925"/>
      <c r="M203" s="926"/>
      <c r="N203" s="1273" t="s">
        <v>2175</v>
      </c>
      <c r="O203" s="1274"/>
      <c r="P203" s="1274"/>
      <c r="Q203" s="1274"/>
      <c r="R203" s="1274"/>
      <c r="S203" s="1274"/>
      <c r="T203" s="1274"/>
      <c r="U203" s="1274"/>
      <c r="V203" s="1274"/>
      <c r="W203" s="1274"/>
      <c r="X203" s="1274"/>
      <c r="Y203" s="1274"/>
      <c r="Z203" s="1275"/>
    </row>
    <row r="204" spans="2:52" s="130" customFormat="1" ht="89.5" x14ac:dyDescent="0.25">
      <c r="B204" s="933" t="str">
        <f>'Description of Incidents'!A309</f>
        <v>FAC</v>
      </c>
      <c r="C204" s="934"/>
      <c r="D204" s="927"/>
      <c r="E204" s="928"/>
      <c r="F204" s="928"/>
      <c r="G204" s="928"/>
      <c r="H204" s="928"/>
      <c r="I204" s="928"/>
      <c r="J204" s="928"/>
      <c r="K204" s="928"/>
      <c r="L204" s="928"/>
      <c r="M204" s="929"/>
      <c r="N204" s="1276"/>
      <c r="O204" s="1277"/>
      <c r="P204" s="1277"/>
      <c r="Q204" s="1277"/>
      <c r="R204" s="1277"/>
      <c r="S204" s="1277"/>
      <c r="T204" s="1277"/>
      <c r="U204" s="1277"/>
      <c r="V204" s="1277"/>
      <c r="W204" s="1277"/>
      <c r="X204" s="1277"/>
      <c r="Y204" s="1277"/>
      <c r="Z204" s="1278"/>
      <c r="AC204" s="131"/>
    </row>
    <row r="205" spans="2:52" s="130" customFormat="1" ht="90" thickBot="1" x14ac:dyDescent="0.3">
      <c r="B205" s="935" t="str">
        <f>'Description of Incidents'!A310</f>
        <v>310 I CUDDY</v>
      </c>
      <c r="C205" s="936"/>
      <c r="D205" s="927"/>
      <c r="E205" s="928"/>
      <c r="F205" s="928"/>
      <c r="G205" s="928"/>
      <c r="H205" s="928"/>
      <c r="I205" s="928"/>
      <c r="J205" s="928"/>
      <c r="K205" s="928"/>
      <c r="L205" s="928"/>
      <c r="M205" s="929"/>
      <c r="N205" s="1276"/>
      <c r="O205" s="1277"/>
      <c r="P205" s="1277"/>
      <c r="Q205" s="1277"/>
      <c r="R205" s="1277"/>
      <c r="S205" s="1277"/>
      <c r="T205" s="1277"/>
      <c r="U205" s="1277"/>
      <c r="V205" s="1277"/>
      <c r="W205" s="1277"/>
      <c r="X205" s="1277"/>
      <c r="Y205" s="1277"/>
      <c r="Z205" s="1278"/>
    </row>
    <row r="206" spans="2:52" s="130" customFormat="1" ht="87.5" x14ac:dyDescent="0.25">
      <c r="B206" s="952" t="str">
        <f>'Description of Incidents'!A311</f>
        <v xml:space="preserve">PABLO, SATURNINO D. </v>
      </c>
      <c r="C206" s="953"/>
      <c r="D206" s="927"/>
      <c r="E206" s="928"/>
      <c r="F206" s="928"/>
      <c r="G206" s="928"/>
      <c r="H206" s="928"/>
      <c r="I206" s="928"/>
      <c r="J206" s="928"/>
      <c r="K206" s="928"/>
      <c r="L206" s="928"/>
      <c r="M206" s="929"/>
      <c r="N206" s="1276"/>
      <c r="O206" s="1277"/>
      <c r="P206" s="1277"/>
      <c r="Q206" s="1277"/>
      <c r="R206" s="1277"/>
      <c r="S206" s="1277"/>
      <c r="T206" s="1277"/>
      <c r="U206" s="1277"/>
      <c r="V206" s="1277"/>
      <c r="W206" s="1277"/>
      <c r="X206" s="1277"/>
      <c r="Y206" s="1277"/>
      <c r="Z206" s="1278"/>
    </row>
    <row r="207" spans="2:52" s="130" customFormat="1" ht="89.5" x14ac:dyDescent="0.25">
      <c r="B207" s="948" t="str">
        <f>'Description of Incidents'!A312</f>
        <v>FAC</v>
      </c>
      <c r="C207" s="954"/>
      <c r="D207" s="927"/>
      <c r="E207" s="928"/>
      <c r="F207" s="928"/>
      <c r="G207" s="928"/>
      <c r="H207" s="928"/>
      <c r="I207" s="928"/>
      <c r="J207" s="928"/>
      <c r="K207" s="928"/>
      <c r="L207" s="928"/>
      <c r="M207" s="929"/>
      <c r="N207" s="1276"/>
      <c r="O207" s="1277"/>
      <c r="P207" s="1277"/>
      <c r="Q207" s="1277"/>
      <c r="R207" s="1277"/>
      <c r="S207" s="1277"/>
      <c r="T207" s="1277"/>
      <c r="U207" s="1277"/>
      <c r="V207" s="1277"/>
      <c r="W207" s="1277"/>
      <c r="X207" s="1277"/>
      <c r="Y207" s="1277"/>
      <c r="Z207" s="1278"/>
      <c r="AC207" s="131"/>
      <c r="AZ207" s="131"/>
    </row>
    <row r="208" spans="2:52" s="130" customFormat="1" ht="90" thickBot="1" x14ac:dyDescent="0.3">
      <c r="B208" s="950" t="str">
        <f>'Description of Incidents'!A313</f>
        <v>310 I CUDDY</v>
      </c>
      <c r="C208" s="955"/>
      <c r="D208" s="927"/>
      <c r="E208" s="928"/>
      <c r="F208" s="928"/>
      <c r="G208" s="928"/>
      <c r="H208" s="928"/>
      <c r="I208" s="928"/>
      <c r="J208" s="928"/>
      <c r="K208" s="928"/>
      <c r="L208" s="928"/>
      <c r="M208" s="929"/>
      <c r="N208" s="1276"/>
      <c r="O208" s="1277"/>
      <c r="P208" s="1277"/>
      <c r="Q208" s="1277"/>
      <c r="R208" s="1277"/>
      <c r="S208" s="1277"/>
      <c r="T208" s="1277"/>
      <c r="U208" s="1277"/>
      <c r="V208" s="1277"/>
      <c r="W208" s="1277"/>
      <c r="X208" s="1277"/>
      <c r="Y208" s="1277"/>
      <c r="Z208" s="1278"/>
    </row>
    <row r="209" spans="2:52" s="130" customFormat="1" ht="87.5" x14ac:dyDescent="0.25">
      <c r="B209" s="922" t="str">
        <f>'Description of Incidents'!A314</f>
        <v xml:space="preserve">BANSON, JEFFERSON, B. </v>
      </c>
      <c r="C209" s="923"/>
      <c r="D209" s="927"/>
      <c r="E209" s="928"/>
      <c r="F209" s="928"/>
      <c r="G209" s="928"/>
      <c r="H209" s="928"/>
      <c r="I209" s="928"/>
      <c r="J209" s="928"/>
      <c r="K209" s="928"/>
      <c r="L209" s="928"/>
      <c r="M209" s="929"/>
      <c r="N209" s="1276"/>
      <c r="O209" s="1277"/>
      <c r="P209" s="1277"/>
      <c r="Q209" s="1277"/>
      <c r="R209" s="1277"/>
      <c r="S209" s="1277"/>
      <c r="T209" s="1277"/>
      <c r="U209" s="1277"/>
      <c r="V209" s="1277"/>
      <c r="W209" s="1277"/>
      <c r="X209" s="1277"/>
      <c r="Y209" s="1277"/>
      <c r="Z209" s="1278"/>
    </row>
    <row r="210" spans="2:52" s="130" customFormat="1" ht="89.5" x14ac:dyDescent="0.25">
      <c r="B210" s="933" t="str">
        <f>'Description of Incidents'!A315</f>
        <v>FAC</v>
      </c>
      <c r="C210" s="934"/>
      <c r="D210" s="927"/>
      <c r="E210" s="928"/>
      <c r="F210" s="928"/>
      <c r="G210" s="928"/>
      <c r="H210" s="928"/>
      <c r="I210" s="928"/>
      <c r="J210" s="928"/>
      <c r="K210" s="928"/>
      <c r="L210" s="928"/>
      <c r="M210" s="929"/>
      <c r="N210" s="1276"/>
      <c r="O210" s="1277"/>
      <c r="P210" s="1277"/>
      <c r="Q210" s="1277"/>
      <c r="R210" s="1277"/>
      <c r="S210" s="1277"/>
      <c r="T210" s="1277"/>
      <c r="U210" s="1277"/>
      <c r="V210" s="1277"/>
      <c r="W210" s="1277"/>
      <c r="X210" s="1277"/>
      <c r="Y210" s="1277"/>
      <c r="Z210" s="1278"/>
      <c r="AC210" s="131"/>
    </row>
    <row r="211" spans="2:52" s="130" customFormat="1" ht="90" thickBot="1" x14ac:dyDescent="0.3">
      <c r="B211" s="935" t="str">
        <f>'Description of Incidents'!A316</f>
        <v>310 I CUDDY</v>
      </c>
      <c r="C211" s="936"/>
      <c r="D211" s="930"/>
      <c r="E211" s="931"/>
      <c r="F211" s="931"/>
      <c r="G211" s="931"/>
      <c r="H211" s="931"/>
      <c r="I211" s="931"/>
      <c r="J211" s="931"/>
      <c r="K211" s="931"/>
      <c r="L211" s="931"/>
      <c r="M211" s="932"/>
      <c r="N211" s="1279"/>
      <c r="O211" s="1280"/>
      <c r="P211" s="1280"/>
      <c r="Q211" s="1280"/>
      <c r="R211" s="1280"/>
      <c r="S211" s="1280"/>
      <c r="T211" s="1280"/>
      <c r="U211" s="1280"/>
      <c r="V211" s="1280"/>
      <c r="W211" s="1280"/>
      <c r="X211" s="1280"/>
      <c r="Y211" s="1280"/>
      <c r="Z211" s="1281"/>
    </row>
    <row r="212" spans="2:52" s="130" customFormat="1" ht="407.5" customHeight="1" x14ac:dyDescent="0.25">
      <c r="B212" s="937" t="str">
        <f>'Description of Incidents'!A317</f>
        <v>GAO-AY, DIMAS S.</v>
      </c>
      <c r="C212" s="938"/>
      <c r="D212" s="956" t="s">
        <v>2095</v>
      </c>
      <c r="E212" s="957"/>
      <c r="F212" s="957"/>
      <c r="G212" s="957"/>
      <c r="H212" s="957"/>
      <c r="I212" s="957"/>
      <c r="J212" s="957"/>
      <c r="K212" s="957"/>
      <c r="L212" s="957"/>
      <c r="M212" s="958"/>
      <c r="N212" s="1282" t="s">
        <v>2176</v>
      </c>
      <c r="O212" s="1283"/>
      <c r="P212" s="1283"/>
      <c r="Q212" s="1283"/>
      <c r="R212" s="1283"/>
      <c r="S212" s="1283"/>
      <c r="T212" s="1283"/>
      <c r="U212" s="1283"/>
      <c r="V212" s="1283"/>
      <c r="W212" s="1283"/>
      <c r="X212" s="1283"/>
      <c r="Y212" s="1283"/>
      <c r="Z212" s="1284"/>
    </row>
    <row r="213" spans="2:52" s="130" customFormat="1" ht="407.5" customHeight="1" x14ac:dyDescent="0.25">
      <c r="B213" s="948" t="str">
        <f>'Description of Incidents'!A318</f>
        <v>OI</v>
      </c>
      <c r="C213" s="949"/>
      <c r="D213" s="959"/>
      <c r="E213" s="960"/>
      <c r="F213" s="960"/>
      <c r="G213" s="960"/>
      <c r="H213" s="960"/>
      <c r="I213" s="960"/>
      <c r="J213" s="960"/>
      <c r="K213" s="960"/>
      <c r="L213" s="960"/>
      <c r="M213" s="961"/>
      <c r="N213" s="1285"/>
      <c r="O213" s="1286"/>
      <c r="P213" s="1286"/>
      <c r="Q213" s="1286"/>
      <c r="R213" s="1286"/>
      <c r="S213" s="1286"/>
      <c r="T213" s="1286"/>
      <c r="U213" s="1286"/>
      <c r="V213" s="1286"/>
      <c r="W213" s="1286"/>
      <c r="X213" s="1286"/>
      <c r="Y213" s="1286"/>
      <c r="Z213" s="1287"/>
      <c r="AC213" s="131"/>
      <c r="AZ213" s="131"/>
    </row>
    <row r="214" spans="2:52" s="130" customFormat="1" ht="407.5" customHeight="1" thickBot="1" x14ac:dyDescent="0.3">
      <c r="B214" s="950" t="str">
        <f>'Description of Incidents'!A319</f>
        <v>249 Mainline</v>
      </c>
      <c r="C214" s="951"/>
      <c r="D214" s="962"/>
      <c r="E214" s="963"/>
      <c r="F214" s="963"/>
      <c r="G214" s="963"/>
      <c r="H214" s="963"/>
      <c r="I214" s="963"/>
      <c r="J214" s="963"/>
      <c r="K214" s="963"/>
      <c r="L214" s="963"/>
      <c r="M214" s="964"/>
      <c r="N214" s="1288"/>
      <c r="O214" s="1289"/>
      <c r="P214" s="1289"/>
      <c r="Q214" s="1289"/>
      <c r="R214" s="1289"/>
      <c r="S214" s="1289"/>
      <c r="T214" s="1289"/>
      <c r="U214" s="1289"/>
      <c r="V214" s="1289"/>
      <c r="W214" s="1289"/>
      <c r="X214" s="1289"/>
      <c r="Y214" s="1289"/>
      <c r="Z214" s="1290"/>
    </row>
    <row r="215" spans="2:52" s="130" customFormat="1" ht="407.5" customHeight="1" x14ac:dyDescent="0.25">
      <c r="B215" s="974" t="str">
        <f>'Description of Incidents'!A320</f>
        <v>KALALAW TRUCK</v>
      </c>
      <c r="C215" s="923"/>
      <c r="D215" s="965" t="s">
        <v>2170</v>
      </c>
      <c r="E215" s="966"/>
      <c r="F215" s="966"/>
      <c r="G215" s="966"/>
      <c r="H215" s="966"/>
      <c r="I215" s="966"/>
      <c r="J215" s="966"/>
      <c r="K215" s="966"/>
      <c r="L215" s="966"/>
      <c r="M215" s="967"/>
      <c r="N215" s="1291" t="s">
        <v>2177</v>
      </c>
      <c r="O215" s="1292"/>
      <c r="P215" s="1292"/>
      <c r="Q215" s="1292"/>
      <c r="R215" s="1292"/>
      <c r="S215" s="1292"/>
      <c r="T215" s="1292"/>
      <c r="U215" s="1292"/>
      <c r="V215" s="1292"/>
      <c r="W215" s="1292"/>
      <c r="X215" s="1292"/>
      <c r="Y215" s="1292"/>
      <c r="Z215" s="1293"/>
    </row>
    <row r="216" spans="2:52" s="130" customFormat="1" ht="407.5" customHeight="1" x14ac:dyDescent="0.25">
      <c r="B216" s="933" t="str">
        <f>'Description of Incidents'!A321</f>
        <v>PD</v>
      </c>
      <c r="C216" s="934"/>
      <c r="D216" s="968"/>
      <c r="E216" s="969"/>
      <c r="F216" s="969"/>
      <c r="G216" s="969"/>
      <c r="H216" s="969"/>
      <c r="I216" s="969"/>
      <c r="J216" s="969"/>
      <c r="K216" s="969"/>
      <c r="L216" s="969"/>
      <c r="M216" s="970"/>
      <c r="N216" s="1294"/>
      <c r="O216" s="1295"/>
      <c r="P216" s="1295"/>
      <c r="Q216" s="1295"/>
      <c r="R216" s="1295"/>
      <c r="S216" s="1295"/>
      <c r="T216" s="1295"/>
      <c r="U216" s="1295"/>
      <c r="V216" s="1295"/>
      <c r="W216" s="1295"/>
      <c r="X216" s="1295"/>
      <c r="Y216" s="1295"/>
      <c r="Z216" s="1296"/>
      <c r="AC216" s="131"/>
    </row>
    <row r="217" spans="2:52" s="130" customFormat="1" ht="407.5" customHeight="1" thickBot="1" x14ac:dyDescent="0.3">
      <c r="B217" s="935" t="str">
        <f>'Description of Incidents'!A322</f>
        <v>Adit 1 XC 3</v>
      </c>
      <c r="C217" s="936"/>
      <c r="D217" s="971"/>
      <c r="E217" s="972"/>
      <c r="F217" s="972"/>
      <c r="G217" s="972"/>
      <c r="H217" s="972"/>
      <c r="I217" s="972"/>
      <c r="J217" s="972"/>
      <c r="K217" s="972"/>
      <c r="L217" s="972"/>
      <c r="M217" s="973"/>
      <c r="N217" s="1297"/>
      <c r="O217" s="1298"/>
      <c r="P217" s="1298"/>
      <c r="Q217" s="1298"/>
      <c r="R217" s="1298"/>
      <c r="S217" s="1298"/>
      <c r="T217" s="1298"/>
      <c r="U217" s="1298"/>
      <c r="V217" s="1298"/>
      <c r="W217" s="1298"/>
      <c r="X217" s="1298"/>
      <c r="Y217" s="1298"/>
      <c r="Z217" s="1299"/>
    </row>
    <row r="218" spans="2:52" s="130" customFormat="1" ht="407.5" customHeight="1" x14ac:dyDescent="0.25">
      <c r="B218" s="952" t="str">
        <f>'Description of Incidents'!A323</f>
        <v xml:space="preserve">MENDOZA, REGIE B. </v>
      </c>
      <c r="C218" s="953"/>
      <c r="D218" s="956" t="s">
        <v>2097</v>
      </c>
      <c r="E218" s="957"/>
      <c r="F218" s="957"/>
      <c r="G218" s="957"/>
      <c r="H218" s="957"/>
      <c r="I218" s="957"/>
      <c r="J218" s="957"/>
      <c r="K218" s="957"/>
      <c r="L218" s="957"/>
      <c r="M218" s="958"/>
      <c r="N218" s="939" t="s">
        <v>2180</v>
      </c>
      <c r="O218" s="940"/>
      <c r="P218" s="940"/>
      <c r="Q218" s="940"/>
      <c r="R218" s="940"/>
      <c r="S218" s="940"/>
      <c r="T218" s="940"/>
      <c r="U218" s="940"/>
      <c r="V218" s="940"/>
      <c r="W218" s="940"/>
      <c r="X218" s="940"/>
      <c r="Y218" s="940"/>
      <c r="Z218" s="941"/>
    </row>
    <row r="219" spans="2:52" s="130" customFormat="1" ht="407.5" customHeight="1" x14ac:dyDescent="0.25">
      <c r="B219" s="948" t="str">
        <f>'Description of Incidents'!A324</f>
        <v>FAC</v>
      </c>
      <c r="C219" s="954"/>
      <c r="D219" s="959"/>
      <c r="E219" s="960"/>
      <c r="F219" s="960"/>
      <c r="G219" s="960"/>
      <c r="H219" s="960"/>
      <c r="I219" s="960"/>
      <c r="J219" s="960"/>
      <c r="K219" s="960"/>
      <c r="L219" s="960"/>
      <c r="M219" s="961"/>
      <c r="N219" s="942"/>
      <c r="O219" s="943"/>
      <c r="P219" s="943"/>
      <c r="Q219" s="943"/>
      <c r="R219" s="943"/>
      <c r="S219" s="943"/>
      <c r="T219" s="943"/>
      <c r="U219" s="943"/>
      <c r="V219" s="943"/>
      <c r="W219" s="943"/>
      <c r="X219" s="943"/>
      <c r="Y219" s="943"/>
      <c r="Z219" s="944"/>
      <c r="AC219" s="131"/>
    </row>
    <row r="220" spans="2:52" s="130" customFormat="1" ht="407.5" customHeight="1" thickBot="1" x14ac:dyDescent="0.3">
      <c r="B220" s="950" t="str">
        <f>'Description of Incidents'!A325</f>
        <v>123 F30S</v>
      </c>
      <c r="C220" s="955"/>
      <c r="D220" s="962"/>
      <c r="E220" s="963"/>
      <c r="F220" s="963"/>
      <c r="G220" s="963"/>
      <c r="H220" s="963"/>
      <c r="I220" s="963"/>
      <c r="J220" s="963"/>
      <c r="K220" s="963"/>
      <c r="L220" s="963"/>
      <c r="M220" s="964"/>
      <c r="N220" s="945"/>
      <c r="O220" s="946"/>
      <c r="P220" s="946"/>
      <c r="Q220" s="946"/>
      <c r="R220" s="946"/>
      <c r="S220" s="946"/>
      <c r="T220" s="946"/>
      <c r="U220" s="946"/>
      <c r="V220" s="946"/>
      <c r="W220" s="946"/>
      <c r="X220" s="946"/>
      <c r="Y220" s="946"/>
      <c r="Z220" s="947"/>
    </row>
    <row r="221" spans="2:52" s="130" customFormat="1" ht="362.5" customHeight="1" x14ac:dyDescent="0.25">
      <c r="B221" s="975" t="str">
        <f>'Description of Incidents'!A326</f>
        <v xml:space="preserve">AMBUGAWON, MARVIN A. </v>
      </c>
      <c r="C221" s="976"/>
      <c r="D221" s="1187" t="s">
        <v>2098</v>
      </c>
      <c r="E221" s="1188"/>
      <c r="F221" s="1188"/>
      <c r="G221" s="1188"/>
      <c r="H221" s="1188"/>
      <c r="I221" s="1188"/>
      <c r="J221" s="1188"/>
      <c r="K221" s="1188"/>
      <c r="L221" s="1188"/>
      <c r="M221" s="1189"/>
      <c r="N221" s="1187" t="s">
        <v>2178</v>
      </c>
      <c r="O221" s="1188"/>
      <c r="P221" s="1188"/>
      <c r="Q221" s="1188"/>
      <c r="R221" s="1188"/>
      <c r="S221" s="1188"/>
      <c r="T221" s="1188"/>
      <c r="U221" s="1188"/>
      <c r="V221" s="1188"/>
      <c r="W221" s="1188"/>
      <c r="X221" s="1188"/>
      <c r="Y221" s="1188"/>
      <c r="Z221" s="1189"/>
    </row>
    <row r="222" spans="2:52" s="130" customFormat="1" ht="362.5" customHeight="1" x14ac:dyDescent="0.25">
      <c r="B222" s="977" t="str">
        <f>'Description of Incidents'!A327</f>
        <v>FAC</v>
      </c>
      <c r="C222" s="978"/>
      <c r="D222" s="1190"/>
      <c r="E222" s="1191"/>
      <c r="F222" s="1191"/>
      <c r="G222" s="1191"/>
      <c r="H222" s="1191"/>
      <c r="I222" s="1191"/>
      <c r="J222" s="1191"/>
      <c r="K222" s="1191"/>
      <c r="L222" s="1191"/>
      <c r="M222" s="1192"/>
      <c r="N222" s="1190"/>
      <c r="O222" s="1191"/>
      <c r="P222" s="1191"/>
      <c r="Q222" s="1191"/>
      <c r="R222" s="1191"/>
      <c r="S222" s="1191"/>
      <c r="T222" s="1191"/>
      <c r="U222" s="1191"/>
      <c r="V222" s="1191"/>
      <c r="W222" s="1191"/>
      <c r="X222" s="1191"/>
      <c r="Y222" s="1191"/>
      <c r="Z222" s="1192"/>
      <c r="AC222" s="131"/>
      <c r="AZ222" s="131"/>
    </row>
    <row r="223" spans="2:52" s="130" customFormat="1" ht="362.5" customHeight="1" thickBot="1" x14ac:dyDescent="0.3">
      <c r="B223" s="979" t="str">
        <f>'Description of Incidents'!A328</f>
        <v>670L Dewatering</v>
      </c>
      <c r="C223" s="980"/>
      <c r="D223" s="1193"/>
      <c r="E223" s="1194"/>
      <c r="F223" s="1194"/>
      <c r="G223" s="1194"/>
      <c r="H223" s="1194"/>
      <c r="I223" s="1194"/>
      <c r="J223" s="1194"/>
      <c r="K223" s="1194"/>
      <c r="L223" s="1194"/>
      <c r="M223" s="1195"/>
      <c r="N223" s="1193"/>
      <c r="O223" s="1194"/>
      <c r="P223" s="1194"/>
      <c r="Q223" s="1194"/>
      <c r="R223" s="1194"/>
      <c r="S223" s="1194"/>
      <c r="T223" s="1194"/>
      <c r="U223" s="1194"/>
      <c r="V223" s="1194"/>
      <c r="W223" s="1194"/>
      <c r="X223" s="1194"/>
      <c r="Y223" s="1194"/>
      <c r="Z223" s="1195"/>
    </row>
    <row r="224" spans="2:52" s="130" customFormat="1" ht="407.5" customHeight="1" x14ac:dyDescent="0.25">
      <c r="B224" s="1115" t="str">
        <f>'Description of Incidents'!A329</f>
        <v>DEVIGYRO HQ MID CENTRALIZER</v>
      </c>
      <c r="C224" s="1116"/>
      <c r="D224" s="956" t="s">
        <v>2152</v>
      </c>
      <c r="E224" s="957"/>
      <c r="F224" s="957"/>
      <c r="G224" s="957"/>
      <c r="H224" s="957"/>
      <c r="I224" s="957"/>
      <c r="J224" s="957"/>
      <c r="K224" s="957"/>
      <c r="L224" s="957"/>
      <c r="M224" s="958"/>
      <c r="N224" s="939" t="s">
        <v>2179</v>
      </c>
      <c r="O224" s="940"/>
      <c r="P224" s="940"/>
      <c r="Q224" s="940"/>
      <c r="R224" s="940"/>
      <c r="S224" s="940"/>
      <c r="T224" s="940"/>
      <c r="U224" s="940"/>
      <c r="V224" s="940"/>
      <c r="W224" s="940"/>
      <c r="X224" s="940"/>
      <c r="Y224" s="940"/>
      <c r="Z224" s="941"/>
    </row>
    <row r="225" spans="2:52" s="130" customFormat="1" ht="407.5" customHeight="1" x14ac:dyDescent="0.25">
      <c r="B225" s="1117" t="str">
        <f>'Description of Incidents'!A330</f>
        <v>PD</v>
      </c>
      <c r="C225" s="1118"/>
      <c r="D225" s="959"/>
      <c r="E225" s="960"/>
      <c r="F225" s="960"/>
      <c r="G225" s="960"/>
      <c r="H225" s="960"/>
      <c r="I225" s="960"/>
      <c r="J225" s="960"/>
      <c r="K225" s="960"/>
      <c r="L225" s="960"/>
      <c r="M225" s="961"/>
      <c r="N225" s="942"/>
      <c r="O225" s="943"/>
      <c r="P225" s="943"/>
      <c r="Q225" s="943"/>
      <c r="R225" s="943"/>
      <c r="S225" s="943"/>
      <c r="T225" s="943"/>
      <c r="U225" s="943"/>
      <c r="V225" s="943"/>
      <c r="W225" s="943"/>
      <c r="X225" s="943"/>
      <c r="Y225" s="943"/>
      <c r="Z225" s="944"/>
      <c r="AC225" s="131"/>
    </row>
    <row r="226" spans="2:52" s="130" customFormat="1" ht="407.5" customHeight="1" thickBot="1" x14ac:dyDescent="0.3">
      <c r="B226" s="1119">
        <f>'Description of Incidents'!A331</f>
        <v>0</v>
      </c>
      <c r="C226" s="1120"/>
      <c r="D226" s="962"/>
      <c r="E226" s="963"/>
      <c r="F226" s="963"/>
      <c r="G226" s="963"/>
      <c r="H226" s="963"/>
      <c r="I226" s="963"/>
      <c r="J226" s="963"/>
      <c r="K226" s="963"/>
      <c r="L226" s="963"/>
      <c r="M226" s="964"/>
      <c r="N226" s="945"/>
      <c r="O226" s="946"/>
      <c r="P226" s="946"/>
      <c r="Q226" s="946"/>
      <c r="R226" s="946"/>
      <c r="S226" s="946"/>
      <c r="T226" s="946"/>
      <c r="U226" s="946"/>
      <c r="V226" s="946"/>
      <c r="W226" s="946"/>
      <c r="X226" s="946"/>
      <c r="Y226" s="946"/>
      <c r="Z226" s="947"/>
    </row>
    <row r="227" spans="2:52" s="130" customFormat="1" ht="407.5" customHeight="1" x14ac:dyDescent="0.25">
      <c r="B227" s="1300" t="str">
        <f>'Description of Incidents'!A332</f>
        <v>IMD CONTRACTORS SWITHCH</v>
      </c>
      <c r="C227" s="1301"/>
      <c r="D227" s="1302" t="s">
        <v>2151</v>
      </c>
      <c r="E227" s="1303"/>
      <c r="F227" s="1303"/>
      <c r="G227" s="1303"/>
      <c r="H227" s="1303"/>
      <c r="I227" s="1303"/>
      <c r="J227" s="1303"/>
      <c r="K227" s="1303"/>
      <c r="L227" s="1303"/>
      <c r="M227" s="1304"/>
      <c r="N227" s="1311" t="s">
        <v>2183</v>
      </c>
      <c r="O227" s="1312"/>
      <c r="P227" s="1312"/>
      <c r="Q227" s="1312"/>
      <c r="R227" s="1312"/>
      <c r="S227" s="1312"/>
      <c r="T227" s="1312"/>
      <c r="U227" s="1312"/>
      <c r="V227" s="1312"/>
      <c r="W227" s="1312"/>
      <c r="X227" s="1312"/>
      <c r="Y227" s="1312"/>
      <c r="Z227" s="1313"/>
    </row>
    <row r="228" spans="2:52" s="130" customFormat="1" ht="407.5" customHeight="1" x14ac:dyDescent="0.25">
      <c r="B228" s="977" t="str">
        <f>'Description of Incidents'!A333</f>
        <v>PD</v>
      </c>
      <c r="C228" s="1317"/>
      <c r="D228" s="1305"/>
      <c r="E228" s="1306"/>
      <c r="F228" s="1306"/>
      <c r="G228" s="1306"/>
      <c r="H228" s="1306"/>
      <c r="I228" s="1306"/>
      <c r="J228" s="1306"/>
      <c r="K228" s="1306"/>
      <c r="L228" s="1306"/>
      <c r="M228" s="1307"/>
      <c r="N228" s="1314"/>
      <c r="O228" s="1315"/>
      <c r="P228" s="1315"/>
      <c r="Q228" s="1315"/>
      <c r="R228" s="1315"/>
      <c r="S228" s="1315"/>
      <c r="T228" s="1315"/>
      <c r="U228" s="1315"/>
      <c r="V228" s="1315"/>
      <c r="W228" s="1315"/>
      <c r="X228" s="1315"/>
      <c r="Y228" s="1315"/>
      <c r="Z228" s="1316"/>
      <c r="AC228" s="131"/>
      <c r="AZ228" s="131"/>
    </row>
    <row r="229" spans="2:52" s="130" customFormat="1" ht="407.5" customHeight="1" thickBot="1" x14ac:dyDescent="0.3">
      <c r="B229" s="979" t="str">
        <f>'Description of Incidents'!A334</f>
        <v>IMD Substation</v>
      </c>
      <c r="C229" s="1318"/>
      <c r="D229" s="1308"/>
      <c r="E229" s="1309"/>
      <c r="F229" s="1309"/>
      <c r="G229" s="1309"/>
      <c r="H229" s="1309"/>
      <c r="I229" s="1309"/>
      <c r="J229" s="1309"/>
      <c r="K229" s="1309"/>
      <c r="L229" s="1309"/>
      <c r="M229" s="1310"/>
      <c r="N229" s="1314"/>
      <c r="O229" s="1315"/>
      <c r="P229" s="1315"/>
      <c r="Q229" s="1315"/>
      <c r="R229" s="1315"/>
      <c r="S229" s="1315"/>
      <c r="T229" s="1315"/>
      <c r="U229" s="1315"/>
      <c r="V229" s="1315"/>
      <c r="W229" s="1315"/>
      <c r="X229" s="1315"/>
      <c r="Y229" s="1315"/>
      <c r="Z229" s="1316"/>
    </row>
    <row r="230" spans="2:52" s="130" customFormat="1" ht="407.5" customHeight="1" x14ac:dyDescent="0.25">
      <c r="B230" s="1115" t="str">
        <f>'Description of Incidents'!A335</f>
        <v>DION CLINTON S. DACANAY</v>
      </c>
      <c r="C230" s="1116"/>
      <c r="D230" s="956" t="s">
        <v>2153</v>
      </c>
      <c r="E230" s="957"/>
      <c r="F230" s="957"/>
      <c r="G230" s="957"/>
      <c r="H230" s="957"/>
      <c r="I230" s="957"/>
      <c r="J230" s="957"/>
      <c r="K230" s="957"/>
      <c r="L230" s="957"/>
      <c r="M230" s="958"/>
      <c r="N230" s="1319" t="s">
        <v>2184</v>
      </c>
      <c r="O230" s="1320"/>
      <c r="P230" s="1320"/>
      <c r="Q230" s="1320"/>
      <c r="R230" s="1320"/>
      <c r="S230" s="1320"/>
      <c r="T230" s="1320"/>
      <c r="U230" s="1320"/>
      <c r="V230" s="1320"/>
      <c r="W230" s="1320"/>
      <c r="X230" s="1320"/>
      <c r="Y230" s="1320"/>
      <c r="Z230" s="1321"/>
    </row>
    <row r="231" spans="2:52" s="130" customFormat="1" ht="407.5" customHeight="1" x14ac:dyDescent="0.25">
      <c r="B231" s="1117" t="str">
        <f>'Description of Incidents'!A336</f>
        <v>FAC</v>
      </c>
      <c r="C231" s="1118"/>
      <c r="D231" s="959"/>
      <c r="E231" s="960"/>
      <c r="F231" s="960"/>
      <c r="G231" s="960"/>
      <c r="H231" s="960"/>
      <c r="I231" s="960"/>
      <c r="J231" s="960"/>
      <c r="K231" s="960"/>
      <c r="L231" s="960"/>
      <c r="M231" s="961"/>
      <c r="N231" s="1322"/>
      <c r="O231" s="1323"/>
      <c r="P231" s="1323"/>
      <c r="Q231" s="1323"/>
      <c r="R231" s="1323"/>
      <c r="S231" s="1323"/>
      <c r="T231" s="1323"/>
      <c r="U231" s="1323"/>
      <c r="V231" s="1323"/>
      <c r="W231" s="1323"/>
      <c r="X231" s="1323"/>
      <c r="Y231" s="1323"/>
      <c r="Z231" s="1324"/>
      <c r="AC231" s="131"/>
    </row>
    <row r="232" spans="2:52" s="130" customFormat="1" ht="407.5" customHeight="1" thickBot="1" x14ac:dyDescent="0.3">
      <c r="B232" s="1328" t="str">
        <f>'Description of Incidents'!A337</f>
        <v>Cone Crusher Conveyor Feed #1 - Transfer Chute</v>
      </c>
      <c r="C232" s="1329"/>
      <c r="D232" s="962"/>
      <c r="E232" s="963"/>
      <c r="F232" s="963"/>
      <c r="G232" s="963"/>
      <c r="H232" s="963"/>
      <c r="I232" s="963"/>
      <c r="J232" s="963"/>
      <c r="K232" s="963"/>
      <c r="L232" s="963"/>
      <c r="M232" s="964"/>
      <c r="N232" s="1325"/>
      <c r="O232" s="1326"/>
      <c r="P232" s="1326"/>
      <c r="Q232" s="1326"/>
      <c r="R232" s="1326"/>
      <c r="S232" s="1326"/>
      <c r="T232" s="1326"/>
      <c r="U232" s="1326"/>
      <c r="V232" s="1326"/>
      <c r="W232" s="1326"/>
      <c r="X232" s="1326"/>
      <c r="Y232" s="1326"/>
      <c r="Z232" s="1327"/>
    </row>
    <row r="233" spans="2:52" s="130" customFormat="1" ht="407.5" customHeight="1" x14ac:dyDescent="0.25">
      <c r="B233" s="975" t="str">
        <f>'Description of Incidents'!A338</f>
        <v>JERRY CROSS N. GONZALES</v>
      </c>
      <c r="C233" s="976"/>
      <c r="D233" s="1302" t="s">
        <v>2154</v>
      </c>
      <c r="E233" s="1303"/>
      <c r="F233" s="1303"/>
      <c r="G233" s="1303"/>
      <c r="H233" s="1303"/>
      <c r="I233" s="1303"/>
      <c r="J233" s="1303"/>
      <c r="K233" s="1303"/>
      <c r="L233" s="1303"/>
      <c r="M233" s="1304"/>
      <c r="N233" s="1330" t="s">
        <v>2185</v>
      </c>
      <c r="O233" s="1331"/>
      <c r="P233" s="1331"/>
      <c r="Q233" s="1331"/>
      <c r="R233" s="1331"/>
      <c r="S233" s="1331"/>
      <c r="T233" s="1331"/>
      <c r="U233" s="1331"/>
      <c r="V233" s="1331"/>
      <c r="W233" s="1331"/>
      <c r="X233" s="1331"/>
      <c r="Y233" s="1331"/>
      <c r="Z233" s="1332"/>
    </row>
    <row r="234" spans="2:52" s="130" customFormat="1" ht="407.5" customHeight="1" x14ac:dyDescent="0.25">
      <c r="B234" s="977" t="str">
        <f>'Description of Incidents'!A339</f>
        <v>FAC</v>
      </c>
      <c r="C234" s="978"/>
      <c r="D234" s="1305"/>
      <c r="E234" s="1306"/>
      <c r="F234" s="1306"/>
      <c r="G234" s="1306"/>
      <c r="H234" s="1306"/>
      <c r="I234" s="1306"/>
      <c r="J234" s="1306"/>
      <c r="K234" s="1306"/>
      <c r="L234" s="1306"/>
      <c r="M234" s="1307"/>
      <c r="N234" s="1333"/>
      <c r="O234" s="1334"/>
      <c r="P234" s="1334"/>
      <c r="Q234" s="1334"/>
      <c r="R234" s="1334"/>
      <c r="S234" s="1334"/>
      <c r="T234" s="1334"/>
      <c r="U234" s="1334"/>
      <c r="V234" s="1334"/>
      <c r="W234" s="1334"/>
      <c r="X234" s="1334"/>
      <c r="Y234" s="1334"/>
      <c r="Z234" s="1335"/>
      <c r="AC234" s="131"/>
      <c r="AZ234" s="131"/>
    </row>
    <row r="235" spans="2:52" s="130" customFormat="1" ht="407.5" customHeight="1" thickBot="1" x14ac:dyDescent="0.3">
      <c r="B235" s="979" t="str">
        <f>'Description of Incidents'!A340</f>
        <v>CIP-ILR</v>
      </c>
      <c r="C235" s="980"/>
      <c r="D235" s="1308"/>
      <c r="E235" s="1309"/>
      <c r="F235" s="1309"/>
      <c r="G235" s="1309"/>
      <c r="H235" s="1309"/>
      <c r="I235" s="1309"/>
      <c r="J235" s="1309"/>
      <c r="K235" s="1309"/>
      <c r="L235" s="1309"/>
      <c r="M235" s="1310"/>
      <c r="N235" s="1333"/>
      <c r="O235" s="1334"/>
      <c r="P235" s="1334"/>
      <c r="Q235" s="1334"/>
      <c r="R235" s="1334"/>
      <c r="S235" s="1334"/>
      <c r="T235" s="1334"/>
      <c r="U235" s="1334"/>
      <c r="V235" s="1334"/>
      <c r="W235" s="1334"/>
      <c r="X235" s="1334"/>
      <c r="Y235" s="1334"/>
      <c r="Z235" s="1335"/>
    </row>
    <row r="236" spans="2:52" s="130" customFormat="1" ht="407.5" customHeight="1" x14ac:dyDescent="0.25">
      <c r="B236" s="1115" t="str">
        <f>'Description of Incidents'!A341</f>
        <v>PAUL B. DAMOSLOG</v>
      </c>
      <c r="C236" s="1116"/>
      <c r="D236" s="939" t="s">
        <v>2155</v>
      </c>
      <c r="E236" s="940"/>
      <c r="F236" s="940"/>
      <c r="G236" s="940"/>
      <c r="H236" s="940"/>
      <c r="I236" s="940"/>
      <c r="J236" s="940"/>
      <c r="K236" s="940"/>
      <c r="L236" s="940"/>
      <c r="M236" s="941"/>
      <c r="N236" s="1336" t="s">
        <v>2186</v>
      </c>
      <c r="O236" s="1337"/>
      <c r="P236" s="1337"/>
      <c r="Q236" s="1337"/>
      <c r="R236" s="1337"/>
      <c r="S236" s="1337"/>
      <c r="T236" s="1337"/>
      <c r="U236" s="1337"/>
      <c r="V236" s="1337"/>
      <c r="W236" s="1337"/>
      <c r="X236" s="1337"/>
      <c r="Y236" s="1337"/>
      <c r="Z236" s="1338"/>
    </row>
    <row r="237" spans="2:52" s="130" customFormat="1" ht="407.5" customHeight="1" x14ac:dyDescent="0.25">
      <c r="B237" s="1117" t="str">
        <f>'Description of Incidents'!A342</f>
        <v>FAC</v>
      </c>
      <c r="C237" s="1118"/>
      <c r="D237" s="942"/>
      <c r="E237" s="943"/>
      <c r="F237" s="943"/>
      <c r="G237" s="943"/>
      <c r="H237" s="943"/>
      <c r="I237" s="943"/>
      <c r="J237" s="943"/>
      <c r="K237" s="943"/>
      <c r="L237" s="943"/>
      <c r="M237" s="944"/>
      <c r="N237" s="1339"/>
      <c r="O237" s="1340"/>
      <c r="P237" s="1340"/>
      <c r="Q237" s="1340"/>
      <c r="R237" s="1340"/>
      <c r="S237" s="1340"/>
      <c r="T237" s="1340"/>
      <c r="U237" s="1340"/>
      <c r="V237" s="1340"/>
      <c r="W237" s="1340"/>
      <c r="X237" s="1340"/>
      <c r="Y237" s="1340"/>
      <c r="Z237" s="1341"/>
      <c r="AC237" s="131"/>
    </row>
    <row r="238" spans="2:52" s="130" customFormat="1" ht="407.5" customHeight="1" thickBot="1" x14ac:dyDescent="0.3">
      <c r="B238" s="1119" t="str">
        <f>'Description of Incidents'!A343</f>
        <v>Patient Room</v>
      </c>
      <c r="C238" s="1120"/>
      <c r="D238" s="945"/>
      <c r="E238" s="946"/>
      <c r="F238" s="946"/>
      <c r="G238" s="946"/>
      <c r="H238" s="946"/>
      <c r="I238" s="946"/>
      <c r="J238" s="946"/>
      <c r="K238" s="946"/>
      <c r="L238" s="946"/>
      <c r="M238" s="947"/>
      <c r="N238" s="1342"/>
      <c r="O238" s="1343"/>
      <c r="P238" s="1343"/>
      <c r="Q238" s="1343"/>
      <c r="R238" s="1343"/>
      <c r="S238" s="1343"/>
      <c r="T238" s="1343"/>
      <c r="U238" s="1343"/>
      <c r="V238" s="1343"/>
      <c r="W238" s="1343"/>
      <c r="X238" s="1343"/>
      <c r="Y238" s="1343"/>
      <c r="Z238" s="1344"/>
    </row>
    <row r="239" spans="2:52" s="130" customFormat="1" ht="87.5" hidden="1" x14ac:dyDescent="0.25">
      <c r="B239" s="1115" t="str">
        <f>'Description of Incidents'!A344</f>
        <v>Brief Description of Incident (s):</v>
      </c>
      <c r="C239" s="1116"/>
      <c r="D239" s="939"/>
      <c r="E239" s="940"/>
      <c r="F239" s="940"/>
      <c r="G239" s="940"/>
      <c r="H239" s="940"/>
      <c r="I239" s="940"/>
      <c r="J239" s="940"/>
      <c r="K239" s="940"/>
      <c r="L239" s="940"/>
      <c r="M239" s="941"/>
      <c r="N239" s="939"/>
      <c r="O239" s="940"/>
      <c r="P239" s="940"/>
      <c r="Q239" s="940"/>
      <c r="R239" s="940"/>
      <c r="S239" s="940"/>
      <c r="T239" s="940"/>
      <c r="U239" s="940"/>
      <c r="V239" s="940"/>
      <c r="W239" s="940"/>
      <c r="X239" s="940"/>
      <c r="Y239" s="940"/>
      <c r="Z239" s="941"/>
    </row>
    <row r="240" spans="2:52" s="130" customFormat="1" ht="89.5" hidden="1" x14ac:dyDescent="0.25">
      <c r="B240" s="1117" t="str">
        <f>'Description of Incidents'!A345</f>
        <v>ROWELL C. DELA CRUZ</v>
      </c>
      <c r="C240" s="1118"/>
      <c r="D240" s="942"/>
      <c r="E240" s="943"/>
      <c r="F240" s="943"/>
      <c r="G240" s="943"/>
      <c r="H240" s="943"/>
      <c r="I240" s="943"/>
      <c r="J240" s="943"/>
      <c r="K240" s="943"/>
      <c r="L240" s="943"/>
      <c r="M240" s="944"/>
      <c r="N240" s="942"/>
      <c r="O240" s="943"/>
      <c r="P240" s="943"/>
      <c r="Q240" s="943"/>
      <c r="R240" s="943"/>
      <c r="S240" s="943"/>
      <c r="T240" s="943"/>
      <c r="U240" s="943"/>
      <c r="V240" s="943"/>
      <c r="W240" s="943"/>
      <c r="X240" s="943"/>
      <c r="Y240" s="943"/>
      <c r="Z240" s="944"/>
      <c r="AC240" s="131"/>
    </row>
    <row r="241" spans="2:29" s="130" customFormat="1" ht="90" hidden="1" thickBot="1" x14ac:dyDescent="0.3">
      <c r="B241" s="1119" t="str">
        <f>'Description of Incidents'!A346</f>
        <v>Eye Contact with Foreign Object</v>
      </c>
      <c r="C241" s="1120"/>
      <c r="D241" s="945"/>
      <c r="E241" s="946"/>
      <c r="F241" s="946"/>
      <c r="G241" s="946"/>
      <c r="H241" s="946"/>
      <c r="I241" s="946"/>
      <c r="J241" s="946"/>
      <c r="K241" s="946"/>
      <c r="L241" s="946"/>
      <c r="M241" s="947"/>
      <c r="N241" s="945"/>
      <c r="O241" s="946"/>
      <c r="P241" s="946"/>
      <c r="Q241" s="946"/>
      <c r="R241" s="946"/>
      <c r="S241" s="946"/>
      <c r="T241" s="946"/>
      <c r="U241" s="946"/>
      <c r="V241" s="946"/>
      <c r="W241" s="946"/>
      <c r="X241" s="946"/>
      <c r="Y241" s="946"/>
      <c r="Z241" s="947"/>
    </row>
    <row r="242" spans="2:29" s="130" customFormat="1" ht="87.5" hidden="1" x14ac:dyDescent="0.25">
      <c r="B242" s="975" t="str">
        <f>'Description of Incidents'!A347</f>
        <v>Flocculant Tank Area</v>
      </c>
      <c r="C242" s="976"/>
      <c r="D242" s="924"/>
      <c r="E242" s="925"/>
      <c r="F242" s="925"/>
      <c r="G242" s="925"/>
      <c r="H242" s="925"/>
      <c r="I242" s="925"/>
      <c r="J242" s="925"/>
      <c r="K242" s="925"/>
      <c r="L242" s="925"/>
      <c r="M242" s="926"/>
      <c r="N242" s="924"/>
      <c r="O242" s="925"/>
      <c r="P242" s="925"/>
      <c r="Q242" s="925"/>
      <c r="R242" s="925"/>
      <c r="S242" s="925"/>
      <c r="T242" s="925"/>
      <c r="U242" s="925"/>
      <c r="V242" s="925"/>
      <c r="W242" s="925"/>
      <c r="X242" s="925"/>
      <c r="Y242" s="925"/>
      <c r="Z242" s="926"/>
    </row>
    <row r="243" spans="2:29" s="130" customFormat="1" ht="89.5" hidden="1" x14ac:dyDescent="0.25">
      <c r="B243" s="977" t="str">
        <f>'Description of Incidents'!A348</f>
        <v>JUNJUN PATTONDOC</v>
      </c>
      <c r="C243" s="978"/>
      <c r="D243" s="927"/>
      <c r="E243" s="928"/>
      <c r="F243" s="928"/>
      <c r="G243" s="928"/>
      <c r="H243" s="928"/>
      <c r="I243" s="928"/>
      <c r="J243" s="928"/>
      <c r="K243" s="928"/>
      <c r="L243" s="928"/>
      <c r="M243" s="929"/>
      <c r="N243" s="927"/>
      <c r="O243" s="928"/>
      <c r="P243" s="928"/>
      <c r="Q243" s="928"/>
      <c r="R243" s="928"/>
      <c r="S243" s="928"/>
      <c r="T243" s="928"/>
      <c r="U243" s="928"/>
      <c r="V243" s="928"/>
      <c r="W243" s="928"/>
      <c r="X243" s="928"/>
      <c r="Y243" s="928"/>
      <c r="Z243" s="929"/>
      <c r="AC243" s="131"/>
    </row>
    <row r="244" spans="2:29" s="130" customFormat="1" ht="90" hidden="1" thickBot="1" x14ac:dyDescent="0.3">
      <c r="B244" s="979" t="str">
        <f>'Description of Incidents'!A349</f>
        <v>Contact with Object</v>
      </c>
      <c r="C244" s="980"/>
      <c r="D244" s="930"/>
      <c r="E244" s="931"/>
      <c r="F244" s="931"/>
      <c r="G244" s="931"/>
      <c r="H244" s="931"/>
      <c r="I244" s="931"/>
      <c r="J244" s="931"/>
      <c r="K244" s="931"/>
      <c r="L244" s="931"/>
      <c r="M244" s="932"/>
      <c r="N244" s="930"/>
      <c r="O244" s="931"/>
      <c r="P244" s="931"/>
      <c r="Q244" s="931"/>
      <c r="R244" s="931"/>
      <c r="S244" s="931"/>
      <c r="T244" s="931"/>
      <c r="U244" s="931"/>
      <c r="V244" s="931"/>
      <c r="W244" s="931"/>
      <c r="X244" s="931"/>
      <c r="Y244" s="931"/>
      <c r="Z244" s="932"/>
    </row>
    <row r="245" spans="2:29" s="130" customFormat="1" ht="87.5" hidden="1" x14ac:dyDescent="0.25">
      <c r="B245" s="1115" t="str">
        <f>'Description of Incidents'!A350</f>
        <v>Carpentry Shop</v>
      </c>
      <c r="C245" s="1116"/>
      <c r="D245" s="939"/>
      <c r="E245" s="940"/>
      <c r="F245" s="940"/>
      <c r="G245" s="940"/>
      <c r="H245" s="940"/>
      <c r="I245" s="940"/>
      <c r="J245" s="940"/>
      <c r="K245" s="940"/>
      <c r="L245" s="940"/>
      <c r="M245" s="941"/>
      <c r="N245" s="939"/>
      <c r="O245" s="940"/>
      <c r="P245" s="940"/>
      <c r="Q245" s="940"/>
      <c r="R245" s="940"/>
      <c r="S245" s="940"/>
      <c r="T245" s="940"/>
      <c r="U245" s="940"/>
      <c r="V245" s="940"/>
      <c r="W245" s="940"/>
      <c r="X245" s="940"/>
      <c r="Y245" s="940"/>
      <c r="Z245" s="941"/>
    </row>
    <row r="246" spans="2:29" s="130" customFormat="1" ht="89.5" hidden="1" x14ac:dyDescent="0.25">
      <c r="B246" s="1117" t="e">
        <f>'Description of Incidents'!#REF!</f>
        <v>#REF!</v>
      </c>
      <c r="C246" s="1118"/>
      <c r="D246" s="942"/>
      <c r="E246" s="943"/>
      <c r="F246" s="943"/>
      <c r="G246" s="943"/>
      <c r="H246" s="943"/>
      <c r="I246" s="943"/>
      <c r="J246" s="943"/>
      <c r="K246" s="943"/>
      <c r="L246" s="943"/>
      <c r="M246" s="944"/>
      <c r="N246" s="942"/>
      <c r="O246" s="943"/>
      <c r="P246" s="943"/>
      <c r="Q246" s="943"/>
      <c r="R246" s="943"/>
      <c r="S246" s="943"/>
      <c r="T246" s="943"/>
      <c r="U246" s="943"/>
      <c r="V246" s="943"/>
      <c r="W246" s="943"/>
      <c r="X246" s="943"/>
      <c r="Y246" s="943"/>
      <c r="Z246" s="944"/>
      <c r="AC246" s="131"/>
    </row>
    <row r="247" spans="2:29" s="130" customFormat="1" ht="90" hidden="1" thickBot="1" x14ac:dyDescent="0.3">
      <c r="B247" s="1119" t="e">
        <f>'Description of Incidents'!#REF!</f>
        <v>#REF!</v>
      </c>
      <c r="C247" s="1120"/>
      <c r="D247" s="945"/>
      <c r="E247" s="946"/>
      <c r="F247" s="946"/>
      <c r="G247" s="946"/>
      <c r="H247" s="946"/>
      <c r="I247" s="946"/>
      <c r="J247" s="946"/>
      <c r="K247" s="946"/>
      <c r="L247" s="946"/>
      <c r="M247" s="947"/>
      <c r="N247" s="945"/>
      <c r="O247" s="946"/>
      <c r="P247" s="946"/>
      <c r="Q247" s="946"/>
      <c r="R247" s="946"/>
      <c r="S247" s="946"/>
      <c r="T247" s="946"/>
      <c r="U247" s="946"/>
      <c r="V247" s="946"/>
      <c r="W247" s="946"/>
      <c r="X247" s="946"/>
      <c r="Y247" s="946"/>
      <c r="Z247" s="947"/>
    </row>
    <row r="248" spans="2:29" s="130" customFormat="1" ht="87.5" hidden="1" x14ac:dyDescent="0.25">
      <c r="B248" s="975" t="e">
        <f>'Description of Incidents'!#REF!</f>
        <v>#REF!</v>
      </c>
      <c r="C248" s="976"/>
      <c r="D248" s="924"/>
      <c r="E248" s="925"/>
      <c r="F248" s="925"/>
      <c r="G248" s="925"/>
      <c r="H248" s="925"/>
      <c r="I248" s="925"/>
      <c r="J248" s="925"/>
      <c r="K248" s="925"/>
      <c r="L248" s="925"/>
      <c r="M248" s="926"/>
      <c r="N248" s="924"/>
      <c r="O248" s="925"/>
      <c r="P248" s="925"/>
      <c r="Q248" s="925"/>
      <c r="R248" s="925"/>
      <c r="S248" s="925"/>
      <c r="T248" s="925"/>
      <c r="U248" s="925"/>
      <c r="V248" s="925"/>
      <c r="W248" s="925"/>
      <c r="X248" s="925"/>
      <c r="Y248" s="925"/>
      <c r="Z248" s="926"/>
    </row>
    <row r="249" spans="2:29" s="130" customFormat="1" ht="89.5" hidden="1" x14ac:dyDescent="0.25">
      <c r="B249" s="977" t="str">
        <f>'Description of Incidents'!A351</f>
        <v>HARLEM B. BALONG</v>
      </c>
      <c r="C249" s="978"/>
      <c r="D249" s="927"/>
      <c r="E249" s="928"/>
      <c r="F249" s="928"/>
      <c r="G249" s="928"/>
      <c r="H249" s="928"/>
      <c r="I249" s="928"/>
      <c r="J249" s="928"/>
      <c r="K249" s="928"/>
      <c r="L249" s="928"/>
      <c r="M249" s="929"/>
      <c r="N249" s="927"/>
      <c r="O249" s="928"/>
      <c r="P249" s="928"/>
      <c r="Q249" s="928"/>
      <c r="R249" s="928"/>
      <c r="S249" s="928"/>
      <c r="T249" s="928"/>
      <c r="U249" s="928"/>
      <c r="V249" s="928"/>
      <c r="W249" s="928"/>
      <c r="X249" s="928"/>
      <c r="Y249" s="928"/>
      <c r="Z249" s="929"/>
      <c r="AC249" s="131"/>
    </row>
    <row r="250" spans="2:29" s="130" customFormat="1" ht="90" hidden="1" thickBot="1" x14ac:dyDescent="0.3">
      <c r="B250" s="979" t="str">
        <f>'Description of Incidents'!A352</f>
        <v>Over-Exertion in Lifting Objects</v>
      </c>
      <c r="C250" s="980"/>
      <c r="D250" s="930"/>
      <c r="E250" s="931"/>
      <c r="F250" s="931"/>
      <c r="G250" s="931"/>
      <c r="H250" s="931"/>
      <c r="I250" s="931"/>
      <c r="J250" s="931"/>
      <c r="K250" s="931"/>
      <c r="L250" s="931"/>
      <c r="M250" s="932"/>
      <c r="N250" s="930"/>
      <c r="O250" s="931"/>
      <c r="P250" s="931"/>
      <c r="Q250" s="931"/>
      <c r="R250" s="931"/>
      <c r="S250" s="931"/>
      <c r="T250" s="931"/>
      <c r="U250" s="931"/>
      <c r="V250" s="931"/>
      <c r="W250" s="931"/>
      <c r="X250" s="931"/>
      <c r="Y250" s="931"/>
      <c r="Z250" s="932"/>
    </row>
    <row r="251" spans="2:29" s="130" customFormat="1" ht="87.5" hidden="1" x14ac:dyDescent="0.25">
      <c r="B251" s="1115" t="str">
        <f>'Description of Incidents'!A353</f>
        <v>Symone Cone Crusher No. 2</v>
      </c>
      <c r="C251" s="1116"/>
      <c r="D251" s="939"/>
      <c r="E251" s="940"/>
      <c r="F251" s="940"/>
      <c r="G251" s="940"/>
      <c r="H251" s="940"/>
      <c r="I251" s="940"/>
      <c r="J251" s="940"/>
      <c r="K251" s="940"/>
      <c r="L251" s="940"/>
      <c r="M251" s="941"/>
      <c r="N251" s="939"/>
      <c r="O251" s="940"/>
      <c r="P251" s="940"/>
      <c r="Q251" s="940"/>
      <c r="R251" s="940"/>
      <c r="S251" s="940"/>
      <c r="T251" s="940"/>
      <c r="U251" s="940"/>
      <c r="V251" s="940"/>
      <c r="W251" s="940"/>
      <c r="X251" s="940"/>
      <c r="Y251" s="940"/>
      <c r="Z251" s="941"/>
    </row>
    <row r="252" spans="2:29" s="130" customFormat="1" ht="89.5" hidden="1" x14ac:dyDescent="0.25">
      <c r="B252" s="1117" t="str">
        <f>'Description of Incidents'!A354</f>
        <v>AGOSTO P. MIGUEL</v>
      </c>
      <c r="C252" s="1118"/>
      <c r="D252" s="942"/>
      <c r="E252" s="943"/>
      <c r="F252" s="943"/>
      <c r="G252" s="943"/>
      <c r="H252" s="943"/>
      <c r="I252" s="943"/>
      <c r="J252" s="943"/>
      <c r="K252" s="943"/>
      <c r="L252" s="943"/>
      <c r="M252" s="944"/>
      <c r="N252" s="942"/>
      <c r="O252" s="943"/>
      <c r="P252" s="943"/>
      <c r="Q252" s="943"/>
      <c r="R252" s="943"/>
      <c r="S252" s="943"/>
      <c r="T252" s="943"/>
      <c r="U252" s="943"/>
      <c r="V252" s="943"/>
      <c r="W252" s="943"/>
      <c r="X252" s="943"/>
      <c r="Y252" s="943"/>
      <c r="Z252" s="944"/>
      <c r="AC252" s="131"/>
    </row>
    <row r="253" spans="2:29" s="130" customFormat="1" ht="90" hidden="1" thickBot="1" x14ac:dyDescent="0.3">
      <c r="B253" s="1119" t="str">
        <f>'Description of Incidents'!A355</f>
        <v>Struck by Object</v>
      </c>
      <c r="C253" s="1120"/>
      <c r="D253" s="945"/>
      <c r="E253" s="946"/>
      <c r="F253" s="946"/>
      <c r="G253" s="946"/>
      <c r="H253" s="946"/>
      <c r="I253" s="946"/>
      <c r="J253" s="946"/>
      <c r="K253" s="946"/>
      <c r="L253" s="946"/>
      <c r="M253" s="947"/>
      <c r="N253" s="945"/>
      <c r="O253" s="946"/>
      <c r="P253" s="946"/>
      <c r="Q253" s="946"/>
      <c r="R253" s="946"/>
      <c r="S253" s="946"/>
      <c r="T253" s="946"/>
      <c r="U253" s="946"/>
      <c r="V253" s="946"/>
      <c r="W253" s="946"/>
      <c r="X253" s="946"/>
      <c r="Y253" s="946"/>
      <c r="Z253" s="947"/>
    </row>
    <row r="255" spans="2:29" x14ac:dyDescent="0.25">
      <c r="N255" s="128" t="s">
        <v>2172</v>
      </c>
    </row>
  </sheetData>
  <autoFilter ref="A5:AZ5" xr:uid="{EDC8D351-135A-4E71-8318-BD7E28A4161F}">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mergeCells count="527">
    <mergeCell ref="B177:C177"/>
    <mergeCell ref="N177:P177"/>
    <mergeCell ref="B178:C178"/>
    <mergeCell ref="N178:P178"/>
    <mergeCell ref="B179:C179"/>
    <mergeCell ref="N179:P179"/>
    <mergeCell ref="B174:C174"/>
    <mergeCell ref="N174:P174"/>
    <mergeCell ref="B175:C175"/>
    <mergeCell ref="N175:P175"/>
    <mergeCell ref="B176:C176"/>
    <mergeCell ref="N176:P176"/>
    <mergeCell ref="B136:C136"/>
    <mergeCell ref="N136:P136"/>
    <mergeCell ref="B127:C127"/>
    <mergeCell ref="N127:P127"/>
    <mergeCell ref="N155:P155"/>
    <mergeCell ref="B42:C42"/>
    <mergeCell ref="B29:C29"/>
    <mergeCell ref="B38:C38"/>
    <mergeCell ref="B59:C59"/>
    <mergeCell ref="N38:P38"/>
    <mergeCell ref="N42:P42"/>
    <mergeCell ref="N29:P29"/>
    <mergeCell ref="N59:P59"/>
    <mergeCell ref="N122:P122"/>
    <mergeCell ref="N78:P78"/>
    <mergeCell ref="N79:P79"/>
    <mergeCell ref="N87:P87"/>
    <mergeCell ref="N92:P92"/>
    <mergeCell ref="N113:P113"/>
    <mergeCell ref="N120:P120"/>
    <mergeCell ref="B103:C122"/>
    <mergeCell ref="D103:D122"/>
    <mergeCell ref="E103:E122"/>
    <mergeCell ref="F103:F122"/>
    <mergeCell ref="G103:G122"/>
    <mergeCell ref="H103:H122"/>
    <mergeCell ref="I103:I122"/>
    <mergeCell ref="J103:J122"/>
    <mergeCell ref="K103:K122"/>
    <mergeCell ref="X10:Y10"/>
    <mergeCell ref="X11:Y11"/>
    <mergeCell ref="X12:Y12"/>
    <mergeCell ref="X13:Y13"/>
    <mergeCell ref="J12:K12"/>
    <mergeCell ref="J13:K13"/>
    <mergeCell ref="N121:P121"/>
    <mergeCell ref="N108:P108"/>
    <mergeCell ref="N109:P109"/>
    <mergeCell ref="N110:P110"/>
    <mergeCell ref="N111:P111"/>
    <mergeCell ref="N112:P112"/>
    <mergeCell ref="N114:P114"/>
    <mergeCell ref="N103:P103"/>
    <mergeCell ref="L103:L122"/>
    <mergeCell ref="M103:M122"/>
    <mergeCell ref="N104:P104"/>
    <mergeCell ref="N105:P105"/>
    <mergeCell ref="N106:P106"/>
    <mergeCell ref="B22:C22"/>
    <mergeCell ref="F22:G22"/>
    <mergeCell ref="J22:K22"/>
    <mergeCell ref="L22:M22"/>
    <mergeCell ref="T22:U22"/>
    <mergeCell ref="X22:Y22"/>
    <mergeCell ref="L10:M10"/>
    <mergeCell ref="L11:M11"/>
    <mergeCell ref="L12:M12"/>
    <mergeCell ref="L13:M13"/>
    <mergeCell ref="T10:U10"/>
    <mergeCell ref="T11:U11"/>
    <mergeCell ref="T12:U12"/>
    <mergeCell ref="T13:U13"/>
    <mergeCell ref="B10:C10"/>
    <mergeCell ref="B11:C11"/>
    <mergeCell ref="B12:C12"/>
    <mergeCell ref="B13:C13"/>
    <mergeCell ref="F10:G10"/>
    <mergeCell ref="F11:G11"/>
    <mergeCell ref="F12:G12"/>
    <mergeCell ref="F13:G13"/>
    <mergeCell ref="J10:K10"/>
    <mergeCell ref="J11:K11"/>
    <mergeCell ref="J8:K8"/>
    <mergeCell ref="L8:M8"/>
    <mergeCell ref="T8:U8"/>
    <mergeCell ref="X8:Y8"/>
    <mergeCell ref="B9:C9"/>
    <mergeCell ref="F9:G9"/>
    <mergeCell ref="J9:K9"/>
    <mergeCell ref="L9:M9"/>
    <mergeCell ref="T9:U9"/>
    <mergeCell ref="X9:Y9"/>
    <mergeCell ref="B251:C251"/>
    <mergeCell ref="D251:M253"/>
    <mergeCell ref="N251:Z253"/>
    <mergeCell ref="B252:C252"/>
    <mergeCell ref="B253:C253"/>
    <mergeCell ref="B245:C245"/>
    <mergeCell ref="D245:M247"/>
    <mergeCell ref="N245:Z247"/>
    <mergeCell ref="B246:C246"/>
    <mergeCell ref="B247:C247"/>
    <mergeCell ref="B248:C248"/>
    <mergeCell ref="D248:M250"/>
    <mergeCell ref="N248:Z250"/>
    <mergeCell ref="B249:C249"/>
    <mergeCell ref="B250:C250"/>
    <mergeCell ref="B239:C239"/>
    <mergeCell ref="D239:M241"/>
    <mergeCell ref="N239:Z241"/>
    <mergeCell ref="B240:C240"/>
    <mergeCell ref="B241:C241"/>
    <mergeCell ref="B242:C242"/>
    <mergeCell ref="D242:M244"/>
    <mergeCell ref="N242:Z244"/>
    <mergeCell ref="B243:C243"/>
    <mergeCell ref="B244:C244"/>
    <mergeCell ref="B233:C233"/>
    <mergeCell ref="D233:M235"/>
    <mergeCell ref="N233:Z235"/>
    <mergeCell ref="B234:C234"/>
    <mergeCell ref="B235:C235"/>
    <mergeCell ref="B236:C236"/>
    <mergeCell ref="D236:M238"/>
    <mergeCell ref="N236:Z238"/>
    <mergeCell ref="B237:C237"/>
    <mergeCell ref="B238:C238"/>
    <mergeCell ref="B227:C227"/>
    <mergeCell ref="D227:M229"/>
    <mergeCell ref="N227:Z229"/>
    <mergeCell ref="B228:C228"/>
    <mergeCell ref="B229:C229"/>
    <mergeCell ref="B230:C230"/>
    <mergeCell ref="D230:M232"/>
    <mergeCell ref="N230:Z232"/>
    <mergeCell ref="B231:C231"/>
    <mergeCell ref="B232:C232"/>
    <mergeCell ref="B221:C221"/>
    <mergeCell ref="D221:M223"/>
    <mergeCell ref="N221:Z223"/>
    <mergeCell ref="B222:C222"/>
    <mergeCell ref="B223:C223"/>
    <mergeCell ref="B224:C224"/>
    <mergeCell ref="D224:M226"/>
    <mergeCell ref="N224:Z226"/>
    <mergeCell ref="B225:C225"/>
    <mergeCell ref="B226:C226"/>
    <mergeCell ref="B218:C218"/>
    <mergeCell ref="D218:M220"/>
    <mergeCell ref="N218:Z220"/>
    <mergeCell ref="B219:C219"/>
    <mergeCell ref="B220:C220"/>
    <mergeCell ref="B212:C212"/>
    <mergeCell ref="D212:M214"/>
    <mergeCell ref="N212:Z214"/>
    <mergeCell ref="B213:C213"/>
    <mergeCell ref="B214:C214"/>
    <mergeCell ref="B215:C215"/>
    <mergeCell ref="D215:M217"/>
    <mergeCell ref="N215:Z217"/>
    <mergeCell ref="B216:C216"/>
    <mergeCell ref="B217:C217"/>
    <mergeCell ref="B206:C206"/>
    <mergeCell ref="B207:C207"/>
    <mergeCell ref="B208:C208"/>
    <mergeCell ref="B209:C209"/>
    <mergeCell ref="B210:C210"/>
    <mergeCell ref="B211:C211"/>
    <mergeCell ref="D203:M211"/>
    <mergeCell ref="N203:Z211"/>
    <mergeCell ref="B200:C200"/>
    <mergeCell ref="D200:M202"/>
    <mergeCell ref="N200:Z202"/>
    <mergeCell ref="B201:C201"/>
    <mergeCell ref="B202:C202"/>
    <mergeCell ref="B203:C203"/>
    <mergeCell ref="B204:C204"/>
    <mergeCell ref="B205:C205"/>
    <mergeCell ref="B196:C196"/>
    <mergeCell ref="B197:C197"/>
    <mergeCell ref="D197:M199"/>
    <mergeCell ref="N197:Z199"/>
    <mergeCell ref="B198:C198"/>
    <mergeCell ref="B199:C199"/>
    <mergeCell ref="B191:C191"/>
    <mergeCell ref="D191:M193"/>
    <mergeCell ref="N191:Z193"/>
    <mergeCell ref="B192:C192"/>
    <mergeCell ref="B193:C193"/>
    <mergeCell ref="B194:C194"/>
    <mergeCell ref="D194:M196"/>
    <mergeCell ref="B195:C195"/>
    <mergeCell ref="N194:Z196"/>
    <mergeCell ref="B188:C188"/>
    <mergeCell ref="N188:P188"/>
    <mergeCell ref="B189:C189"/>
    <mergeCell ref="N189:P189"/>
    <mergeCell ref="B190:C190"/>
    <mergeCell ref="D190:M190"/>
    <mergeCell ref="N190:Z190"/>
    <mergeCell ref="B180:C180"/>
    <mergeCell ref="N180:P180"/>
    <mergeCell ref="B183:C183"/>
    <mergeCell ref="N183:P183"/>
    <mergeCell ref="B186:C186"/>
    <mergeCell ref="B187:C187"/>
    <mergeCell ref="N187:P187"/>
    <mergeCell ref="B185:C185"/>
    <mergeCell ref="N185:P185"/>
    <mergeCell ref="B184:C184"/>
    <mergeCell ref="N184:P184"/>
    <mergeCell ref="B181:C181"/>
    <mergeCell ref="N181:P181"/>
    <mergeCell ref="B182:C182"/>
    <mergeCell ref="N182:P182"/>
    <mergeCell ref="B172:C172"/>
    <mergeCell ref="N172:P172"/>
    <mergeCell ref="B173:C173"/>
    <mergeCell ref="N173:P173"/>
    <mergeCell ref="B164:C164"/>
    <mergeCell ref="N164:P164"/>
    <mergeCell ref="B165:C165"/>
    <mergeCell ref="N165:P165"/>
    <mergeCell ref="B166:C166"/>
    <mergeCell ref="B167:C167"/>
    <mergeCell ref="B170:C170"/>
    <mergeCell ref="B171:C171"/>
    <mergeCell ref="B168:C168"/>
    <mergeCell ref="B169:C169"/>
    <mergeCell ref="B160:C160"/>
    <mergeCell ref="N160:P160"/>
    <mergeCell ref="B161:C161"/>
    <mergeCell ref="B162:C162"/>
    <mergeCell ref="B163:C163"/>
    <mergeCell ref="N163:P163"/>
    <mergeCell ref="B156:C156"/>
    <mergeCell ref="N156:P156"/>
    <mergeCell ref="B157:C157"/>
    <mergeCell ref="N157:P157"/>
    <mergeCell ref="B158:C158"/>
    <mergeCell ref="N158:P158"/>
    <mergeCell ref="B159:C159"/>
    <mergeCell ref="N159:P159"/>
    <mergeCell ref="B153:C153"/>
    <mergeCell ref="N153:P153"/>
    <mergeCell ref="B154:C154"/>
    <mergeCell ref="N154:P154"/>
    <mergeCell ref="B155:C155"/>
    <mergeCell ref="B150:C150"/>
    <mergeCell ref="N150:P150"/>
    <mergeCell ref="B151:C151"/>
    <mergeCell ref="N151:P151"/>
    <mergeCell ref="B152:C152"/>
    <mergeCell ref="N152:P152"/>
    <mergeCell ref="B147:C147"/>
    <mergeCell ref="N147:P147"/>
    <mergeCell ref="B148:C148"/>
    <mergeCell ref="N148:P148"/>
    <mergeCell ref="B149:C149"/>
    <mergeCell ref="N149:P149"/>
    <mergeCell ref="B144:C144"/>
    <mergeCell ref="N144:P144"/>
    <mergeCell ref="B145:C145"/>
    <mergeCell ref="N145:P145"/>
    <mergeCell ref="B146:C146"/>
    <mergeCell ref="N146:P146"/>
    <mergeCell ref="B140:C140"/>
    <mergeCell ref="N140:P140"/>
    <mergeCell ref="B141:C141"/>
    <mergeCell ref="N141:P141"/>
    <mergeCell ref="B143:C143"/>
    <mergeCell ref="N143:P143"/>
    <mergeCell ref="B137:C137"/>
    <mergeCell ref="N137:P137"/>
    <mergeCell ref="B138:C138"/>
    <mergeCell ref="N138:P138"/>
    <mergeCell ref="B139:C139"/>
    <mergeCell ref="N139:P139"/>
    <mergeCell ref="B142:C142"/>
    <mergeCell ref="N142:P142"/>
    <mergeCell ref="B133:C133"/>
    <mergeCell ref="N133:P133"/>
    <mergeCell ref="B134:C134"/>
    <mergeCell ref="N134:P134"/>
    <mergeCell ref="B135:C135"/>
    <mergeCell ref="N135:P135"/>
    <mergeCell ref="B130:C130"/>
    <mergeCell ref="N130:P130"/>
    <mergeCell ref="B131:C131"/>
    <mergeCell ref="N131:P131"/>
    <mergeCell ref="B132:C132"/>
    <mergeCell ref="N132:P132"/>
    <mergeCell ref="B128:C128"/>
    <mergeCell ref="N128:P128"/>
    <mergeCell ref="B129:C129"/>
    <mergeCell ref="N129:P129"/>
    <mergeCell ref="B123:C123"/>
    <mergeCell ref="N123:P123"/>
    <mergeCell ref="B124:C124"/>
    <mergeCell ref="N124:P124"/>
    <mergeCell ref="B125:C125"/>
    <mergeCell ref="N125:P125"/>
    <mergeCell ref="B126:C126"/>
    <mergeCell ref="N126:P126"/>
    <mergeCell ref="N107:P107"/>
    <mergeCell ref="N115:P115"/>
    <mergeCell ref="N116:P116"/>
    <mergeCell ref="N117:P117"/>
    <mergeCell ref="N118:P118"/>
    <mergeCell ref="N119:P119"/>
    <mergeCell ref="N97:P97"/>
    <mergeCell ref="N98:P98"/>
    <mergeCell ref="N99:P99"/>
    <mergeCell ref="N100:P100"/>
    <mergeCell ref="N101:P101"/>
    <mergeCell ref="N102:P102"/>
    <mergeCell ref="B84:C102"/>
    <mergeCell ref="D84:D102"/>
    <mergeCell ref="E84:E102"/>
    <mergeCell ref="F84:F102"/>
    <mergeCell ref="G84:G102"/>
    <mergeCell ref="H84:H102"/>
    <mergeCell ref="N96:P96"/>
    <mergeCell ref="I84:I102"/>
    <mergeCell ref="J84:J102"/>
    <mergeCell ref="K84:K102"/>
    <mergeCell ref="L84:L101"/>
    <mergeCell ref="M84:M102"/>
    <mergeCell ref="N84:P84"/>
    <mergeCell ref="N85:P85"/>
    <mergeCell ref="N86:P86"/>
    <mergeCell ref="N88:P88"/>
    <mergeCell ref="N89:P89"/>
    <mergeCell ref="N72:P72"/>
    <mergeCell ref="N73:P73"/>
    <mergeCell ref="N74:P74"/>
    <mergeCell ref="N75:P75"/>
    <mergeCell ref="N90:P90"/>
    <mergeCell ref="N91:P91"/>
    <mergeCell ref="N93:P93"/>
    <mergeCell ref="N94:P94"/>
    <mergeCell ref="N95:P95"/>
    <mergeCell ref="B71:C83"/>
    <mergeCell ref="D71:D83"/>
    <mergeCell ref="E71:E83"/>
    <mergeCell ref="F71:F83"/>
    <mergeCell ref="G71:G83"/>
    <mergeCell ref="H71:H83"/>
    <mergeCell ref="B68:C68"/>
    <mergeCell ref="N68:P68"/>
    <mergeCell ref="B69:C69"/>
    <mergeCell ref="N69:P69"/>
    <mergeCell ref="B70:C70"/>
    <mergeCell ref="N70:P70"/>
    <mergeCell ref="N76:P76"/>
    <mergeCell ref="N77:P77"/>
    <mergeCell ref="N80:P80"/>
    <mergeCell ref="N81:P81"/>
    <mergeCell ref="N82:P82"/>
    <mergeCell ref="N83:P83"/>
    <mergeCell ref="I71:I83"/>
    <mergeCell ref="J71:J83"/>
    <mergeCell ref="K71:K83"/>
    <mergeCell ref="L71:L83"/>
    <mergeCell ref="M71:M83"/>
    <mergeCell ref="N71:P71"/>
    <mergeCell ref="B65:C65"/>
    <mergeCell ref="N65:P65"/>
    <mergeCell ref="B66:C66"/>
    <mergeCell ref="N66:P66"/>
    <mergeCell ref="B67:C67"/>
    <mergeCell ref="N67:P67"/>
    <mergeCell ref="B62:C62"/>
    <mergeCell ref="N62:P62"/>
    <mergeCell ref="B63:C63"/>
    <mergeCell ref="N63:P63"/>
    <mergeCell ref="B64:C64"/>
    <mergeCell ref="N64:P64"/>
    <mergeCell ref="B58:C58"/>
    <mergeCell ref="N58:P58"/>
    <mergeCell ref="B60:C60"/>
    <mergeCell ref="N60:P60"/>
    <mergeCell ref="B61:C61"/>
    <mergeCell ref="N61:P61"/>
    <mergeCell ref="B55:C55"/>
    <mergeCell ref="N55:P55"/>
    <mergeCell ref="B56:C56"/>
    <mergeCell ref="N56:P56"/>
    <mergeCell ref="B57:C57"/>
    <mergeCell ref="N57:P57"/>
    <mergeCell ref="B52:C52"/>
    <mergeCell ref="N52:P52"/>
    <mergeCell ref="B53:C53"/>
    <mergeCell ref="N53:P53"/>
    <mergeCell ref="B54:C54"/>
    <mergeCell ref="N54:P54"/>
    <mergeCell ref="B49:C49"/>
    <mergeCell ref="N49:P49"/>
    <mergeCell ref="B50:C50"/>
    <mergeCell ref="N50:P50"/>
    <mergeCell ref="B51:C51"/>
    <mergeCell ref="N51:P51"/>
    <mergeCell ref="B46:C46"/>
    <mergeCell ref="N46:P46"/>
    <mergeCell ref="B47:C47"/>
    <mergeCell ref="N47:P47"/>
    <mergeCell ref="B48:C48"/>
    <mergeCell ref="N48:P48"/>
    <mergeCell ref="B43:C43"/>
    <mergeCell ref="N43:P43"/>
    <mergeCell ref="B44:C44"/>
    <mergeCell ref="N44:P44"/>
    <mergeCell ref="B45:C45"/>
    <mergeCell ref="N45:P45"/>
    <mergeCell ref="B39:C39"/>
    <mergeCell ref="N39:P39"/>
    <mergeCell ref="B40:C40"/>
    <mergeCell ref="N40:P40"/>
    <mergeCell ref="B41:C41"/>
    <mergeCell ref="N41:P41"/>
    <mergeCell ref="B35:C35"/>
    <mergeCell ref="N35:P35"/>
    <mergeCell ref="B36:C36"/>
    <mergeCell ref="N36:P36"/>
    <mergeCell ref="B37:C37"/>
    <mergeCell ref="N37:P37"/>
    <mergeCell ref="B32:C32"/>
    <mergeCell ref="N32:P32"/>
    <mergeCell ref="B33:C33"/>
    <mergeCell ref="N33:P33"/>
    <mergeCell ref="B34:C34"/>
    <mergeCell ref="N34:P34"/>
    <mergeCell ref="B28:C28"/>
    <mergeCell ref="N28:P28"/>
    <mergeCell ref="B30:C30"/>
    <mergeCell ref="N30:P30"/>
    <mergeCell ref="B31:C31"/>
    <mergeCell ref="N31:P31"/>
    <mergeCell ref="B25:C25"/>
    <mergeCell ref="N25:P25"/>
    <mergeCell ref="B26:C26"/>
    <mergeCell ref="N26:P26"/>
    <mergeCell ref="B27:C27"/>
    <mergeCell ref="N27:P27"/>
    <mergeCell ref="B23:Z23"/>
    <mergeCell ref="B24:C24"/>
    <mergeCell ref="F24:G24"/>
    <mergeCell ref="J24:K24"/>
    <mergeCell ref="L24:M24"/>
    <mergeCell ref="T24:U24"/>
    <mergeCell ref="X24:Y24"/>
    <mergeCell ref="L15:M15"/>
    <mergeCell ref="T15:U15"/>
    <mergeCell ref="X15:Y15"/>
    <mergeCell ref="B20:Z20"/>
    <mergeCell ref="B19:C19"/>
    <mergeCell ref="F19:G19"/>
    <mergeCell ref="J19:K19"/>
    <mergeCell ref="L19:M19"/>
    <mergeCell ref="T19:U19"/>
    <mergeCell ref="X19:Y19"/>
    <mergeCell ref="B18:C18"/>
    <mergeCell ref="F18:G18"/>
    <mergeCell ref="J18:K18"/>
    <mergeCell ref="L18:M18"/>
    <mergeCell ref="T18:U18"/>
    <mergeCell ref="X18:Y18"/>
    <mergeCell ref="T6:U6"/>
    <mergeCell ref="X6:Y6"/>
    <mergeCell ref="B14:C14"/>
    <mergeCell ref="F14:G14"/>
    <mergeCell ref="J14:K14"/>
    <mergeCell ref="L14:M14"/>
    <mergeCell ref="T14:U14"/>
    <mergeCell ref="X14:Y14"/>
    <mergeCell ref="B21:C21"/>
    <mergeCell ref="F21:G21"/>
    <mergeCell ref="J21:K21"/>
    <mergeCell ref="L21:M21"/>
    <mergeCell ref="T21:U21"/>
    <mergeCell ref="X21:Y21"/>
    <mergeCell ref="B16:Z16"/>
    <mergeCell ref="B17:C17"/>
    <mergeCell ref="F17:G17"/>
    <mergeCell ref="J17:K17"/>
    <mergeCell ref="L17:M17"/>
    <mergeCell ref="T17:U17"/>
    <mergeCell ref="X17:Y17"/>
    <mergeCell ref="B15:C15"/>
    <mergeCell ref="F15:G15"/>
    <mergeCell ref="J15:K15"/>
    <mergeCell ref="B7:C7"/>
    <mergeCell ref="F7:G7"/>
    <mergeCell ref="J7:K7"/>
    <mergeCell ref="L7:M7"/>
    <mergeCell ref="T7:U7"/>
    <mergeCell ref="X7:Y7"/>
    <mergeCell ref="B8:C8"/>
    <mergeCell ref="F8:G8"/>
    <mergeCell ref="Z3:Z4"/>
    <mergeCell ref="B5:Z5"/>
    <mergeCell ref="N3:N4"/>
    <mergeCell ref="O3:O4"/>
    <mergeCell ref="P3:P4"/>
    <mergeCell ref="Q3:Q4"/>
    <mergeCell ref="R3:R4"/>
    <mergeCell ref="S3:S4"/>
    <mergeCell ref="T3:U4"/>
    <mergeCell ref="V3:V4"/>
    <mergeCell ref="W3:W4"/>
    <mergeCell ref="X3:Y4"/>
    <mergeCell ref="B6:C6"/>
    <mergeCell ref="F6:G6"/>
    <mergeCell ref="J6:K6"/>
    <mergeCell ref="L6:M6"/>
    <mergeCell ref="B1:Z1"/>
    <mergeCell ref="B2:Z2"/>
    <mergeCell ref="B3:C4"/>
    <mergeCell ref="D3:D4"/>
    <mergeCell ref="E3:E4"/>
    <mergeCell ref="F3:G4"/>
    <mergeCell ref="H3:H4"/>
    <mergeCell ref="I3:I4"/>
    <mergeCell ref="J3:K4"/>
    <mergeCell ref="L3:M4"/>
  </mergeCells>
  <conditionalFormatting sqref="B26">
    <cfRule type="duplicateValues" dxfId="122" priority="37"/>
  </conditionalFormatting>
  <conditionalFormatting sqref="N27:N55">
    <cfRule type="duplicateValues" dxfId="121" priority="36"/>
  </conditionalFormatting>
  <conditionalFormatting sqref="B132:B134">
    <cfRule type="duplicateValues" dxfId="120" priority="33"/>
  </conditionalFormatting>
  <conditionalFormatting sqref="B140:B141 B143:B145">
    <cfRule type="duplicateValues" dxfId="119" priority="25"/>
    <cfRule type="duplicateValues" dxfId="118" priority="26"/>
    <cfRule type="duplicateValues" dxfId="117" priority="27"/>
  </conditionalFormatting>
  <conditionalFormatting sqref="B143:B145">
    <cfRule type="duplicateValues" dxfId="116" priority="28"/>
    <cfRule type="duplicateValues" dxfId="115" priority="29"/>
    <cfRule type="duplicateValues" dxfId="114" priority="30"/>
  </conditionalFormatting>
  <conditionalFormatting sqref="N161:N188">
    <cfRule type="duplicateValues" dxfId="113" priority="34"/>
    <cfRule type="duplicateValues" dxfId="112" priority="35"/>
  </conditionalFormatting>
  <conditionalFormatting sqref="N125:N160">
    <cfRule type="duplicateValues" dxfId="111" priority="31"/>
    <cfRule type="duplicateValues" dxfId="110" priority="32"/>
  </conditionalFormatting>
  <conditionalFormatting sqref="N71 N74:N122">
    <cfRule type="duplicateValues" dxfId="109" priority="40"/>
    <cfRule type="duplicateValues" dxfId="108" priority="41"/>
    <cfRule type="duplicateValues" dxfId="107" priority="42"/>
  </conditionalFormatting>
  <conditionalFormatting sqref="B154:B156 B143:B145 B163:B188">
    <cfRule type="duplicateValues" dxfId="106" priority="22"/>
    <cfRule type="duplicateValues" dxfId="105" priority="23"/>
    <cfRule type="duplicateValues" dxfId="104" priority="24"/>
  </conditionalFormatting>
  <conditionalFormatting sqref="B20">
    <cfRule type="duplicateValues" dxfId="103" priority="43"/>
  </conditionalFormatting>
  <conditionalFormatting sqref="N161:N162">
    <cfRule type="duplicateValues" dxfId="102" priority="20"/>
    <cfRule type="duplicateValues" dxfId="101" priority="21"/>
  </conditionalFormatting>
  <conditionalFormatting sqref="B145:B153">
    <cfRule type="duplicateValues" dxfId="100" priority="17"/>
  </conditionalFormatting>
  <conditionalFormatting sqref="B152:B153">
    <cfRule type="duplicateValues" dxfId="99" priority="16"/>
  </conditionalFormatting>
  <conditionalFormatting sqref="B153">
    <cfRule type="duplicateValues" dxfId="98" priority="15"/>
  </conditionalFormatting>
  <conditionalFormatting sqref="B152:B153">
    <cfRule type="duplicateValues" dxfId="97" priority="18"/>
    <cfRule type="duplicateValues" dxfId="96" priority="19"/>
  </conditionalFormatting>
  <conditionalFormatting sqref="B152:B153">
    <cfRule type="duplicateValues" dxfId="95" priority="44"/>
  </conditionalFormatting>
  <conditionalFormatting sqref="B133:B137">
    <cfRule type="duplicateValues" dxfId="94" priority="11"/>
  </conditionalFormatting>
  <conditionalFormatting sqref="B133:B137">
    <cfRule type="duplicateValues" dxfId="93" priority="10"/>
  </conditionalFormatting>
  <conditionalFormatting sqref="B133:B137">
    <cfRule type="duplicateValues" dxfId="92" priority="13"/>
    <cfRule type="duplicateValues" dxfId="91" priority="14"/>
  </conditionalFormatting>
  <conditionalFormatting sqref="B133:B137">
    <cfRule type="duplicateValues" dxfId="90" priority="12"/>
  </conditionalFormatting>
  <conditionalFormatting sqref="B125:B133">
    <cfRule type="duplicateValues" dxfId="89" priority="45"/>
  </conditionalFormatting>
  <conditionalFormatting sqref="B140:B141 B143:B145 B125:B134">
    <cfRule type="duplicateValues" dxfId="88" priority="46"/>
    <cfRule type="duplicateValues" dxfId="87" priority="47"/>
  </conditionalFormatting>
  <conditionalFormatting sqref="B140:B141 B143:B145 B125:B134">
    <cfRule type="duplicateValues" dxfId="86" priority="48"/>
  </conditionalFormatting>
  <conditionalFormatting sqref="B135:B145">
    <cfRule type="duplicateValues" dxfId="85" priority="49"/>
    <cfRule type="duplicateValues" dxfId="84" priority="50"/>
    <cfRule type="duplicateValues" dxfId="83" priority="51"/>
  </conditionalFormatting>
  <conditionalFormatting sqref="B157:B162">
    <cfRule type="duplicateValues" dxfId="82" priority="1"/>
    <cfRule type="duplicateValues" dxfId="81" priority="2"/>
    <cfRule type="duplicateValues" dxfId="80" priority="3"/>
  </conditionalFormatting>
  <conditionalFormatting sqref="B157:B162">
    <cfRule type="duplicateValues" dxfId="79" priority="4"/>
    <cfRule type="duplicateValues" dxfId="78" priority="5"/>
  </conditionalFormatting>
  <conditionalFormatting sqref="B157:B162">
    <cfRule type="duplicateValues" dxfId="77" priority="6"/>
  </conditionalFormatting>
  <conditionalFormatting sqref="B157:B162">
    <cfRule type="duplicateValues" dxfId="76" priority="7"/>
    <cfRule type="duplicateValues" dxfId="75" priority="8"/>
    <cfRule type="duplicateValues" dxfId="74" priority="9"/>
  </conditionalFormatting>
  <conditionalFormatting sqref="B26:B68">
    <cfRule type="duplicateValues" dxfId="73" priority="53"/>
  </conditionalFormatting>
  <conditionalFormatting sqref="B27:B68">
    <cfRule type="duplicateValues" dxfId="72" priority="54"/>
  </conditionalFormatting>
  <conditionalFormatting sqref="B48:B49 B61:B62">
    <cfRule type="duplicateValues" dxfId="71" priority="55"/>
  </conditionalFormatting>
  <conditionalFormatting sqref="N26:N68">
    <cfRule type="duplicateValues" dxfId="70" priority="56"/>
  </conditionalFormatting>
  <conditionalFormatting sqref="N56:N68">
    <cfRule type="duplicateValues" dxfId="69" priority="57"/>
  </conditionalFormatting>
  <conditionalFormatting sqref="N161:N188">
    <cfRule type="duplicateValues" dxfId="68" priority="58"/>
    <cfRule type="duplicateValues" dxfId="67" priority="59"/>
  </conditionalFormatting>
  <conditionalFormatting sqref="N161:N173">
    <cfRule type="duplicateValues" dxfId="66" priority="60"/>
    <cfRule type="duplicateValues" dxfId="65" priority="61"/>
  </conditionalFormatting>
  <conditionalFormatting sqref="B24">
    <cfRule type="duplicateValues" dxfId="64" priority="62"/>
  </conditionalFormatting>
  <conditionalFormatting sqref="B23:B24">
    <cfRule type="duplicateValues" dxfId="63" priority="63"/>
  </conditionalFormatting>
  <conditionalFormatting sqref="B21:B22 B6:B15">
    <cfRule type="duplicateValues" dxfId="62" priority="704"/>
  </conditionalFormatting>
  <conditionalFormatting sqref="B17:B19">
    <cfRule type="duplicateValues" dxfId="61" priority="719"/>
  </conditionalFormatting>
  <printOptions horizontalCentered="1" verticalCentered="1"/>
  <pageMargins left="0.19685039370078741" right="0.19685039370078741" top="0.19685039370078741" bottom="0.19685039370078741" header="0.31496062992125984" footer="0.31496062992125984"/>
  <pageSetup paperSize="14" scale="10" fitToHeight="0" orientation="landscape" horizontalDpi="360" verticalDpi="360" r:id="rId1"/>
  <rowBreaks count="7" manualBreakCount="7">
    <brk id="24" min="1" max="25" man="1"/>
    <brk id="123" min="1" max="25" man="1"/>
    <brk id="196" min="1" max="25" man="1"/>
    <brk id="211" min="1" max="25" man="1"/>
    <brk id="217" min="1" max="25" man="1"/>
    <brk id="229" min="1" max="25" man="1"/>
    <brk id="235" min="1" max="2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08925-D8BB-4383-98CA-123C73D11315}">
  <dimension ref="A1:AZ276"/>
  <sheetViews>
    <sheetView tabSelected="1" zoomScale="10" zoomScaleNormal="10" workbookViewId="0">
      <selection activeCell="B2" sqref="B2:Z2"/>
    </sheetView>
  </sheetViews>
  <sheetFormatPr defaultColWidth="9" defaultRowHeight="32.5" x14ac:dyDescent="0.25"/>
  <cols>
    <col min="1" max="1" width="26.453125" style="128" customWidth="1"/>
    <col min="2" max="3" width="76.54296875" style="128" customWidth="1"/>
    <col min="4" max="4" width="51.90625" style="128" bestFit="1" customWidth="1"/>
    <col min="5" max="5" width="95.54296875" style="132" bestFit="1" customWidth="1"/>
    <col min="6" max="7" width="55.54296875" style="132" customWidth="1"/>
    <col min="8" max="8" width="72.90625" style="132" bestFit="1" customWidth="1"/>
    <col min="9" max="9" width="46.453125" style="128" bestFit="1" customWidth="1"/>
    <col min="10" max="13" width="55.54296875" style="128" customWidth="1"/>
    <col min="14" max="14" width="46.453125" style="128" bestFit="1" customWidth="1"/>
    <col min="15" max="15" width="74.6328125" style="128" bestFit="1" customWidth="1"/>
    <col min="16" max="16" width="77.90625" style="128" bestFit="1" customWidth="1"/>
    <col min="17" max="17" width="80.6328125" style="128" customWidth="1"/>
    <col min="18" max="18" width="65.36328125" style="128" customWidth="1"/>
    <col min="19" max="19" width="126.453125" style="128" customWidth="1"/>
    <col min="20" max="21" width="58.26953125" style="128" customWidth="1"/>
    <col min="22" max="22" width="51.90625" style="128" customWidth="1"/>
    <col min="23" max="23" width="73.81640625" style="132" customWidth="1"/>
    <col min="24" max="25" width="58.26953125" style="132" customWidth="1"/>
    <col min="26" max="26" width="55.54296875" style="128" bestFit="1" customWidth="1"/>
    <col min="27" max="36" width="9" style="128"/>
    <col min="37" max="37" width="8.7265625" style="128" customWidth="1"/>
    <col min="38" max="16384" width="9" style="128"/>
  </cols>
  <sheetData>
    <row r="1" spans="1:26" ht="88.5" x14ac:dyDescent="0.25">
      <c r="B1" s="1087" t="s">
        <v>539</v>
      </c>
      <c r="C1" s="1088"/>
      <c r="D1" s="1088"/>
      <c r="E1" s="1088"/>
      <c r="F1" s="1088"/>
      <c r="G1" s="1088"/>
      <c r="H1" s="1088"/>
      <c r="I1" s="1088"/>
      <c r="J1" s="1088"/>
      <c r="K1" s="1088"/>
      <c r="L1" s="1088"/>
      <c r="M1" s="1088"/>
      <c r="N1" s="1088"/>
      <c r="O1" s="1088"/>
      <c r="P1" s="1088"/>
      <c r="Q1" s="1088"/>
      <c r="R1" s="1088"/>
      <c r="S1" s="1088"/>
      <c r="T1" s="1088"/>
      <c r="U1" s="1088"/>
      <c r="V1" s="1088"/>
      <c r="W1" s="1088"/>
      <c r="X1" s="1088"/>
      <c r="Y1" s="1088"/>
      <c r="Z1" s="1089"/>
    </row>
    <row r="2" spans="1:26" ht="89" thickBot="1" x14ac:dyDescent="0.3">
      <c r="B2" s="1090" t="s">
        <v>555</v>
      </c>
      <c r="C2" s="1091"/>
      <c r="D2" s="1091"/>
      <c r="E2" s="1091"/>
      <c r="F2" s="1091"/>
      <c r="G2" s="1091"/>
      <c r="H2" s="1091"/>
      <c r="I2" s="1091"/>
      <c r="J2" s="1091"/>
      <c r="K2" s="1091"/>
      <c r="L2" s="1137"/>
      <c r="M2" s="1137"/>
      <c r="N2" s="1137"/>
      <c r="O2" s="1091"/>
      <c r="P2" s="1091"/>
      <c r="Q2" s="1091"/>
      <c r="R2" s="1091"/>
      <c r="S2" s="1091"/>
      <c r="T2" s="1091"/>
      <c r="U2" s="1091"/>
      <c r="V2" s="1091"/>
      <c r="W2" s="1091"/>
      <c r="X2" s="1091"/>
      <c r="Y2" s="1091"/>
      <c r="Z2" s="1092"/>
    </row>
    <row r="3" spans="1:26" s="129" customFormat="1" ht="117.5" customHeight="1" x14ac:dyDescent="0.25">
      <c r="B3" s="1093" t="s">
        <v>38</v>
      </c>
      <c r="C3" s="1070"/>
      <c r="D3" s="1071" t="s">
        <v>39</v>
      </c>
      <c r="E3" s="1071" t="s">
        <v>32</v>
      </c>
      <c r="F3" s="1094" t="s">
        <v>11</v>
      </c>
      <c r="G3" s="1070"/>
      <c r="H3" s="1071" t="s">
        <v>59</v>
      </c>
      <c r="I3" s="1071" t="s">
        <v>21</v>
      </c>
      <c r="J3" s="1095" t="s">
        <v>9</v>
      </c>
      <c r="K3" s="1138"/>
      <c r="L3" s="1095" t="s">
        <v>8</v>
      </c>
      <c r="M3" s="1138"/>
      <c r="N3" s="1237" t="s">
        <v>7</v>
      </c>
      <c r="O3" s="1070" t="s">
        <v>36</v>
      </c>
      <c r="P3" s="1071" t="s">
        <v>37</v>
      </c>
      <c r="Q3" s="1071" t="s">
        <v>45</v>
      </c>
      <c r="R3" s="1071" t="s">
        <v>10</v>
      </c>
      <c r="S3" s="1071" t="s">
        <v>62</v>
      </c>
      <c r="T3" s="1094" t="s">
        <v>35</v>
      </c>
      <c r="U3" s="1070"/>
      <c r="V3" s="1094" t="s">
        <v>60</v>
      </c>
      <c r="W3" s="1094" t="s">
        <v>61</v>
      </c>
      <c r="X3" s="1095" t="s">
        <v>63</v>
      </c>
      <c r="Y3" s="1096"/>
      <c r="Z3" s="1099" t="s">
        <v>43</v>
      </c>
    </row>
    <row r="4" spans="1:26" s="129" customFormat="1" ht="117.5" customHeight="1" x14ac:dyDescent="0.25">
      <c r="B4" s="1093"/>
      <c r="C4" s="1070"/>
      <c r="D4" s="1071"/>
      <c r="E4" s="1071"/>
      <c r="F4" s="1094"/>
      <c r="G4" s="1070"/>
      <c r="H4" s="1071"/>
      <c r="I4" s="1071"/>
      <c r="J4" s="1097"/>
      <c r="K4" s="1139"/>
      <c r="L4" s="1097"/>
      <c r="M4" s="1139"/>
      <c r="N4" s="1238"/>
      <c r="O4" s="1070"/>
      <c r="P4" s="1071"/>
      <c r="Q4" s="1071"/>
      <c r="R4" s="1071"/>
      <c r="S4" s="1071"/>
      <c r="T4" s="1094"/>
      <c r="U4" s="1070"/>
      <c r="V4" s="1094"/>
      <c r="W4" s="1094"/>
      <c r="X4" s="1097"/>
      <c r="Y4" s="1098"/>
      <c r="Z4" s="1099"/>
    </row>
    <row r="5" spans="1:26" ht="90" x14ac:dyDescent="0.25">
      <c r="B5" s="1067" t="s">
        <v>26</v>
      </c>
      <c r="C5" s="1068"/>
      <c r="D5" s="1068"/>
      <c r="E5" s="1068"/>
      <c r="F5" s="1068"/>
      <c r="G5" s="1068"/>
      <c r="H5" s="1068"/>
      <c r="I5" s="1068"/>
      <c r="J5" s="1068"/>
      <c r="K5" s="1068"/>
      <c r="L5" s="1068"/>
      <c r="M5" s="1068"/>
      <c r="N5" s="1068"/>
      <c r="O5" s="1068"/>
      <c r="P5" s="1068"/>
      <c r="Q5" s="1068"/>
      <c r="R5" s="1068"/>
      <c r="S5" s="1068"/>
      <c r="T5" s="1068"/>
      <c r="U5" s="1068"/>
      <c r="V5" s="1068"/>
      <c r="W5" s="1068"/>
      <c r="X5" s="1068"/>
      <c r="Y5" s="1068"/>
      <c r="Z5" s="1069"/>
    </row>
    <row r="6" spans="1:26" s="350" customFormat="1" ht="368" x14ac:dyDescent="0.25">
      <c r="B6" s="1085" t="str">
        <f>input!C124</f>
        <v xml:space="preserve">JOLIVER T. CABRADILLA </v>
      </c>
      <c r="C6" s="1086"/>
      <c r="D6" s="305">
        <f>input!D124</f>
        <v>8441</v>
      </c>
      <c r="E6" s="305" t="str">
        <f>input!E124</f>
        <v>Assistant Miner</v>
      </c>
      <c r="F6" s="1077" t="str">
        <f>input!F124</f>
        <v>Occupational Illness / Pain</v>
      </c>
      <c r="G6" s="1078"/>
      <c r="H6" s="305" t="str">
        <f>input!G124</f>
        <v>Nayak Mine Office Compound</v>
      </c>
      <c r="I6" s="305" t="str">
        <f>input!H124</f>
        <v>S (N/A)</v>
      </c>
      <c r="J6" s="1079">
        <f>input!I124</f>
        <v>46237</v>
      </c>
      <c r="K6" s="1080"/>
      <c r="L6" s="1126">
        <f>input!J124</f>
        <v>0.44444444444444442</v>
      </c>
      <c r="M6" s="1126"/>
      <c r="N6" s="392" t="str">
        <f>input!K124</f>
        <v>Second</v>
      </c>
      <c r="O6" s="352" t="str">
        <f>input!L124</f>
        <v>Hilbert G. Andong</v>
      </c>
      <c r="P6" s="352">
        <f>input!M124</f>
        <v>0</v>
      </c>
      <c r="Q6" s="352" t="str">
        <f>input!N124</f>
        <v>Leo D. Bulawit</v>
      </c>
      <c r="R6" s="352" t="str">
        <f>input!O124</f>
        <v>OI</v>
      </c>
      <c r="S6" s="352" t="str">
        <f>input!P124</f>
        <v>N/A</v>
      </c>
      <c r="T6" s="1083" t="str">
        <f>input!Q124</f>
        <v>WLT/SAU</v>
      </c>
      <c r="U6" s="1084"/>
      <c r="V6" s="305" t="str">
        <f>input!R124</f>
        <v>MOG</v>
      </c>
      <c r="W6" s="305" t="str">
        <f>input!S124</f>
        <v>Dept. 2</v>
      </c>
      <c r="X6" s="1077" t="str">
        <f>input!T124</f>
        <v>Section 5</v>
      </c>
      <c r="Y6" s="1078"/>
      <c r="Z6" s="353" t="str">
        <f>input!U124</f>
        <v>HMBR</v>
      </c>
    </row>
    <row r="7" spans="1:26" s="350" customFormat="1" ht="276" x14ac:dyDescent="0.25">
      <c r="B7" s="1085" t="str">
        <f>input!C125</f>
        <v>JOHN REY T. SABIO</v>
      </c>
      <c r="C7" s="1086"/>
      <c r="D7" s="305">
        <f>input!D125</f>
        <v>9861</v>
      </c>
      <c r="E7" s="305" t="str">
        <f>input!E125</f>
        <v>Jr. Maintenance Man</v>
      </c>
      <c r="F7" s="1077" t="str">
        <f>input!F125</f>
        <v>Struck by Flying Object</v>
      </c>
      <c r="G7" s="1078"/>
      <c r="H7" s="305" t="str">
        <f>input!G125</f>
        <v>Repair Bay</v>
      </c>
      <c r="I7" s="305" t="str">
        <f>input!H125</f>
        <v>900L</v>
      </c>
      <c r="J7" s="1079">
        <f>input!I125</f>
        <v>46237</v>
      </c>
      <c r="K7" s="1080"/>
      <c r="L7" s="1126">
        <f>input!J125</f>
        <v>0.8125</v>
      </c>
      <c r="M7" s="1126"/>
      <c r="N7" s="392" t="str">
        <f>input!K125</f>
        <v>Third</v>
      </c>
      <c r="O7" s="352" t="str">
        <f>input!L125</f>
        <v>Fernando A. Bustillo Jr.</v>
      </c>
      <c r="P7" s="352">
        <f>input!M125</f>
        <v>0</v>
      </c>
      <c r="Q7" s="352" t="str">
        <f>input!N125</f>
        <v>Joel M. Lopez</v>
      </c>
      <c r="R7" s="352" t="str">
        <f>input!O125</f>
        <v>FAC</v>
      </c>
      <c r="S7" s="352" t="str">
        <f>input!P125</f>
        <v>Repair of LHD unit</v>
      </c>
      <c r="T7" s="1083" t="str">
        <f>input!Q125</f>
        <v>JAW</v>
      </c>
      <c r="U7" s="1084"/>
      <c r="V7" s="305" t="str">
        <f>input!R125</f>
        <v>MOG</v>
      </c>
      <c r="W7" s="305" t="str">
        <f>input!S125</f>
        <v>MMME</v>
      </c>
      <c r="X7" s="1077" t="str">
        <f>input!T125</f>
        <v>Mobile</v>
      </c>
      <c r="Y7" s="1078"/>
      <c r="Z7" s="353" t="str">
        <f>input!U125</f>
        <v>HMBR</v>
      </c>
    </row>
    <row r="8" spans="1:26" s="350" customFormat="1" ht="276" customHeight="1" x14ac:dyDescent="0.25">
      <c r="B8" s="1085" t="str">
        <f>input!C126</f>
        <v>SHEMRAN A. KIWANG</v>
      </c>
      <c r="C8" s="1086"/>
      <c r="D8" s="305">
        <f>input!D126</f>
        <v>8747</v>
      </c>
      <c r="E8" s="305" t="str">
        <f>input!E126</f>
        <v>Assistant Miner</v>
      </c>
      <c r="F8" s="1077" t="str">
        <f>input!F126</f>
        <v>Fall on Same Level</v>
      </c>
      <c r="G8" s="1078"/>
      <c r="H8" s="305" t="str">
        <f>input!G126</f>
        <v>Stope</v>
      </c>
      <c r="I8" s="305" t="str">
        <f>input!H126</f>
        <v>800L</v>
      </c>
      <c r="J8" s="1079">
        <f>input!I126</f>
        <v>46244</v>
      </c>
      <c r="K8" s="1080"/>
      <c r="L8" s="1126">
        <f>input!J126</f>
        <v>0.14583333333333334</v>
      </c>
      <c r="M8" s="1126"/>
      <c r="N8" s="392" t="str">
        <f>input!K126</f>
        <v>First</v>
      </c>
      <c r="O8" s="352" t="str">
        <f>input!L126</f>
        <v>Venancio A. Bad-ay</v>
      </c>
      <c r="P8" s="352" t="str">
        <f>input!M126</f>
        <v>Dimas S. Gao-ay</v>
      </c>
      <c r="Q8" s="352" t="str">
        <f>input!N126</f>
        <v>Regie D. Espinosa</v>
      </c>
      <c r="R8" s="352" t="str">
        <f>input!O126</f>
        <v>FAC</v>
      </c>
      <c r="S8" s="352" t="str">
        <f>input!P126</f>
        <v>Breaking operation</v>
      </c>
      <c r="T8" s="1083" t="str">
        <f>input!Q126</f>
        <v>RWV/WDL</v>
      </c>
      <c r="U8" s="1084"/>
      <c r="V8" s="305" t="str">
        <f>input!R126</f>
        <v>MOG</v>
      </c>
      <c r="W8" s="305" t="str">
        <f>input!S126</f>
        <v>Dept. 1</v>
      </c>
      <c r="X8" s="1077" t="str">
        <f>input!T126</f>
        <v>Section 1</v>
      </c>
      <c r="Y8" s="1078"/>
      <c r="Z8" s="353" t="str">
        <f>input!U126</f>
        <v>HMBR</v>
      </c>
    </row>
    <row r="9" spans="1:26" s="350" customFormat="1" ht="368" customHeight="1" x14ac:dyDescent="0.25">
      <c r="B9" s="1085" t="str">
        <f>input!C127</f>
        <v>SALDY A. DALUG</v>
      </c>
      <c r="C9" s="1086"/>
      <c r="D9" s="305">
        <f>input!D127</f>
        <v>9727</v>
      </c>
      <c r="E9" s="305" t="str">
        <f>input!E127</f>
        <v>Assistant Miner</v>
      </c>
      <c r="F9" s="1077" t="str">
        <f>input!F127</f>
        <v>Over-Exertion in Pushing / Pulling Objects</v>
      </c>
      <c r="G9" s="1078"/>
      <c r="H9" s="305" t="str">
        <f>input!G127</f>
        <v>Loading Bay</v>
      </c>
      <c r="I9" s="305" t="str">
        <f>input!H127</f>
        <v>900L</v>
      </c>
      <c r="J9" s="1079">
        <f>input!I127</f>
        <v>46244</v>
      </c>
      <c r="K9" s="1080"/>
      <c r="L9" s="1126">
        <f>input!J127</f>
        <v>0.41666666666666669</v>
      </c>
      <c r="M9" s="1126"/>
      <c r="N9" s="392" t="str">
        <f>input!K127</f>
        <v>Second</v>
      </c>
      <c r="O9" s="352" t="str">
        <f>input!L127</f>
        <v>Venancio A. Bad-ay</v>
      </c>
      <c r="P9" s="352" t="str">
        <f>input!M127</f>
        <v>Dimas S. Gao-ay</v>
      </c>
      <c r="Q9" s="352" t="str">
        <f>input!N127</f>
        <v>Ryan M. Macaburas</v>
      </c>
      <c r="R9" s="352" t="str">
        <f>input!O127</f>
        <v>FAC</v>
      </c>
      <c r="S9" s="352" t="str">
        <f>input!P127</f>
        <v>Drilling operation</v>
      </c>
      <c r="T9" s="1083" t="str">
        <f>input!Q127</f>
        <v>DAM</v>
      </c>
      <c r="U9" s="1084"/>
      <c r="V9" s="305" t="str">
        <f>input!R127</f>
        <v>MOG</v>
      </c>
      <c r="W9" s="305" t="str">
        <f>input!S127</f>
        <v>Dept. 1</v>
      </c>
      <c r="X9" s="1077" t="str">
        <f>input!T127</f>
        <v>Section 1</v>
      </c>
      <c r="Y9" s="1078"/>
      <c r="Z9" s="353" t="str">
        <f>input!U127</f>
        <v>HMBR</v>
      </c>
    </row>
    <row r="10" spans="1:26" s="350" customFormat="1" ht="276" customHeight="1" x14ac:dyDescent="0.25">
      <c r="B10" s="1085" t="str">
        <f>input!C128</f>
        <v>LUNES D. MUSLING</v>
      </c>
      <c r="C10" s="1086"/>
      <c r="D10" s="305">
        <f>input!D128</f>
        <v>8481</v>
      </c>
      <c r="E10" s="305" t="str">
        <f>input!E128</f>
        <v>Assistant Miner</v>
      </c>
      <c r="F10" s="1077" t="str">
        <f>input!F128</f>
        <v>Occupational Illness / Pain</v>
      </c>
      <c r="G10" s="1078"/>
      <c r="H10" s="305" t="str">
        <f>input!G128</f>
        <v>Stope</v>
      </c>
      <c r="I10" s="305" t="str">
        <f>input!H128</f>
        <v>840L</v>
      </c>
      <c r="J10" s="1079">
        <f>input!I128</f>
        <v>46245</v>
      </c>
      <c r="K10" s="1080"/>
      <c r="L10" s="1126">
        <f>input!J128</f>
        <v>0.47916666666666669</v>
      </c>
      <c r="M10" s="1126"/>
      <c r="N10" s="392" t="str">
        <f>input!K128</f>
        <v>Second</v>
      </c>
      <c r="O10" s="352" t="str">
        <f>input!L128</f>
        <v>Hilbert G. Andong</v>
      </c>
      <c r="P10" s="352" t="str">
        <f>input!M128</f>
        <v>Reynaldo P. Kiking</v>
      </c>
      <c r="Q10" s="352" t="str">
        <f>input!N128</f>
        <v>Ambros C. Gabriel</v>
      </c>
      <c r="R10" s="352" t="str">
        <f>input!O128</f>
        <v>OI</v>
      </c>
      <c r="S10" s="352" t="str">
        <f>input!P128</f>
        <v>Drilling operation</v>
      </c>
      <c r="T10" s="1083">
        <f>input!Q128</f>
        <v>0</v>
      </c>
      <c r="U10" s="1084"/>
      <c r="V10" s="305" t="str">
        <f>input!R128</f>
        <v>MOG</v>
      </c>
      <c r="W10" s="305" t="str">
        <f>input!S128</f>
        <v>Dept. 2</v>
      </c>
      <c r="X10" s="1077" t="str">
        <f>input!T128</f>
        <v>Section 6</v>
      </c>
      <c r="Y10" s="1078"/>
      <c r="Z10" s="353" t="str">
        <f>input!U128</f>
        <v>HMBR</v>
      </c>
    </row>
    <row r="11" spans="1:26" s="350" customFormat="1" ht="276" customHeight="1" x14ac:dyDescent="0.25">
      <c r="B11" s="1085" t="str">
        <f>input!C130</f>
        <v>DIOSDADO A. COPE JR.</v>
      </c>
      <c r="C11" s="1086"/>
      <c r="D11" s="305">
        <f>input!D130</f>
        <v>7171</v>
      </c>
      <c r="E11" s="305" t="str">
        <f>input!E130</f>
        <v>Utility Man</v>
      </c>
      <c r="F11" s="1077" t="str">
        <f>input!F130</f>
        <v>Occupational Illness / Pain</v>
      </c>
      <c r="G11" s="1078"/>
      <c r="H11" s="305" t="str">
        <f>input!G130</f>
        <v>Nayak Mine Office Compound</v>
      </c>
      <c r="I11" s="305" t="str">
        <f>input!H130</f>
        <v>S (N/A)</v>
      </c>
      <c r="J11" s="1079">
        <f>input!I130</f>
        <v>46254</v>
      </c>
      <c r="K11" s="1080"/>
      <c r="L11" s="1126">
        <f>input!J130</f>
        <v>0.13541666666666666</v>
      </c>
      <c r="M11" s="1126"/>
      <c r="N11" s="392" t="str">
        <f>input!K130</f>
        <v>First</v>
      </c>
      <c r="O11" s="352" t="str">
        <f>input!L130</f>
        <v>N/A</v>
      </c>
      <c r="P11" s="352" t="str">
        <f>input!M130</f>
        <v>Art Benzene E. Lanip</v>
      </c>
      <c r="Q11" s="352" t="str">
        <f>input!N130</f>
        <v>N/A</v>
      </c>
      <c r="R11" s="352" t="str">
        <f>input!O130</f>
        <v>OI</v>
      </c>
      <c r="S11" s="352" t="str">
        <f>input!P130</f>
        <v>Cleaning</v>
      </c>
      <c r="T11" s="1083" t="str">
        <f>input!Q130</f>
        <v>DAM</v>
      </c>
      <c r="U11" s="1084"/>
      <c r="V11" s="305" t="str">
        <f>input!R130</f>
        <v>MOG</v>
      </c>
      <c r="W11" s="305" t="str">
        <f>input!S130</f>
        <v>Mine Management</v>
      </c>
      <c r="X11" s="1077" t="str">
        <f>input!T130</f>
        <v>Mine Technical Services</v>
      </c>
      <c r="Y11" s="1078"/>
      <c r="Z11" s="353" t="str">
        <f>input!U130</f>
        <v>HMBR</v>
      </c>
    </row>
    <row r="12" spans="1:26" s="350" customFormat="1" ht="184" x14ac:dyDescent="0.25">
      <c r="B12" s="1085" t="str">
        <f>input!C131</f>
        <v>MARK SHINK T. DAYAWON</v>
      </c>
      <c r="C12" s="1086"/>
      <c r="D12" s="305">
        <f>input!D131</f>
        <v>9554</v>
      </c>
      <c r="E12" s="305" t="str">
        <f>input!E131</f>
        <v>Assistant Miner</v>
      </c>
      <c r="F12" s="1077" t="str">
        <f>input!F131</f>
        <v>Struck by Falling Rock</v>
      </c>
      <c r="G12" s="1078"/>
      <c r="H12" s="305" t="str">
        <f>input!G131</f>
        <v>Breast Hole</v>
      </c>
      <c r="I12" s="305" t="str">
        <f>input!H131</f>
        <v>850L</v>
      </c>
      <c r="J12" s="1079">
        <f>input!I131</f>
        <v>46255</v>
      </c>
      <c r="K12" s="1080"/>
      <c r="L12" s="1126">
        <f>input!J131</f>
        <v>0.78472222222222221</v>
      </c>
      <c r="M12" s="1126"/>
      <c r="N12" s="392" t="str">
        <f>input!K131</f>
        <v>Third</v>
      </c>
      <c r="O12" s="352" t="str">
        <f>input!L131</f>
        <v>Venancio A. Bad-ay</v>
      </c>
      <c r="P12" s="352" t="str">
        <f>input!M131</f>
        <v>Dimas S. Gao-ay</v>
      </c>
      <c r="Q12" s="352" t="str">
        <f>input!N131</f>
        <v>Ryan M. Macaburas</v>
      </c>
      <c r="R12" s="352" t="str">
        <f>input!O131</f>
        <v>FAC</v>
      </c>
      <c r="S12" s="352" t="str">
        <f>input!P131</f>
        <v>Drilling operation</v>
      </c>
      <c r="T12" s="1083" t="str">
        <f>input!Q131</f>
        <v>RWV/FPP</v>
      </c>
      <c r="U12" s="1084"/>
      <c r="V12" s="305" t="str">
        <f>input!R131</f>
        <v>MOG</v>
      </c>
      <c r="W12" s="305" t="str">
        <f>input!S131</f>
        <v>Dept. 1</v>
      </c>
      <c r="X12" s="1077" t="str">
        <f>input!T131</f>
        <v>Section 1</v>
      </c>
      <c r="Y12" s="1078"/>
      <c r="Z12" s="353" t="str">
        <f>input!U131</f>
        <v>HMBR</v>
      </c>
    </row>
    <row r="13" spans="1:26" s="350" customFormat="1" ht="368" customHeight="1" x14ac:dyDescent="0.25">
      <c r="B13" s="1085" t="str">
        <f>input!C132</f>
        <v>GILBERT C. FACSOY</v>
      </c>
      <c r="C13" s="1086"/>
      <c r="D13" s="305">
        <f>input!D132</f>
        <v>7629</v>
      </c>
      <c r="E13" s="305" t="str">
        <f>input!E132</f>
        <v>LHD Optr</v>
      </c>
      <c r="F13" s="1077" t="str">
        <f>input!F132</f>
        <v>Struck by Falling Rock</v>
      </c>
      <c r="G13" s="1078"/>
      <c r="H13" s="305" t="str">
        <f>input!G132</f>
        <v>Breast Hole</v>
      </c>
      <c r="I13" s="305" t="str">
        <f>input!H132</f>
        <v>880L</v>
      </c>
      <c r="J13" s="1079">
        <f>input!I132</f>
        <v>46256</v>
      </c>
      <c r="K13" s="1080"/>
      <c r="L13" s="1126">
        <f>input!J132</f>
        <v>0.40625</v>
      </c>
      <c r="M13" s="1126"/>
      <c r="N13" s="392" t="str">
        <f>input!K132</f>
        <v>Second</v>
      </c>
      <c r="O13" s="352" t="str">
        <f>input!L132</f>
        <v>Hilbert G. Andong</v>
      </c>
      <c r="P13" s="352" t="str">
        <f>input!M132</f>
        <v>Reynaldo P. Kiking</v>
      </c>
      <c r="Q13" s="352" t="str">
        <f>input!N132</f>
        <v>John I. Naweywey</v>
      </c>
      <c r="R13" s="352" t="str">
        <f>input!O132</f>
        <v>FAC</v>
      </c>
      <c r="S13" s="352" t="str">
        <f>input!P132</f>
        <v>Mucking Activity</v>
      </c>
      <c r="T13" s="1083" t="str">
        <f>input!Q132</f>
        <v>WDL</v>
      </c>
      <c r="U13" s="1084"/>
      <c r="V13" s="305" t="str">
        <f>input!R132</f>
        <v>MOG</v>
      </c>
      <c r="W13" s="305" t="str">
        <f>input!S132</f>
        <v>Dept. 2</v>
      </c>
      <c r="X13" s="1077" t="str">
        <f>input!T132</f>
        <v>Section 6</v>
      </c>
      <c r="Y13" s="1078"/>
      <c r="Z13" s="353" t="str">
        <f>input!U132</f>
        <v>HMBR</v>
      </c>
    </row>
    <row r="14" spans="1:26" s="350" customFormat="1" ht="368" customHeight="1" x14ac:dyDescent="0.25">
      <c r="B14" s="1085" t="str">
        <f>input!C133</f>
        <v>BANGUIYAO, DIONISIO</v>
      </c>
      <c r="C14" s="1086"/>
      <c r="D14" s="305">
        <f>input!D133</f>
        <v>1046</v>
      </c>
      <c r="E14" s="305" t="str">
        <f>input!E133</f>
        <v>Assistant Miner</v>
      </c>
      <c r="F14" s="1077" t="str">
        <f>input!F133</f>
        <v>Struck by Object</v>
      </c>
      <c r="G14" s="1078"/>
      <c r="H14" s="305" t="str">
        <f>input!G133</f>
        <v>Ramp</v>
      </c>
      <c r="I14" s="305" t="str">
        <f>input!H133</f>
        <v>1000L</v>
      </c>
      <c r="J14" s="1079">
        <f>input!I133</f>
        <v>46257</v>
      </c>
      <c r="K14" s="1080"/>
      <c r="L14" s="1126">
        <f>input!J133</f>
        <v>0.84722222222222221</v>
      </c>
      <c r="M14" s="1126"/>
      <c r="N14" s="392" t="str">
        <f>input!K133</f>
        <v>Third</v>
      </c>
      <c r="O14" s="352" t="str">
        <f>input!L133</f>
        <v>Venancio A. Bad-ay</v>
      </c>
      <c r="P14" s="352" t="str">
        <f>input!M133</f>
        <v>Reynaldo P. Kiking</v>
      </c>
      <c r="Q14" s="352" t="str">
        <f>input!N133</f>
        <v>Frank C. Samdao Jr.</v>
      </c>
      <c r="R14" s="352" t="str">
        <f>input!O133</f>
        <v>FAC</v>
      </c>
      <c r="S14" s="352" t="str">
        <f>input!P133</f>
        <v>Outgoing Shift</v>
      </c>
      <c r="T14" s="1083" t="str">
        <f>input!Q133</f>
        <v>JAW</v>
      </c>
      <c r="U14" s="1084"/>
      <c r="V14" s="305" t="str">
        <f>input!R133</f>
        <v>MOG</v>
      </c>
      <c r="W14" s="305" t="str">
        <f>input!S133</f>
        <v>Dept. 1</v>
      </c>
      <c r="X14" s="1077" t="str">
        <f>input!T133</f>
        <v>Section 2</v>
      </c>
      <c r="Y14" s="1078"/>
      <c r="Z14" s="353" t="str">
        <f>input!U133</f>
        <v>HMBR</v>
      </c>
    </row>
    <row r="15" spans="1:26" ht="90" x14ac:dyDescent="0.25">
      <c r="B15" s="1072" t="s">
        <v>2165</v>
      </c>
      <c r="C15" s="1073"/>
      <c r="D15" s="1073"/>
      <c r="E15" s="1073"/>
      <c r="F15" s="1073"/>
      <c r="G15" s="1073"/>
      <c r="H15" s="1073"/>
      <c r="I15" s="1073"/>
      <c r="J15" s="1073"/>
      <c r="K15" s="1073"/>
      <c r="L15" s="1073"/>
      <c r="M15" s="1073"/>
      <c r="N15" s="1073"/>
      <c r="O15" s="1073"/>
      <c r="P15" s="1073"/>
      <c r="Q15" s="1073"/>
      <c r="R15" s="1073"/>
      <c r="S15" s="1073"/>
      <c r="T15" s="1073"/>
      <c r="U15" s="1073"/>
      <c r="V15" s="1073"/>
      <c r="W15" s="1073"/>
      <c r="X15" s="1073"/>
      <c r="Y15" s="1073"/>
      <c r="Z15" s="1074"/>
    </row>
    <row r="16" spans="1:26" ht="184" x14ac:dyDescent="0.25">
      <c r="A16" s="350"/>
      <c r="B16" s="1075" t="str">
        <f>input!C118</f>
        <v>ROWELL C. DELA CRUZ</v>
      </c>
      <c r="C16" s="1076"/>
      <c r="D16" s="305">
        <f>input!D118</f>
        <v>9386</v>
      </c>
      <c r="E16" s="305" t="str">
        <f>input!E118</f>
        <v>Surface Warehouseman</v>
      </c>
      <c r="F16" s="1077" t="str">
        <f>input!F118</f>
        <v>Eye Contact with Foreign Object</v>
      </c>
      <c r="G16" s="1078"/>
      <c r="H16" s="305" t="str">
        <f>input!G118</f>
        <v>TSF 5A</v>
      </c>
      <c r="I16" s="305" t="str">
        <f>input!H118</f>
        <v>S (N/A)</v>
      </c>
      <c r="J16" s="1079">
        <f>input!I118</f>
        <v>46238</v>
      </c>
      <c r="K16" s="1080"/>
      <c r="L16" s="1126">
        <f>input!J118</f>
        <v>0.4375</v>
      </c>
      <c r="M16" s="1126"/>
      <c r="N16" s="392" t="str">
        <f>input!K118</f>
        <v>Second</v>
      </c>
      <c r="O16" s="351" t="str">
        <f>input!L118</f>
        <v>Fe Marie W. Mates</v>
      </c>
      <c r="P16" s="351" t="str">
        <f>input!M118</f>
        <v>N/A</v>
      </c>
      <c r="Q16" s="351" t="str">
        <f>input!N118</f>
        <v>Karl Lloyd S. Valentin</v>
      </c>
      <c r="R16" s="351" t="str">
        <f>input!O118</f>
        <v>FAC</v>
      </c>
      <c r="S16" s="351" t="str">
        <f>input!P118</f>
        <v>Lifting and Piling of caustic sada sacks.</v>
      </c>
      <c r="T16" s="1083" t="str">
        <f>input!Q118</f>
        <v>ENC/MBM/MAAT</v>
      </c>
      <c r="U16" s="1084"/>
      <c r="V16" s="305" t="str">
        <f>input!R118</f>
        <v>FSG</v>
      </c>
      <c r="W16" s="305" t="str">
        <f>input!S118</f>
        <v>IMD</v>
      </c>
      <c r="X16" s="1077" t="str">
        <f>input!T118</f>
        <v>Surface Warehouse</v>
      </c>
      <c r="Y16" s="1078"/>
      <c r="Z16" s="353" t="str">
        <f>input!U118</f>
        <v>MAAT</v>
      </c>
    </row>
    <row r="17" spans="1:26" ht="184" x14ac:dyDescent="0.25">
      <c r="A17" s="350"/>
      <c r="B17" s="1075" t="str">
        <f>input!C119</f>
        <v>JUNJUN PATTONDOC</v>
      </c>
      <c r="C17" s="1076"/>
      <c r="D17" s="305">
        <f>input!D119</f>
        <v>8684</v>
      </c>
      <c r="E17" s="305" t="str">
        <f>input!E119</f>
        <v>Maintenance Man (PCES)</v>
      </c>
      <c r="F17" s="1077" t="str">
        <f>input!F119</f>
        <v>Contact with Object</v>
      </c>
      <c r="G17" s="1078"/>
      <c r="H17" s="305" t="str">
        <f>input!G119</f>
        <v>Carpentry Shop</v>
      </c>
      <c r="I17" s="305" t="str">
        <f>input!H119</f>
        <v>S (N/A)</v>
      </c>
      <c r="J17" s="1079">
        <f>input!I119</f>
        <v>46239</v>
      </c>
      <c r="K17" s="1080"/>
      <c r="L17" s="1126">
        <f>input!J119</f>
        <v>0.34722222222222227</v>
      </c>
      <c r="M17" s="1126"/>
      <c r="N17" s="392" t="str">
        <f>input!K119</f>
        <v>Second</v>
      </c>
      <c r="O17" s="351" t="str">
        <f>input!L119</f>
        <v>Abraham L. Davis</v>
      </c>
      <c r="P17" s="351" t="str">
        <f>input!M119</f>
        <v>Nathaneal D. Jugal</v>
      </c>
      <c r="Q17" s="351" t="str">
        <f>input!N119</f>
        <v>N/A</v>
      </c>
      <c r="R17" s="351" t="str">
        <f>input!O119</f>
        <v>FAC</v>
      </c>
      <c r="S17" s="351" t="str">
        <f>input!P119</f>
        <v>Hauling of stainless-steel gutters</v>
      </c>
      <c r="T17" s="1083" t="str">
        <f>input!Q119</f>
        <v>ENC/MAAT</v>
      </c>
      <c r="U17" s="1084"/>
      <c r="V17" s="305" t="str">
        <f>input!R119</f>
        <v>TSG</v>
      </c>
      <c r="W17" s="305" t="str">
        <f>input!S119</f>
        <v>PCES</v>
      </c>
      <c r="X17" s="1077" t="str">
        <f>input!T119</f>
        <v>Building Maintenance</v>
      </c>
      <c r="Y17" s="1078"/>
      <c r="Z17" s="353" t="str">
        <f>input!U119</f>
        <v>MAAT</v>
      </c>
    </row>
    <row r="18" spans="1:26" ht="184" x14ac:dyDescent="0.25">
      <c r="A18" s="350"/>
      <c r="B18" s="1075" t="str">
        <f>input!C120</f>
        <v>HARLEM B. BALONG</v>
      </c>
      <c r="C18" s="1076"/>
      <c r="D18" s="305">
        <f>input!D120</f>
        <v>9873</v>
      </c>
      <c r="E18" s="305" t="str">
        <f>input!E120</f>
        <v>Crusher Operator</v>
      </c>
      <c r="F18" s="1077" t="str">
        <f>input!F120</f>
        <v>Over-Exertion in Lifting Objects</v>
      </c>
      <c r="G18" s="1078"/>
      <c r="H18" s="305" t="str">
        <f>input!G120</f>
        <v>Crushing Area</v>
      </c>
      <c r="I18" s="305" t="str">
        <f>input!H120</f>
        <v>S (N/A)</v>
      </c>
      <c r="J18" s="1079">
        <f>input!I120</f>
        <v>46245</v>
      </c>
      <c r="K18" s="1080"/>
      <c r="L18" s="1126">
        <f>input!J120</f>
        <v>0.375</v>
      </c>
      <c r="M18" s="1126"/>
      <c r="N18" s="392" t="str">
        <f>input!K120</f>
        <v>Second</v>
      </c>
      <c r="O18" s="351" t="str">
        <f>input!L120</f>
        <v>Dexter B. Arevalo</v>
      </c>
      <c r="P18" s="351" t="str">
        <f>input!M120</f>
        <v>Jeric T. Dulawan</v>
      </c>
      <c r="Q18" s="351" t="str">
        <f>input!N120</f>
        <v>Aquino P. Lawana Jr.</v>
      </c>
      <c r="R18" s="351" t="str">
        <f>input!O120</f>
        <v>FAC</v>
      </c>
      <c r="S18" s="351" t="str">
        <f>input!P120</f>
        <v>Barring down stuck ore.</v>
      </c>
      <c r="T18" s="1083" t="str">
        <f>input!Q120</f>
        <v>ADA/MBM/MAAT</v>
      </c>
      <c r="U18" s="1084"/>
      <c r="V18" s="305" t="str">
        <f>input!R120</f>
        <v>MPG</v>
      </c>
      <c r="W18" s="305" t="str">
        <f>input!S120</f>
        <v>Mill Operations</v>
      </c>
      <c r="X18" s="1077" t="str">
        <f>input!T120</f>
        <v>Crushing &amp; Grinding</v>
      </c>
      <c r="Y18" s="1078"/>
      <c r="Z18" s="353" t="str">
        <f>input!U120</f>
        <v>MAAT</v>
      </c>
    </row>
    <row r="19" spans="1:26" ht="276" x14ac:dyDescent="0.25">
      <c r="A19" s="350"/>
      <c r="B19" s="1075" t="str">
        <f>input!C121</f>
        <v>AGOSTO P. MIGUEL</v>
      </c>
      <c r="C19" s="1076"/>
      <c r="D19" s="305">
        <f>input!D121</f>
        <v>3017</v>
      </c>
      <c r="E19" s="305" t="str">
        <f>input!E121</f>
        <v>Maintenance Man (TSF)</v>
      </c>
      <c r="F19" s="1077" t="str">
        <f>input!F121</f>
        <v>Struck by Object</v>
      </c>
      <c r="G19" s="1078"/>
      <c r="H19" s="305" t="str">
        <f>input!G121</f>
        <v>TSF 5A</v>
      </c>
      <c r="I19" s="305" t="str">
        <f>input!H121</f>
        <v>S (N/A)</v>
      </c>
      <c r="J19" s="1079">
        <f>input!I121</f>
        <v>46247</v>
      </c>
      <c r="K19" s="1080"/>
      <c r="L19" s="1126">
        <f>input!J121</f>
        <v>0.375</v>
      </c>
      <c r="M19" s="1126"/>
      <c r="N19" s="392" t="str">
        <f>input!K121</f>
        <v>Second</v>
      </c>
      <c r="O19" s="351" t="str">
        <f>input!L121</f>
        <v>Fabrian Roderick S. Likigan</v>
      </c>
      <c r="P19" s="351" t="str">
        <f>input!M121</f>
        <v>Jordan P. Masidong</v>
      </c>
      <c r="Q19" s="351" t="str">
        <f>input!N121</f>
        <v>Sidney Lee B. Balong</v>
      </c>
      <c r="R19" s="351" t="str">
        <f>input!O121</f>
        <v>FAC</v>
      </c>
      <c r="S19" s="351" t="str">
        <f>input!P121</f>
        <v>Ripraping Activity</v>
      </c>
      <c r="T19" s="1083" t="str">
        <f>input!Q121</f>
        <v>ADA/MBM/MAAT</v>
      </c>
      <c r="U19" s="1084"/>
      <c r="V19" s="305" t="str">
        <f>input!R121</f>
        <v>GMG</v>
      </c>
      <c r="W19" s="305" t="str">
        <f>input!S121</f>
        <v>TSF 5A</v>
      </c>
      <c r="X19" s="1077">
        <f>input!T121</f>
        <v>0</v>
      </c>
      <c r="Y19" s="1078"/>
      <c r="Z19" s="353" t="str">
        <f>input!U121</f>
        <v>MAAT</v>
      </c>
    </row>
    <row r="20" spans="1:26" ht="184" x14ac:dyDescent="0.25">
      <c r="A20" s="350"/>
      <c r="B20" s="1075" t="str">
        <f>input!C123</f>
        <v>DESMOND D. BAYANGAN</v>
      </c>
      <c r="C20" s="1076"/>
      <c r="D20" s="305">
        <f>input!D123</f>
        <v>8809</v>
      </c>
      <c r="E20" s="305" t="str">
        <f>input!E123</f>
        <v>Maintenance Man (PCES)</v>
      </c>
      <c r="F20" s="1077" t="str">
        <f>input!F123</f>
        <v>Eye Contact with Foreign Object</v>
      </c>
      <c r="G20" s="1078"/>
      <c r="H20" s="305" t="str">
        <f>input!G123</f>
        <v>Sump</v>
      </c>
      <c r="I20" s="305" t="str">
        <f>input!H123</f>
        <v>S (N/A)</v>
      </c>
      <c r="J20" s="1079">
        <f>input!I123</f>
        <v>46258</v>
      </c>
      <c r="K20" s="1080"/>
      <c r="L20" s="1126">
        <f>input!J123</f>
        <v>0.625</v>
      </c>
      <c r="M20" s="1126"/>
      <c r="N20" s="392" t="str">
        <f>input!K123</f>
        <v>Second</v>
      </c>
      <c r="O20" s="351" t="str">
        <f>input!L123</f>
        <v>Abraham L. Davis</v>
      </c>
      <c r="P20" s="351" t="str">
        <f>input!M123</f>
        <v>Dember F. Dictaan Jr.</v>
      </c>
      <c r="Q20" s="351" t="str">
        <f>input!N123</f>
        <v>N/A</v>
      </c>
      <c r="R20" s="351" t="str">
        <f>input!O123</f>
        <v>FAC</v>
      </c>
      <c r="S20" s="351" t="str">
        <f>input!P123</f>
        <v>Cleaning of spilled tails.</v>
      </c>
      <c r="T20" s="1083" t="str">
        <f>input!Q123</f>
        <v>RML/MBM/MAAT</v>
      </c>
      <c r="U20" s="1084"/>
      <c r="V20" s="305" t="str">
        <f>input!R123</f>
        <v>TSG</v>
      </c>
      <c r="W20" s="305" t="str">
        <f>input!S123</f>
        <v>PCES</v>
      </c>
      <c r="X20" s="1077" t="str">
        <f>input!T123</f>
        <v>Plumbing and Water Supply</v>
      </c>
      <c r="Y20" s="1078"/>
      <c r="Z20" s="353" t="str">
        <f>input!U123</f>
        <v>MAAT</v>
      </c>
    </row>
    <row r="21" spans="1:26" ht="90" customHeight="1" x14ac:dyDescent="0.25">
      <c r="B21" s="1072" t="s">
        <v>80</v>
      </c>
      <c r="C21" s="1073"/>
      <c r="D21" s="1073"/>
      <c r="E21" s="1073"/>
      <c r="F21" s="1073"/>
      <c r="G21" s="1073"/>
      <c r="H21" s="1073"/>
      <c r="I21" s="1073"/>
      <c r="J21" s="1073"/>
      <c r="K21" s="1073"/>
      <c r="L21" s="1073"/>
      <c r="M21" s="1073"/>
      <c r="N21" s="1073"/>
      <c r="O21" s="1073"/>
      <c r="P21" s="1073"/>
      <c r="Q21" s="1073"/>
      <c r="R21" s="1073"/>
      <c r="S21" s="1073"/>
      <c r="T21" s="1073"/>
      <c r="U21" s="1073"/>
      <c r="V21" s="1073"/>
      <c r="W21" s="1073"/>
      <c r="X21" s="1073"/>
      <c r="Y21" s="1073"/>
      <c r="Z21" s="1074"/>
    </row>
    <row r="22" spans="1:26" ht="184" customHeight="1" x14ac:dyDescent="0.25">
      <c r="A22" s="350"/>
      <c r="B22" s="1075" t="str">
        <f>input!C122</f>
        <v>VERONICA T. VELASCO</v>
      </c>
      <c r="C22" s="1076"/>
      <c r="D22" s="305">
        <f>input!D122</f>
        <v>8360</v>
      </c>
      <c r="E22" s="305" t="str">
        <f>input!E122</f>
        <v>Laboratory Analyst</v>
      </c>
      <c r="F22" s="1077" t="str">
        <f>input!F122</f>
        <v>Property Damage</v>
      </c>
      <c r="G22" s="1078"/>
      <c r="H22" s="305" t="str">
        <f>input!G122</f>
        <v>Assay Laboratory</v>
      </c>
      <c r="I22" s="305" t="str">
        <f>input!H122</f>
        <v>S (N/A)</v>
      </c>
      <c r="J22" s="1079">
        <f>input!I122</f>
        <v>46257</v>
      </c>
      <c r="K22" s="1080"/>
      <c r="L22" s="1126">
        <f>input!J122</f>
        <v>4.8611111111111112E-2</v>
      </c>
      <c r="M22" s="1126"/>
      <c r="N22" s="392" t="str">
        <f>input!K122</f>
        <v>First</v>
      </c>
      <c r="O22" s="351" t="str">
        <f>input!L122</f>
        <v>Lourdes F. Inao</v>
      </c>
      <c r="P22" s="351" t="str">
        <f>input!M122</f>
        <v>N/A</v>
      </c>
      <c r="Q22" s="351" t="str">
        <f>input!N122</f>
        <v>Nicole C. Dompayag</v>
      </c>
      <c r="R22" s="351" t="str">
        <f>input!O122</f>
        <v>PD</v>
      </c>
      <c r="S22" s="351" t="str">
        <f>input!P122</f>
        <v>Performing dilution on a separate sample</v>
      </c>
      <c r="T22" s="1083" t="str">
        <f>input!Q122</f>
        <v>ENC</v>
      </c>
      <c r="U22" s="1084"/>
      <c r="V22" s="305" t="str">
        <f>input!R122</f>
        <v>GMG</v>
      </c>
      <c r="W22" s="305" t="str">
        <f>input!S122</f>
        <v>Assay</v>
      </c>
      <c r="X22" s="1077" t="str">
        <f>input!T122</f>
        <v>Wet Assay / Mineral Lab</v>
      </c>
      <c r="Y22" s="1078"/>
      <c r="Z22" s="353" t="str">
        <f>input!U122</f>
        <v>MAAT</v>
      </c>
    </row>
    <row r="23" spans="1:26" ht="184" customHeight="1" x14ac:dyDescent="0.25">
      <c r="A23" s="350"/>
      <c r="B23" s="1075" t="str">
        <f>input!C129</f>
        <v>LHD 139</v>
      </c>
      <c r="C23" s="1076"/>
      <c r="D23" s="305">
        <f>input!D129</f>
        <v>139</v>
      </c>
      <c r="E23" s="305" t="str">
        <f>input!E129</f>
        <v>N/A</v>
      </c>
      <c r="F23" s="1077" t="str">
        <f>input!F129</f>
        <v>Property Damage</v>
      </c>
      <c r="G23" s="1078"/>
      <c r="H23" s="305" t="str">
        <f>input!G129</f>
        <v>Chute</v>
      </c>
      <c r="I23" s="305" t="str">
        <f>input!H129</f>
        <v>1040L</v>
      </c>
      <c r="J23" s="1079">
        <f>input!I129</f>
        <v>46252</v>
      </c>
      <c r="K23" s="1080"/>
      <c r="L23" s="1126">
        <f>input!J129</f>
        <v>0.47916666666666669</v>
      </c>
      <c r="M23" s="1126"/>
      <c r="N23" s="392" t="str">
        <f>input!K129</f>
        <v>Second</v>
      </c>
      <c r="O23" s="351" t="str">
        <f>input!L129</f>
        <v>Hilbert G. Andong</v>
      </c>
      <c r="P23" s="351" t="str">
        <f>input!M129</f>
        <v>Ruben T. Saliwey</v>
      </c>
      <c r="Q23" s="351" t="str">
        <f>input!N129</f>
        <v>Reynaldo C. Agno</v>
      </c>
      <c r="R23" s="351" t="str">
        <f>input!O129</f>
        <v>PD</v>
      </c>
      <c r="S23" s="351" t="str">
        <f>input!P129</f>
        <v>Mucking Activity</v>
      </c>
      <c r="T23" s="1083" t="str">
        <f>input!Q13</f>
        <v>ENC</v>
      </c>
      <c r="U23" s="1084"/>
      <c r="V23" s="305" t="str">
        <f>input!R129</f>
        <v>MOG</v>
      </c>
      <c r="W23" s="305" t="str">
        <f>input!S13</f>
        <v>IOSD</v>
      </c>
      <c r="X23" s="1077" t="str">
        <f>input!T13</f>
        <v>N/A - Community</v>
      </c>
      <c r="Y23" s="1078"/>
      <c r="Z23" s="353" t="str">
        <f>input!U129</f>
        <v>HMBR</v>
      </c>
    </row>
    <row r="24" spans="1:26" ht="90" customHeight="1" x14ac:dyDescent="0.25">
      <c r="B24" s="1072" t="s">
        <v>675</v>
      </c>
      <c r="C24" s="1073"/>
      <c r="D24" s="1073"/>
      <c r="E24" s="1073"/>
      <c r="F24" s="1073"/>
      <c r="G24" s="1073"/>
      <c r="H24" s="1073"/>
      <c r="I24" s="1073"/>
      <c r="J24" s="1073"/>
      <c r="K24" s="1073"/>
      <c r="L24" s="1073"/>
      <c r="M24" s="1073"/>
      <c r="N24" s="1073"/>
      <c r="O24" s="1073"/>
      <c r="P24" s="1073"/>
      <c r="Q24" s="1073"/>
      <c r="R24" s="1073"/>
      <c r="S24" s="1073"/>
      <c r="T24" s="1073"/>
      <c r="U24" s="1073"/>
      <c r="V24" s="1073"/>
      <c r="W24" s="1073"/>
      <c r="X24" s="1073"/>
      <c r="Y24" s="1073"/>
      <c r="Z24" s="1074"/>
    </row>
    <row r="25" spans="1:26" s="133" customFormat="1" ht="92.5" thickBot="1" x14ac:dyDescent="0.3">
      <c r="A25" s="350"/>
      <c r="B25" s="1075"/>
      <c r="C25" s="1076"/>
      <c r="D25" s="304"/>
      <c r="E25" s="304"/>
      <c r="F25" s="1077"/>
      <c r="G25" s="1078"/>
      <c r="H25" s="305"/>
      <c r="I25" s="305"/>
      <c r="J25" s="1100"/>
      <c r="K25" s="1101"/>
      <c r="L25" s="1126"/>
      <c r="M25" s="1126"/>
      <c r="N25" s="392"/>
      <c r="O25" s="352"/>
      <c r="P25" s="352"/>
      <c r="Q25" s="352"/>
      <c r="R25" s="352"/>
      <c r="S25" s="352"/>
      <c r="T25" s="1083"/>
      <c r="U25" s="1084"/>
      <c r="V25" s="305"/>
      <c r="W25" s="305"/>
      <c r="X25" s="1077"/>
      <c r="Y25" s="1078"/>
      <c r="Z25" s="353"/>
    </row>
    <row r="26" spans="1:26" ht="82" customHeight="1" x14ac:dyDescent="0.25">
      <c r="B26" s="1102" t="s">
        <v>22</v>
      </c>
      <c r="C26" s="1103"/>
      <c r="D26" s="306" t="s">
        <v>6</v>
      </c>
      <c r="E26" s="306" t="s">
        <v>2</v>
      </c>
      <c r="F26" s="306" t="s">
        <v>3</v>
      </c>
      <c r="G26" s="306" t="s">
        <v>1</v>
      </c>
      <c r="H26" s="306" t="s">
        <v>0</v>
      </c>
      <c r="I26" s="306" t="s">
        <v>53</v>
      </c>
      <c r="J26" s="306" t="s">
        <v>12</v>
      </c>
      <c r="K26" s="306" t="s">
        <v>693</v>
      </c>
      <c r="L26" s="306" t="s">
        <v>5</v>
      </c>
      <c r="M26" s="307" t="s">
        <v>40</v>
      </c>
      <c r="N26" s="1008" t="s">
        <v>11</v>
      </c>
      <c r="O26" s="1008"/>
      <c r="P26" s="1007"/>
      <c r="Q26" s="308" t="s">
        <v>6</v>
      </c>
      <c r="R26" s="308" t="s">
        <v>2</v>
      </c>
      <c r="S26" s="308" t="s">
        <v>3</v>
      </c>
      <c r="T26" s="308" t="s">
        <v>1</v>
      </c>
      <c r="U26" s="308" t="s">
        <v>0</v>
      </c>
      <c r="V26" s="308" t="s">
        <v>53</v>
      </c>
      <c r="W26" s="308" t="s">
        <v>12</v>
      </c>
      <c r="X26" s="308" t="s">
        <v>693</v>
      </c>
      <c r="Y26" s="308" t="s">
        <v>5</v>
      </c>
      <c r="Z26" s="309" t="s">
        <v>40</v>
      </c>
    </row>
    <row r="27" spans="1:26" ht="92" x14ac:dyDescent="0.25">
      <c r="B27" s="1104" t="s">
        <v>33</v>
      </c>
      <c r="C27" s="1105"/>
      <c r="D27" s="310">
        <f>COUNTIFS(input!$O:$O,August!$D$26,input!$E:$E,August!B27,input!$A:$A,August!$B$2)</f>
        <v>0</v>
      </c>
      <c r="E27" s="310">
        <f>COUNTIFS(input!$O:$O,August!$E$26,input!$E:$E,August!B27,input!$A:$A,August!$B$2)</f>
        <v>0</v>
      </c>
      <c r="F27" s="310">
        <f>COUNTIFS(input!$O:$O,August!$F$26,input!$E:$E,August!B27,input!$A:$A,August!$B$2)</f>
        <v>0</v>
      </c>
      <c r="G27" s="314">
        <f>COUNTIFS(input!$O:$O,August!$G$26,input!$E:$E,August!B27,input!$A:$A,August!$B$2)</f>
        <v>4</v>
      </c>
      <c r="H27" s="314">
        <f>COUNTIFS(input!$O:$O,August!$H$26,input!$E:$E,August!B27,input!$A:$A,August!$B$2)</f>
        <v>0</v>
      </c>
      <c r="I27" s="314">
        <f>COUNTIFS(input!$O:$O,August!$I$26,input!$E:$E,August!B27,input!$A:$A,August!$B$2)</f>
        <v>2</v>
      </c>
      <c r="J27" s="314">
        <f>COUNTIFS(input!$O:$O,August!$K$26,input!$E:$E,August!B27,input!$A:$A,August!$B$2)</f>
        <v>0</v>
      </c>
      <c r="K27" s="314">
        <f>COUNTIFS(input!$O:$O,August!$K$26,input!$E:$E,August!B27,input!$A:$A,August!$B$2)</f>
        <v>0</v>
      </c>
      <c r="L27" s="312">
        <f t="shared" ref="L27:L38" si="0">SUM(D27:K27)</f>
        <v>6</v>
      </c>
      <c r="M27" s="313" cm="1">
        <f t="array" ref="M27">_xlfn.IFS(L27=0,0,L27&gt;=1,L27/$L$74)</f>
        <v>0.375</v>
      </c>
      <c r="N27" s="1106" t="s">
        <v>86</v>
      </c>
      <c r="O27" s="1106"/>
      <c r="P27" s="1105"/>
      <c r="Q27" s="310">
        <f>COUNTIFS(input!$O:$O,August!$Q$26,input!$F:$F,August!N27,input!$A:$A,August!$B$2)</f>
        <v>0</v>
      </c>
      <c r="R27" s="310">
        <f>COUNTIFS(input!$O:$O,August!$R$26,input!$F:$F,August!N27,input!$A:$A,August!$B$2)</f>
        <v>0</v>
      </c>
      <c r="S27" s="310">
        <f>COUNTIFS(input!$O:$O,August!$S$26,input!$F:$F,August!N27,input!$A:$A,August!$B$2)</f>
        <v>0</v>
      </c>
      <c r="T27" s="314">
        <f>COUNTIFS(input!$O:$O,August!$T$26,input!$F:$F,August!N27,input!$A:$A,August!$B$2)</f>
        <v>2</v>
      </c>
      <c r="U27" s="314">
        <f>COUNTIFS(input!$O:$O,August!$U$26,input!$F:$F,August!N27,input!$A:$A,August!$B$2)</f>
        <v>0</v>
      </c>
      <c r="V27" s="314">
        <f>COUNTIFS(input!$O:$O,August!$V$26,input!$F:$F,August!N27,input!$A:$A,August!$B$2)</f>
        <v>0</v>
      </c>
      <c r="W27" s="314">
        <f>COUNTIFS(input!$O:$O,August!$W$26,input!$F:$F,August!N27,input!$A:$A,August!$B$2)</f>
        <v>0</v>
      </c>
      <c r="X27" s="314">
        <f>COUNTIFS(input!$O:$O,August!$X$26,input!$F:$F,August!N27,input!$A:$A,August!$B$2)</f>
        <v>0</v>
      </c>
      <c r="Y27" s="312">
        <f>SUM(Q27:X27)</f>
        <v>2</v>
      </c>
      <c r="Z27" s="315" cm="1">
        <f t="array" ref="Z27">_xlfn.IFS(Y27=0,0,Y27&gt;=1,Y27/$Y$74)</f>
        <v>0.125</v>
      </c>
    </row>
    <row r="28" spans="1:26" ht="92" x14ac:dyDescent="0.25">
      <c r="B28" s="1121" t="s">
        <v>472</v>
      </c>
      <c r="C28" s="1066"/>
      <c r="D28" s="316">
        <f>COUNTIFS(input!$O:$O,August!$D$26,input!$E:$E,August!B28,input!$A:$A,August!$B$2)</f>
        <v>0</v>
      </c>
      <c r="E28" s="316">
        <f>COUNTIFS(input!$O:$O,August!$E$26,input!$E:$E,August!B28,input!$A:$A,August!$B$2)</f>
        <v>0</v>
      </c>
      <c r="F28" s="316">
        <f>COUNTIFS(input!$O:$O,August!$F$26,input!$E:$E,August!B28,input!$A:$A,August!$B$2)</f>
        <v>0</v>
      </c>
      <c r="G28" s="322">
        <f>COUNTIFS(input!$O:$O,August!$G$26,input!$E:$E,August!B28,input!$A:$A,August!$B$2)</f>
        <v>0</v>
      </c>
      <c r="H28" s="322">
        <f>COUNTIFS(input!$O:$O,August!$H$26,input!$E:$E,August!B28,input!$A:$A,August!$B$2)</f>
        <v>0</v>
      </c>
      <c r="I28" s="322">
        <f>COUNTIFS(input!$O:$O,August!$I$26,input!$E:$E,August!B28,input!$A:$A,August!$B$2)</f>
        <v>0</v>
      </c>
      <c r="J28" s="322">
        <f>COUNTIFS(input!$O:$O,August!$K$26,input!$E:$E,August!B28,input!$A:$A,August!$B$2)</f>
        <v>0</v>
      </c>
      <c r="K28" s="436">
        <f>COUNTIFS(input!$O:$O,August!$K$26,input!$E:$E,August!B28,input!$A:$A,August!$B$2)</f>
        <v>0</v>
      </c>
      <c r="L28" s="312">
        <f t="shared" si="0"/>
        <v>0</v>
      </c>
      <c r="M28" s="313" cm="1">
        <f t="array" ref="M28">_xlfn.IFS(L28=0,0,L28&gt;=1,L28/$L$74)</f>
        <v>0</v>
      </c>
      <c r="N28" s="1016" t="s">
        <v>2028</v>
      </c>
      <c r="O28" s="1016"/>
      <c r="P28" s="991"/>
      <c r="Q28" s="316">
        <f>COUNTIFS(input!$O:$O,August!$Q$26,input!$F:$F,August!N28,input!$A:$A,August!$B$2)</f>
        <v>0</v>
      </c>
      <c r="R28" s="316">
        <f>COUNTIFS(input!$O:$O,August!$R$26,input!$F:$F,August!N28,input!$A:$A,August!$B$2)</f>
        <v>0</v>
      </c>
      <c r="S28" s="316">
        <f>COUNTIFS(input!$O:$O,August!$S$26,input!$F:$F,August!N28,input!$A:$A,August!$B$2)</f>
        <v>0</v>
      </c>
      <c r="T28" s="321">
        <f>COUNTIFS(input!$O:$O,August!$T$26,input!$F:$F,August!N28,input!$A:$A,August!$B$2)</f>
        <v>1</v>
      </c>
      <c r="U28" s="322">
        <f>COUNTIFS(input!$O:$O,August!$U$26,input!$F:$F,August!N28,input!$A:$A,August!$B$2)</f>
        <v>0</v>
      </c>
      <c r="V28" s="322">
        <f>COUNTIFS(input!$O:$O,August!$V$26,input!$F:$F,August!N28,input!$A:$A,August!$B$2)</f>
        <v>0</v>
      </c>
      <c r="W28" s="323">
        <f>COUNTIFS(input!$O:$O,August!$W$26,input!$F:$F,August!N28,input!$A:$A,August!$B$2)</f>
        <v>0</v>
      </c>
      <c r="X28" s="324">
        <f>COUNTIFS(input!$O:$O,August!$X$26,input!$F:$F,August!N28,input!$A:$A,August!$B$2)</f>
        <v>0</v>
      </c>
      <c r="Y28" s="312">
        <f>SUM(Q28:X28)</f>
        <v>1</v>
      </c>
      <c r="Z28" s="315" cm="1">
        <f t="array" ref="Z28">_xlfn.IFS(Y28=0,0,Y28&gt;=1,Y28/$Y$74)</f>
        <v>6.25E-2</v>
      </c>
    </row>
    <row r="29" spans="1:26" ht="92" customHeight="1" x14ac:dyDescent="0.25">
      <c r="B29" s="1121" t="s">
        <v>1781</v>
      </c>
      <c r="C29" s="1066"/>
      <c r="D29" s="316">
        <f>COUNTIFS(input!$O:$O,August!$D$26,input!$E:$E,August!B29,input!$A:$A,August!$B$2)</f>
        <v>0</v>
      </c>
      <c r="E29" s="316">
        <f>COUNTIFS(input!$O:$O,August!$E$26,input!$E:$E,August!B29,input!$A:$A,August!$B$2)</f>
        <v>0</v>
      </c>
      <c r="F29" s="316">
        <f>COUNTIFS(input!$O:$O,August!$F$26,input!$E:$E,August!B29,input!$A:$A,August!$B$2)</f>
        <v>0</v>
      </c>
      <c r="G29" s="322">
        <f>COUNTIFS(input!$O:$O,August!$G$26,input!$E:$E,August!B29,input!$A:$A,August!$B$2)</f>
        <v>0</v>
      </c>
      <c r="H29" s="322">
        <f>COUNTIFS(input!$O:$O,August!$H$26,input!$E:$E,August!B29,input!$A:$A,August!$B$2)</f>
        <v>0</v>
      </c>
      <c r="I29" s="322">
        <f>COUNTIFS(input!$O:$O,August!$I$26,input!$E:$E,August!B29,input!$A:$A,August!$B$2)</f>
        <v>0</v>
      </c>
      <c r="J29" s="322">
        <f>COUNTIFS(input!$O:$O,August!$K$26,input!$E:$E,August!B29,input!$A:$A,August!$B$2)</f>
        <v>0</v>
      </c>
      <c r="K29" s="436">
        <f>COUNTIFS(input!$O:$O,August!$K$26,input!$E:$E,August!B29,input!$A:$A,August!$B$2)</f>
        <v>0</v>
      </c>
      <c r="L29" s="312">
        <f t="shared" si="0"/>
        <v>0</v>
      </c>
      <c r="M29" s="313" cm="1">
        <f t="array" ref="M29">_xlfn.IFS(L29=0,0,L29&gt;=1,L29/$L$74)</f>
        <v>0</v>
      </c>
      <c r="N29" s="1065" t="s">
        <v>138</v>
      </c>
      <c r="O29" s="1065"/>
      <c r="P29" s="1066"/>
      <c r="Q29" s="316">
        <f>COUNTIFS(input!$O:$O,August!$Q$26,input!$F:$F,August!N29,input!$A:$A,August!$B$2)</f>
        <v>0</v>
      </c>
      <c r="R29" s="316">
        <f>COUNTIFS(input!$O:$O,August!$R$26,input!$F:$F,August!N29,input!$A:$A,August!$B$2)</f>
        <v>0</v>
      </c>
      <c r="S29" s="316">
        <f>COUNTIFS(input!$O:$O,August!$S$26,input!$F:$F,August!N29,input!$A:$A,August!$B$2)</f>
        <v>0</v>
      </c>
      <c r="T29" s="321">
        <f>COUNTIFS(input!$O:$O,August!$T$26,input!$F:$F,August!N29,input!$A:$A,August!$B$2)</f>
        <v>0</v>
      </c>
      <c r="U29" s="322">
        <f>COUNTIFS(input!$O:$O,August!$U$26,input!$F:$F,August!N29,input!$A:$A,August!$B$2)</f>
        <v>0</v>
      </c>
      <c r="V29" s="322">
        <f>COUNTIFS(input!$O:$O,August!$V$26,input!$F:$F,August!N29,input!$A:$A,August!$B$2)</f>
        <v>0</v>
      </c>
      <c r="W29" s="323">
        <f>COUNTIFS(input!$O:$O,August!$W$26,input!$F:$F,August!N29,input!$A:$A,August!$B$2)</f>
        <v>0</v>
      </c>
      <c r="X29" s="324">
        <f>COUNTIFS(input!$O:$O,August!$X$26,input!$F:$F,August!N29,input!$A:$A,August!$B$2)</f>
        <v>0</v>
      </c>
      <c r="Y29" s="312">
        <f>SUM(Q29:X29)</f>
        <v>0</v>
      </c>
      <c r="Z29" s="315" cm="1">
        <f t="array" ref="Z29">_xlfn.IFS(Y29=0,0,Y29&gt;=1,Y29/$Y$74)</f>
        <v>0</v>
      </c>
    </row>
    <row r="30" spans="1:26" ht="92" customHeight="1" x14ac:dyDescent="0.25">
      <c r="B30" s="990" t="s">
        <v>2113</v>
      </c>
      <c r="C30" s="991"/>
      <c r="D30" s="316">
        <f>COUNTIFS(input!$O:$O,August!$D$26,input!$E:$E,August!B30,input!$A:$A,August!$B$2)</f>
        <v>0</v>
      </c>
      <c r="E30" s="316">
        <f>COUNTIFS(input!$O:$O,August!$E$26,input!$E:$E,August!B30,input!$A:$A,August!$B$2)</f>
        <v>0</v>
      </c>
      <c r="F30" s="316">
        <f>COUNTIFS(input!$O:$O,August!$F$26,input!$E:$E,August!B30,input!$A:$A,August!$B$2)</f>
        <v>0</v>
      </c>
      <c r="G30" s="322">
        <f>COUNTIFS(input!$O:$O,August!$G$26,input!$E:$E,August!B30,input!$A:$A,August!$B$2)</f>
        <v>1</v>
      </c>
      <c r="H30" s="322">
        <f>COUNTIFS(input!$O:$O,August!$H$26,input!$E:$E,August!B30,input!$A:$A,August!$B$2)</f>
        <v>0</v>
      </c>
      <c r="I30" s="322">
        <f>COUNTIFS(input!$O:$O,August!$I$26,input!$E:$E,August!B30,input!$A:$A,August!$B$2)</f>
        <v>0</v>
      </c>
      <c r="J30" s="322">
        <f>COUNTIFS(input!$O:$O,August!$K$26,input!$E:$E,August!B30,input!$A:$A,August!$B$2)</f>
        <v>0</v>
      </c>
      <c r="K30" s="436">
        <f>COUNTIFS(input!$O:$O,August!$K$26,input!$E:$E,August!B30,input!$A:$A,August!$B$2)</f>
        <v>0</v>
      </c>
      <c r="L30" s="312">
        <f t="shared" si="0"/>
        <v>1</v>
      </c>
      <c r="M30" s="313" cm="1">
        <f t="array" ref="M30">_xlfn.IFS(L30=0,0,L30&gt;=1,L30/$L$74)</f>
        <v>6.25E-2</v>
      </c>
      <c r="N30" s="1058" t="s">
        <v>17</v>
      </c>
      <c r="O30" s="1016"/>
      <c r="P30" s="991"/>
      <c r="Q30" s="316">
        <f>COUNTIFS(input!$O:$O,August!$Q$26,input!$F:$F,August!N30,input!$A:$A,August!$B$2)</f>
        <v>0</v>
      </c>
      <c r="R30" s="316">
        <f>COUNTIFS(input!$O:$O,August!$R$26,input!$F:$F,August!N30,input!$A:$A,August!$B$2)</f>
        <v>0</v>
      </c>
      <c r="S30" s="316">
        <f>COUNTIFS(input!$O:$O,August!$S$26,input!$F:$F,August!N30,input!$A:$A,August!$B$2)</f>
        <v>0</v>
      </c>
      <c r="T30" s="321">
        <f>COUNTIFS(input!$O:$O,August!$T$26,input!$F:$F,August!N30,input!$A:$A,August!$B$2)</f>
        <v>2</v>
      </c>
      <c r="U30" s="322">
        <f>COUNTIFS(input!$O:$O,August!$U$26,input!$F:$F,August!N30,input!$A:$A,August!$B$2)</f>
        <v>0</v>
      </c>
      <c r="V30" s="322">
        <f>COUNTIFS(input!$O:$O,August!$V$26,input!$F:$F,August!N30,input!$A:$A,August!$B$2)</f>
        <v>0</v>
      </c>
      <c r="W30" s="323">
        <f>COUNTIFS(input!$O:$O,August!$W$26,input!$F:$F,August!N30,input!$A:$A,August!$B$2)</f>
        <v>0</v>
      </c>
      <c r="X30" s="324">
        <f>COUNTIFS(input!$O:$O,August!$X$26,input!$F:$F,August!N30,input!$A:$A,August!$B$2)</f>
        <v>0</v>
      </c>
      <c r="Y30" s="312">
        <f>SUM(Q30:X30)</f>
        <v>2</v>
      </c>
      <c r="Z30" s="315" cm="1">
        <f t="array" ref="Z30">_xlfn.IFS(Y30=0,0,Y30&gt;=1,Y30/$Y$74)</f>
        <v>0.125</v>
      </c>
    </row>
    <row r="31" spans="1:26" ht="92" hidden="1" customHeight="1" x14ac:dyDescent="0.25">
      <c r="B31" s="1121" t="s">
        <v>1536</v>
      </c>
      <c r="C31" s="1066"/>
      <c r="D31" s="316">
        <f>COUNTIFS(input!$O:$O,August!$D$26,input!$E:$E,August!B31,input!$A:$A,August!$B$2)</f>
        <v>0</v>
      </c>
      <c r="E31" s="316">
        <f>COUNTIFS(input!$O:$O,August!$E$26,input!$E:$E,August!B31,input!$A:$A,August!$B$2)</f>
        <v>0</v>
      </c>
      <c r="F31" s="316">
        <f>COUNTIFS(input!$O:$O,August!$F$26,input!$E:$E,August!B31,input!$A:$A,August!$B$2)</f>
        <v>0</v>
      </c>
      <c r="G31" s="322">
        <f>COUNTIFS(input!$O:$O,August!$G$26,input!$E:$E,August!B31,input!$A:$A,August!$B$2)</f>
        <v>0</v>
      </c>
      <c r="H31" s="322">
        <f>COUNTIFS(input!$O:$O,August!$H$26,input!$E:$E,August!B31,input!$A:$A,August!$B$2)</f>
        <v>0</v>
      </c>
      <c r="I31" s="322">
        <f>COUNTIFS(input!$O:$O,August!$I$26,input!$E:$E,August!B31,input!$A:$A,August!$B$2)</f>
        <v>0</v>
      </c>
      <c r="J31" s="322">
        <f>COUNTIFS(input!$O:$O,August!$K$26,input!$E:$E,August!B31,input!$A:$A,August!$B$2)</f>
        <v>0</v>
      </c>
      <c r="K31" s="436">
        <f>COUNTIFS(input!$O:$O,August!$K$26,input!$E:$E,August!B31,input!$A:$A,August!$B$2)</f>
        <v>0</v>
      </c>
      <c r="L31" s="312">
        <f t="shared" si="0"/>
        <v>0</v>
      </c>
      <c r="M31" s="313" cm="1">
        <f t="array" ref="M31">_xlfn.IFS(L31=0,0,L31&gt;=1,L31/$L$74)</f>
        <v>0</v>
      </c>
      <c r="N31" s="1065" t="s">
        <v>20</v>
      </c>
      <c r="O31" s="1065"/>
      <c r="P31" s="1066"/>
      <c r="Q31" s="316">
        <f>COUNTIFS(input!$O:$O,August!$Q$26,input!$F:$F,August!N31,input!$A:$A,August!$B$2)</f>
        <v>0</v>
      </c>
      <c r="R31" s="316">
        <f>COUNTIFS(input!$O:$O,August!$R$26,input!$F:$F,August!N31,input!$A:$A,August!$B$2)</f>
        <v>0</v>
      </c>
      <c r="S31" s="316">
        <f>COUNTIFS(input!$O:$O,August!$S$26,input!$F:$F,August!N31,input!$A:$A,August!$B$2)</f>
        <v>0</v>
      </c>
      <c r="T31" s="321">
        <f>COUNTIFS(input!$O:$O,August!$T$26,input!$F:$F,August!N31,input!$A:$A,August!$B$2)</f>
        <v>0</v>
      </c>
      <c r="U31" s="322">
        <f>COUNTIFS(input!$O:$O,August!$U$26,input!$F:$F,August!N31,input!$A:$A,August!$B$2)</f>
        <v>0</v>
      </c>
      <c r="V31" s="322">
        <f>COUNTIFS(input!$O:$O,August!$V$26,input!$F:$F,August!N31,input!$A:$A,August!$B$2)</f>
        <v>0</v>
      </c>
      <c r="W31" s="323">
        <f>COUNTIFS(input!$O:$O,August!$W$26,input!$F:$F,August!N31,input!$A:$A,August!$B$2)</f>
        <v>0</v>
      </c>
      <c r="X31" s="324">
        <f>COUNTIFS(input!$O:$O,August!$X$26,input!$F:$F,August!N31,input!$A:$A,August!$B$2)</f>
        <v>0</v>
      </c>
      <c r="Y31" s="312">
        <f t="shared" ref="Y31:Y61" si="1">SUM(Q31:X31)</f>
        <v>0</v>
      </c>
      <c r="Z31" s="315" cm="1">
        <f t="array" ref="Z31">_xlfn.IFS(Y31=0,0,Y31&gt;=1,Y31/$Y$74)</f>
        <v>0</v>
      </c>
    </row>
    <row r="32" spans="1:26" ht="92" hidden="1" customHeight="1" x14ac:dyDescent="0.25">
      <c r="B32" s="1121" t="s">
        <v>682</v>
      </c>
      <c r="C32" s="1066"/>
      <c r="D32" s="316">
        <f>COUNTIFS(input!$O:$O,August!$D$26,input!$E:$E,August!B32,input!$A:$A,August!$B$2)</f>
        <v>0</v>
      </c>
      <c r="E32" s="316">
        <f>COUNTIFS(input!$O:$O,August!$E$26,input!$E:$E,August!B32,input!$A:$A,August!$B$2)</f>
        <v>0</v>
      </c>
      <c r="F32" s="316">
        <f>COUNTIFS(input!$O:$O,August!$F$26,input!$E:$E,August!B32,input!$A:$A,August!$B$2)</f>
        <v>0</v>
      </c>
      <c r="G32" s="322">
        <f>COUNTIFS(input!$O:$O,August!$G$26,input!$E:$E,August!B32,input!$A:$A,August!$B$2)</f>
        <v>0</v>
      </c>
      <c r="H32" s="322">
        <f>COUNTIFS(input!$O:$O,August!$H$26,input!$E:$E,August!B32,input!$A:$A,August!$B$2)</f>
        <v>0</v>
      </c>
      <c r="I32" s="322">
        <f>COUNTIFS(input!$O:$O,August!$I$26,input!$E:$E,August!B32,input!$A:$A,August!$B$2)</f>
        <v>0</v>
      </c>
      <c r="J32" s="322">
        <f>COUNTIFS(input!$O:$O,August!$K$26,input!$E:$E,August!B32,input!$A:$A,August!$B$2)</f>
        <v>0</v>
      </c>
      <c r="K32" s="436">
        <f>COUNTIFS(input!$O:$O,August!$K$26,input!$E:$E,August!B32,input!$A:$A,August!$B$2)</f>
        <v>0</v>
      </c>
      <c r="L32" s="312">
        <f t="shared" si="0"/>
        <v>0</v>
      </c>
      <c r="M32" s="313" cm="1">
        <f t="array" ref="M32">_xlfn.IFS(L32=0,0,L32&gt;=1,L32/$L$74)</f>
        <v>0</v>
      </c>
      <c r="N32" s="1065" t="s">
        <v>25</v>
      </c>
      <c r="O32" s="1065"/>
      <c r="P32" s="1066"/>
      <c r="Q32" s="316">
        <f>COUNTIFS(input!$O:$O,August!$Q$26,input!$F:$F,August!N32,input!$A:$A,August!$B$2)</f>
        <v>0</v>
      </c>
      <c r="R32" s="316">
        <f>COUNTIFS(input!$O:$O,August!$R$26,input!$F:$F,August!N32,input!$A:$A,August!$B$2)</f>
        <v>0</v>
      </c>
      <c r="S32" s="316">
        <f>COUNTIFS(input!$O:$O,August!$S$26,input!$F:$F,August!N32,input!$A:$A,August!$B$2)</f>
        <v>0</v>
      </c>
      <c r="T32" s="321">
        <f>COUNTIFS(input!$O:$O,August!$T$26,input!$F:$F,August!N32,input!$A:$A,August!$B$2)</f>
        <v>0</v>
      </c>
      <c r="U32" s="322">
        <f>COUNTIFS(input!$O:$O,August!$U$26,input!$F:$F,August!N32,input!$A:$A,August!$B$2)</f>
        <v>0</v>
      </c>
      <c r="V32" s="322">
        <f>COUNTIFS(input!$O:$O,August!$V$26,input!$F:$F,August!N32,input!$A:$A,August!$B$2)</f>
        <v>0</v>
      </c>
      <c r="W32" s="323">
        <f>COUNTIFS(input!$O:$O,August!$W$26,input!$F:$F,August!N32,input!$A:$A,August!$B$2)</f>
        <v>0</v>
      </c>
      <c r="X32" s="324">
        <f>COUNTIFS(input!$O:$O,August!$X$26,input!$F:$F,August!N32,input!$A:$A,August!$B$2)</f>
        <v>0</v>
      </c>
      <c r="Y32" s="312">
        <f t="shared" si="1"/>
        <v>0</v>
      </c>
      <c r="Z32" s="315" cm="1">
        <f t="array" ref="Z32">_xlfn.IFS(Y32=0,0,Y32&gt;=1,Y32/$Y$74)</f>
        <v>0</v>
      </c>
    </row>
    <row r="33" spans="2:26" ht="92" customHeight="1" x14ac:dyDescent="0.25">
      <c r="B33" s="1121" t="s">
        <v>493</v>
      </c>
      <c r="C33" s="1066"/>
      <c r="D33" s="316">
        <f>COUNTIFS(input!$O:$O,August!$D$26,input!$E:$E,August!B33,input!$A:$A,August!$B$2)</f>
        <v>0</v>
      </c>
      <c r="E33" s="316">
        <f>COUNTIFS(input!$O:$O,August!$E$26,input!$E:$E,August!B33,input!$A:$A,August!$B$2)</f>
        <v>0</v>
      </c>
      <c r="F33" s="316">
        <f>COUNTIFS(input!$O:$O,August!$F$26,input!$E:$E,August!B33,input!$A:$A,August!$B$2)</f>
        <v>0</v>
      </c>
      <c r="G33" s="322">
        <f>COUNTIFS(input!$O:$O,August!$G$26,input!$E:$E,August!B33,input!$A:$A,August!$B$2)</f>
        <v>0</v>
      </c>
      <c r="H33" s="322">
        <f>COUNTIFS(input!$O:$O,August!$H$26,input!$E:$E,August!B33,input!$A:$A,August!$B$2)</f>
        <v>0</v>
      </c>
      <c r="I33" s="322">
        <f>COUNTIFS(input!$O:$O,August!$I$26,input!$E:$E,August!B33,input!$A:$A,August!$B$2)</f>
        <v>0</v>
      </c>
      <c r="J33" s="322">
        <f>COUNTIFS(input!$O:$O,August!$K$26,input!$E:$E,August!B33,input!$A:$A,August!$B$2)</f>
        <v>0</v>
      </c>
      <c r="K33" s="436">
        <f>COUNTIFS(input!$O:$O,August!$K$26,input!$E:$E,August!B33,input!$A:$A,August!$B$2)</f>
        <v>0</v>
      </c>
      <c r="L33" s="312">
        <f t="shared" si="0"/>
        <v>0</v>
      </c>
      <c r="M33" s="313" cm="1">
        <f t="array" ref="M33">_xlfn.IFS(L33=0,0,L33&gt;=1,L33/$L$74)</f>
        <v>0</v>
      </c>
      <c r="N33" s="1016" t="s">
        <v>19</v>
      </c>
      <c r="O33" s="1016"/>
      <c r="P33" s="991"/>
      <c r="Q33" s="316">
        <f>COUNTIFS(input!$O:$O,August!$Q$26,input!$F:$F,August!N33,input!$A:$A,August!$B$2)</f>
        <v>0</v>
      </c>
      <c r="R33" s="316">
        <f>COUNTIFS(input!$O:$O,August!$R$26,input!$F:$F,August!N33,input!$A:$A,August!$B$2)</f>
        <v>0</v>
      </c>
      <c r="S33" s="316">
        <f>COUNTIFS(input!$O:$O,August!$S$26,input!$F:$F,August!N33,input!$A:$A,August!$B$2)</f>
        <v>0</v>
      </c>
      <c r="T33" s="321">
        <f>COUNTIFS(input!$O:$O,August!$T$26,input!$F:$F,August!N33,input!$A:$A,August!$B$2)</f>
        <v>1</v>
      </c>
      <c r="U33" s="322">
        <f>COUNTIFS(input!$O:$O,August!$U$26,input!$F:$F,August!N33,input!$A:$A,August!$B$2)</f>
        <v>0</v>
      </c>
      <c r="V33" s="322">
        <f>COUNTIFS(input!$O:$O,August!$V$26,input!$F:$F,August!N33,input!$A:$A,August!$B$2)</f>
        <v>0</v>
      </c>
      <c r="W33" s="323">
        <f>COUNTIFS(input!$O:$O,August!$W$26,input!$F:$F,August!N33,input!$A:$A,August!$B$2)</f>
        <v>0</v>
      </c>
      <c r="X33" s="324">
        <f>COUNTIFS(input!$O:$O,August!$X$26,input!$F:$F,August!N33,input!$A:$A,August!$B$2)</f>
        <v>0</v>
      </c>
      <c r="Y33" s="312">
        <f t="shared" si="1"/>
        <v>1</v>
      </c>
      <c r="Z33" s="315" cm="1">
        <f t="array" ref="Z33">_xlfn.IFS(Y33=0,0,Y33&gt;=1,Y33/$Y$74)</f>
        <v>6.25E-2</v>
      </c>
    </row>
    <row r="34" spans="2:26" ht="92" hidden="1" customHeight="1" x14ac:dyDescent="0.25">
      <c r="B34" s="1121" t="s">
        <v>681</v>
      </c>
      <c r="C34" s="1066"/>
      <c r="D34" s="316">
        <f>COUNTIFS(input!$O:$O,August!$D$26,input!$E:$E,August!B34,input!$A:$A,August!$B$2)</f>
        <v>0</v>
      </c>
      <c r="E34" s="316">
        <f>COUNTIFS(input!$O:$O,August!$E$26,input!$E:$E,August!B34,input!$A:$A,August!$B$2)</f>
        <v>0</v>
      </c>
      <c r="F34" s="316">
        <f>COUNTIFS(input!$O:$O,August!$F$26,input!$E:$E,August!B34,input!$A:$A,August!$B$2)</f>
        <v>0</v>
      </c>
      <c r="G34" s="322">
        <f>COUNTIFS(input!$O:$O,August!$G$26,input!$E:$E,August!B34,input!$A:$A,August!$B$2)</f>
        <v>0</v>
      </c>
      <c r="H34" s="322">
        <f>COUNTIFS(input!$O:$O,August!$H$26,input!$E:$E,August!B34,input!$A:$A,August!$B$2)</f>
        <v>0</v>
      </c>
      <c r="I34" s="322">
        <f>COUNTIFS(input!$O:$O,August!$I$26,input!$E:$E,August!B34,input!$A:$A,August!$B$2)</f>
        <v>0</v>
      </c>
      <c r="J34" s="322">
        <f>COUNTIFS(input!$O:$O,August!$K$26,input!$E:$E,August!B34,input!$A:$A,August!$B$2)</f>
        <v>0</v>
      </c>
      <c r="K34" s="436">
        <f>COUNTIFS(input!$O:$O,August!$K$26,input!$E:$E,August!B34,input!$A:$A,August!$B$2)</f>
        <v>0</v>
      </c>
      <c r="L34" s="312">
        <f t="shared" si="0"/>
        <v>0</v>
      </c>
      <c r="M34" s="313" cm="1">
        <f t="array" ref="M34">_xlfn.IFS(L34=0,0,L34&gt;=1,L34/$L$74)</f>
        <v>0</v>
      </c>
      <c r="N34" s="1065" t="s">
        <v>27</v>
      </c>
      <c r="O34" s="1065"/>
      <c r="P34" s="1066"/>
      <c r="Q34" s="316">
        <f>COUNTIFS(input!$O:$O,August!$Q$26,input!$F:$F,August!N34,input!$A:$A,August!$B$2)</f>
        <v>0</v>
      </c>
      <c r="R34" s="316">
        <f>COUNTIFS(input!$O:$O,August!$R$26,input!$F:$F,August!N34,input!$A:$A,August!$B$2)</f>
        <v>0</v>
      </c>
      <c r="S34" s="316">
        <f>COUNTIFS(input!$O:$O,August!$S$26,input!$F:$F,August!N34,input!$A:$A,August!$B$2)</f>
        <v>0</v>
      </c>
      <c r="T34" s="321">
        <f>COUNTIFS(input!$O:$O,August!$T$26,input!$F:$F,August!N34,input!$A:$A,August!$B$2)</f>
        <v>0</v>
      </c>
      <c r="U34" s="322">
        <f>COUNTIFS(input!$O:$O,August!$U$26,input!$F:$F,August!N34,input!$A:$A,August!$B$2)</f>
        <v>0</v>
      </c>
      <c r="V34" s="322">
        <f>COUNTIFS(input!$O:$O,August!$V$26,input!$F:$F,August!N34,input!$A:$A,August!$B$2)</f>
        <v>0</v>
      </c>
      <c r="W34" s="323">
        <f>COUNTIFS(input!$O:$O,August!$W$26,input!$F:$F,August!N34,input!$A:$A,August!$B$2)</f>
        <v>0</v>
      </c>
      <c r="X34" s="324">
        <f>COUNTIFS(input!$O:$O,August!$X$26,input!$F:$F,August!N34,input!$A:$A,August!$B$2)</f>
        <v>0</v>
      </c>
      <c r="Y34" s="312">
        <f t="shared" si="1"/>
        <v>0</v>
      </c>
      <c r="Z34" s="315" cm="1">
        <f t="array" ref="Z34">_xlfn.IFS(Y34=0,0,Y34&gt;=1,Y34/$Y$74)</f>
        <v>0</v>
      </c>
    </row>
    <row r="35" spans="2:26" ht="92" hidden="1" customHeight="1" x14ac:dyDescent="0.25">
      <c r="B35" s="1121" t="s">
        <v>776</v>
      </c>
      <c r="C35" s="1066"/>
      <c r="D35" s="316">
        <f>COUNTIFS(input!$O:$O,August!$D$26,input!$E:$E,August!B35,input!$A:$A,August!$B$2)</f>
        <v>0</v>
      </c>
      <c r="E35" s="316">
        <f>COUNTIFS(input!$O:$O,August!$E$26,input!$E:$E,August!B35,input!$A:$A,August!$B$2)</f>
        <v>0</v>
      </c>
      <c r="F35" s="316">
        <f>COUNTIFS(input!$O:$O,August!$F$26,input!$E:$E,August!B35,input!$A:$A,August!$B$2)</f>
        <v>0</v>
      </c>
      <c r="G35" s="322">
        <f>COUNTIFS(input!$O:$O,August!$G$26,input!$E:$E,August!B35,input!$A:$A,August!$B$2)</f>
        <v>0</v>
      </c>
      <c r="H35" s="322">
        <f>COUNTIFS(input!$O:$O,August!$H$26,input!$E:$E,August!B35,input!$A:$A,August!$B$2)</f>
        <v>0</v>
      </c>
      <c r="I35" s="322">
        <f>COUNTIFS(input!$O:$O,August!$I$26,input!$E:$E,August!B35,input!$A:$A,August!$B$2)</f>
        <v>0</v>
      </c>
      <c r="J35" s="322">
        <f>COUNTIFS(input!$O:$O,August!$K$26,input!$E:$E,August!B35,input!$A:$A,August!$B$2)</f>
        <v>0</v>
      </c>
      <c r="K35" s="436">
        <f>COUNTIFS(input!$O:$O,August!$K$26,input!$E:$E,August!B35,input!$A:$A,August!$B$2)</f>
        <v>0</v>
      </c>
      <c r="L35" s="312">
        <f t="shared" si="0"/>
        <v>0</v>
      </c>
      <c r="M35" s="313" cm="1">
        <f t="array" ref="M35">_xlfn.IFS(L35=0,0,L35&gt;=1,L35/$L$74)</f>
        <v>0</v>
      </c>
      <c r="N35" s="1065" t="s">
        <v>64</v>
      </c>
      <c r="O35" s="1065"/>
      <c r="P35" s="1066"/>
      <c r="Q35" s="316">
        <f>COUNTIFS(input!$O:$O,August!$Q$26,input!$F:$F,August!N35,input!$A:$A,August!$B$2)</f>
        <v>0</v>
      </c>
      <c r="R35" s="316">
        <f>COUNTIFS(input!$O:$O,August!$R$26,input!$F:$F,August!N35,input!$A:$A,August!$B$2)</f>
        <v>0</v>
      </c>
      <c r="S35" s="316">
        <f>COUNTIFS(input!$O:$O,August!$S$26,input!$F:$F,August!N35,input!$A:$A,August!$B$2)</f>
        <v>0</v>
      </c>
      <c r="T35" s="321">
        <f>COUNTIFS(input!$O:$O,August!$T$26,input!$F:$F,August!N35,input!$A:$A,August!$B$2)</f>
        <v>0</v>
      </c>
      <c r="U35" s="322">
        <f>COUNTIFS(input!$O:$O,August!$U$26,input!$F:$F,August!N35,input!$A:$A,August!$B$2)</f>
        <v>0</v>
      </c>
      <c r="V35" s="322">
        <f>COUNTIFS(input!$O:$O,August!$V$26,input!$F:$F,August!N35,input!$A:$A,August!$B$2)</f>
        <v>0</v>
      </c>
      <c r="W35" s="323">
        <f>COUNTIFS(input!$O:$O,August!$W$26,input!$F:$F,August!N35,input!$A:$A,August!$B$2)</f>
        <v>0</v>
      </c>
      <c r="X35" s="324">
        <f>COUNTIFS(input!$O:$O,August!$X$26,input!$F:$F,August!N35,input!$A:$A,August!$B$2)</f>
        <v>0</v>
      </c>
      <c r="Y35" s="312">
        <f t="shared" si="1"/>
        <v>0</v>
      </c>
      <c r="Z35" s="315" cm="1">
        <f t="array" ref="Z35">_xlfn.IFS(Y35=0,0,Y35&gt;=1,Y35/$Y$74)</f>
        <v>0</v>
      </c>
    </row>
    <row r="36" spans="2:26" ht="92" hidden="1" customHeight="1" x14ac:dyDescent="0.25">
      <c r="B36" s="1121" t="s">
        <v>622</v>
      </c>
      <c r="C36" s="1066"/>
      <c r="D36" s="316">
        <f>COUNTIFS(input!$O:$O,August!$D$26,input!$E:$E,August!B36,input!$A:$A,August!$B$2)</f>
        <v>0</v>
      </c>
      <c r="E36" s="316">
        <f>COUNTIFS(input!$O:$O,August!$E$26,input!$E:$E,August!B36,input!$A:$A,August!$B$2)</f>
        <v>0</v>
      </c>
      <c r="F36" s="316">
        <f>COUNTIFS(input!$O:$O,August!$F$26,input!$E:$E,August!B36,input!$A:$A,August!$B$2)</f>
        <v>0</v>
      </c>
      <c r="G36" s="322">
        <f>COUNTIFS(input!$O:$O,August!$G$26,input!$E:$E,August!B36,input!$A:$A,August!$B$2)</f>
        <v>0</v>
      </c>
      <c r="H36" s="322">
        <f>COUNTIFS(input!$O:$O,August!$H$26,input!$E:$E,August!B36,input!$A:$A,August!$B$2)</f>
        <v>0</v>
      </c>
      <c r="I36" s="322">
        <f>COUNTIFS(input!$O:$O,August!$I$26,input!$E:$E,August!B36,input!$A:$A,August!$B$2)</f>
        <v>0</v>
      </c>
      <c r="J36" s="322">
        <f>COUNTIFS(input!$O:$O,August!$K$26,input!$E:$E,August!B36,input!$A:$A,August!$B$2)</f>
        <v>0</v>
      </c>
      <c r="K36" s="436">
        <f>COUNTIFS(input!$O:$O,August!$K$26,input!$E:$E,August!B36,input!$A:$A,August!$B$2)</f>
        <v>0</v>
      </c>
      <c r="L36" s="312">
        <f t="shared" si="0"/>
        <v>0</v>
      </c>
      <c r="M36" s="313" cm="1">
        <f t="array" ref="M36">_xlfn.IFS(L36=0,0,L36&gt;=1,L36/$L$74)</f>
        <v>0</v>
      </c>
      <c r="N36" s="1065" t="s">
        <v>24</v>
      </c>
      <c r="O36" s="1065"/>
      <c r="P36" s="1066"/>
      <c r="Q36" s="316">
        <f>COUNTIFS(input!$O:$O,August!$Q$26,input!$F:$F,August!N36,input!$A:$A,August!$B$2)</f>
        <v>0</v>
      </c>
      <c r="R36" s="316">
        <f>COUNTIFS(input!$O:$O,August!$R$26,input!$F:$F,August!N36,input!$A:$A,August!$B$2)</f>
        <v>0</v>
      </c>
      <c r="S36" s="316">
        <f>COUNTIFS(input!$O:$O,August!$S$26,input!$F:$F,August!N36,input!$A:$A,August!$B$2)</f>
        <v>0</v>
      </c>
      <c r="T36" s="321">
        <f>COUNTIFS(input!$O:$O,August!$T$26,input!$F:$F,August!N36,input!$A:$A,August!$B$2)</f>
        <v>0</v>
      </c>
      <c r="U36" s="322">
        <f>COUNTIFS(input!$O:$O,August!$U$26,input!$F:$F,August!N36,input!$A:$A,August!$B$2)</f>
        <v>0</v>
      </c>
      <c r="V36" s="322">
        <f>COUNTIFS(input!$O:$O,August!$V$26,input!$F:$F,August!N36,input!$A:$A,August!$B$2)</f>
        <v>0</v>
      </c>
      <c r="W36" s="323">
        <f>COUNTIFS(input!$O:$O,August!$W$26,input!$F:$F,August!N36,input!$A:$A,August!$B$2)</f>
        <v>0</v>
      </c>
      <c r="X36" s="324">
        <f>COUNTIFS(input!$O:$O,August!$X$26,input!$F:$F,August!N36,input!$A:$A,August!$B$2)</f>
        <v>0</v>
      </c>
      <c r="Y36" s="312">
        <f t="shared" si="1"/>
        <v>0</v>
      </c>
      <c r="Z36" s="315" cm="1">
        <f t="array" ref="Z36">_xlfn.IFS(Y36=0,0,Y36&gt;=1,Y36/$Y$74)</f>
        <v>0</v>
      </c>
    </row>
    <row r="37" spans="2:26" ht="92" customHeight="1" x14ac:dyDescent="0.25">
      <c r="B37" s="1121" t="s">
        <v>1434</v>
      </c>
      <c r="C37" s="1066"/>
      <c r="D37" s="316">
        <f>COUNTIFS(input!$O:$O,August!$D$26,input!$E:$E,August!B37,input!$A:$A,August!$B$2)</f>
        <v>0</v>
      </c>
      <c r="E37" s="316">
        <f>COUNTIFS(input!$O:$O,August!$E$26,input!$E:$E,August!B37,input!$A:$A,August!$B$2)</f>
        <v>0</v>
      </c>
      <c r="F37" s="316">
        <f>COUNTIFS(input!$O:$O,August!$F$26,input!$E:$E,August!B37,input!$A:$A,August!$B$2)</f>
        <v>0</v>
      </c>
      <c r="G37" s="322">
        <f>COUNTIFS(input!$O:$O,August!$G$26,input!$E:$E,August!B37,input!$A:$A,August!$B$2)</f>
        <v>0</v>
      </c>
      <c r="H37" s="322">
        <f>COUNTIFS(input!$O:$O,August!$H$26,input!$E:$E,August!B37,input!$A:$A,August!$B$2)</f>
        <v>0</v>
      </c>
      <c r="I37" s="322">
        <f>COUNTIFS(input!$O:$O,August!$I$26,input!$E:$E,August!B37,input!$A:$A,August!$B$2)</f>
        <v>0</v>
      </c>
      <c r="J37" s="322">
        <f>COUNTIFS(input!$O:$O,August!$K$26,input!$E:$E,August!B37,input!$A:$A,August!$B$2)</f>
        <v>0</v>
      </c>
      <c r="K37" s="436">
        <f>COUNTIFS(input!$O:$O,August!$K$26,input!$E:$E,August!B37,input!$A:$A,August!$B$2)</f>
        <v>0</v>
      </c>
      <c r="L37" s="312">
        <f t="shared" si="0"/>
        <v>0</v>
      </c>
      <c r="M37" s="313" cm="1">
        <f t="array" ref="M37">_xlfn.IFS(L37=0,0,L37&gt;=1,L37/$L$74)</f>
        <v>0</v>
      </c>
      <c r="N37" s="1016" t="s">
        <v>65</v>
      </c>
      <c r="O37" s="1016"/>
      <c r="P37" s="991"/>
      <c r="Q37" s="316">
        <f>COUNTIFS(input!$O:$O,August!$Q$26,input!$F:$F,August!N37,input!$A:$A,August!$B$2)</f>
        <v>0</v>
      </c>
      <c r="R37" s="316">
        <f>COUNTIFS(input!$O:$O,August!$R$26,input!$F:$F,August!N37,input!$A:$A,August!$B$2)</f>
        <v>0</v>
      </c>
      <c r="S37" s="316">
        <f>COUNTIFS(input!$O:$O,August!$S$26,input!$F:$F,August!N37,input!$A:$A,August!$B$2)</f>
        <v>0</v>
      </c>
      <c r="T37" s="321">
        <f>COUNTIFS(input!$O:$O,August!$T$26,input!$F:$F,August!N37,input!$A:$A,August!$B$2)</f>
        <v>1</v>
      </c>
      <c r="U37" s="322">
        <f>COUNTIFS(input!$O:$O,August!$U$26,input!$F:$F,August!N37,input!$A:$A,August!$B$2)</f>
        <v>0</v>
      </c>
      <c r="V37" s="322">
        <f>COUNTIFS(input!$O:$O,August!$V$26,input!$F:$F,August!N37,input!$A:$A,August!$B$2)</f>
        <v>0</v>
      </c>
      <c r="W37" s="323">
        <f>COUNTIFS(input!$O:$O,August!$W$26,input!$F:$F,August!N37,input!$A:$A,August!$B$2)</f>
        <v>0</v>
      </c>
      <c r="X37" s="324">
        <f>COUNTIFS(input!$O:$O,August!$X$26,input!$F:$F,August!N37,input!$A:$A,August!$B$2)</f>
        <v>0</v>
      </c>
      <c r="Y37" s="312">
        <f t="shared" si="1"/>
        <v>1</v>
      </c>
      <c r="Z37" s="315" cm="1">
        <f t="array" ref="Z37">_xlfn.IFS(Y37=0,0,Y37&gt;=1,Y37/$Y$74)</f>
        <v>6.25E-2</v>
      </c>
    </row>
    <row r="38" spans="2:26" ht="92" customHeight="1" x14ac:dyDescent="0.25">
      <c r="B38" s="1121" t="s">
        <v>105</v>
      </c>
      <c r="C38" s="1066"/>
      <c r="D38" s="316">
        <f>COUNTIFS(input!$O:$O,August!$D$26,input!$E:$E,August!B38,input!$A:$A,August!$B$2)</f>
        <v>0</v>
      </c>
      <c r="E38" s="316">
        <f>COUNTIFS(input!$O:$O,August!$E$26,input!$E:$E,August!B38,input!$A:$A,August!$B$2)</f>
        <v>0</v>
      </c>
      <c r="F38" s="316">
        <f>COUNTIFS(input!$O:$O,August!$F$26,input!$E:$E,August!B38,input!$A:$A,August!$B$2)</f>
        <v>0</v>
      </c>
      <c r="G38" s="322">
        <f>COUNTIFS(input!$O:$O,August!$G$26,input!$E:$E,August!B38,input!$A:$A,August!$B$2)</f>
        <v>0</v>
      </c>
      <c r="H38" s="322">
        <f>COUNTIFS(input!$O:$O,August!$H$26,input!$E:$E,August!B38,input!$A:$A,August!$B$2)</f>
        <v>0</v>
      </c>
      <c r="I38" s="322">
        <f>COUNTIFS(input!$O:$O,August!$I$26,input!$E:$E,August!B38,input!$A:$A,August!$B$2)</f>
        <v>0</v>
      </c>
      <c r="J38" s="322">
        <f>COUNTIFS(input!$O:$O,August!$K$26,input!$E:$E,August!B38,input!$A:$A,August!$B$2)</f>
        <v>0</v>
      </c>
      <c r="K38" s="436">
        <f>COUNTIFS(input!$O:$O,August!$K$26,input!$E:$E,August!B38,input!$A:$A,August!$B$2)</f>
        <v>0</v>
      </c>
      <c r="L38" s="312">
        <f t="shared" si="0"/>
        <v>0</v>
      </c>
      <c r="M38" s="313" cm="1">
        <f t="array" ref="M38">_xlfn.IFS(L38=0,0,L38&gt;=1,L38/$L$74)</f>
        <v>0</v>
      </c>
      <c r="N38" s="1016" t="s">
        <v>2000</v>
      </c>
      <c r="O38" s="1016"/>
      <c r="P38" s="991"/>
      <c r="Q38" s="316">
        <f>COUNTIFS(input!$O:$O,August!$Q$26,input!$F:$F,August!N38,input!$A:$A,August!$B$2)</f>
        <v>0</v>
      </c>
      <c r="R38" s="316">
        <f>COUNTIFS(input!$O:$O,August!$R$26,input!$F:$F,August!N38,input!$A:$A,August!$B$2)</f>
        <v>0</v>
      </c>
      <c r="S38" s="316">
        <f>COUNTIFS(input!$O:$O,August!$S$26,input!$F:$F,August!N38,input!$A:$A,August!$B$2)</f>
        <v>0</v>
      </c>
      <c r="T38" s="321">
        <f>COUNTIFS(input!$O:$O,August!$T$26,input!$F:$F,August!N38,input!$A:$A,August!$B$2)</f>
        <v>1</v>
      </c>
      <c r="U38" s="322">
        <f>COUNTIFS(input!$O:$O,August!$U$26,input!$F:$F,August!N38,input!$A:$A,August!$B$2)</f>
        <v>0</v>
      </c>
      <c r="V38" s="322">
        <f>COUNTIFS(input!$O:$O,August!$V$26,input!$F:$F,August!N38,input!$A:$A,August!$B$2)</f>
        <v>0</v>
      </c>
      <c r="W38" s="323">
        <f>COUNTIFS(input!$O:$O,August!$W$26,input!$F:$F,August!N38,input!$A:$A,August!$B$2)</f>
        <v>0</v>
      </c>
      <c r="X38" s="324">
        <f>COUNTIFS(input!$O:$O,August!$X$26,input!$F:$F,August!N38,input!$A:$A,August!$B$2)</f>
        <v>0</v>
      </c>
      <c r="Y38" s="312">
        <f t="shared" si="1"/>
        <v>1</v>
      </c>
      <c r="Z38" s="315" cm="1">
        <f t="array" ref="Z38">_xlfn.IFS(Y38=0,0,Y38&gt;=1,Y38/$Y$74)</f>
        <v>6.25E-2</v>
      </c>
    </row>
    <row r="39" spans="2:26" ht="92" hidden="1" customHeight="1" x14ac:dyDescent="0.25">
      <c r="B39" s="1121" t="s">
        <v>2114</v>
      </c>
      <c r="C39" s="1066"/>
      <c r="D39" s="316">
        <f>COUNTIFS(input!$O:$O,August!$D$26,input!$E:$E,August!B39,input!$A:$A,August!$B$2)</f>
        <v>0</v>
      </c>
      <c r="E39" s="316">
        <f>COUNTIFS(input!$O:$O,August!$E$26,input!$E:$E,August!B39,input!$A:$A,August!$B$2)</f>
        <v>0</v>
      </c>
      <c r="F39" s="316">
        <f>COUNTIFS(input!$O:$O,August!$F$26,input!$E:$E,August!B39,input!$A:$A,August!$B$2)</f>
        <v>0</v>
      </c>
      <c r="G39" s="322">
        <f>COUNTIFS(input!$O:$O,August!$G$26,input!$E:$E,August!B39,input!$A:$A,August!$B$2)</f>
        <v>0</v>
      </c>
      <c r="H39" s="322">
        <f>COUNTIFS(input!$O:$O,August!$H$26,input!$E:$E,August!B39,input!$A:$A,August!$B$2)</f>
        <v>0</v>
      </c>
      <c r="I39" s="322">
        <f>COUNTIFS(input!$O:$O,August!$I$26,input!$E:$E,August!B39,input!$A:$A,August!$B$2)</f>
        <v>0</v>
      </c>
      <c r="J39" s="322">
        <f>COUNTIFS(input!$O:$O,August!$K$26,input!$E:$E,August!B39,input!$A:$A,August!$B$2)</f>
        <v>0</v>
      </c>
      <c r="K39" s="436">
        <f>COUNTIFS(input!$O:$O,August!$K$26,input!$E:$E,August!B39,input!$A:$A,August!$B$2)</f>
        <v>0</v>
      </c>
      <c r="L39" s="312">
        <f>SUM(D39:K39)</f>
        <v>0</v>
      </c>
      <c r="M39" s="313" cm="1">
        <f t="array" ref="M39">_xlfn.IFS(L39=0,0,L39&gt;=1,L39/$L$74)</f>
        <v>0</v>
      </c>
      <c r="N39" s="1065" t="s">
        <v>67</v>
      </c>
      <c r="O39" s="1065"/>
      <c r="P39" s="1066"/>
      <c r="Q39" s="316">
        <f>COUNTIFS(input!$O:$O,August!$Q$26,input!$F:$F,August!N39,input!$A:$A,August!$B$2)</f>
        <v>0</v>
      </c>
      <c r="R39" s="316">
        <f>COUNTIFS(input!$O:$O,August!$R$26,input!$F:$F,August!N39,input!$A:$A,August!$B$2)</f>
        <v>0</v>
      </c>
      <c r="S39" s="316">
        <f>COUNTIFS(input!$O:$O,August!$S$26,input!$F:$F,August!N39,input!$A:$A,August!$B$2)</f>
        <v>0</v>
      </c>
      <c r="T39" s="321">
        <f>COUNTIFS(input!$O:$O,August!$T$26,input!$F:$F,August!N39,input!$A:$A,August!$B$2)</f>
        <v>0</v>
      </c>
      <c r="U39" s="322">
        <f>COUNTIFS(input!$O:$O,August!$U$26,input!$F:$F,August!N39,input!$A:$A,August!$B$2)</f>
        <v>0</v>
      </c>
      <c r="V39" s="322">
        <f>COUNTIFS(input!$O:$O,August!$V$26,input!$F:$F,August!N39,input!$A:$A,August!$B$2)</f>
        <v>0</v>
      </c>
      <c r="W39" s="323">
        <f>COUNTIFS(input!$O:$O,August!$W$26,input!$F:$F,August!N39,input!$A:$A,August!$B$2)</f>
        <v>0</v>
      </c>
      <c r="X39" s="324">
        <f>COUNTIFS(input!$O:$O,August!$X$26,input!$F:$F,August!N39,input!$A:$A,August!$B$2)</f>
        <v>0</v>
      </c>
      <c r="Y39" s="312">
        <f t="shared" si="1"/>
        <v>0</v>
      </c>
      <c r="Z39" s="315" cm="1">
        <f t="array" ref="Z39">_xlfn.IFS(Y39=0,0,Y39&gt;=1,Y39/$Y$74)</f>
        <v>0</v>
      </c>
    </row>
    <row r="40" spans="2:26" ht="92" hidden="1" customHeight="1" x14ac:dyDescent="0.25">
      <c r="B40" s="1121" t="s">
        <v>1774</v>
      </c>
      <c r="C40" s="1066"/>
      <c r="D40" s="316">
        <f>COUNTIFS(input!$O:$O,August!$D$26,input!$E:$E,August!B40,input!$A:$A,August!$B$2)</f>
        <v>0</v>
      </c>
      <c r="E40" s="316">
        <f>COUNTIFS(input!$O:$O,August!$E$26,input!$E:$E,August!B40,input!$A:$A,August!$B$2)</f>
        <v>0</v>
      </c>
      <c r="F40" s="316">
        <f>COUNTIFS(input!$O:$O,August!$F$26,input!$E:$E,August!B40,input!$A:$A,August!$B$2)</f>
        <v>0</v>
      </c>
      <c r="G40" s="322">
        <f>COUNTIFS(input!$O:$O,August!$G$26,input!$E:$E,August!B40,input!$A:$A,August!$B$2)</f>
        <v>0</v>
      </c>
      <c r="H40" s="322">
        <f>COUNTIFS(input!$O:$O,August!$H$26,input!$E:$E,August!B40,input!$A:$A,August!$B$2)</f>
        <v>0</v>
      </c>
      <c r="I40" s="322">
        <f>COUNTIFS(input!$O:$O,August!$I$26,input!$E:$E,August!B40,input!$A:$A,August!$B$2)</f>
        <v>0</v>
      </c>
      <c r="J40" s="322">
        <f>COUNTIFS(input!$O:$O,August!$K$26,input!$E:$E,August!B40,input!$A:$A,August!$B$2)</f>
        <v>0</v>
      </c>
      <c r="K40" s="436">
        <f>COUNTIFS(input!$O:$O,August!$K$26,input!$E:$E,August!B40,input!$A:$A,August!$B$2)</f>
        <v>0</v>
      </c>
      <c r="L40" s="312">
        <f t="shared" ref="L40:L43" si="2">SUM(D40:K40)</f>
        <v>0</v>
      </c>
      <c r="M40" s="313" cm="1">
        <f t="array" ref="M40">_xlfn.IFS(L40=0,0,L40&gt;=1,L40/$L$74)</f>
        <v>0</v>
      </c>
      <c r="N40" s="1065" t="s">
        <v>122</v>
      </c>
      <c r="O40" s="1065"/>
      <c r="P40" s="1066"/>
      <c r="Q40" s="316">
        <f>COUNTIFS(input!$O:$O,August!$Q$26,input!$F:$F,August!N40,input!$A:$A,August!$B$2)</f>
        <v>0</v>
      </c>
      <c r="R40" s="316">
        <f>COUNTIFS(input!$O:$O,August!$R$26,input!$F:$F,August!N40,input!$A:$A,August!$B$2)</f>
        <v>0</v>
      </c>
      <c r="S40" s="316">
        <f>COUNTIFS(input!$O:$O,August!$S$26,input!$F:$F,August!N40,input!$A:$A,August!$B$2)</f>
        <v>0</v>
      </c>
      <c r="T40" s="321">
        <f>COUNTIFS(input!$O:$O,August!$T$26,input!$F:$F,August!N40,input!$A:$A,August!$B$2)</f>
        <v>0</v>
      </c>
      <c r="U40" s="322">
        <f>COUNTIFS(input!$O:$O,August!$U$26,input!$F:$F,August!N40,input!$A:$A,August!$B$2)</f>
        <v>0</v>
      </c>
      <c r="V40" s="322">
        <f>COUNTIFS(input!$O:$O,August!$V$26,input!$F:$F,August!N40,input!$A:$A,August!$B$2)</f>
        <v>0</v>
      </c>
      <c r="W40" s="323">
        <f>COUNTIFS(input!$O:$O,August!$W$26,input!$F:$F,August!N40,input!$A:$A,August!$B$2)</f>
        <v>0</v>
      </c>
      <c r="X40" s="324">
        <f>COUNTIFS(input!$O:$O,August!$X$26,input!$F:$F,August!N40,input!$A:$A,August!$B$2)</f>
        <v>0</v>
      </c>
      <c r="Y40" s="312">
        <f t="shared" si="1"/>
        <v>0</v>
      </c>
      <c r="Z40" s="315" cm="1">
        <f t="array" ref="Z40">_xlfn.IFS(Y40=0,0,Y40&gt;=1,Y40/$Y$74)</f>
        <v>0</v>
      </c>
    </row>
    <row r="41" spans="2:26" ht="92" customHeight="1" x14ac:dyDescent="0.25">
      <c r="B41" s="990" t="s">
        <v>172</v>
      </c>
      <c r="C41" s="991"/>
      <c r="D41" s="316">
        <f>COUNTIFS(input!$O:$O,August!$D$26,input!$E:$E,August!B41,input!$A:$A,August!$B$2)</f>
        <v>0</v>
      </c>
      <c r="E41" s="316">
        <f>COUNTIFS(input!$O:$O,August!$E$26,input!$E:$E,August!B41,input!$A:$A,August!$B$2)</f>
        <v>0</v>
      </c>
      <c r="F41" s="316">
        <f>COUNTIFS(input!$O:$O,August!$F$26,input!$E:$E,August!B41,input!$A:$A,August!$B$2)</f>
        <v>0</v>
      </c>
      <c r="G41" s="322">
        <f>COUNTIFS(input!$O:$O,August!$G$26,input!$E:$E,August!B41,input!$A:$A,August!$B$2)</f>
        <v>1</v>
      </c>
      <c r="H41" s="322">
        <f>COUNTIFS(input!$O:$O,August!$H$26,input!$E:$E,August!B41,input!$A:$A,August!$B$2)</f>
        <v>0</v>
      </c>
      <c r="I41" s="322">
        <f>COUNTIFS(input!$O:$O,August!$I$26,input!$E:$E,August!B41,input!$A:$A,August!$B$2)</f>
        <v>0</v>
      </c>
      <c r="J41" s="322">
        <f>COUNTIFS(input!$O:$O,August!$K$26,input!$E:$E,August!B41,input!$A:$A,August!$B$2)</f>
        <v>0</v>
      </c>
      <c r="K41" s="436">
        <f>COUNTIFS(input!$O:$O,August!$K$26,input!$E:$E,August!B41,input!$A:$A,August!$B$2)</f>
        <v>0</v>
      </c>
      <c r="L41" s="312">
        <f t="shared" ref="L41" si="3">SUM(D41:K41)</f>
        <v>1</v>
      </c>
      <c r="M41" s="313" cm="1">
        <f t="array" ref="M41">_xlfn.IFS(L41=0,0,L41&gt;=1,L41/$L$74)</f>
        <v>6.25E-2</v>
      </c>
      <c r="N41" s="1016" t="s">
        <v>135</v>
      </c>
      <c r="O41" s="1016"/>
      <c r="P41" s="991"/>
      <c r="Q41" s="316">
        <f>COUNTIFS(input!$O:$O,August!$Q$26,input!$F:$F,August!N41,input!$A:$A,August!$B$2)</f>
        <v>0</v>
      </c>
      <c r="R41" s="316">
        <f>COUNTIFS(input!$O:$O,August!$R$26,input!$F:$F,August!N41,input!$A:$A,August!$B$2)</f>
        <v>0</v>
      </c>
      <c r="S41" s="316">
        <f>COUNTIFS(input!$O:$O,August!$S$26,input!$F:$F,August!N41,input!$A:$A,August!$B$2)</f>
        <v>0</v>
      </c>
      <c r="T41" s="321">
        <f>COUNTIFS(input!$O:$O,August!$T$26,input!$F:$F,August!N41,input!$A:$A,August!$B$2)</f>
        <v>1</v>
      </c>
      <c r="U41" s="322">
        <f>COUNTIFS(input!$O:$O,August!$U$26,input!$F:$F,August!N41,input!$A:$A,August!$B$2)</f>
        <v>0</v>
      </c>
      <c r="V41" s="322">
        <f>COUNTIFS(input!$O:$O,August!$V$26,input!$F:$F,August!N41,input!$A:$A,August!$B$2)</f>
        <v>0</v>
      </c>
      <c r="W41" s="323">
        <f>COUNTIFS(input!$O:$O,August!$W$26,input!$F:$F,August!N41,input!$A:$A,August!$B$2)</f>
        <v>0</v>
      </c>
      <c r="X41" s="324">
        <f>COUNTIFS(input!$O:$O,August!$X$26,input!$F:$F,August!N41,input!$A:$A,August!$B$2)</f>
        <v>0</v>
      </c>
      <c r="Y41" s="312">
        <f t="shared" ref="Y41" si="4">SUM(Q41:X41)</f>
        <v>1</v>
      </c>
      <c r="Z41" s="315" cm="1">
        <f t="array" ref="Z41">_xlfn.IFS(Y41=0,0,Y41&gt;=1,Y41/$Y$74)</f>
        <v>6.25E-2</v>
      </c>
    </row>
    <row r="42" spans="2:26" ht="92" hidden="1" customHeight="1" x14ac:dyDescent="0.25">
      <c r="B42" s="1121" t="s">
        <v>1756</v>
      </c>
      <c r="C42" s="1066"/>
      <c r="D42" s="316">
        <f>COUNTIFS(input!$O:$O,August!$D$26,input!$E:$E,August!B42,input!$A:$A,August!$B$2)</f>
        <v>0</v>
      </c>
      <c r="E42" s="316">
        <f>COUNTIFS(input!$O:$O,August!$E$26,input!$E:$E,August!B42,input!$A:$A,August!$B$2)</f>
        <v>0</v>
      </c>
      <c r="F42" s="316">
        <f>COUNTIFS(input!$O:$O,August!$F$26,input!$E:$E,August!B42,input!$A:$A,August!$B$2)</f>
        <v>0</v>
      </c>
      <c r="G42" s="322">
        <f>COUNTIFS(input!$O:$O,August!$G$26,input!$E:$E,August!B42,input!$A:$A,August!$B$2)</f>
        <v>0</v>
      </c>
      <c r="H42" s="322">
        <f>COUNTIFS(input!$O:$O,August!$H$26,input!$E:$E,August!B42,input!$A:$A,August!$B$2)</f>
        <v>0</v>
      </c>
      <c r="I42" s="322">
        <f>COUNTIFS(input!$O:$O,August!$I$26,input!$E:$E,August!B42,input!$A:$A,August!$B$2)</f>
        <v>0</v>
      </c>
      <c r="J42" s="322">
        <f>COUNTIFS(input!$O:$O,August!$K$26,input!$E:$E,August!B42,input!$A:$A,August!$B$2)</f>
        <v>0</v>
      </c>
      <c r="K42" s="436">
        <f>COUNTIFS(input!$O:$O,August!$K$26,input!$E:$E,August!B42,input!$A:$A,August!$B$2)</f>
        <v>0</v>
      </c>
      <c r="L42" s="312">
        <f t="shared" si="2"/>
        <v>0</v>
      </c>
      <c r="M42" s="313" cm="1">
        <f t="array" ref="M42">_xlfn.IFS(L42=0,0,L42&gt;=1,L42/$L$74)</f>
        <v>0</v>
      </c>
      <c r="N42" s="1065" t="s">
        <v>95</v>
      </c>
      <c r="O42" s="1065"/>
      <c r="P42" s="1066"/>
      <c r="Q42" s="316">
        <f>COUNTIFS(input!$O:$O,August!$Q$26,input!$F:$F,August!N42,input!$A:$A,August!$B$2)</f>
        <v>0</v>
      </c>
      <c r="R42" s="316">
        <f>COUNTIFS(input!$O:$O,August!$R$26,input!$F:$F,August!N42,input!$A:$A,August!$B$2)</f>
        <v>0</v>
      </c>
      <c r="S42" s="316">
        <f>COUNTIFS(input!$O:$O,August!$S$26,input!$F:$F,August!N42,input!$A:$A,August!$B$2)</f>
        <v>0</v>
      </c>
      <c r="T42" s="321">
        <f>COUNTIFS(input!$O:$O,August!$T$26,input!$F:$F,August!N42,input!$A:$A,August!$B$2)</f>
        <v>0</v>
      </c>
      <c r="U42" s="322">
        <f>COUNTIFS(input!$O:$O,August!$U$26,input!$F:$F,August!N42,input!$A:$A,August!$B$2)</f>
        <v>0</v>
      </c>
      <c r="V42" s="322">
        <f>COUNTIFS(input!$O:$O,August!$V$26,input!$F:$F,August!N42,input!$A:$A,August!$B$2)</f>
        <v>0</v>
      </c>
      <c r="W42" s="323">
        <f>COUNTIFS(input!$O:$O,August!$W$26,input!$F:$F,August!N42,input!$A:$A,August!$B$2)</f>
        <v>0</v>
      </c>
      <c r="X42" s="324">
        <f>COUNTIFS(input!$O:$O,August!$X$26,input!$F:$F,August!N42,input!$A:$A,August!$B$2)</f>
        <v>0</v>
      </c>
      <c r="Y42" s="312">
        <f t="shared" si="1"/>
        <v>0</v>
      </c>
      <c r="Z42" s="315" cm="1">
        <f t="array" ref="Z42">_xlfn.IFS(Y42=0,0,Y42&gt;=1,Y42/$Y$74)</f>
        <v>0</v>
      </c>
    </row>
    <row r="43" spans="2:26" ht="92" hidden="1" customHeight="1" x14ac:dyDescent="0.25">
      <c r="B43" s="1121" t="s">
        <v>1888</v>
      </c>
      <c r="C43" s="1066"/>
      <c r="D43" s="316">
        <f>COUNTIFS(input!$O:$O,August!$D$26,input!$E:$E,August!B43,input!$A:$A,August!$B$2)</f>
        <v>0</v>
      </c>
      <c r="E43" s="316">
        <f>COUNTIFS(input!$O:$O,August!$E$26,input!$E:$E,August!B43,input!$A:$A,August!$B$2)</f>
        <v>0</v>
      </c>
      <c r="F43" s="316">
        <f>COUNTIFS(input!$O:$O,August!$F$26,input!$E:$E,August!B43,input!$A:$A,August!$B$2)</f>
        <v>0</v>
      </c>
      <c r="G43" s="322">
        <f>COUNTIFS(input!$O:$O,August!$G$26,input!$E:$E,August!B43,input!$A:$A,August!$B$2)</f>
        <v>0</v>
      </c>
      <c r="H43" s="322">
        <f>COUNTIFS(input!$O:$O,August!$H$26,input!$E:$E,August!B43,input!$A:$A,August!$B$2)</f>
        <v>0</v>
      </c>
      <c r="I43" s="322">
        <f>COUNTIFS(input!$O:$O,August!$I$26,input!$E:$E,August!B43,input!$A:$A,August!$B$2)</f>
        <v>0</v>
      </c>
      <c r="J43" s="322">
        <f>COUNTIFS(input!$O:$O,August!$K$26,input!$E:$E,August!B43,input!$A:$A,August!$B$2)</f>
        <v>0</v>
      </c>
      <c r="K43" s="436">
        <f>COUNTIFS(input!$O:$O,August!$K$26,input!$E:$E,August!B43,input!$A:$A,August!$B$2)</f>
        <v>0</v>
      </c>
      <c r="L43" s="312">
        <f t="shared" si="2"/>
        <v>0</v>
      </c>
      <c r="M43" s="313" cm="1">
        <f t="array" ref="M43">_xlfn.IFS(L43=0,0,L43&gt;=1,L43/$L$74)</f>
        <v>0</v>
      </c>
      <c r="N43" s="1065" t="s">
        <v>68</v>
      </c>
      <c r="O43" s="1065"/>
      <c r="P43" s="1066"/>
      <c r="Q43" s="316">
        <f>COUNTIFS(input!$O:$O,August!$Q$26,input!$F:$F,August!N43,input!$A:$A,August!$B$2)</f>
        <v>0</v>
      </c>
      <c r="R43" s="316">
        <f>COUNTIFS(input!$O:$O,August!$R$26,input!$F:$F,August!N43,input!$A:$A,August!$B$2)</f>
        <v>0</v>
      </c>
      <c r="S43" s="316">
        <f>COUNTIFS(input!$O:$O,August!$S$26,input!$F:$F,August!N43,input!$A:$A,August!$B$2)</f>
        <v>0</v>
      </c>
      <c r="T43" s="321">
        <f>COUNTIFS(input!$O:$O,August!$T$26,input!$F:$F,August!N43,input!$A:$A,August!$B$2)</f>
        <v>0</v>
      </c>
      <c r="U43" s="322">
        <f>COUNTIFS(input!$O:$O,August!$U$26,input!$F:$F,August!N43,input!$A:$A,August!$B$2)</f>
        <v>0</v>
      </c>
      <c r="V43" s="322">
        <f>COUNTIFS(input!$O:$O,August!$V$26,input!$F:$F,August!N43,input!$A:$A,August!$B$2)</f>
        <v>0</v>
      </c>
      <c r="W43" s="323">
        <f>COUNTIFS(input!$O:$O,August!$W$26,input!$F:$F,August!N43,input!$A:$A,August!$B$2)</f>
        <v>0</v>
      </c>
      <c r="X43" s="324">
        <f>COUNTIFS(input!$O:$O,August!$X$26,input!$F:$F,August!N43,input!$A:$A,August!$B$2)</f>
        <v>0</v>
      </c>
      <c r="Y43" s="312">
        <f t="shared" si="1"/>
        <v>0</v>
      </c>
      <c r="Z43" s="315" cm="1">
        <f t="array" ref="Z43">_xlfn.IFS(Y43=0,0,Y43&gt;=1,Y43/$Y$74)</f>
        <v>0</v>
      </c>
    </row>
    <row r="44" spans="2:26" ht="92" hidden="1" customHeight="1" x14ac:dyDescent="0.25">
      <c r="B44" s="1121" t="s">
        <v>169</v>
      </c>
      <c r="C44" s="1066"/>
      <c r="D44" s="316">
        <f>COUNTIFS(input!$O:$O,August!$D$26,input!$E:$E,August!B44,input!$A:$A,August!$B$2)</f>
        <v>0</v>
      </c>
      <c r="E44" s="316">
        <f>COUNTIFS(input!$O:$O,August!$E$26,input!$E:$E,August!B44,input!$A:$A,August!$B$2)</f>
        <v>0</v>
      </c>
      <c r="F44" s="316">
        <f>COUNTIFS(input!$O:$O,August!$F$26,input!$E:$E,August!B44,input!$A:$A,August!$B$2)</f>
        <v>0</v>
      </c>
      <c r="G44" s="322">
        <f>COUNTIFS(input!$O:$O,August!$G$26,input!$E:$E,August!B44,input!$A:$A,August!$B$2)</f>
        <v>0</v>
      </c>
      <c r="H44" s="322">
        <f>COUNTIFS(input!$O:$O,August!$H$26,input!$E:$E,August!B44,input!$A:$A,August!$B$2)</f>
        <v>0</v>
      </c>
      <c r="I44" s="322">
        <f>COUNTIFS(input!$O:$O,August!$I$26,input!$E:$E,August!B44,input!$A:$A,August!$B$2)</f>
        <v>0</v>
      </c>
      <c r="J44" s="322">
        <f>COUNTIFS(input!$O:$O,August!$J$26,input!$E:$E,August!B44,input!$A:$A,August!$B$2)</f>
        <v>0</v>
      </c>
      <c r="K44" s="436">
        <f>COUNTIFS(input!$O:$O,August!$K$26,input!$E:$E,August!B44,input!$A:$A,August!$B$2)</f>
        <v>0</v>
      </c>
      <c r="L44" s="312">
        <f>SUM(D44:K44)</f>
        <v>0</v>
      </c>
      <c r="M44" s="313" cm="1">
        <f t="array" ref="M44">_xlfn.IFS(L44=0,0,L44&gt;=1,L44/$L$74)</f>
        <v>0</v>
      </c>
      <c r="N44" s="1065" t="s">
        <v>69</v>
      </c>
      <c r="O44" s="1065"/>
      <c r="P44" s="1066"/>
      <c r="Q44" s="316">
        <f>COUNTIFS(input!$O:$O,August!$Q$26,input!$F:$F,August!N44,input!$A:$A,August!$B$2)</f>
        <v>0</v>
      </c>
      <c r="R44" s="316">
        <f>COUNTIFS(input!$O:$O,August!$R$26,input!$F:$F,August!N44,input!$A:$A,August!$B$2)</f>
        <v>0</v>
      </c>
      <c r="S44" s="316">
        <f>COUNTIFS(input!$O:$O,August!$S$26,input!$F:$F,August!N44,input!$A:$A,August!$B$2)</f>
        <v>0</v>
      </c>
      <c r="T44" s="321">
        <f>COUNTIFS(input!$O:$O,August!$T$26,input!$F:$F,August!N44,input!$A:$A,August!$B$2)</f>
        <v>0</v>
      </c>
      <c r="U44" s="322">
        <f>COUNTIFS(input!$O:$O,August!$U$26,input!$F:$F,August!N44,input!$A:$A,August!$B$2)</f>
        <v>0</v>
      </c>
      <c r="V44" s="322">
        <f>COUNTIFS(input!$O:$O,August!$V$26,input!$F:$F,August!N44,input!$A:$A,August!$B$2)</f>
        <v>0</v>
      </c>
      <c r="W44" s="323">
        <f>COUNTIFS(input!$O:$O,August!$W$26,input!$F:$F,August!N44,input!$A:$A,August!$B$2)</f>
        <v>0</v>
      </c>
      <c r="X44" s="324">
        <f>COUNTIFS(input!$O:$O,August!$X$26,input!$F:$F,August!N44,input!$A:$A,August!$B$2)</f>
        <v>0</v>
      </c>
      <c r="Y44" s="312">
        <f t="shared" si="1"/>
        <v>0</v>
      </c>
      <c r="Z44" s="315" cm="1">
        <f t="array" ref="Z44">_xlfn.IFS(Y44=0,0,Y44&gt;=1,Y44/$Y$74)</f>
        <v>0</v>
      </c>
    </row>
    <row r="45" spans="2:26" ht="92" hidden="1" customHeight="1" x14ac:dyDescent="0.25">
      <c r="B45" s="990" t="s">
        <v>134</v>
      </c>
      <c r="C45" s="991"/>
      <c r="D45" s="316">
        <f>COUNTIFS(input!$O:$O,August!$D$26,input!$E:$E,August!B45,input!$A:$A,August!$B$2)</f>
        <v>0</v>
      </c>
      <c r="E45" s="316">
        <f>COUNTIFS(input!$O:$O,August!$E$26,input!$E:$E,August!B45,input!$A:$A,August!$B$2)</f>
        <v>0</v>
      </c>
      <c r="F45" s="316">
        <f>COUNTIFS(input!$O:$O,August!$F$26,input!$E:$E,August!B45,input!$A:$A,August!$B$2)</f>
        <v>0</v>
      </c>
      <c r="G45" s="322">
        <f>COUNTIFS(input!$O:$O,August!$G$26,input!$E:$E,August!B45,input!$A:$A,August!$B$2)</f>
        <v>0</v>
      </c>
      <c r="H45" s="322">
        <f>COUNTIFS(input!$O:$O,August!$H$26,input!$E:$E,August!B45,input!$A:$A,August!$B$2)</f>
        <v>0</v>
      </c>
      <c r="I45" s="322">
        <f>COUNTIFS(input!$O:$O,August!$I$26,input!$E:$E,August!B45,input!$A:$A,August!$B$2)</f>
        <v>0</v>
      </c>
      <c r="J45" s="322">
        <f>COUNTIFS(input!$O:$O,August!$J$26,input!$E:$E,August!B45,input!$A:$A,August!$B$2)</f>
        <v>1</v>
      </c>
      <c r="K45" s="436">
        <f>COUNTIFS(input!$O:$O,August!$K$26,input!$E:$E,August!B45,input!$A:$A,August!$B$2)</f>
        <v>0</v>
      </c>
      <c r="L45" s="312">
        <f>SUM(D45:K45)</f>
        <v>1</v>
      </c>
      <c r="M45" s="313" cm="1">
        <f t="array" ref="M45">_xlfn.IFS(L45=0,0,L45&gt;=1,L45/$L$74)</f>
        <v>6.25E-2</v>
      </c>
      <c r="N45" s="1065" t="s">
        <v>84</v>
      </c>
      <c r="O45" s="1065"/>
      <c r="P45" s="1066"/>
      <c r="Q45" s="316">
        <f>COUNTIFS(input!$O:$O,August!$Q$26,input!$F:$F,August!N45,input!$A:$A,August!$B$2)</f>
        <v>0</v>
      </c>
      <c r="R45" s="316">
        <f>COUNTIFS(input!$O:$O,August!$R$26,input!$F:$F,August!N45,input!$A:$A,August!$B$2)</f>
        <v>0</v>
      </c>
      <c r="S45" s="316">
        <f>COUNTIFS(input!$O:$O,August!$S$26,input!$F:$F,August!N45,input!$A:$A,August!$B$2)</f>
        <v>0</v>
      </c>
      <c r="T45" s="321">
        <f>COUNTIFS(input!$O:$O,August!$T$26,input!$F:$F,August!N45,input!$A:$A,August!$B$2)</f>
        <v>0</v>
      </c>
      <c r="U45" s="322">
        <f>COUNTIFS(input!$O:$O,August!$U$26,input!$F:$F,August!N45,input!$A:$A,August!$B$2)</f>
        <v>0</v>
      </c>
      <c r="V45" s="322">
        <f>COUNTIFS(input!$O:$O,August!$V$26,input!$F:$F,August!N45,input!$A:$A,August!$B$2)</f>
        <v>0</v>
      </c>
      <c r="W45" s="323">
        <f>COUNTIFS(input!$O:$O,August!$W$26,input!$F:$F,August!N45,input!$A:$A,August!$B$2)</f>
        <v>0</v>
      </c>
      <c r="X45" s="324">
        <f>COUNTIFS(input!$O:$O,August!$X$26,input!$F:$F,August!N45,input!$A:$A,August!$B$2)</f>
        <v>0</v>
      </c>
      <c r="Y45" s="312">
        <f t="shared" ref="Y45" si="5">SUM(Q45:X45)</f>
        <v>0</v>
      </c>
      <c r="Z45" s="315" cm="1">
        <f t="array" ref="Z45">_xlfn.IFS(Y45=0,0,Y45&gt;=1,Y45/$Y$74)</f>
        <v>0</v>
      </c>
    </row>
    <row r="46" spans="2:26" ht="92" customHeight="1" x14ac:dyDescent="0.25">
      <c r="B46" s="1121" t="s">
        <v>658</v>
      </c>
      <c r="C46" s="1066"/>
      <c r="D46" s="316">
        <f>COUNTIFS(input!$O:$O,August!$D$26,input!$E:$E,August!B46,input!$A:$A,August!$B$2)</f>
        <v>0</v>
      </c>
      <c r="E46" s="316">
        <f>COUNTIFS(input!$O:$O,August!$E$26,input!$E:$E,August!B46,input!$A:$A,August!$B$2)</f>
        <v>0</v>
      </c>
      <c r="F46" s="316">
        <f>COUNTIFS(input!$O:$O,August!$F$26,input!$E:$E,August!B46,input!$A:$A,August!$B$2)</f>
        <v>0</v>
      </c>
      <c r="G46" s="322">
        <f>COUNTIFS(input!$O:$O,August!$G$26,input!$E:$E,August!B46,input!$A:$A,August!$B$2)</f>
        <v>0</v>
      </c>
      <c r="H46" s="322">
        <f>COUNTIFS(input!$O:$O,August!$H$26,input!$E:$E,August!B46,input!$A:$A,August!$B$2)</f>
        <v>0</v>
      </c>
      <c r="I46" s="322">
        <f>COUNTIFS(input!$O:$O,August!$I$26,input!$E:$E,August!B46,input!$A:$A,August!$B$2)</f>
        <v>0</v>
      </c>
      <c r="J46" s="322">
        <f>COUNTIFS(input!$O:$O,August!$K$26,input!$E:$E,August!B46,input!$A:$A,August!$B$2)</f>
        <v>0</v>
      </c>
      <c r="K46" s="436">
        <f>COUNTIFS(input!$O:$O,August!$K$26,input!$E:$E,August!B46,input!$A:$A,August!$B$2)</f>
        <v>0</v>
      </c>
      <c r="L46" s="312">
        <f t="shared" ref="L46:L50" si="6">SUM(D46:K46)</f>
        <v>0</v>
      </c>
      <c r="M46" s="313" cm="1">
        <f t="array" ref="M46">_xlfn.IFS(L46=0,0,L46&gt;=1,L46/$L$74)</f>
        <v>0</v>
      </c>
      <c r="N46" s="1058" t="s">
        <v>56</v>
      </c>
      <c r="O46" s="1016"/>
      <c r="P46" s="991"/>
      <c r="Q46" s="316">
        <f>COUNTIFS(input!$O:$O,August!$Q$26,input!$F:$F,August!N46,input!$A:$A,August!$B$2)</f>
        <v>0</v>
      </c>
      <c r="R46" s="316">
        <f>COUNTIFS(input!$O:$O,August!$R$26,input!$F:$F,August!N46,input!$A:$A,August!$B$2)</f>
        <v>0</v>
      </c>
      <c r="S46" s="316">
        <f>COUNTIFS(input!$O:$O,August!$S$26,input!$F:$F,August!N46,input!$A:$A,August!$B$2)</f>
        <v>0</v>
      </c>
      <c r="T46" s="321">
        <f>COUNTIFS(input!$O:$O,August!$T$26,input!$F:$F,August!N46,input!$A:$A,August!$B$2)</f>
        <v>2</v>
      </c>
      <c r="U46" s="322">
        <f>COUNTIFS(input!$O:$O,August!$U$26,input!$F:$F,August!N46,input!$A:$A,August!$B$2)</f>
        <v>0</v>
      </c>
      <c r="V46" s="322">
        <f>COUNTIFS(input!$O:$O,August!$V$26,input!$F:$F,August!N46,input!$A:$A,August!$B$2)</f>
        <v>0</v>
      </c>
      <c r="W46" s="323">
        <f>COUNTIFS(input!$O:$O,August!$W$26,input!$F:$F,August!N46,input!$A:$A,August!$B$2)</f>
        <v>0</v>
      </c>
      <c r="X46" s="324">
        <f>COUNTIFS(input!$O:$O,August!$X$26,input!$F:$F,August!N46,input!$A:$A,August!$B$2)</f>
        <v>0</v>
      </c>
      <c r="Y46" s="312">
        <f t="shared" si="1"/>
        <v>2</v>
      </c>
      <c r="Z46" s="315" cm="1">
        <f t="array" ref="Z46">_xlfn.IFS(Y46=0,0,Y46&gt;=1,Y46/$Y$74)</f>
        <v>0.125</v>
      </c>
    </row>
    <row r="47" spans="2:26" ht="92" customHeight="1" x14ac:dyDescent="0.25">
      <c r="B47" s="1121" t="s">
        <v>18</v>
      </c>
      <c r="C47" s="1066"/>
      <c r="D47" s="316">
        <f>COUNTIFS(input!$O:$O,August!$D$26,input!$E:$E,August!B47,input!$A:$A,August!$B$2)</f>
        <v>0</v>
      </c>
      <c r="E47" s="316">
        <f>COUNTIFS(input!$O:$O,August!$E$26,input!$E:$E,August!B47,input!$A:$A,August!$B$2)</f>
        <v>0</v>
      </c>
      <c r="F47" s="316">
        <f>COUNTIFS(input!$O:$O,August!$F$26,input!$E:$E,August!B47,input!$A:$A,August!$B$2)</f>
        <v>0</v>
      </c>
      <c r="G47" s="322">
        <f>COUNTIFS(input!$O:$O,August!$G$26,input!$E:$E,August!B47,input!$A:$A,August!$B$2)</f>
        <v>0</v>
      </c>
      <c r="H47" s="322">
        <f>COUNTIFS(input!$O:$O,August!$H$26,input!$E:$E,August!B47,input!$A:$A,August!$B$2)</f>
        <v>0</v>
      </c>
      <c r="I47" s="322">
        <f>COUNTIFS(input!$O:$O,August!$I$26,input!$E:$E,August!B47,input!$A:$A,August!$B$2)</f>
        <v>0</v>
      </c>
      <c r="J47" s="322">
        <f>COUNTIFS(input!$O:$O,August!$K$26,input!$E:$E,August!B47,input!$A:$A,August!$B$2)</f>
        <v>0</v>
      </c>
      <c r="K47" s="436">
        <f>COUNTIFS(input!$O:$O,August!$K$26,input!$E:$E,August!B47,input!$A:$A,August!$B$2)</f>
        <v>0</v>
      </c>
      <c r="L47" s="312">
        <f t="shared" si="6"/>
        <v>0</v>
      </c>
      <c r="M47" s="313" cm="1">
        <f t="array" ref="M47">_xlfn.IFS(L47=0,0,L47&gt;=1,L47/$L$74)</f>
        <v>0</v>
      </c>
      <c r="N47" s="1016" t="s">
        <v>203</v>
      </c>
      <c r="O47" s="1016"/>
      <c r="P47" s="991"/>
      <c r="Q47" s="316">
        <f>COUNTIFS(input!$O:$O,August!$Q$26,input!$F:$F,August!N47,input!$A:$A,August!$B$2)</f>
        <v>0</v>
      </c>
      <c r="R47" s="316">
        <f>COUNTIFS(input!$O:$O,August!$R$26,input!$F:$F,August!N47,input!$A:$A,August!$B$2)</f>
        <v>0</v>
      </c>
      <c r="S47" s="316">
        <f>COUNTIFS(input!$O:$O,August!$S$26,input!$F:$F,August!N47,input!$A:$A,August!$B$2)</f>
        <v>0</v>
      </c>
      <c r="T47" s="321">
        <f>COUNTIFS(input!$O:$O,August!$T$26,input!$F:$F,August!N47,input!$A:$A,August!$B$2)</f>
        <v>0</v>
      </c>
      <c r="U47" s="322">
        <f>COUNTIFS(input!$O:$O,August!$U$26,input!$F:$F,August!N47,input!$A:$A,August!$B$2)</f>
        <v>0</v>
      </c>
      <c r="V47" s="322">
        <f>COUNTIFS(input!$O:$O,August!$V$26,input!$F:$F,August!N47,input!$A:$A,August!$B$2)</f>
        <v>3</v>
      </c>
      <c r="W47" s="323">
        <f>COUNTIFS(input!$O:$O,August!$W$26,input!$F:$F,August!N47,input!$A:$A,August!$B$2)</f>
        <v>0</v>
      </c>
      <c r="X47" s="324">
        <f>COUNTIFS(input!$O:$O,August!$X$26,input!$F:$F,August!N47,input!$A:$A,August!$B$2)</f>
        <v>0</v>
      </c>
      <c r="Y47" s="312">
        <f t="shared" si="1"/>
        <v>3</v>
      </c>
      <c r="Z47" s="315" cm="1">
        <f t="array" ref="Z47">_xlfn.IFS(Y47=0,0,Y47&gt;=1,Y47/$Y$74)</f>
        <v>0.1875</v>
      </c>
    </row>
    <row r="48" spans="2:26" ht="92" customHeight="1" x14ac:dyDescent="0.25">
      <c r="B48" s="990" t="s">
        <v>410</v>
      </c>
      <c r="C48" s="991"/>
      <c r="D48" s="316">
        <f>COUNTIFS(input!$O:$O,August!$D$26,input!$E:$E,August!B48,input!$A:$A,August!$B$2)</f>
        <v>0</v>
      </c>
      <c r="E48" s="316">
        <f>COUNTIFS(input!$O:$O,August!$E$26,input!$E:$E,August!B48,input!$A:$A,August!$B$2)</f>
        <v>0</v>
      </c>
      <c r="F48" s="316">
        <f>COUNTIFS(input!$O:$O,August!$F$26,input!$E:$E,August!B48,input!$A:$A,August!$B$2)</f>
        <v>0</v>
      </c>
      <c r="G48" s="322">
        <f>COUNTIFS(input!$O:$O,August!$G$26,input!$E:$E,August!B48,input!$A:$A,August!$B$2)</f>
        <v>1</v>
      </c>
      <c r="H48" s="322">
        <f>COUNTIFS(input!$O:$O,August!$H$26,input!$E:$E,August!B48,input!$A:$A,August!$B$2)</f>
        <v>0</v>
      </c>
      <c r="I48" s="322">
        <f>COUNTIFS(input!$O:$O,August!$I$26,input!$E:$E,August!B48,input!$A:$A,August!$B$2)</f>
        <v>0</v>
      </c>
      <c r="J48" s="322">
        <f>COUNTIFS(input!$O:$O,August!$K$26,input!$E:$E,August!B48,input!$A:$A,August!$B$2)</f>
        <v>0</v>
      </c>
      <c r="K48" s="436">
        <f>COUNTIFS(input!$O:$O,August!$K$26,input!$E:$E,August!B48,input!$A:$A,August!$B$2)</f>
        <v>0</v>
      </c>
      <c r="L48" s="312">
        <f t="shared" si="6"/>
        <v>1</v>
      </c>
      <c r="M48" s="313" cm="1">
        <f t="array" ref="M48">_xlfn.IFS(L48=0,0,L48&gt;=1,L48/$L$74)</f>
        <v>6.25E-2</v>
      </c>
      <c r="N48" s="1065" t="s">
        <v>42</v>
      </c>
      <c r="O48" s="1065"/>
      <c r="P48" s="1066"/>
      <c r="Q48" s="316">
        <f>COUNTIFS(input!$O:$O,August!$Q$26,input!$F:$F,August!N48,input!$A:$A,August!$B$2)</f>
        <v>0</v>
      </c>
      <c r="R48" s="316">
        <f>COUNTIFS(input!$O:$O,August!$R$26,input!$F:$F,August!N48,input!$A:$A,August!$B$2)</f>
        <v>0</v>
      </c>
      <c r="S48" s="316">
        <f>COUNTIFS(input!$O:$O,August!$S$26,input!$F:$F,August!N48,input!$A:$A,August!$B$2)</f>
        <v>0</v>
      </c>
      <c r="T48" s="321">
        <f>COUNTIFS(input!$O:$O,August!$T$26,input!$F:$F,August!N48,input!$A:$A,August!$B$2)</f>
        <v>0</v>
      </c>
      <c r="U48" s="322">
        <f>COUNTIFS(input!$O:$O,August!$U$26,input!$F:$F,August!N48,input!$A:$A,August!$B$2)</f>
        <v>0</v>
      </c>
      <c r="V48" s="322">
        <f>COUNTIFS(input!$O:$O,August!$V$26,input!$F:$F,August!N48,input!$A:$A,August!$B$2)</f>
        <v>0</v>
      </c>
      <c r="W48" s="323">
        <f>COUNTIFS(input!$O:$O,August!$W$26,input!$F:$F,August!N48,input!$A:$A,August!$B$2)</f>
        <v>2</v>
      </c>
      <c r="X48" s="324">
        <f>COUNTIFS(input!$O:$O,August!$X$26,input!$F:$F,August!N48,input!$A:$A,August!$B$2)</f>
        <v>0</v>
      </c>
      <c r="Y48" s="312">
        <f t="shared" si="1"/>
        <v>2</v>
      </c>
      <c r="Z48" s="315" cm="1">
        <f t="array" ref="Z48">_xlfn.IFS(Y48=0,0,Y48&gt;=1,Y48/$Y$74)</f>
        <v>0.125</v>
      </c>
    </row>
    <row r="49" spans="2:26" ht="92" hidden="1" customHeight="1" x14ac:dyDescent="0.25">
      <c r="B49" s="1121" t="s">
        <v>1509</v>
      </c>
      <c r="C49" s="1066"/>
      <c r="D49" s="316">
        <f>COUNTIFS(input!$O:$O,August!$D$26,input!$E:$E,August!B49,input!$A:$A,August!$B$2)</f>
        <v>0</v>
      </c>
      <c r="E49" s="316">
        <f>COUNTIFS(input!$O:$O,August!$E$26,input!$E:$E,August!B49,input!$A:$A,August!$B$2)</f>
        <v>0</v>
      </c>
      <c r="F49" s="316">
        <f>COUNTIFS(input!$O:$O,August!$F$26,input!$E:$E,August!B49,input!$A:$A,August!$B$2)</f>
        <v>0</v>
      </c>
      <c r="G49" s="322">
        <f>COUNTIFS(input!$O:$O,August!$G$26,input!$E:$E,August!B49,input!$A:$A,August!$B$2)</f>
        <v>0</v>
      </c>
      <c r="H49" s="322">
        <f>COUNTIFS(input!$O:$O,August!$H$26,input!$E:$E,August!B49,input!$A:$A,August!$B$2)</f>
        <v>0</v>
      </c>
      <c r="I49" s="322">
        <f>COUNTIFS(input!$O:$O,August!$I$26,input!$E:$E,August!B49,input!$A:$A,August!$B$2)</f>
        <v>0</v>
      </c>
      <c r="J49" s="322">
        <f>COUNTIFS(input!$O:$O,August!$K$26,input!$E:$E,August!B49,input!$A:$A,August!$B$2)</f>
        <v>0</v>
      </c>
      <c r="K49" s="436">
        <f>COUNTIFS(input!$O:$O,August!$K$26,input!$E:$E,August!B49,input!$A:$A,August!$B$2)</f>
        <v>0</v>
      </c>
      <c r="L49" s="312">
        <f t="shared" si="6"/>
        <v>0</v>
      </c>
      <c r="M49" s="313" cm="1">
        <f t="array" ref="M49">_xlfn.IFS(L49=0,0,L49&gt;=1,L49/$L$74)</f>
        <v>0</v>
      </c>
      <c r="N49" s="1065" t="s">
        <v>703</v>
      </c>
      <c r="O49" s="1065"/>
      <c r="P49" s="1066"/>
      <c r="Q49" s="316">
        <f>COUNTIFS(input!$O:$O,August!$Q$26,input!$F:$F,August!N49,input!$A:$A,August!$B$2)</f>
        <v>0</v>
      </c>
      <c r="R49" s="316">
        <f>COUNTIFS(input!$O:$O,August!$R$26,input!$F:$F,August!N49,input!$A:$A,August!$B$2)</f>
        <v>0</v>
      </c>
      <c r="S49" s="316">
        <f>COUNTIFS(input!$O:$O,August!$S$26,input!$F:$F,August!N49,input!$A:$A,August!$B$2)</f>
        <v>0</v>
      </c>
      <c r="T49" s="321">
        <f>COUNTIFS(input!$O:$O,August!$T$26,input!$F:$F,August!N49,input!$A:$A,August!$B$2)</f>
        <v>0</v>
      </c>
      <c r="U49" s="322">
        <f>COUNTIFS(input!$O:$O,August!$U$26,input!$F:$F,August!N49,input!$A:$A,August!$B$2)</f>
        <v>0</v>
      </c>
      <c r="V49" s="322">
        <f>COUNTIFS(input!$O:$O,August!$V$26,input!$F:$F,August!N49,input!$A:$A,August!$B$2)</f>
        <v>0</v>
      </c>
      <c r="W49" s="323">
        <f>COUNTIFS(input!$O:$O,August!$W$26,input!$F:$F,August!N49,input!$A:$A,August!$B$2)</f>
        <v>0</v>
      </c>
      <c r="X49" s="324">
        <f>COUNTIFS(input!$O:$O,August!$X$26,input!$F:$F,August!N49,input!$A:$A,August!$B$2)</f>
        <v>0</v>
      </c>
      <c r="Y49" s="312">
        <f t="shared" si="1"/>
        <v>0</v>
      </c>
      <c r="Z49" s="315" cm="1">
        <f t="array" ref="Z49">_xlfn.IFS(Y49=0,0,Y49&gt;=1,Y49/$Y$74)</f>
        <v>0</v>
      </c>
    </row>
    <row r="50" spans="2:26" ht="92" hidden="1" customHeight="1" x14ac:dyDescent="0.25">
      <c r="B50" s="1121" t="s">
        <v>747</v>
      </c>
      <c r="C50" s="1066"/>
      <c r="D50" s="316">
        <f>COUNTIFS(input!$O:$O,August!$D$26,input!$E:$E,August!B50,input!$A:$A,August!$B$2)</f>
        <v>0</v>
      </c>
      <c r="E50" s="316">
        <f>COUNTIFS(input!$O:$O,August!$E$26,input!$E:$E,August!B50,input!$A:$A,August!$B$2)</f>
        <v>0</v>
      </c>
      <c r="F50" s="316">
        <f>COUNTIFS(input!$O:$O,August!$F$26,input!$E:$E,August!B50,input!$A:$A,August!$B$2)</f>
        <v>0</v>
      </c>
      <c r="G50" s="322">
        <f>COUNTIFS(input!$O:$O,August!$G$26,input!$E:$E,August!B50,input!$A:$A,August!$B$2)</f>
        <v>0</v>
      </c>
      <c r="H50" s="322">
        <f>COUNTIFS(input!$O:$O,August!$H$26,input!$E:$E,August!B50,input!$A:$A,August!$B$2)</f>
        <v>0</v>
      </c>
      <c r="I50" s="322">
        <f>COUNTIFS(input!$O:$O,August!$I$26,input!$E:$E,August!B50,input!$A:$A,August!$B$2)</f>
        <v>0</v>
      </c>
      <c r="J50" s="322">
        <f>COUNTIFS(input!$O:$O,August!$K$26,input!$E:$E,August!B50,input!$A:$A,August!$B$2)</f>
        <v>0</v>
      </c>
      <c r="K50" s="436">
        <f>COUNTIFS(input!$O:$O,August!$K$26,input!$E:$E,August!B50,input!$A:$A,August!$B$2)</f>
        <v>0</v>
      </c>
      <c r="L50" s="312">
        <f t="shared" si="6"/>
        <v>0</v>
      </c>
      <c r="M50" s="313" cm="1">
        <f t="array" ref="M50">_xlfn.IFS(L50=0,0,L50&gt;=1,L50/$L$74)</f>
        <v>0</v>
      </c>
      <c r="N50" s="1065" t="s">
        <v>1533</v>
      </c>
      <c r="O50" s="1065"/>
      <c r="P50" s="1066"/>
      <c r="Q50" s="316">
        <f>COUNTIFS(input!$O:$O,August!$Q$26,input!$F:$F,August!N50,input!$A:$A,August!$B$2)</f>
        <v>0</v>
      </c>
      <c r="R50" s="316">
        <f>COUNTIFS(input!$O:$O,August!$R$26,input!$F:$F,August!N50,input!$A:$A,August!$B$2)</f>
        <v>0</v>
      </c>
      <c r="S50" s="316">
        <f>COUNTIFS(input!$O:$O,August!$S$26,input!$F:$F,August!N50,input!$A:$A,August!$B$2)</f>
        <v>0</v>
      </c>
      <c r="T50" s="321">
        <f>COUNTIFS(input!$O:$O,August!$T$26,input!$F:$F,August!N50,input!$A:$A,August!$B$2)</f>
        <v>0</v>
      </c>
      <c r="U50" s="322">
        <f>COUNTIFS(input!$O:$O,August!$U$26,input!$F:$F,August!N50,input!$A:$A,August!$B$2)</f>
        <v>0</v>
      </c>
      <c r="V50" s="322">
        <f>COUNTIFS(input!$O:$O,August!$V$26,input!$F:$F,August!N50,input!$A:$A,August!$B$2)</f>
        <v>0</v>
      </c>
      <c r="W50" s="323">
        <f>COUNTIFS(input!$O:$O,August!$W$26,input!$F:$F,August!N50,input!$A:$A,August!$B$2)</f>
        <v>0</v>
      </c>
      <c r="X50" s="324">
        <f>COUNTIFS(input!$O:$O,August!$X$26,input!$F:$F,August!N50,input!$A:$A,August!$B$2)</f>
        <v>0</v>
      </c>
      <c r="Y50" s="312">
        <f t="shared" si="1"/>
        <v>0</v>
      </c>
      <c r="Z50" s="315" cm="1">
        <f t="array" ref="Z50">_xlfn.IFS(Y50=0,0,Y50&gt;=1,Y50/$Y$74)</f>
        <v>0</v>
      </c>
    </row>
    <row r="51" spans="2:26" ht="92" hidden="1" customHeight="1" x14ac:dyDescent="0.25">
      <c r="B51" s="1121" t="s">
        <v>333</v>
      </c>
      <c r="C51" s="1066"/>
      <c r="D51" s="316">
        <f>COUNTIFS(input!$O:$O,August!$D$26,input!$E:$E,August!B51,input!$A:$A,August!$B$2)</f>
        <v>0</v>
      </c>
      <c r="E51" s="316">
        <f>COUNTIFS(input!$O:$O,August!$E$26,input!$E:$E,August!B51,input!$A:$A,August!$B$2)</f>
        <v>0</v>
      </c>
      <c r="F51" s="316">
        <f>COUNTIFS(input!$O:$O,August!$F$26,input!$E:$E,August!B51,input!$A:$A,August!$B$2)</f>
        <v>0</v>
      </c>
      <c r="G51" s="322">
        <f>COUNTIFS(input!$O:$O,August!$G$26,input!$E:$E,August!B51,input!$A:$A,August!$B$2)</f>
        <v>0</v>
      </c>
      <c r="H51" s="322">
        <f>COUNTIFS(input!$O:$O,August!$H$26,input!$E:$E,August!B51,input!$A:$A,August!$B$2)</f>
        <v>0</v>
      </c>
      <c r="I51" s="322">
        <f>COUNTIFS(input!$O:$O,August!$I$26,input!$E:$E,August!B51,input!$A:$A,August!$B$2)</f>
        <v>0</v>
      </c>
      <c r="J51" s="322">
        <f>COUNTIFS(input!$O:$O,August!$K$26,input!$E:$E,August!B51,input!$A:$A,August!$B$2)</f>
        <v>0</v>
      </c>
      <c r="K51" s="436">
        <f>COUNTIFS(input!$O:$O,August!$K$26,input!$E:$E,August!B51,input!$A:$A,August!$B$2)</f>
        <v>0</v>
      </c>
      <c r="L51" s="312">
        <f>SUM(D51:K51)</f>
        <v>0</v>
      </c>
      <c r="M51" s="313" cm="1">
        <f t="array" ref="M51">_xlfn.IFS(L51=0,0,L51&gt;=1,L51/$L$74)</f>
        <v>0</v>
      </c>
      <c r="N51" s="1065"/>
      <c r="O51" s="1065"/>
      <c r="P51" s="1066"/>
      <c r="Q51" s="316">
        <f>COUNTIFS(input!$O:$O,August!$Q$26,input!$F:$F,August!N51,input!$A:$A,August!$B$2)</f>
        <v>0</v>
      </c>
      <c r="R51" s="316">
        <f>COUNTIFS(input!$O:$O,August!$R$26,input!$F:$F,August!N51,input!$A:$A,August!$B$2)</f>
        <v>0</v>
      </c>
      <c r="S51" s="316">
        <f>COUNTIFS(input!$O:$O,August!$S$26,input!$F:$F,August!N51,input!$A:$A,August!$B$2)</f>
        <v>0</v>
      </c>
      <c r="T51" s="321">
        <f>COUNTIFS(input!$O:$O,August!$T$26,input!$F:$F,August!N51,input!$A:$A,August!$B$2)</f>
        <v>0</v>
      </c>
      <c r="U51" s="322">
        <f>COUNTIFS(input!$O:$O,August!$U$26,input!$F:$F,August!N51,input!$A:$A,August!$B$2)</f>
        <v>0</v>
      </c>
      <c r="V51" s="322">
        <f>COUNTIFS(input!$O:$O,August!$V$26,input!$F:$F,August!N51,input!$A:$A,August!$B$2)</f>
        <v>0</v>
      </c>
      <c r="W51" s="323">
        <f>COUNTIFS(input!$O:$O,August!$W$26,input!$F:$F,August!N51,input!$A:$A,August!$B$2)</f>
        <v>0</v>
      </c>
      <c r="X51" s="324">
        <f>COUNTIFS(input!$O:$O,August!$X$26,input!$F:$F,August!N51,input!$A:$A,August!$B$2)</f>
        <v>0</v>
      </c>
      <c r="Y51" s="312">
        <f t="shared" si="1"/>
        <v>0</v>
      </c>
      <c r="Z51" s="315" cm="1">
        <f t="array" ref="Z51">_xlfn.IFS(Y51=0,0,Y51&gt;=1,Y51/$Y$74)</f>
        <v>0</v>
      </c>
    </row>
    <row r="52" spans="2:26" ht="92" hidden="1" customHeight="1" x14ac:dyDescent="0.25">
      <c r="B52" s="1121" t="s">
        <v>1550</v>
      </c>
      <c r="C52" s="1066"/>
      <c r="D52" s="316">
        <f>COUNTIFS(input!$O:$O,August!$D$26,input!$E:$E,August!B52,input!$A:$A,August!$B$2)</f>
        <v>0</v>
      </c>
      <c r="E52" s="316">
        <f>COUNTIFS(input!$O:$O,August!$E$26,input!$E:$E,August!B52,input!$A:$A,August!$B$2)</f>
        <v>0</v>
      </c>
      <c r="F52" s="316">
        <f>COUNTIFS(input!$O:$O,August!$F$26,input!$E:$E,August!B52,input!$A:$A,August!$B$2)</f>
        <v>0</v>
      </c>
      <c r="G52" s="322">
        <f>COUNTIFS(input!$O:$O,August!$G$26,input!$E:$E,August!B52,input!$A:$A,August!$B$2)</f>
        <v>0</v>
      </c>
      <c r="H52" s="322">
        <f>COUNTIFS(input!$O:$O,August!$H$26,input!$E:$E,August!B52,input!$A:$A,August!$B$2)</f>
        <v>0</v>
      </c>
      <c r="I52" s="322">
        <f>COUNTIFS(input!$O:$O,August!$I$26,input!$E:$E,August!B52,input!$A:$A,August!$B$2)</f>
        <v>0</v>
      </c>
      <c r="J52" s="322">
        <f>COUNTIFS(input!$O:$O,August!$K$26,input!$E:$E,August!B52,input!$A:$A,August!$B$2)</f>
        <v>0</v>
      </c>
      <c r="K52" s="436">
        <f>COUNTIFS(input!$O:$O,August!$K$26,input!$E:$E,August!B52,input!$A:$A,August!$B$2)</f>
        <v>0</v>
      </c>
      <c r="L52" s="312">
        <f>SUM(D52:K52)</f>
        <v>0</v>
      </c>
      <c r="M52" s="313" cm="1">
        <f t="array" ref="M52">_xlfn.IFS(L52=0,0,L52&gt;=1,L52/$L$74)</f>
        <v>0</v>
      </c>
      <c r="N52" s="1065"/>
      <c r="O52" s="1065"/>
      <c r="P52" s="1066"/>
      <c r="Q52" s="316">
        <f>COUNTIFS(input!$O:$O,August!$Q$26,input!$F:$F,August!N52,input!$A:$A,August!$B$2)</f>
        <v>0</v>
      </c>
      <c r="R52" s="316">
        <f>COUNTIFS(input!$O:$O,August!$R$26,input!$F:$F,August!N52,input!$A:$A,August!$B$2)</f>
        <v>0</v>
      </c>
      <c r="S52" s="316">
        <f>COUNTIFS(input!$O:$O,August!$S$26,input!$F:$F,August!N52,input!$A:$A,August!$B$2)</f>
        <v>0</v>
      </c>
      <c r="T52" s="321">
        <f>COUNTIFS(input!$O:$O,August!$T$26,input!$F:$F,August!N52,input!$A:$A,August!$B$2)</f>
        <v>0</v>
      </c>
      <c r="U52" s="322">
        <f>COUNTIFS(input!$O:$O,August!$U$26,input!$F:$F,August!N52,input!$A:$A,August!$B$2)</f>
        <v>0</v>
      </c>
      <c r="V52" s="322">
        <f>COUNTIFS(input!$O:$O,August!$V$26,input!$F:$F,August!N52,input!$A:$A,August!$B$2)</f>
        <v>0</v>
      </c>
      <c r="W52" s="323">
        <f>COUNTIFS(input!$O:$O,August!$W$26,input!$F:$F,August!N52,input!$A:$A,August!$B$2)</f>
        <v>0</v>
      </c>
      <c r="X52" s="324">
        <f>COUNTIFS(input!$O:$O,August!$X$26,input!$F:$F,August!N52,input!$A:$A,August!$B$2)</f>
        <v>0</v>
      </c>
      <c r="Y52" s="312">
        <f t="shared" si="1"/>
        <v>0</v>
      </c>
      <c r="Z52" s="315" cm="1">
        <f t="array" ref="Z52">_xlfn.IFS(Y52=0,0,Y52&gt;=1,Y52/$Y$74)</f>
        <v>0</v>
      </c>
    </row>
    <row r="53" spans="2:26" ht="92" hidden="1" customHeight="1" x14ac:dyDescent="0.25">
      <c r="B53" s="1121" t="s">
        <v>93</v>
      </c>
      <c r="C53" s="1066"/>
      <c r="D53" s="316">
        <f>COUNTIFS(input!$O:$O,August!$D$26,input!$E:$E,August!B53,input!$A:$A,August!$B$2)</f>
        <v>0</v>
      </c>
      <c r="E53" s="316">
        <f>COUNTIFS(input!$O:$O,August!$E$26,input!$E:$E,August!B53,input!$A:$A,August!$B$2)</f>
        <v>0</v>
      </c>
      <c r="F53" s="316">
        <f>COUNTIFS(input!$O:$O,August!$F$26,input!$E:$E,August!B53,input!$A:$A,August!$B$2)</f>
        <v>0</v>
      </c>
      <c r="G53" s="322">
        <f>COUNTIFS(input!$O:$O,August!$G$26,input!$E:$E,August!B53,input!$A:$A,August!$B$2)</f>
        <v>0</v>
      </c>
      <c r="H53" s="322">
        <f>COUNTIFS(input!$O:$O,August!$H$26,input!$E:$E,August!B53,input!$A:$A,August!$B$2)</f>
        <v>0</v>
      </c>
      <c r="I53" s="322">
        <f>COUNTIFS(input!$O:$O,August!$I$26,input!$E:$E,August!B53,input!$A:$A,August!$B$2)</f>
        <v>0</v>
      </c>
      <c r="J53" s="322">
        <f>COUNTIFS(input!$O:$O,August!$K$26,input!$E:$E,August!B53,input!$A:$A,August!$B$2)</f>
        <v>0</v>
      </c>
      <c r="K53" s="436">
        <f>COUNTIFS(input!$O:$O,August!$K$26,input!$E:$E,August!B53,input!$A:$A,August!$B$2)</f>
        <v>0</v>
      </c>
      <c r="L53" s="312">
        <f t="shared" ref="L53:L61" si="7">SUM(D53:K53)</f>
        <v>0</v>
      </c>
      <c r="M53" s="313" cm="1">
        <f t="array" ref="M53">_xlfn.IFS(L53=0,0,L53&gt;=1,L53/$L$74)</f>
        <v>0</v>
      </c>
      <c r="N53" s="1065"/>
      <c r="O53" s="1065"/>
      <c r="P53" s="1066"/>
      <c r="Q53" s="316">
        <f>COUNTIFS(input!$O:$O,August!$Q$26,input!$F:$F,August!N53,input!$A:$A,August!$B$2)</f>
        <v>0</v>
      </c>
      <c r="R53" s="316">
        <f>COUNTIFS(input!$O:$O,August!$R$26,input!$F:$F,August!N53,input!$A:$A,August!$B$2)</f>
        <v>0</v>
      </c>
      <c r="S53" s="316">
        <f>COUNTIFS(input!$O:$O,August!$S$26,input!$F:$F,August!N53,input!$A:$A,August!$B$2)</f>
        <v>0</v>
      </c>
      <c r="T53" s="321">
        <f>COUNTIFS(input!$O:$O,August!$T$26,input!$F:$F,August!N53,input!$A:$A,August!$B$2)</f>
        <v>0</v>
      </c>
      <c r="U53" s="322">
        <f>COUNTIFS(input!$O:$O,August!$U$26,input!$F:$F,August!N53,input!$A:$A,August!$B$2)</f>
        <v>0</v>
      </c>
      <c r="V53" s="322">
        <f>COUNTIFS(input!$O:$O,August!$V$26,input!$F:$F,August!N53,input!$A:$A,August!$B$2)</f>
        <v>0</v>
      </c>
      <c r="W53" s="323">
        <f>COUNTIFS(input!$O:$O,August!$W$26,input!$F:$F,August!N53,input!$A:$A,August!$B$2)</f>
        <v>0</v>
      </c>
      <c r="X53" s="324">
        <f>COUNTIFS(input!$O:$O,August!$X$26,input!$F:$F,August!N53,input!$A:$A,August!$B$2)</f>
        <v>0</v>
      </c>
      <c r="Y53" s="312">
        <f t="shared" si="1"/>
        <v>0</v>
      </c>
      <c r="Z53" s="315" cm="1">
        <f t="array" ref="Z53">_xlfn.IFS(Y53=0,0,Y53&gt;=1,Y53/$Y$74)</f>
        <v>0</v>
      </c>
    </row>
    <row r="54" spans="2:26" ht="92" hidden="1" customHeight="1" x14ac:dyDescent="0.25">
      <c r="B54" s="1121" t="s">
        <v>334</v>
      </c>
      <c r="C54" s="1066"/>
      <c r="D54" s="316">
        <f>COUNTIFS(input!$O:$O,August!$D$26,input!$E:$E,August!B54,input!$A:$A,August!$B$2)</f>
        <v>0</v>
      </c>
      <c r="E54" s="316">
        <f>COUNTIFS(input!$O:$O,August!$E$26,input!$E:$E,August!B54,input!$A:$A,August!$B$2)</f>
        <v>0</v>
      </c>
      <c r="F54" s="316">
        <f>COUNTIFS(input!$O:$O,August!$F$26,input!$E:$E,August!B54,input!$A:$A,August!$B$2)</f>
        <v>0</v>
      </c>
      <c r="G54" s="322">
        <f>COUNTIFS(input!$O:$O,August!$G$26,input!$E:$E,August!B54,input!$A:$A,August!$B$2)</f>
        <v>0</v>
      </c>
      <c r="H54" s="322">
        <f>COUNTIFS(input!$O:$O,August!$H$26,input!$E:$E,August!B54,input!$A:$A,August!$B$2)</f>
        <v>0</v>
      </c>
      <c r="I54" s="322">
        <f>COUNTIFS(input!$O:$O,August!$I$26,input!$E:$E,August!B54,input!$A:$A,August!$B$2)</f>
        <v>0</v>
      </c>
      <c r="J54" s="322">
        <f>COUNTIFS(input!$O:$O,August!$K$26,input!$E:$E,August!B54,input!$A:$A,August!$B$2)</f>
        <v>0</v>
      </c>
      <c r="K54" s="436">
        <f>COUNTIFS(input!$O:$O,August!$K$26,input!$E:$E,August!B54,input!$A:$A,August!$B$2)</f>
        <v>0</v>
      </c>
      <c r="L54" s="312">
        <f t="shared" si="7"/>
        <v>0</v>
      </c>
      <c r="M54" s="313" cm="1">
        <f t="array" ref="M54">_xlfn.IFS(L54=0,0,L54&gt;=1,L54/$L$74)</f>
        <v>0</v>
      </c>
      <c r="N54" s="1065"/>
      <c r="O54" s="1065"/>
      <c r="P54" s="1066"/>
      <c r="Q54" s="316">
        <f>COUNTIFS(input!$O:$O,August!$Q$26,input!$F:$F,August!N54,input!$A:$A,August!$B$2)</f>
        <v>0</v>
      </c>
      <c r="R54" s="316">
        <f>COUNTIFS(input!$O:$O,August!$R$26,input!$F:$F,August!N54,input!$A:$A,August!$B$2)</f>
        <v>0</v>
      </c>
      <c r="S54" s="316">
        <f>COUNTIFS(input!$O:$O,August!$S$26,input!$F:$F,August!N54,input!$A:$A,August!$B$2)</f>
        <v>0</v>
      </c>
      <c r="T54" s="321">
        <f>COUNTIFS(input!$O:$O,August!$T$26,input!$F:$F,August!N54,input!$A:$A,August!$B$2)</f>
        <v>0</v>
      </c>
      <c r="U54" s="322">
        <f>COUNTIFS(input!$O:$O,August!$U$26,input!$F:$F,August!N54,input!$A:$A,August!$B$2)</f>
        <v>0</v>
      </c>
      <c r="V54" s="322">
        <f>COUNTIFS(input!$O:$O,August!$V$26,input!$F:$F,August!N54,input!$A:$A,August!$B$2)</f>
        <v>0</v>
      </c>
      <c r="W54" s="323">
        <f>COUNTIFS(input!$O:$O,August!$W$26,input!$F:$F,August!N54,input!$A:$A,August!$B$2)</f>
        <v>0</v>
      </c>
      <c r="X54" s="324">
        <f>COUNTIFS(input!$O:$O,August!$X$26,input!$F:$F,August!N54,input!$A:$A,August!$B$2)</f>
        <v>0</v>
      </c>
      <c r="Y54" s="312">
        <f t="shared" si="1"/>
        <v>0</v>
      </c>
      <c r="Z54" s="315" cm="1">
        <f t="array" ref="Z54">_xlfn.IFS(Y54=0,0,Y54&gt;=1,Y54/$Y$74)</f>
        <v>0</v>
      </c>
    </row>
    <row r="55" spans="2:26" ht="92" customHeight="1" x14ac:dyDescent="0.25">
      <c r="B55" s="990" t="s">
        <v>881</v>
      </c>
      <c r="C55" s="991"/>
      <c r="D55" s="316">
        <f>COUNTIFS(input!$O:$O,August!$D$26,input!$E:$E,August!B55,input!$A:$A,August!$B$2)</f>
        <v>0</v>
      </c>
      <c r="E55" s="316">
        <f>COUNTIFS(input!$O:$O,August!$E$26,input!$E:$E,August!B55,input!$A:$A,August!$B$2)</f>
        <v>0</v>
      </c>
      <c r="F55" s="316">
        <f>COUNTIFS(input!$O:$O,August!$F$26,input!$E:$E,August!B55,input!$A:$A,August!$B$2)</f>
        <v>0</v>
      </c>
      <c r="G55" s="322">
        <f>COUNTIFS(input!$O:$O,August!$G$26,input!$E:$E,August!B55,input!$A:$A,August!$B$2)</f>
        <v>2</v>
      </c>
      <c r="H55" s="322">
        <f>COUNTIFS(input!$O:$O,August!$H$26,input!$E:$E,August!B55,input!$A:$A,August!$B$2)</f>
        <v>0</v>
      </c>
      <c r="I55" s="322">
        <f>COUNTIFS(input!$O:$O,August!$I$26,input!$E:$E,August!B55,input!$A:$A,August!$B$2)</f>
        <v>0</v>
      </c>
      <c r="J55" s="322">
        <f>COUNTIFS(input!$O:$O,August!$K$26,input!$E:$E,August!B55,input!$A:$A,August!$B$2)</f>
        <v>0</v>
      </c>
      <c r="K55" s="436">
        <f>COUNTIFS(input!$O:$O,August!$K$26,input!$E:$E,August!B55,input!$A:$A,August!$B$2)</f>
        <v>0</v>
      </c>
      <c r="L55" s="312">
        <f t="shared" si="7"/>
        <v>2</v>
      </c>
      <c r="M55" s="313" cm="1">
        <f t="array" ref="M55">_xlfn.IFS(L55=0,0,L55&gt;=1,L55/$L$74)</f>
        <v>0.125</v>
      </c>
      <c r="N55" s="1065"/>
      <c r="O55" s="1065"/>
      <c r="P55" s="1066"/>
      <c r="Q55" s="316">
        <f>COUNTIFS(input!$O:$O,August!$Q$26,input!$F:$F,August!N55,input!$A:$A,August!$B$2)</f>
        <v>0</v>
      </c>
      <c r="R55" s="316">
        <f>COUNTIFS(input!$O:$O,August!$R$26,input!$F:$F,August!N55,input!$A:$A,August!$B$2)</f>
        <v>0</v>
      </c>
      <c r="S55" s="316">
        <f>COUNTIFS(input!$O:$O,August!$S$26,input!$F:$F,August!N55,input!$A:$A,August!$B$2)</f>
        <v>0</v>
      </c>
      <c r="T55" s="321">
        <f>COUNTIFS(input!$O:$O,August!$T$26,input!$F:$F,August!N55,input!$A:$A,August!$B$2)</f>
        <v>0</v>
      </c>
      <c r="U55" s="322">
        <f>COUNTIFS(input!$O:$O,August!$U$26,input!$F:$F,August!N55,input!$A:$A,August!$B$2)</f>
        <v>0</v>
      </c>
      <c r="V55" s="322">
        <f>COUNTIFS(input!$O:$O,August!$V$26,input!$F:$F,August!N55,input!$A:$A,August!$B$2)</f>
        <v>0</v>
      </c>
      <c r="W55" s="323">
        <f>COUNTIFS(input!$O:$O,August!$W$26,input!$F:$F,August!N55,input!$A:$A,August!$B$2)</f>
        <v>0</v>
      </c>
      <c r="X55" s="324">
        <f>COUNTIFS(input!$O:$O,August!$X$26,input!$F:$F,August!N55,input!$A:$A,August!$B$2)</f>
        <v>0</v>
      </c>
      <c r="Y55" s="312">
        <f t="shared" si="1"/>
        <v>0</v>
      </c>
      <c r="Z55" s="315" cm="1">
        <f t="array" ref="Z55">_xlfn.IFS(Y55=0,0,Y55&gt;=1,Y55/$Y$74)</f>
        <v>0</v>
      </c>
    </row>
    <row r="56" spans="2:26" ht="92" customHeight="1" x14ac:dyDescent="0.25">
      <c r="B56" s="990" t="s">
        <v>813</v>
      </c>
      <c r="C56" s="991"/>
      <c r="D56" s="316">
        <f>COUNTIFS(input!$O:$O,August!$D$26,input!$E:$E,August!B56,input!$A:$A,August!$B$2)</f>
        <v>0</v>
      </c>
      <c r="E56" s="316">
        <f>COUNTIFS(input!$O:$O,August!$E$26,input!$E:$E,August!B56,input!$A:$A,August!$B$2)</f>
        <v>0</v>
      </c>
      <c r="F56" s="316">
        <f>COUNTIFS(input!$O:$O,August!$F$26,input!$E:$E,August!B56,input!$A:$A,August!$B$2)</f>
        <v>0</v>
      </c>
      <c r="G56" s="322">
        <f>COUNTIFS(input!$O:$O,August!$G$26,input!$E:$E,August!B56,input!$A:$A,August!$B$2)</f>
        <v>1</v>
      </c>
      <c r="H56" s="322">
        <f>COUNTIFS(input!$O:$O,August!$H$26,input!$E:$E,August!B56,input!$A:$A,August!$B$2)</f>
        <v>0</v>
      </c>
      <c r="I56" s="322">
        <f>COUNTIFS(input!$O:$O,August!$I$26,input!$E:$E,August!B56,input!$A:$A,August!$B$2)</f>
        <v>0</v>
      </c>
      <c r="J56" s="322">
        <f>COUNTIFS(input!$O:$O,August!$K$26,input!$E:$E,August!B56,input!$A:$A,August!$B$2)</f>
        <v>0</v>
      </c>
      <c r="K56" s="436">
        <f>COUNTIFS(input!$O:$O,August!$K$26,input!$E:$E,August!B56,input!$A:$A,August!$B$2)</f>
        <v>0</v>
      </c>
      <c r="L56" s="312">
        <f t="shared" si="7"/>
        <v>1</v>
      </c>
      <c r="M56" s="313" cm="1">
        <f t="array" ref="M56">_xlfn.IFS(L56=0,0,L56&gt;=1,L56/$L$74)</f>
        <v>6.25E-2</v>
      </c>
      <c r="N56" s="1065"/>
      <c r="O56" s="1065"/>
      <c r="P56" s="1066"/>
      <c r="Q56" s="316">
        <f>COUNTIFS(input!$O:$O,August!$Q$26,input!$F:$F,August!N56,input!$A:$A,August!$B$2)</f>
        <v>0</v>
      </c>
      <c r="R56" s="316">
        <f>COUNTIFS(input!$O:$O,August!$R$26,input!$F:$F,August!N56,input!$A:$A,August!$B$2)</f>
        <v>0</v>
      </c>
      <c r="S56" s="316">
        <f>COUNTIFS(input!$O:$O,August!$S$26,input!$F:$F,August!N56,input!$A:$A,August!$B$2)</f>
        <v>0</v>
      </c>
      <c r="T56" s="321">
        <f>COUNTIFS(input!$O:$O,August!$T$26,input!$F:$F,August!N56,input!$A:$A,August!$B$2)</f>
        <v>0</v>
      </c>
      <c r="U56" s="322">
        <f>COUNTIFS(input!$O:$O,August!$U$26,input!$F:$F,August!N56,input!$A:$A,August!$B$2)</f>
        <v>0</v>
      </c>
      <c r="V56" s="322">
        <f>COUNTIFS(input!$O:$O,August!$V$26,input!$F:$F,August!N56,input!$A:$A,August!$B$2)</f>
        <v>0</v>
      </c>
      <c r="W56" s="323">
        <f>COUNTIFS(input!$O:$O,August!$W$26,input!$F:$F,August!N56,input!$A:$A,August!$B$2)</f>
        <v>0</v>
      </c>
      <c r="X56" s="324">
        <f>COUNTIFS(input!$O:$O,August!$X$26,input!$F:$F,August!N56,input!$A:$A,August!$B$2)</f>
        <v>0</v>
      </c>
      <c r="Y56" s="312">
        <f t="shared" si="1"/>
        <v>0</v>
      </c>
      <c r="Z56" s="315" cm="1">
        <f t="array" ref="Z56">_xlfn.IFS(Y56=0,0,Y56&gt;=1,Y56/$Y$74)</f>
        <v>0</v>
      </c>
    </row>
    <row r="57" spans="2:26" ht="92" hidden="1" customHeight="1" x14ac:dyDescent="0.25">
      <c r="B57" s="1121" t="s">
        <v>770</v>
      </c>
      <c r="C57" s="1066"/>
      <c r="D57" s="316">
        <f>COUNTIFS(input!$O:$O,August!$D$26,input!$E:$E,August!B57,input!$A:$A,August!$B$2)</f>
        <v>0</v>
      </c>
      <c r="E57" s="316">
        <f>COUNTIFS(input!$O:$O,August!$E$26,input!$E:$E,August!B57,input!$A:$A,August!$B$2)</f>
        <v>0</v>
      </c>
      <c r="F57" s="316">
        <f>COUNTIFS(input!$O:$O,August!$F$26,input!$E:$E,August!B57,input!$A:$A,August!$B$2)</f>
        <v>0</v>
      </c>
      <c r="G57" s="322">
        <f>COUNTIFS(input!$O:$O,August!$G$26,input!$E:$E,August!B57,input!$A:$A,August!$B$2)</f>
        <v>0</v>
      </c>
      <c r="H57" s="322">
        <f>COUNTIFS(input!$O:$O,August!$H$26,input!$E:$E,August!B57,input!$A:$A,August!$B$2)</f>
        <v>0</v>
      </c>
      <c r="I57" s="322">
        <f>COUNTIFS(input!$O:$O,August!$I$26,input!$E:$E,August!B57,input!$A:$A,August!$B$2)</f>
        <v>0</v>
      </c>
      <c r="J57" s="322">
        <f>COUNTIFS(input!$O:$O,August!$K$26,input!$E:$E,August!B57,input!$A:$A,August!$B$2)</f>
        <v>0</v>
      </c>
      <c r="K57" s="436">
        <f>COUNTIFS(input!$O:$O,August!$K$26,input!$E:$E,August!B57,input!$A:$A,August!$B$2)</f>
        <v>0</v>
      </c>
      <c r="L57" s="312">
        <f t="shared" si="7"/>
        <v>0</v>
      </c>
      <c r="M57" s="313" cm="1">
        <f t="array" ref="M57">_xlfn.IFS(L57=0,0,L57&gt;=1,L57/$L$74)</f>
        <v>0</v>
      </c>
      <c r="N57" s="1065"/>
      <c r="O57" s="1065"/>
      <c r="P57" s="1066"/>
      <c r="Q57" s="316">
        <f>COUNTIFS(input!$O:$O,August!$Q$26,input!$F:$F,August!N57,input!$A:$A,August!$B$2)</f>
        <v>0</v>
      </c>
      <c r="R57" s="316">
        <f>COUNTIFS(input!$O:$O,August!$R$26,input!$F:$F,August!N57,input!$A:$A,August!$B$2)</f>
        <v>0</v>
      </c>
      <c r="S57" s="316">
        <f>COUNTIFS(input!$O:$O,August!$S$26,input!$F:$F,August!N57,input!$A:$A,August!$B$2)</f>
        <v>0</v>
      </c>
      <c r="T57" s="321">
        <f>COUNTIFS(input!$O:$O,August!$T$26,input!$F:$F,August!N57,input!$A:$A,August!$B$2)</f>
        <v>0</v>
      </c>
      <c r="U57" s="322">
        <f>COUNTIFS(input!$O:$O,August!$U$26,input!$F:$F,August!N57,input!$A:$A,August!$B$2)</f>
        <v>0</v>
      </c>
      <c r="V57" s="322">
        <f>COUNTIFS(input!$O:$O,August!$V$26,input!$F:$F,August!N57,input!$A:$A,August!$B$2)</f>
        <v>0</v>
      </c>
      <c r="W57" s="323">
        <f>COUNTIFS(input!$O:$O,August!$W$26,input!$F:$F,August!N57,input!$A:$A,August!$B$2)</f>
        <v>0</v>
      </c>
      <c r="X57" s="324">
        <f>COUNTIFS(input!$O:$O,August!$X$26,input!$F:$F,August!N57,input!$A:$A,August!$B$2)</f>
        <v>0</v>
      </c>
      <c r="Y57" s="312">
        <f t="shared" si="1"/>
        <v>0</v>
      </c>
      <c r="Z57" s="315" cm="1">
        <f t="array" ref="Z57">_xlfn.IFS(Y57=0,0,Y57&gt;=1,Y57/$Y$74)</f>
        <v>0</v>
      </c>
    </row>
    <row r="58" spans="2:26" ht="92" hidden="1" customHeight="1" x14ac:dyDescent="0.25">
      <c r="B58" s="1121" t="s">
        <v>850</v>
      </c>
      <c r="C58" s="1066"/>
      <c r="D58" s="316">
        <f>COUNTIFS(input!$O:$O,August!$D$26,input!$E:$E,August!B58,input!$A:$A,August!$B$2)</f>
        <v>0</v>
      </c>
      <c r="E58" s="316">
        <f>COUNTIFS(input!$O:$O,August!$E$26,input!$E:$E,August!B58,input!$A:$A,August!$B$2)</f>
        <v>0</v>
      </c>
      <c r="F58" s="316">
        <f>COUNTIFS(input!$O:$O,August!$F$26,input!$E:$E,August!B58,input!$A:$A,August!$B$2)</f>
        <v>0</v>
      </c>
      <c r="G58" s="322">
        <f>COUNTIFS(input!$O:$O,August!$G$26,input!$E:$E,August!B58,input!$A:$A,August!$B$2)</f>
        <v>0</v>
      </c>
      <c r="H58" s="322">
        <f>COUNTIFS(input!$O:$O,August!$H$26,input!$E:$E,August!B58,input!$A:$A,August!$B$2)</f>
        <v>0</v>
      </c>
      <c r="I58" s="322">
        <f>COUNTIFS(input!$O:$O,August!$I$26,input!$E:$E,August!B58,input!$A:$A,August!$B$2)</f>
        <v>0</v>
      </c>
      <c r="J58" s="322">
        <f>COUNTIFS(input!$O:$O,August!$K$26,input!$E:$E,August!B58,input!$A:$A,August!$B$2)</f>
        <v>0</v>
      </c>
      <c r="K58" s="436">
        <f>COUNTIFS(input!$O:$O,August!$K$26,input!$E:$E,August!B58,input!$A:$A,August!$B$2)</f>
        <v>0</v>
      </c>
      <c r="L58" s="312">
        <f t="shared" si="7"/>
        <v>0</v>
      </c>
      <c r="M58" s="313" cm="1">
        <f t="array" ref="M58">_xlfn.IFS(L58=0,0,L58&gt;=1,L58/$L$74)</f>
        <v>0</v>
      </c>
      <c r="N58" s="1065"/>
      <c r="O58" s="1065"/>
      <c r="P58" s="1066"/>
      <c r="Q58" s="316">
        <f>COUNTIFS(input!$O:$O,August!$Q$26,input!$F:$F,August!N58,input!$A:$A,August!$B$2)</f>
        <v>0</v>
      </c>
      <c r="R58" s="316">
        <f>COUNTIFS(input!$O:$O,August!$R$26,input!$F:$F,August!N58,input!$A:$A,August!$B$2)</f>
        <v>0</v>
      </c>
      <c r="S58" s="316">
        <f>COUNTIFS(input!$O:$O,August!$S$26,input!$F:$F,August!N58,input!$A:$A,August!$B$2)</f>
        <v>0</v>
      </c>
      <c r="T58" s="321">
        <f>COUNTIFS(input!$O:$O,August!$T$26,input!$F:$F,August!N58,input!$A:$A,August!$B$2)</f>
        <v>0</v>
      </c>
      <c r="U58" s="322">
        <f>COUNTIFS(input!$O:$O,August!$U$26,input!$F:$F,August!N58,input!$A:$A,August!$B$2)</f>
        <v>0</v>
      </c>
      <c r="V58" s="322">
        <f>COUNTIFS(input!$O:$O,August!$V$26,input!$F:$F,August!N58,input!$A:$A,August!$B$2)</f>
        <v>0</v>
      </c>
      <c r="W58" s="323">
        <f>COUNTIFS(input!$O:$O,August!$W$26,input!$F:$F,August!N58,input!$A:$A,August!$B$2)</f>
        <v>0</v>
      </c>
      <c r="X58" s="324">
        <f>COUNTIFS(input!$O:$O,August!$X$26,input!$F:$F,August!N58,input!$A:$A,August!$B$2)</f>
        <v>0</v>
      </c>
      <c r="Y58" s="312">
        <f t="shared" si="1"/>
        <v>0</v>
      </c>
      <c r="Z58" s="315" cm="1">
        <f t="array" ref="Z58">_xlfn.IFS(Y58=0,0,Y58&gt;=1,Y58/$Y$74)</f>
        <v>0</v>
      </c>
    </row>
    <row r="59" spans="2:26" ht="92" hidden="1" x14ac:dyDescent="0.25">
      <c r="B59" s="1121" t="s">
        <v>130</v>
      </c>
      <c r="C59" s="1066"/>
      <c r="D59" s="316">
        <f>COUNTIFS(input!$O:$O,August!$D$26,input!$E:$E,August!B59,input!$A:$A,August!$B$2)</f>
        <v>0</v>
      </c>
      <c r="E59" s="316">
        <f>COUNTIFS(input!$O:$O,August!$E$26,input!$E:$E,August!B59,input!$A:$A,August!$B$2)</f>
        <v>0</v>
      </c>
      <c r="F59" s="316">
        <f>COUNTIFS(input!$O:$O,August!$F$26,input!$E:$E,August!B59,input!$A:$A,August!$B$2)</f>
        <v>0</v>
      </c>
      <c r="G59" s="322">
        <f>COUNTIFS(input!$O:$O,August!$G$26,input!$E:$E,August!B59,input!$A:$A,August!$B$2)</f>
        <v>0</v>
      </c>
      <c r="H59" s="322">
        <f>COUNTIFS(input!$O:$O,August!$H$26,input!$E:$E,August!B59,input!$A:$A,August!$B$2)</f>
        <v>0</v>
      </c>
      <c r="I59" s="322">
        <f>COUNTIFS(input!$O:$O,August!$I$26,input!$E:$E,August!B59,input!$A:$A,August!$B$2)</f>
        <v>0</v>
      </c>
      <c r="J59" s="322">
        <f>COUNTIFS(input!$O:$O,August!$K$26,input!$E:$E,August!B59,input!$A:$A,August!$B$2)</f>
        <v>0</v>
      </c>
      <c r="K59" s="436">
        <f>COUNTIFS(input!$O:$O,August!$K$26,input!$E:$E,August!B59,input!$A:$A,August!$B$2)</f>
        <v>0</v>
      </c>
      <c r="L59" s="312">
        <f t="shared" si="7"/>
        <v>0</v>
      </c>
      <c r="M59" s="313" cm="1">
        <f t="array" ref="M59">_xlfn.IFS(L59=0,0,L59&gt;=1,L59/$L$74)</f>
        <v>0</v>
      </c>
      <c r="N59" s="1065"/>
      <c r="O59" s="1065"/>
      <c r="P59" s="1066"/>
      <c r="Q59" s="316">
        <f>COUNTIFS(input!$O:$O,August!$Q$26,input!$F:$F,August!N59,input!$A:$A,August!$B$2)</f>
        <v>0</v>
      </c>
      <c r="R59" s="316">
        <f>COUNTIFS(input!$O:$O,August!$R$26,input!$F:$F,August!N59,input!$A:$A,August!$B$2)</f>
        <v>0</v>
      </c>
      <c r="S59" s="316">
        <f>COUNTIFS(input!$O:$O,August!$S$26,input!$F:$F,August!N59,input!$A:$A,August!$B$2)</f>
        <v>0</v>
      </c>
      <c r="T59" s="321">
        <f>COUNTIFS(input!$O:$O,August!$T$26,input!$F:$F,August!N59,input!$A:$A,August!$B$2)</f>
        <v>0</v>
      </c>
      <c r="U59" s="322">
        <f>COUNTIFS(input!$O:$O,August!$U$26,input!$F:$F,August!N59,input!$A:$A,August!$B$2)</f>
        <v>0</v>
      </c>
      <c r="V59" s="322">
        <f>COUNTIFS(input!$O:$O,August!$V$26,input!$F:$F,August!N59,input!$A:$A,August!$B$2)</f>
        <v>0</v>
      </c>
      <c r="W59" s="323">
        <f>COUNTIFS(input!$O:$O,August!$W$26,input!$F:$F,August!N59,input!$A:$A,August!$B$2)</f>
        <v>0</v>
      </c>
      <c r="X59" s="324">
        <f>COUNTIFS(input!$O:$O,August!$X$26,input!$F:$F,August!N59,input!$A:$A,August!$B$2)</f>
        <v>0</v>
      </c>
      <c r="Y59" s="312">
        <f t="shared" si="1"/>
        <v>0</v>
      </c>
      <c r="Z59" s="315" cm="1">
        <f t="array" ref="Z59">_xlfn.IFS(Y59=0,0,Y59&gt;=1,Y59/$Y$74)</f>
        <v>0</v>
      </c>
    </row>
    <row r="60" spans="2:26" ht="92" hidden="1" customHeight="1" x14ac:dyDescent="0.25">
      <c r="B60" s="1121" t="s">
        <v>110</v>
      </c>
      <c r="C60" s="1066"/>
      <c r="D60" s="316">
        <f>COUNTIFS(input!$O:$O,August!$D$26,input!$E:$E,August!B60,input!$A:$A,August!$B$2)</f>
        <v>0</v>
      </c>
      <c r="E60" s="316">
        <f>COUNTIFS(input!$O:$O,August!$E$26,input!$E:$E,August!B60,input!$A:$A,August!$B$2)</f>
        <v>0</v>
      </c>
      <c r="F60" s="316">
        <f>COUNTIFS(input!$O:$O,August!$F$26,input!$E:$E,August!B60,input!$A:$A,August!$B$2)</f>
        <v>0</v>
      </c>
      <c r="G60" s="322">
        <f>COUNTIFS(input!$O:$O,August!$G$26,input!$E:$E,August!B60,input!$A:$A,August!$B$2)</f>
        <v>0</v>
      </c>
      <c r="H60" s="322">
        <f>COUNTIFS(input!$O:$O,August!$H$26,input!$E:$E,August!B60,input!$A:$A,August!$B$2)</f>
        <v>0</v>
      </c>
      <c r="I60" s="322">
        <f>COUNTIFS(input!$O:$O,August!$I$26,input!$E:$E,August!B60,input!$A:$A,August!$B$2)</f>
        <v>0</v>
      </c>
      <c r="J60" s="322">
        <f>COUNTIFS(input!$O:$O,August!$K$26,input!$E:$E,August!B60,input!$A:$A,August!$B$2)</f>
        <v>0</v>
      </c>
      <c r="K60" s="436">
        <f>COUNTIFS(input!$O:$O,August!$K$26,input!$E:$E,August!B60,input!$A:$A,August!$B$2)</f>
        <v>0</v>
      </c>
      <c r="L60" s="312">
        <f t="shared" si="7"/>
        <v>0</v>
      </c>
      <c r="M60" s="313" cm="1">
        <f t="array" ref="M60">_xlfn.IFS(L60=0,0,L60&gt;=1,L60/$L$74)</f>
        <v>0</v>
      </c>
      <c r="N60" s="1065"/>
      <c r="O60" s="1065"/>
      <c r="P60" s="1066"/>
      <c r="Q60" s="316">
        <f>COUNTIFS(input!$O:$O,August!$Q$26,input!$F:$F,August!N60,input!$A:$A,August!$B$2)</f>
        <v>0</v>
      </c>
      <c r="R60" s="316">
        <f>COUNTIFS(input!$O:$O,August!$R$26,input!$F:$F,August!N60,input!$A:$A,August!$B$2)</f>
        <v>0</v>
      </c>
      <c r="S60" s="316">
        <f>COUNTIFS(input!$O:$O,August!$S$26,input!$F:$F,August!N60,input!$A:$A,August!$B$2)</f>
        <v>0</v>
      </c>
      <c r="T60" s="321">
        <f>COUNTIFS(input!$O:$O,August!$T$26,input!$F:$F,August!N60,input!$A:$A,August!$B$2)</f>
        <v>0</v>
      </c>
      <c r="U60" s="322">
        <f>COUNTIFS(input!$O:$O,August!$U$26,input!$F:$F,August!N60,input!$A:$A,August!$B$2)</f>
        <v>0</v>
      </c>
      <c r="V60" s="322">
        <f>COUNTIFS(input!$O:$O,August!$V$26,input!$F:$F,August!N60,input!$A:$A,August!$B$2)</f>
        <v>0</v>
      </c>
      <c r="W60" s="323">
        <f>COUNTIFS(input!$O:$O,August!$W$26,input!$F:$F,August!N60,input!$A:$A,August!$B$2)</f>
        <v>0</v>
      </c>
      <c r="X60" s="324">
        <f>COUNTIFS(input!$O:$O,August!$X$26,input!$F:$F,August!N60,input!$A:$A,August!$B$2)</f>
        <v>0</v>
      </c>
      <c r="Y60" s="312">
        <f t="shared" si="1"/>
        <v>0</v>
      </c>
      <c r="Z60" s="315" cm="1">
        <f t="array" ref="Z60">_xlfn.IFS(Y60=0,0,Y60&gt;=1,Y60/$Y$74)</f>
        <v>0</v>
      </c>
    </row>
    <row r="61" spans="2:26" ht="92" hidden="1" customHeight="1" x14ac:dyDescent="0.25">
      <c r="B61" s="1121" t="s">
        <v>2026</v>
      </c>
      <c r="C61" s="1066"/>
      <c r="D61" s="316">
        <f>COUNTIFS(input!$O:$O,August!$D$26,input!$E:$E,August!B61,input!$A:$A,August!$B$2)</f>
        <v>0</v>
      </c>
      <c r="E61" s="316">
        <f>COUNTIFS(input!$O:$O,August!$E$26,input!$E:$E,August!B61,input!$A:$A,August!$B$2)</f>
        <v>0</v>
      </c>
      <c r="F61" s="316">
        <f>COUNTIFS(input!$O:$O,August!$F$26,input!$E:$E,August!B61,input!$A:$A,August!$B$2)</f>
        <v>0</v>
      </c>
      <c r="G61" s="322">
        <f>COUNTIFS(input!$O:$O,August!$G$26,input!$E:$E,August!B61,input!$A:$A,August!$B$2)</f>
        <v>0</v>
      </c>
      <c r="H61" s="322">
        <f>COUNTIFS(input!$O:$O,August!$H$26,input!$E:$E,August!B61,input!$A:$A,August!$B$2)</f>
        <v>0</v>
      </c>
      <c r="I61" s="322">
        <f>COUNTIFS(input!$O:$O,August!$I$26,input!$E:$E,August!B61,input!$A:$A,August!$B$2)</f>
        <v>0</v>
      </c>
      <c r="J61" s="322">
        <f>COUNTIFS(input!$O:$O,August!$K$26,input!$E:$E,August!B61,input!$A:$A,August!$B$2)</f>
        <v>0</v>
      </c>
      <c r="K61" s="436">
        <f>COUNTIFS(input!$O:$O,August!$K$26,input!$E:$E,August!B61,input!$A:$A,August!$B$2)</f>
        <v>0</v>
      </c>
      <c r="L61" s="312">
        <f t="shared" si="7"/>
        <v>0</v>
      </c>
      <c r="M61" s="313" cm="1">
        <f t="array" ref="M61">_xlfn.IFS(L61=0,0,L61&gt;=1,L61/$L$74)</f>
        <v>0</v>
      </c>
      <c r="N61" s="1065"/>
      <c r="O61" s="1065"/>
      <c r="P61" s="1066"/>
      <c r="Q61" s="316">
        <f>COUNTIFS(input!$O:$O,August!$Q$26,input!$F:$F,August!N61,input!$A:$A,August!$B$2)</f>
        <v>0</v>
      </c>
      <c r="R61" s="316">
        <f>COUNTIFS(input!$O:$O,August!$R$26,input!$F:$F,August!N61,input!$A:$A,August!$B$2)</f>
        <v>0</v>
      </c>
      <c r="S61" s="316">
        <f>COUNTIFS(input!$O:$O,August!$S$26,input!$F:$F,August!N61,input!$A:$A,August!$B$2)</f>
        <v>0</v>
      </c>
      <c r="T61" s="321">
        <f>COUNTIFS(input!$O:$O,August!$T$26,input!$F:$F,August!N61,input!$A:$A,August!$B$2)</f>
        <v>0</v>
      </c>
      <c r="U61" s="322">
        <f>COUNTIFS(input!$O:$O,August!$U$26,input!$F:$F,August!N61,input!$A:$A,August!$B$2)</f>
        <v>0</v>
      </c>
      <c r="V61" s="322">
        <f>COUNTIFS(input!$O:$O,August!$V$26,input!$F:$F,August!N61,input!$A:$A,August!$B$2)</f>
        <v>0</v>
      </c>
      <c r="W61" s="323">
        <f>COUNTIFS(input!$O:$O,August!$W$26,input!$F:$F,August!N61,input!$A:$A,August!$B$2)</f>
        <v>0</v>
      </c>
      <c r="X61" s="324">
        <f>COUNTIFS(input!$O:$O,August!$X$26,input!$F:$F,August!N61,input!$A:$A,August!$B$2)</f>
        <v>0</v>
      </c>
      <c r="Y61" s="312">
        <f t="shared" si="1"/>
        <v>0</v>
      </c>
      <c r="Z61" s="315" cm="1">
        <f t="array" ref="Z61">_xlfn.IFS(Y61=0,0,Y61&gt;=1,Y61/$Y$74)</f>
        <v>0</v>
      </c>
    </row>
    <row r="62" spans="2:26" ht="92" hidden="1" x14ac:dyDescent="0.25">
      <c r="B62" s="1121" t="s">
        <v>1805</v>
      </c>
      <c r="C62" s="1066"/>
      <c r="D62" s="316">
        <f>COUNTIFS(input!$O:$O,August!$D$26,input!$E:$E,August!B62,input!$A:$A,August!$B$2)</f>
        <v>0</v>
      </c>
      <c r="E62" s="316">
        <f>COUNTIFS(input!$O:$O,August!$E$26,input!$E:$E,August!B62,input!$A:$A,August!$B$2)</f>
        <v>0</v>
      </c>
      <c r="F62" s="316">
        <f>COUNTIFS(input!$O:$O,August!$F$26,input!$E:$E,August!B62,input!$A:$A,August!$B$2)</f>
        <v>0</v>
      </c>
      <c r="G62" s="322">
        <f>COUNTIFS(input!$O:$O,August!$G$26,input!$E:$E,August!B62,input!$A:$A,August!$B$2)</f>
        <v>0</v>
      </c>
      <c r="H62" s="322">
        <f>COUNTIFS(input!$O:$O,August!$H$26,input!$E:$E,August!B62,input!$A:$A,August!$B$2)</f>
        <v>0</v>
      </c>
      <c r="I62" s="322">
        <f>COUNTIFS(input!$O:$O,August!$I$26,input!$E:$E,August!B62,input!$A:$A,August!$B$2)</f>
        <v>0</v>
      </c>
      <c r="J62" s="322">
        <f>COUNTIFS(input!$O:$O,August!$K$26,input!$E:$E,August!B62,input!$A:$A,August!$B$2)</f>
        <v>0</v>
      </c>
      <c r="K62" s="436">
        <f>COUNTIFS(input!$O:$O,August!$K$26,input!$E:$E,August!B62,input!$A:$A,August!$B$2)</f>
        <v>0</v>
      </c>
      <c r="L62" s="312">
        <f>SUM(D62:K62)</f>
        <v>0</v>
      </c>
      <c r="M62" s="313" cm="1">
        <f t="array" ref="M62">_xlfn.IFS(L62=0,0,L62&gt;=1,L62/$L$74)</f>
        <v>0</v>
      </c>
      <c r="N62" s="1065"/>
      <c r="O62" s="1065"/>
      <c r="P62" s="1066"/>
      <c r="Q62" s="316">
        <f>COUNTIFS(input!$O:$O,August!$Q$26,input!$F:$F,August!N62,input!$A:$A,August!$B$2)</f>
        <v>0</v>
      </c>
      <c r="R62" s="316">
        <f>COUNTIFS(input!$O:$O,August!$R$26,input!$F:$F,August!N62,input!$A:$A,August!$B$2)</f>
        <v>0</v>
      </c>
      <c r="S62" s="316">
        <f>COUNTIFS(input!$O:$O,August!$S$26,input!$F:$F,August!N62,input!$A:$A,August!$B$2)</f>
        <v>0</v>
      </c>
      <c r="T62" s="321">
        <f>COUNTIFS(input!$O:$O,August!$T$26,input!$F:$F,August!N62,input!$A:$A,August!$B$2)</f>
        <v>0</v>
      </c>
      <c r="U62" s="322">
        <f>COUNTIFS(input!$O:$O,August!$U$26,input!$F:$F,August!N62,input!$A:$A,August!$B$2)</f>
        <v>0</v>
      </c>
      <c r="V62" s="322">
        <f>COUNTIFS(input!$O:$O,August!$V$26,input!$F:$F,August!N62,input!$A:$A,August!$B$2)</f>
        <v>0</v>
      </c>
      <c r="W62" s="323">
        <f>COUNTIFS(input!$O:$O,August!$W$26,input!$F:$F,August!N62,input!$A:$A,August!$B$2)</f>
        <v>0</v>
      </c>
      <c r="X62" s="324">
        <f>COUNTIFS(input!$O:$O,August!$X$26,input!$F:$F,August!N62,input!$A:$A,August!$B$2)</f>
        <v>0</v>
      </c>
      <c r="Y62" s="312">
        <f>SUM(Q62:X62)</f>
        <v>0</v>
      </c>
      <c r="Z62" s="315" cm="1">
        <f t="array" ref="Z62">_xlfn.IFS(Y62=0,0,Y62&gt;=1,Y62/$Y$74)</f>
        <v>0</v>
      </c>
    </row>
    <row r="63" spans="2:26" ht="97" hidden="1" customHeight="1" x14ac:dyDescent="0.25">
      <c r="B63" s="1121" t="s">
        <v>1804</v>
      </c>
      <c r="C63" s="1066"/>
      <c r="D63" s="316">
        <f>COUNTIFS(input!$O:$O,August!$D$26,input!$E:$E,August!B63,input!$A:$A,August!$B$2)</f>
        <v>0</v>
      </c>
      <c r="E63" s="316">
        <f>COUNTIFS(input!$O:$O,August!$E$26,input!$E:$E,August!B63,input!$A:$A,August!$B$2)</f>
        <v>0</v>
      </c>
      <c r="F63" s="316">
        <f>COUNTIFS(input!$O:$O,August!$F$26,input!$E:$E,August!B63,input!$A:$A,August!$B$2)</f>
        <v>0</v>
      </c>
      <c r="G63" s="322">
        <f>COUNTIFS(input!$O:$O,August!$G$26,input!$E:$E,August!B63,input!$A:$A,August!$B$2)</f>
        <v>0</v>
      </c>
      <c r="H63" s="322">
        <f>COUNTIFS(input!$O:$O,August!$H$26,input!$E:$E,August!B63,input!$A:$A,August!$B$2)</f>
        <v>0</v>
      </c>
      <c r="I63" s="322">
        <f>COUNTIFS(input!$O:$O,August!$I$26,input!$E:$E,August!B63,input!$A:$A,August!$B$2)</f>
        <v>0</v>
      </c>
      <c r="J63" s="322">
        <f>COUNTIFS(input!$O:$O,August!$K$26,input!$E:$E,August!B63,input!$A:$A,August!$B$2)</f>
        <v>0</v>
      </c>
      <c r="K63" s="436">
        <f>COUNTIFS(input!$O:$O,August!$K$26,input!$E:$E,August!B63,input!$A:$A,August!$B$2)</f>
        <v>0</v>
      </c>
      <c r="L63" s="312">
        <f t="shared" ref="L63" si="8">SUM(D63:K63)</f>
        <v>0</v>
      </c>
      <c r="M63" s="313" cm="1">
        <f t="array" ref="M63">_xlfn.IFS(L63=0,0,L63&gt;=1,L63/$L$74)</f>
        <v>0</v>
      </c>
      <c r="N63" s="1065"/>
      <c r="O63" s="1065"/>
      <c r="P63" s="1066"/>
      <c r="Q63" s="316">
        <f>COUNTIFS(input!$O:$O,August!$Q$26,input!$F:$F,August!N63,input!$A:$A,August!$B$2)</f>
        <v>0</v>
      </c>
      <c r="R63" s="316">
        <f>COUNTIFS(input!$O:$O,August!$R$26,input!$F:$F,August!N63,input!$A:$A,August!$B$2)</f>
        <v>0</v>
      </c>
      <c r="S63" s="316">
        <f>COUNTIFS(input!$O:$O,August!$S$26,input!$F:$F,August!N63,input!$A:$A,August!$B$2)</f>
        <v>0</v>
      </c>
      <c r="T63" s="321">
        <f>COUNTIFS(input!$O:$O,August!$T$26,input!$F:$F,August!N63,input!$A:$A,August!$B$2)</f>
        <v>0</v>
      </c>
      <c r="U63" s="322">
        <f>COUNTIFS(input!$O:$O,August!$U$26,input!$F:$F,August!N63,input!$A:$A,August!$B$2)</f>
        <v>0</v>
      </c>
      <c r="V63" s="322">
        <f>COUNTIFS(input!$O:$O,August!$V$26,input!$F:$F,August!N63,input!$A:$A,August!$B$2)</f>
        <v>0</v>
      </c>
      <c r="W63" s="323">
        <f>COUNTIFS(input!$O:$O,August!$W$26,input!$F:$F,August!N63,input!$A:$A,August!$B$2)</f>
        <v>0</v>
      </c>
      <c r="X63" s="324">
        <f>COUNTIFS(input!$O:$O,August!$X$26,input!$F:$F,August!N63,input!$A:$A,August!$B$2)</f>
        <v>0</v>
      </c>
      <c r="Y63" s="312">
        <f t="shared" ref="Y63:Y73" si="9">SUM(Q63:X63)</f>
        <v>0</v>
      </c>
      <c r="Z63" s="315" cm="1">
        <f t="array" ref="Z63">_xlfn.IFS(Y63=0,0,Y63&gt;=1,Y63/$Y$74)</f>
        <v>0</v>
      </c>
    </row>
    <row r="64" spans="2:26" ht="92" hidden="1" x14ac:dyDescent="0.25">
      <c r="B64" s="1121" t="s">
        <v>1435</v>
      </c>
      <c r="C64" s="1066"/>
      <c r="D64" s="316">
        <f>COUNTIFS(input!$O:$O,August!$D$26,input!$E:$E,August!B64,input!$A:$A,August!$B$2)</f>
        <v>0</v>
      </c>
      <c r="E64" s="316">
        <f>COUNTIFS(input!$O:$O,August!$E$26,input!$E:$E,August!B64,input!$A:$A,August!$B$2)</f>
        <v>0</v>
      </c>
      <c r="F64" s="316">
        <f>COUNTIFS(input!$O:$O,August!$F$26,input!$E:$E,August!B64,input!$A:$A,August!$B$2)</f>
        <v>0</v>
      </c>
      <c r="G64" s="322">
        <f>COUNTIFS(input!$O:$O,August!$G$26,input!$E:$E,August!B64,input!$A:$A,August!$B$2)</f>
        <v>0</v>
      </c>
      <c r="H64" s="322">
        <f>COUNTIFS(input!$O:$O,August!$H$26,input!$E:$E,August!B64,input!$A:$A,August!$B$2)</f>
        <v>0</v>
      </c>
      <c r="I64" s="322">
        <f>COUNTIFS(input!$O:$O,August!$I$26,input!$E:$E,August!B64,input!$A:$A,August!$B$2)</f>
        <v>0</v>
      </c>
      <c r="J64" s="322">
        <f>COUNTIFS(input!$O:$O,August!$K$26,input!$E:$E,August!B64,input!$A:$A,August!$B$2)</f>
        <v>0</v>
      </c>
      <c r="K64" s="436">
        <f>COUNTIFS(input!$O:$O,August!$K$26,input!$E:$E,August!B64,input!$A:$A,August!$B$2)</f>
        <v>0</v>
      </c>
      <c r="L64" s="312">
        <f>SUM(D64:K64)</f>
        <v>0</v>
      </c>
      <c r="M64" s="313" cm="1">
        <f t="array" ref="M64">_xlfn.IFS(L64=0,0,L64&gt;=1,L64/$L$74)</f>
        <v>0</v>
      </c>
      <c r="N64" s="1065"/>
      <c r="O64" s="1065"/>
      <c r="P64" s="1066"/>
      <c r="Q64" s="316">
        <f>COUNTIFS(input!$O:$O,August!$Q$26,input!$F:$F,August!N64,input!$A:$A,August!$B$2)</f>
        <v>0</v>
      </c>
      <c r="R64" s="316">
        <f>COUNTIFS(input!$O:$O,August!$R$26,input!$F:$F,August!N64,input!$A:$A,August!$B$2)</f>
        <v>0</v>
      </c>
      <c r="S64" s="316">
        <f>COUNTIFS(input!$O:$O,August!$S$26,input!$F:$F,August!N64,input!$A:$A,August!$B$2)</f>
        <v>0</v>
      </c>
      <c r="T64" s="321">
        <f>COUNTIFS(input!$O:$O,August!$T$26,input!$F:$F,August!N64,input!$A:$A,August!$B$2)</f>
        <v>0</v>
      </c>
      <c r="U64" s="322">
        <f>COUNTIFS(input!$O:$O,August!$U$26,input!$F:$F,August!N64,input!$A:$A,August!$B$2)</f>
        <v>0</v>
      </c>
      <c r="V64" s="322">
        <f>COUNTIFS(input!$O:$O,August!$V$26,input!$F:$F,August!N64,input!$A:$A,August!$B$2)</f>
        <v>0</v>
      </c>
      <c r="W64" s="323">
        <f>COUNTIFS(input!$O:$O,August!$W$26,input!$F:$F,August!N64,input!$A:$A,August!$B$2)</f>
        <v>0</v>
      </c>
      <c r="X64" s="324">
        <f>COUNTIFS(input!$O:$O,August!$X$26,input!$F:$F,August!N64,input!$A:$A,August!$B$2)</f>
        <v>0</v>
      </c>
      <c r="Y64" s="312">
        <f t="shared" si="9"/>
        <v>0</v>
      </c>
      <c r="Z64" s="315" cm="1">
        <f t="array" ref="Z64">_xlfn.IFS(Y64=0,0,Y64&gt;=1,Y64/$Y$74)</f>
        <v>0</v>
      </c>
    </row>
    <row r="65" spans="2:26" ht="92" hidden="1" customHeight="1" x14ac:dyDescent="0.25">
      <c r="B65" s="1121" t="s">
        <v>1827</v>
      </c>
      <c r="C65" s="1066"/>
      <c r="D65" s="316">
        <f>COUNTIFS(input!$O:$O,August!$D$26,input!$E:$E,August!B65,input!$A:$A,August!$B$2)</f>
        <v>0</v>
      </c>
      <c r="E65" s="316">
        <f>COUNTIFS(input!$O:$O,August!$E$26,input!$E:$E,August!B65,input!$A:$A,August!$B$2)</f>
        <v>0</v>
      </c>
      <c r="F65" s="316">
        <f>COUNTIFS(input!$O:$O,August!$F$26,input!$E:$E,August!B65,input!$A:$A,August!$B$2)</f>
        <v>0</v>
      </c>
      <c r="G65" s="322">
        <f>COUNTIFS(input!$O:$O,August!$G$26,input!$E:$E,August!B65,input!$A:$A,August!$B$2)</f>
        <v>0</v>
      </c>
      <c r="H65" s="322">
        <f>COUNTIFS(input!$O:$O,August!$H$26,input!$E:$E,August!B65,input!$A:$A,August!$B$2)</f>
        <v>0</v>
      </c>
      <c r="I65" s="322">
        <f>COUNTIFS(input!$O:$O,August!$I$26,input!$E:$E,August!B65,input!$A:$A,August!$B$2)</f>
        <v>0</v>
      </c>
      <c r="J65" s="322">
        <f>COUNTIFS(input!$O:$O,August!$K$26,input!$E:$E,August!B65,input!$A:$A,August!$B$2)</f>
        <v>0</v>
      </c>
      <c r="K65" s="436">
        <f>COUNTIFS(input!$O:$O,August!$K$26,input!$E:$E,August!B65,input!$A:$A,August!$B$2)</f>
        <v>0</v>
      </c>
      <c r="L65" s="312">
        <f>SUM(D65:K65)</f>
        <v>0</v>
      </c>
      <c r="M65" s="313" cm="1">
        <f t="array" ref="M65">_xlfn.IFS(L65=0,0,L65&gt;=1,L65/$L$74)</f>
        <v>0</v>
      </c>
      <c r="N65" s="1065"/>
      <c r="O65" s="1065"/>
      <c r="P65" s="1066"/>
      <c r="Q65" s="316">
        <f>COUNTIFS(input!$O:$O,August!$Q$26,input!$F:$F,August!N65,input!$A:$A,August!$B$2)</f>
        <v>0</v>
      </c>
      <c r="R65" s="316">
        <f>COUNTIFS(input!$O:$O,August!$R$26,input!$F:$F,August!N65,input!$A:$A,August!$B$2)</f>
        <v>0</v>
      </c>
      <c r="S65" s="316">
        <f>COUNTIFS(input!$O:$O,August!$S$26,input!$F:$F,August!N65,input!$A:$A,August!$B$2)</f>
        <v>0</v>
      </c>
      <c r="T65" s="321">
        <f>COUNTIFS(input!$O:$O,August!$T$26,input!$F:$F,August!N65,input!$A:$A,August!$B$2)</f>
        <v>0</v>
      </c>
      <c r="U65" s="322">
        <f>COUNTIFS(input!$O:$O,August!$U$26,input!$F:$F,August!N65,input!$A:$A,August!$B$2)</f>
        <v>0</v>
      </c>
      <c r="V65" s="322">
        <f>COUNTIFS(input!$O:$O,August!$V$26,input!$F:$F,August!N65,input!$A:$A,August!$B$2)</f>
        <v>0</v>
      </c>
      <c r="W65" s="323">
        <f>COUNTIFS(input!$O:$O,August!$W$26,input!$F:$F,August!N65,input!$A:$A,August!$B$2)</f>
        <v>0</v>
      </c>
      <c r="X65" s="324">
        <f>COUNTIFS(input!$O:$O,August!$X$26,input!$F:$F,August!N65,input!$A:$A,August!$B$2)</f>
        <v>0</v>
      </c>
      <c r="Y65" s="312">
        <f t="shared" si="9"/>
        <v>0</v>
      </c>
      <c r="Z65" s="315" cm="1">
        <f t="array" ref="Z65">_xlfn.IFS(Y65=0,0,Y65&gt;=1,Y65/$Y$74)</f>
        <v>0</v>
      </c>
    </row>
    <row r="66" spans="2:26" ht="92" hidden="1" customHeight="1" x14ac:dyDescent="0.25">
      <c r="B66" s="1121" t="s">
        <v>2192</v>
      </c>
      <c r="C66" s="1066"/>
      <c r="D66" s="316">
        <f>COUNTIFS(input!$O:$O,August!$D$26,input!$E:$E,August!B66,input!$A:$A,August!$B$2)</f>
        <v>0</v>
      </c>
      <c r="E66" s="316">
        <f>COUNTIFS(input!$O:$O,August!$E$26,input!$E:$E,August!B66,input!$A:$A,August!$B$2)</f>
        <v>0</v>
      </c>
      <c r="F66" s="316">
        <f>COUNTIFS(input!$O:$O,August!$F$26,input!$E:$E,August!B66,input!$A:$A,August!$B$2)</f>
        <v>0</v>
      </c>
      <c r="G66" s="322">
        <f>COUNTIFS(input!$O:$O,August!$G$26,input!$E:$E,August!B66,input!$A:$A,August!$B$2)</f>
        <v>0</v>
      </c>
      <c r="H66" s="322">
        <f>COUNTIFS(input!$O:$O,August!$H$26,input!$E:$E,August!B66,input!$A:$A,August!$B$2)</f>
        <v>0</v>
      </c>
      <c r="I66" s="322">
        <f>COUNTIFS(input!$O:$O,August!$I$26,input!$E:$E,August!B66,input!$A:$A,August!$B$2)</f>
        <v>0</v>
      </c>
      <c r="J66" s="322">
        <f>COUNTIFS(input!$O:$O,August!$K$26,input!$E:$E,August!B66,input!$A:$A,August!$B$2)</f>
        <v>0</v>
      </c>
      <c r="K66" s="436">
        <f>COUNTIFS(input!$O:$O,August!$K$26,input!$E:$E,August!B66,input!$A:$A,August!$B$2)</f>
        <v>0</v>
      </c>
      <c r="L66" s="312">
        <f t="shared" ref="L66" si="10">SUM(D66:K66)</f>
        <v>0</v>
      </c>
      <c r="M66" s="313" cm="1">
        <f t="array" ref="M66">_xlfn.IFS(L66=0,0,L66&gt;=1,L66/$L$74)</f>
        <v>0</v>
      </c>
      <c r="N66" s="1065"/>
      <c r="O66" s="1065"/>
      <c r="P66" s="1066"/>
      <c r="Q66" s="316">
        <f>COUNTIFS(input!$O:$O,August!$Q$26,input!$F:$F,August!N66,input!$A:$A,August!$B$2)</f>
        <v>0</v>
      </c>
      <c r="R66" s="316">
        <f>COUNTIFS(input!$O:$O,August!$R$26,input!$F:$F,August!N66,input!$A:$A,August!$B$2)</f>
        <v>0</v>
      </c>
      <c r="S66" s="316">
        <f>COUNTIFS(input!$O:$O,August!$S$26,input!$F:$F,August!N66,input!$A:$A,August!$B$2)</f>
        <v>0</v>
      </c>
      <c r="T66" s="321">
        <f>COUNTIFS(input!$O:$O,August!$T$26,input!$F:$F,August!N66,input!$A:$A,August!$B$2)</f>
        <v>0</v>
      </c>
      <c r="U66" s="322">
        <f>COUNTIFS(input!$O:$O,August!$U$26,input!$F:$F,August!N66,input!$A:$A,August!$B$2)</f>
        <v>0</v>
      </c>
      <c r="V66" s="322">
        <f>COUNTIFS(input!$O:$O,August!$V$26,input!$F:$F,August!N66,input!$A:$A,August!$B$2)</f>
        <v>0</v>
      </c>
      <c r="W66" s="323">
        <f>COUNTIFS(input!$O:$O,August!$W$26,input!$F:$F,August!N66,input!$A:$A,August!$B$2)</f>
        <v>0</v>
      </c>
      <c r="X66" s="324">
        <f>COUNTIFS(input!$O:$O,August!$X$26,input!$F:$F,August!N66,input!$A:$A,August!$B$2)</f>
        <v>0</v>
      </c>
      <c r="Y66" s="312">
        <f t="shared" ref="Y66" si="11">SUM(Q66:X66)</f>
        <v>0</v>
      </c>
      <c r="Z66" s="315" cm="1">
        <f t="array" ref="Z66">_xlfn.IFS(Y66=0,0,Y66&gt;=1,Y66/$Y$74)</f>
        <v>0</v>
      </c>
    </row>
    <row r="67" spans="2:26" ht="92" hidden="1" customHeight="1" x14ac:dyDescent="0.25">
      <c r="B67" s="1121" t="s">
        <v>777</v>
      </c>
      <c r="C67" s="1066"/>
      <c r="D67" s="316">
        <f>COUNTIFS(input!$O:$O,August!$D$26,input!$E:$E,August!B67,input!$A:$A,August!$B$2)</f>
        <v>0</v>
      </c>
      <c r="E67" s="316">
        <f>COUNTIFS(input!$O:$O,August!$E$26,input!$E:$E,August!B67,input!$A:$A,August!$B$2)</f>
        <v>0</v>
      </c>
      <c r="F67" s="316">
        <f>COUNTIFS(input!$O:$O,August!$F$26,input!$E:$E,August!B67,input!$A:$A,August!$B$2)</f>
        <v>0</v>
      </c>
      <c r="G67" s="322">
        <f>COUNTIFS(input!$O:$O,August!$G$26,input!$E:$E,August!B67,input!$A:$A,August!$B$2)</f>
        <v>0</v>
      </c>
      <c r="H67" s="322">
        <f>COUNTIFS(input!$O:$O,August!$H$26,input!$E:$E,August!B67,input!$A:$A,August!$B$2)</f>
        <v>0</v>
      </c>
      <c r="I67" s="322">
        <f>COUNTIFS(input!$O:$O,August!$I$26,input!$E:$E,August!B67,input!$A:$A,August!$B$2)</f>
        <v>0</v>
      </c>
      <c r="J67" s="322">
        <f>COUNTIFS(input!$O:$O,August!$K$26,input!$E:$E,August!B67,input!$A:$A,August!$B$2)</f>
        <v>0</v>
      </c>
      <c r="K67" s="436">
        <f>COUNTIFS(input!$O:$O,August!$K$26,input!$E:$E,August!B67,input!$A:$A,August!$B$2)</f>
        <v>0</v>
      </c>
      <c r="L67" s="312">
        <f t="shared" ref="L67:L73" si="12">SUM(D67:K67)</f>
        <v>0</v>
      </c>
      <c r="M67" s="313" cm="1">
        <f t="array" ref="M67">_xlfn.IFS(L67=0,0,L67&gt;=1,L67/$L$74)</f>
        <v>0</v>
      </c>
      <c r="N67" s="1065"/>
      <c r="O67" s="1065"/>
      <c r="P67" s="1066"/>
      <c r="Q67" s="316">
        <f>COUNTIFS(input!$O:$O,August!$Q$26,input!$F:$F,August!N67,input!$A:$A,August!$B$2)</f>
        <v>0</v>
      </c>
      <c r="R67" s="316">
        <f>COUNTIFS(input!$O:$O,August!$R$26,input!$F:$F,August!N67,input!$A:$A,August!$B$2)</f>
        <v>0</v>
      </c>
      <c r="S67" s="316">
        <f>COUNTIFS(input!$O:$O,August!$S$26,input!$F:$F,August!N67,input!$A:$A,August!$B$2)</f>
        <v>0</v>
      </c>
      <c r="T67" s="321">
        <f>COUNTIFS(input!$O:$O,August!$T$26,input!$F:$F,August!N67,input!$A:$A,August!$B$2)</f>
        <v>0</v>
      </c>
      <c r="U67" s="322">
        <f>COUNTIFS(input!$O:$O,August!$U$26,input!$F:$F,August!N67,input!$A:$A,August!$B$2)</f>
        <v>0</v>
      </c>
      <c r="V67" s="322">
        <f>COUNTIFS(input!$O:$O,August!$V$26,input!$F:$F,August!N67,input!$A:$A,August!$B$2)</f>
        <v>0</v>
      </c>
      <c r="W67" s="323">
        <f>COUNTIFS(input!$O:$O,August!$W$26,input!$F:$F,August!N67,input!$A:$A,August!$B$2)</f>
        <v>0</v>
      </c>
      <c r="X67" s="324">
        <f>COUNTIFS(input!$O:$O,August!$X$26,input!$F:$F,August!N67,input!$A:$A,August!$B$2)</f>
        <v>0</v>
      </c>
      <c r="Y67" s="312">
        <f t="shared" si="9"/>
        <v>0</v>
      </c>
      <c r="Z67" s="315" cm="1">
        <f t="array" ref="Z67">_xlfn.IFS(Y67=0,0,Y67&gt;=1,Y67/$Y$74)</f>
        <v>0</v>
      </c>
    </row>
    <row r="68" spans="2:26" ht="92" hidden="1" customHeight="1" x14ac:dyDescent="0.25">
      <c r="B68" s="1121" t="s">
        <v>41</v>
      </c>
      <c r="C68" s="1066"/>
      <c r="D68" s="316">
        <f>COUNTIFS(input!$O:$O,August!$D$26,input!$E:$E,August!B68,input!$A:$A,August!$B$2)</f>
        <v>0</v>
      </c>
      <c r="E68" s="316">
        <f>COUNTIFS(input!$O:$O,August!$E$26,input!$E:$E,August!B68,input!$A:$A,August!$B$2)</f>
        <v>0</v>
      </c>
      <c r="F68" s="316">
        <f>COUNTIFS(input!$O:$O,August!$F$26,input!$E:$E,August!B68,input!$A:$A,August!$B$2)</f>
        <v>0</v>
      </c>
      <c r="G68" s="322">
        <f>COUNTIFS(input!$O:$O,August!$G$26,input!$E:$E,August!B68,input!$A:$A,August!$B$2)</f>
        <v>0</v>
      </c>
      <c r="H68" s="322">
        <f>COUNTIFS(input!$O:$O,August!$H$26,input!$E:$E,August!B68,input!$A:$A,August!$B$2)</f>
        <v>0</v>
      </c>
      <c r="I68" s="322">
        <f>COUNTIFS(input!$O:$O,August!$I$26,input!$E:$E,August!B68,input!$A:$A,August!$B$2)</f>
        <v>0</v>
      </c>
      <c r="J68" s="322">
        <f>COUNTIFS(input!$O:$O,August!$K$26,input!$E:$E,August!B68,input!$A:$A,August!$B$2)</f>
        <v>0</v>
      </c>
      <c r="K68" s="436">
        <f>COUNTIFS(input!$O:$O,August!$K$26,input!$E:$E,August!B68,input!$A:$A,August!$B$2)</f>
        <v>0</v>
      </c>
      <c r="L68" s="312">
        <f t="shared" si="12"/>
        <v>0</v>
      </c>
      <c r="M68" s="313" cm="1">
        <f t="array" ref="M68">_xlfn.IFS(L68=0,0,L68&gt;=1,L68/$L$74)</f>
        <v>0</v>
      </c>
      <c r="N68" s="1065"/>
      <c r="O68" s="1065"/>
      <c r="P68" s="1066"/>
      <c r="Q68" s="316">
        <f>COUNTIFS(input!$O:$O,August!$Q$26,input!$F:$F,August!N68,input!$A:$A,August!$B$2)</f>
        <v>0</v>
      </c>
      <c r="R68" s="316">
        <f>COUNTIFS(input!$O:$O,August!$R$26,input!$F:$F,August!N68,input!$A:$A,August!$B$2)</f>
        <v>0</v>
      </c>
      <c r="S68" s="316">
        <f>COUNTIFS(input!$O:$O,August!$S$26,input!$F:$F,August!N68,input!$A:$A,August!$B$2)</f>
        <v>0</v>
      </c>
      <c r="T68" s="321">
        <f>COUNTIFS(input!$O:$O,August!$T$26,input!$F:$F,August!N68,input!$A:$A,August!$B$2)</f>
        <v>0</v>
      </c>
      <c r="U68" s="322">
        <f>COUNTIFS(input!$O:$O,August!$U$26,input!$F:$F,August!N68,input!$A:$A,August!$B$2)</f>
        <v>0</v>
      </c>
      <c r="V68" s="322">
        <f>COUNTIFS(input!$O:$O,August!$V$26,input!$F:$F,August!N68,input!$A:$A,August!$B$2)</f>
        <v>0</v>
      </c>
      <c r="W68" s="323">
        <f>COUNTIFS(input!$O:$O,August!$W$26,input!$F:$F,August!N68,input!$A:$A,August!$B$2)</f>
        <v>0</v>
      </c>
      <c r="X68" s="324">
        <f>COUNTIFS(input!$O:$O,August!$X$26,input!$F:$F,August!N68,input!$A:$A,August!$B$2)</f>
        <v>0</v>
      </c>
      <c r="Y68" s="312">
        <f t="shared" si="9"/>
        <v>0</v>
      </c>
      <c r="Z68" s="315" cm="1">
        <f t="array" ref="Z68">_xlfn.IFS(Y68=0,0,Y68&gt;=1,Y68/$Y$74)</f>
        <v>0</v>
      </c>
    </row>
    <row r="69" spans="2:26" ht="92" x14ac:dyDescent="0.25">
      <c r="B69" s="990" t="s">
        <v>460</v>
      </c>
      <c r="C69" s="991"/>
      <c r="D69" s="316">
        <f>COUNTIFS(input!$O:$O,August!$D$26,input!$E:$E,August!B69,input!$A:$A,August!$B$2)</f>
        <v>0</v>
      </c>
      <c r="E69" s="316">
        <f>COUNTIFS(input!$O:$O,August!$E$26,input!$E:$E,August!B69,input!$A:$A,August!$B$2)</f>
        <v>0</v>
      </c>
      <c r="F69" s="316">
        <f>COUNTIFS(input!$O:$O,August!$F$26,input!$E:$E,August!B69,input!$A:$A,August!$B$2)</f>
        <v>0</v>
      </c>
      <c r="G69" s="322">
        <f>COUNTIFS(input!$O:$O,August!$G$26,input!$E:$E,August!B69,input!$A:$A,August!$B$2)</f>
        <v>1</v>
      </c>
      <c r="H69" s="322">
        <f>COUNTIFS(input!$O:$O,August!$H$26,input!$E:$E,August!B69,input!$A:$A,August!$B$2)</f>
        <v>0</v>
      </c>
      <c r="I69" s="322">
        <f>COUNTIFS(input!$O:$O,August!$I$26,input!$E:$E,August!B69,input!$A:$A,August!$B$2)</f>
        <v>0</v>
      </c>
      <c r="J69" s="322">
        <f>COUNTIFS(input!$O:$O,August!$K$26,input!$E:$E,August!B69,input!$A:$A,August!$B$2)</f>
        <v>0</v>
      </c>
      <c r="K69" s="436">
        <f>COUNTIFS(input!$O:$O,August!$K$26,input!$E:$E,August!B69,input!$A:$A,August!$B$2)</f>
        <v>0</v>
      </c>
      <c r="L69" s="312">
        <f t="shared" si="12"/>
        <v>1</v>
      </c>
      <c r="M69" s="313" cm="1">
        <f t="array" ref="M69">_xlfn.IFS(L69=0,0,L69&gt;=1,L69/$L$74)</f>
        <v>6.25E-2</v>
      </c>
      <c r="N69" s="1064"/>
      <c r="O69" s="1065"/>
      <c r="P69" s="1066"/>
      <c r="Q69" s="316">
        <f>COUNTIFS(input!$O:$O,August!$Q$26,input!$F:$F,August!N69,input!$A:$A,August!$B$2)</f>
        <v>0</v>
      </c>
      <c r="R69" s="316">
        <f>COUNTIFS(input!$O:$O,August!$R$26,input!$F:$F,August!N69,input!$A:$A,August!$B$2)</f>
        <v>0</v>
      </c>
      <c r="S69" s="316">
        <f>COUNTIFS(input!$O:$O,August!$S$26,input!$F:$F,August!N69,input!$A:$A,August!$B$2)</f>
        <v>0</v>
      </c>
      <c r="T69" s="321">
        <f>COUNTIFS(input!$O:$O,August!$T$26,input!$F:$F,August!N69,input!$A:$A,August!$B$2)</f>
        <v>0</v>
      </c>
      <c r="U69" s="322">
        <f>COUNTIFS(input!$O:$O,August!$U$26,input!$F:$F,August!N69,input!$A:$A,August!$B$2)</f>
        <v>0</v>
      </c>
      <c r="V69" s="322">
        <f>COUNTIFS(input!$O:$O,August!$V$26,input!$F:$F,August!N69,input!$A:$A,August!$B$2)</f>
        <v>0</v>
      </c>
      <c r="W69" s="323">
        <f>COUNTIFS(input!$O:$O,August!$W$26,input!$F:$F,August!N69,input!$A:$A,August!$B$2)</f>
        <v>0</v>
      </c>
      <c r="X69" s="324">
        <f>COUNTIFS(input!$O:$O,August!$X$26,input!$F:$F,August!N69,input!$A:$A,August!$B$2)</f>
        <v>0</v>
      </c>
      <c r="Y69" s="312">
        <f t="shared" si="9"/>
        <v>0</v>
      </c>
      <c r="Z69" s="315" cm="1">
        <f t="array" ref="Z69">_xlfn.IFS(Y69=0,0,Y69&gt;=1,Y69/$Y$74)</f>
        <v>0</v>
      </c>
    </row>
    <row r="70" spans="2:26" ht="92" hidden="1" customHeight="1" x14ac:dyDescent="0.25">
      <c r="B70" s="1121" t="s">
        <v>482</v>
      </c>
      <c r="C70" s="1066"/>
      <c r="D70" s="316">
        <f>COUNTIFS(input!$O:$O,August!$D$26,input!$E:$E,August!B70,input!$A:$A,August!$B$2)</f>
        <v>0</v>
      </c>
      <c r="E70" s="316">
        <f>COUNTIFS(input!$O:$O,August!$E$26,input!$E:$E,August!B70,input!$A:$A,August!$B$2)</f>
        <v>0</v>
      </c>
      <c r="F70" s="316">
        <f>COUNTIFS(input!$O:$O,August!$F$26,input!$E:$E,August!B70,input!$A:$A,August!$B$2)</f>
        <v>0</v>
      </c>
      <c r="G70" s="322">
        <f>COUNTIFS(input!$O:$O,August!$G$26,input!$E:$E,August!B70,input!$A:$A,August!$B$2)</f>
        <v>0</v>
      </c>
      <c r="H70" s="322">
        <f>COUNTIFS(input!$O:$O,August!$H$26,input!$E:$E,August!B70,input!$A:$A,August!$B$2)</f>
        <v>0</v>
      </c>
      <c r="I70" s="322">
        <f>COUNTIFS(input!$O:$O,August!$I$26,input!$E:$E,August!B70,input!$A:$A,August!$B$2)</f>
        <v>0</v>
      </c>
      <c r="J70" s="322">
        <f>COUNTIFS(input!$O:$O,August!$K$26,input!$E:$E,August!B70,input!$A:$A,August!$B$2)</f>
        <v>0</v>
      </c>
      <c r="K70" s="436">
        <f>COUNTIFS(input!$O:$O,August!$K$26,input!$E:$E,August!B70,input!$A:$A,August!$B$2)</f>
        <v>0</v>
      </c>
      <c r="L70" s="312">
        <f t="shared" si="12"/>
        <v>0</v>
      </c>
      <c r="M70" s="313" cm="1">
        <f t="array" ref="M70">_xlfn.IFS(L70=0,0,L70&gt;=1,L70/$L$74)</f>
        <v>0</v>
      </c>
      <c r="N70" s="1065"/>
      <c r="O70" s="1065"/>
      <c r="P70" s="1066"/>
      <c r="Q70" s="316">
        <f>COUNTIFS(input!$O:$O,August!$Q$26,input!$F:$F,August!N70,input!$A:$A,August!$B$2)</f>
        <v>0</v>
      </c>
      <c r="R70" s="316">
        <f>COUNTIFS(input!$O:$O,August!$R$26,input!$F:$F,August!N70,input!$A:$A,August!$B$2)</f>
        <v>0</v>
      </c>
      <c r="S70" s="316">
        <f>COUNTIFS(input!$O:$O,August!$S$26,input!$F:$F,August!N70,input!$A:$A,August!$B$2)</f>
        <v>0</v>
      </c>
      <c r="T70" s="321">
        <f>COUNTIFS(input!$O:$O,August!$T$26,input!$F:$F,August!N70,input!$A:$A,August!$B$2)</f>
        <v>0</v>
      </c>
      <c r="U70" s="322">
        <f>COUNTIFS(input!$O:$O,August!$U$26,input!$F:$F,August!N70,input!$A:$A,August!$B$2)</f>
        <v>0</v>
      </c>
      <c r="V70" s="322">
        <f>COUNTIFS(input!$O:$O,August!$V$26,input!$F:$F,August!N70,input!$A:$A,August!$B$2)</f>
        <v>0</v>
      </c>
      <c r="W70" s="323">
        <f>COUNTIFS(input!$O:$O,August!$W$26,input!$F:$F,August!N70,input!$A:$A,August!$B$2)</f>
        <v>0</v>
      </c>
      <c r="X70" s="324">
        <f>COUNTIFS(input!$O:$O,August!$X$26,input!$F:$F,August!N70,input!$A:$A,August!$B$2)</f>
        <v>0</v>
      </c>
      <c r="Y70" s="312">
        <f t="shared" si="9"/>
        <v>0</v>
      </c>
      <c r="Z70" s="315" cm="1">
        <f t="array" ref="Z70">_xlfn.IFS(Y70=0,0,Y70&gt;=1,Y70/$Y$74)</f>
        <v>0</v>
      </c>
    </row>
    <row r="71" spans="2:26" ht="92" customHeight="1" x14ac:dyDescent="0.25">
      <c r="B71" s="990" t="s">
        <v>2268</v>
      </c>
      <c r="C71" s="991"/>
      <c r="D71" s="316">
        <f>COUNTIFS(input!$O:$O,August!$D$26,input!$E:$E,August!B71,input!$A:$A,August!$B$2)</f>
        <v>0</v>
      </c>
      <c r="E71" s="316">
        <f>COUNTIFS(input!$O:$O,August!$E$26,input!$E:$E,August!B71,input!$A:$A,August!$B$2)</f>
        <v>0</v>
      </c>
      <c r="F71" s="316">
        <f>COUNTIFS(input!$O:$O,August!$F$26,input!$E:$E,August!B71,input!$A:$A,August!$B$2)</f>
        <v>0</v>
      </c>
      <c r="G71" s="322">
        <f>COUNTIFS(input!$O:$O,August!$G$26,input!$E:$E,August!B71,input!$A:$A,August!$B$2)</f>
        <v>0</v>
      </c>
      <c r="H71" s="322">
        <f>COUNTIFS(input!$O:$O,August!$H$26,input!$E:$E,August!B71,input!$A:$A,August!$B$2)</f>
        <v>0</v>
      </c>
      <c r="I71" s="322">
        <f>COUNTIFS(input!$O:$O,August!$I$26,input!$E:$E,August!B71,input!$A:$A,August!$B$2)</f>
        <v>1</v>
      </c>
      <c r="J71" s="322">
        <f>COUNTIFS(input!$O:$O,August!$K$26,input!$E:$E,August!B71,input!$A:$A,August!$B$2)</f>
        <v>0</v>
      </c>
      <c r="K71" s="436">
        <f>COUNTIFS(input!$O:$O,August!$K$26,input!$E:$E,August!B71,input!$A:$A,August!$B$2)</f>
        <v>0</v>
      </c>
      <c r="L71" s="312">
        <f t="shared" ref="L71" si="13">SUM(D71:K71)</f>
        <v>1</v>
      </c>
      <c r="M71" s="313" cm="1">
        <f t="array" ref="M71">_xlfn.IFS(L71=0,0,L71&gt;=1,L71/$L$74)</f>
        <v>6.25E-2</v>
      </c>
      <c r="N71" s="1065"/>
      <c r="O71" s="1065"/>
      <c r="P71" s="1066"/>
      <c r="Q71" s="316">
        <f>COUNTIFS(input!$O:$O,August!$Q$26,input!$F:$F,August!N71,input!$A:$A,August!$B$2)</f>
        <v>0</v>
      </c>
      <c r="R71" s="316">
        <f>COUNTIFS(input!$O:$O,August!$R$26,input!$F:$F,August!N71,input!$A:$A,August!$B$2)</f>
        <v>0</v>
      </c>
      <c r="S71" s="316">
        <f>COUNTIFS(input!$O:$O,August!$S$26,input!$F:$F,August!N71,input!$A:$A,August!$B$2)</f>
        <v>0</v>
      </c>
      <c r="T71" s="321">
        <f>COUNTIFS(input!$O:$O,August!$T$26,input!$F:$F,August!N71,input!$A:$A,August!$B$2)</f>
        <v>0</v>
      </c>
      <c r="U71" s="322">
        <f>COUNTIFS(input!$O:$O,August!$U$26,input!$F:$F,August!N71,input!$A:$A,August!$B$2)</f>
        <v>0</v>
      </c>
      <c r="V71" s="322">
        <f>COUNTIFS(input!$O:$O,August!$V$26,input!$F:$F,August!N71,input!$A:$A,August!$B$2)</f>
        <v>0</v>
      </c>
      <c r="W71" s="323">
        <f>COUNTIFS(input!$O:$O,August!$W$26,input!$F:$F,August!N71,input!$A:$A,August!$B$2)</f>
        <v>0</v>
      </c>
      <c r="X71" s="324">
        <f>COUNTIFS(input!$O:$O,August!$X$26,input!$F:$F,August!N71,input!$A:$A,August!$B$2)</f>
        <v>0</v>
      </c>
      <c r="Y71" s="312">
        <f t="shared" ref="Y71" si="14">SUM(Q71:X71)</f>
        <v>0</v>
      </c>
      <c r="Z71" s="315" cm="1">
        <f t="array" ref="Z71">_xlfn.IFS(Y71=0,0,Y71&gt;=1,Y71/$Y$74)</f>
        <v>0</v>
      </c>
    </row>
    <row r="72" spans="2:26" ht="92" hidden="1" customHeight="1" x14ac:dyDescent="0.25">
      <c r="B72" s="1121" t="s">
        <v>247</v>
      </c>
      <c r="C72" s="1066"/>
      <c r="D72" s="316">
        <f>COUNTIFS(input!$O:$O,August!$D$26,input!$E:$E,August!B72,input!$A:$A,August!$B$2)</f>
        <v>0</v>
      </c>
      <c r="E72" s="316">
        <f>COUNTIFS(input!$O:$O,August!$E$26,input!$E:$E,August!B72,input!$A:$A,August!$B$2)</f>
        <v>0</v>
      </c>
      <c r="F72" s="316">
        <f>COUNTIFS(input!$O:$O,August!$F$26,input!$E:$E,August!B72,input!$A:$A,August!$B$2)</f>
        <v>0</v>
      </c>
      <c r="G72" s="322">
        <f>COUNTIFS(input!$O:$O,August!$G$26,input!$E:$E,August!B72,input!$A:$A,August!$B$2)</f>
        <v>0</v>
      </c>
      <c r="H72" s="322">
        <f>COUNTIFS(input!$O:$O,August!$H$26,input!$E:$E,August!B72,input!$A:$A,August!$B$2)</f>
        <v>0</v>
      </c>
      <c r="I72" s="322">
        <f>COUNTIFS(input!$O:$O,August!$I$26,input!$E:$E,August!B72,input!$A:$A,August!$B$2)</f>
        <v>0</v>
      </c>
      <c r="J72" s="322">
        <f>COUNTIFS(input!$O:$O,August!$K$26,input!$E:$E,August!B72,input!$A:$A,August!$B$2)</f>
        <v>0</v>
      </c>
      <c r="K72" s="436">
        <f>COUNTIFS(input!$O:$O,August!$K$26,input!$E:$E,August!B72,input!$A:$A,August!$B$2)</f>
        <v>0</v>
      </c>
      <c r="L72" s="312">
        <f t="shared" si="12"/>
        <v>0</v>
      </c>
      <c r="M72" s="313" cm="1">
        <f t="array" ref="M72">_xlfn.IFS(L72=0,0,L72&gt;=1,L72/$L$74)</f>
        <v>0</v>
      </c>
      <c r="N72" s="1065"/>
      <c r="O72" s="1065"/>
      <c r="P72" s="1066"/>
      <c r="Q72" s="316">
        <f>COUNTIFS(input!$O:$O,August!$Q$26,input!$F:$F,August!N72,input!$A:$A,August!$B$2)</f>
        <v>0</v>
      </c>
      <c r="R72" s="316">
        <f>COUNTIFS(input!$O:$O,August!$R$26,input!$F:$F,August!N72,input!$A:$A,August!$B$2)</f>
        <v>0</v>
      </c>
      <c r="S72" s="316">
        <f>COUNTIFS(input!$O:$O,August!$S$26,input!$F:$F,August!N72,input!$A:$A,August!$B$2)</f>
        <v>0</v>
      </c>
      <c r="T72" s="321">
        <f>COUNTIFS(input!$O:$O,August!$T$26,input!$F:$F,August!N72,input!$A:$A,August!$B$2)</f>
        <v>0</v>
      </c>
      <c r="U72" s="322">
        <f>COUNTIFS(input!$O:$O,August!$U$26,input!$F:$F,August!N72,input!$A:$A,August!$B$2)</f>
        <v>0</v>
      </c>
      <c r="V72" s="322">
        <f>COUNTIFS(input!$O:$O,August!$V$26,input!$F:$F,August!N72,input!$A:$A,August!$B$2)</f>
        <v>0</v>
      </c>
      <c r="W72" s="323">
        <f>COUNTIFS(input!$O:$O,August!$W$26,input!$F:$F,August!N72,input!$A:$A,August!$B$2)</f>
        <v>0</v>
      </c>
      <c r="X72" s="324">
        <f>COUNTIFS(input!$O:$O,August!$X$26,input!$F:$F,August!N72,input!$A:$A,August!$B$2)</f>
        <v>0</v>
      </c>
      <c r="Y72" s="312">
        <f t="shared" si="9"/>
        <v>0</v>
      </c>
      <c r="Z72" s="315" cm="1">
        <f t="array" ref="Z72">_xlfn.IFS(Y72=0,0,Y72&gt;=1,Y72/$Y$74)</f>
        <v>0</v>
      </c>
    </row>
    <row r="73" spans="2:26" ht="92" x14ac:dyDescent="0.25">
      <c r="B73" s="990" t="s">
        <v>57</v>
      </c>
      <c r="C73" s="991"/>
      <c r="D73" s="316">
        <f>COUNTIFS(input!$O:$O,August!$D$26,input!$E:$E,August!B73,input!$A:$A,August!$B$2)</f>
        <v>0</v>
      </c>
      <c r="E73" s="316">
        <f>COUNTIFS(input!$O:$O,August!$E$26,input!$E:$E,August!B73,input!$A:$A,August!$B$2)</f>
        <v>0</v>
      </c>
      <c r="F73" s="316">
        <f>COUNTIFS(input!$O:$O,August!$F$26,input!$E:$E,August!B73,input!$A:$A,August!$B$2)</f>
        <v>0</v>
      </c>
      <c r="G73" s="322">
        <f>COUNTIFS(input!$O:$O,August!$G$26,input!$E:$E,August!B73,input!$A:$A,August!$B$2)</f>
        <v>0</v>
      </c>
      <c r="H73" s="322">
        <f>COUNTIFS(input!$O:$O,August!$H$26,input!$E:$E,August!B73,input!$A:$A,August!$B$2)</f>
        <v>0</v>
      </c>
      <c r="I73" s="322">
        <f>COUNTIFS(input!$O:$O,August!$I$26,input!$E:$E,August!B73,input!$A:$A,August!$B$2)</f>
        <v>0</v>
      </c>
      <c r="J73" s="322">
        <f>COUNTIFS(input!$O:$O,August!$J$26,input!$E:$E,August!B73,input!$A:$A,August!$B$2)</f>
        <v>1</v>
      </c>
      <c r="K73" s="436">
        <f>COUNTIFS(input!$O:$O,August!$K$26,input!$E:$E,August!B73,input!$A:$A,August!$B$2)</f>
        <v>0</v>
      </c>
      <c r="L73" s="312">
        <f t="shared" si="12"/>
        <v>1</v>
      </c>
      <c r="M73" s="313" cm="1">
        <f t="array" ref="M73">_xlfn.IFS(L73=0,0,L73&gt;=1,L73/$L$74)</f>
        <v>6.25E-2</v>
      </c>
      <c r="N73" s="1065"/>
      <c r="O73" s="1065"/>
      <c r="P73" s="1066"/>
      <c r="Q73" s="316">
        <f>COUNTIFS(input!$O:$O,August!$Q$26,input!$F:$F,August!N73,input!$A:$A,August!$B$2)</f>
        <v>0</v>
      </c>
      <c r="R73" s="316">
        <f>COUNTIFS(input!$O:$O,August!$R$26,input!$F:$F,August!N73,input!$A:$A,August!$B$2)</f>
        <v>0</v>
      </c>
      <c r="S73" s="316">
        <f>COUNTIFS(input!$O:$O,August!$S$26,input!$F:$F,August!N73,input!$A:$A,August!$B$2)</f>
        <v>0</v>
      </c>
      <c r="T73" s="321">
        <f>COUNTIFS(input!$O:$O,August!$T$26,input!$F:$F,August!N73,input!$A:$A,August!$B$2)</f>
        <v>0</v>
      </c>
      <c r="U73" s="322">
        <f>COUNTIFS(input!$O:$O,August!$U$26,input!$F:$F,August!N73,input!$A:$A,August!$B$2)</f>
        <v>0</v>
      </c>
      <c r="V73" s="322">
        <f>COUNTIFS(input!$O:$O,August!$V$26,input!$F:$F,August!N73,input!$A:$A,August!$B$2)</f>
        <v>0</v>
      </c>
      <c r="W73" s="323">
        <f>COUNTIFS(input!$O:$O,August!$W$26,input!$F:$F,August!N73,input!$A:$A,August!$B$2)</f>
        <v>0</v>
      </c>
      <c r="X73" s="324">
        <f>COUNTIFS(input!$O:$O,August!$X$26,input!$F:$F,August!N73,input!$A:$A,August!$B$2)</f>
        <v>0</v>
      </c>
      <c r="Y73" s="312">
        <f t="shared" si="9"/>
        <v>0</v>
      </c>
      <c r="Z73" s="315" cm="1">
        <f t="array" ref="Z73">_xlfn.IFS(Y73=0,0,Y73&gt;=1,Y73/$Y$74)</f>
        <v>0</v>
      </c>
    </row>
    <row r="74" spans="2:26" ht="90.5" thickBot="1" x14ac:dyDescent="0.3">
      <c r="B74" s="1005" t="s">
        <v>4</v>
      </c>
      <c r="C74" s="984"/>
      <c r="D74" s="340">
        <f t="shared" ref="D74:K74" si="15">SUM(D27:D70)</f>
        <v>0</v>
      </c>
      <c r="E74" s="340">
        <f t="shared" si="15"/>
        <v>0</v>
      </c>
      <c r="F74" s="340">
        <f t="shared" si="15"/>
        <v>0</v>
      </c>
      <c r="G74" s="340">
        <f t="shared" si="15"/>
        <v>11</v>
      </c>
      <c r="H74" s="340">
        <f t="shared" si="15"/>
        <v>0</v>
      </c>
      <c r="I74" s="340">
        <f t="shared" si="15"/>
        <v>2</v>
      </c>
      <c r="J74" s="340">
        <f t="shared" si="15"/>
        <v>1</v>
      </c>
      <c r="K74" s="340">
        <f t="shared" si="15"/>
        <v>0</v>
      </c>
      <c r="L74" s="401">
        <f>SUM(L27:L73)</f>
        <v>16</v>
      </c>
      <c r="M74" s="402">
        <f>SUM(M27:M73)</f>
        <v>1</v>
      </c>
      <c r="N74" s="983" t="s">
        <v>4</v>
      </c>
      <c r="O74" s="983"/>
      <c r="P74" s="984"/>
      <c r="Q74" s="340">
        <f t="shared" ref="Q74:X74" si="16">SUM(Q27:Q70)</f>
        <v>0</v>
      </c>
      <c r="R74" s="340">
        <f t="shared" si="16"/>
        <v>0</v>
      </c>
      <c r="S74" s="340">
        <f t="shared" si="16"/>
        <v>0</v>
      </c>
      <c r="T74" s="340">
        <f t="shared" si="16"/>
        <v>11</v>
      </c>
      <c r="U74" s="340">
        <f t="shared" si="16"/>
        <v>0</v>
      </c>
      <c r="V74" s="340">
        <f t="shared" si="16"/>
        <v>3</v>
      </c>
      <c r="W74" s="340">
        <f t="shared" si="16"/>
        <v>2</v>
      </c>
      <c r="X74" s="340">
        <f t="shared" si="16"/>
        <v>0</v>
      </c>
      <c r="Y74" s="340">
        <f>SUM(Y27:Y73)</f>
        <v>16</v>
      </c>
      <c r="Z74" s="403">
        <f>SUM(Z27:Z70)</f>
        <v>1</v>
      </c>
    </row>
    <row r="75" spans="2:26" ht="270" x14ac:dyDescent="0.25">
      <c r="B75" s="1149" t="s">
        <v>34</v>
      </c>
      <c r="C75" s="1150"/>
      <c r="D75" s="398" t="s">
        <v>6</v>
      </c>
      <c r="E75" s="398" t="s">
        <v>2</v>
      </c>
      <c r="F75" s="398" t="s">
        <v>3</v>
      </c>
      <c r="G75" s="398" t="s">
        <v>1</v>
      </c>
      <c r="H75" s="398" t="s">
        <v>0</v>
      </c>
      <c r="I75" s="398" t="s">
        <v>53</v>
      </c>
      <c r="J75" s="398" t="s">
        <v>12</v>
      </c>
      <c r="K75" s="398" t="s">
        <v>693</v>
      </c>
      <c r="L75" s="398" t="s">
        <v>5</v>
      </c>
      <c r="M75" s="399" t="s">
        <v>40</v>
      </c>
      <c r="N75" s="1151" t="s">
        <v>59</v>
      </c>
      <c r="O75" s="1151"/>
      <c r="P75" s="1152"/>
      <c r="Q75" s="398" t="s">
        <v>6</v>
      </c>
      <c r="R75" s="398" t="s">
        <v>2</v>
      </c>
      <c r="S75" s="398" t="s">
        <v>3</v>
      </c>
      <c r="T75" s="398" t="s">
        <v>1</v>
      </c>
      <c r="U75" s="398" t="s">
        <v>0</v>
      </c>
      <c r="V75" s="398" t="s">
        <v>53</v>
      </c>
      <c r="W75" s="398" t="s">
        <v>12</v>
      </c>
      <c r="X75" s="398" t="s">
        <v>693</v>
      </c>
      <c r="Y75" s="398" t="s">
        <v>5</v>
      </c>
      <c r="Z75" s="400" t="s">
        <v>40</v>
      </c>
    </row>
    <row r="76" spans="2:26" ht="92" hidden="1" x14ac:dyDescent="0.25">
      <c r="B76" s="1111" t="s">
        <v>13</v>
      </c>
      <c r="C76" s="1112"/>
      <c r="D76" s="1037">
        <f>COUNTIFS(input!$O:$O,August!$D$75,input!$K:$K,August!B76,input!$A:$A,August!$B$2)</f>
        <v>0</v>
      </c>
      <c r="E76" s="1037">
        <f>COUNTIFS(input!$O:$O,August!$E$75,input!$K:$K,August!B76,input!$A:$A,August!$B$2)</f>
        <v>0</v>
      </c>
      <c r="F76" s="1037">
        <f>COUNTIFS(input!$O:$O,August!$F$75,input!$K:$K,August!B76,input!$A:$A,August!$B$2)</f>
        <v>0</v>
      </c>
      <c r="G76" s="1043">
        <f>COUNTIFS(input!$O:$O,August!$G$75,input!$K:$K,August!B76,input!$A:$A,August!$B$2)</f>
        <v>1</v>
      </c>
      <c r="H76" s="1043">
        <f>COUNTIFS(input!$O:$O,August!$H$75,input!$K:$K,August!B76,input!$A:$A,August!$B$2)</f>
        <v>0</v>
      </c>
      <c r="I76" s="1055">
        <f>COUNTIFS(input!$O:$O,August!$I$75,input!$K:$K,August!B76,input!$A:$A,August!$B$2)</f>
        <v>1</v>
      </c>
      <c r="J76" s="1043">
        <f>COUNTIFS(input!$O:$O,August!$J$75,input!$K:$K,August!B76,input!$A:$A,August!$B$2)</f>
        <v>1</v>
      </c>
      <c r="K76" s="1043">
        <f>COUNTIFS(input!$O:$O,August!$K$75,input!$K:$K,August!B76,input!$A:$A,August!$B$2)</f>
        <v>0</v>
      </c>
      <c r="L76" s="1022">
        <f>SUM(D76:K85)</f>
        <v>3</v>
      </c>
      <c r="M76" s="1025" cm="1">
        <f t="array" ref="M76">_xlfn.IFS(L76=0,0,L76&gt;=1,L76/L133)</f>
        <v>0.1875</v>
      </c>
      <c r="N76" s="1124" t="s">
        <v>715</v>
      </c>
      <c r="O76" s="1124"/>
      <c r="P76" s="1125"/>
      <c r="Q76" s="310">
        <f>COUNTIFS(input!$O:$O,August!$Q$75,input!$G:$G,August!N76,input!$A:$A,August!$B$2)</f>
        <v>0</v>
      </c>
      <c r="R76" s="310">
        <f>COUNTIFS(input!$O:$O,August!$R$75,input!$G:$G,August!N76,input!$A:$A,August!$B$2)</f>
        <v>0</v>
      </c>
      <c r="S76" s="310">
        <f>COUNTIFS(input!$O:$O,August!$S$75,input!$G:$G,August!N76,input!$A:$A,August!$B$2)</f>
        <v>0</v>
      </c>
      <c r="T76" s="314">
        <f>COUNTIFS(input!$O:$O,August!$T$75,input!$G:$G,August!N76,input!$A:$A,August!$B$2)</f>
        <v>0</v>
      </c>
      <c r="U76" s="314">
        <f>COUNTIFS(input!$O:$O,August!$U$75,input!$G:$G,August!N76,input!$A:$A,August!$B$2)</f>
        <v>0</v>
      </c>
      <c r="V76" s="314">
        <f>COUNTIFS(input!$O:$O,August!$V$75,input!$G:$G,August!N76,input!$A:$A,August!$B$2)</f>
        <v>0</v>
      </c>
      <c r="W76" s="314">
        <f>COUNTIFS(input!$O:$O,August!$W$75,input!$G:$G,August!N76,input!$A:$A,August!$B$2)</f>
        <v>0</v>
      </c>
      <c r="X76" s="314">
        <f>COUNTIFS(input!$O:$O,August!$X$75,input!$G:$G,August!N76,input!$A:$A,August!$B$2)</f>
        <v>0</v>
      </c>
      <c r="Y76" s="312">
        <f>SUM(Q76:X76)</f>
        <v>0</v>
      </c>
      <c r="Z76" s="315" cm="1">
        <f t="array" ref="Z76">_xlfn.IFS(Y76=0,0,Y76&gt;=1,Y76/$Y$133)</f>
        <v>0</v>
      </c>
    </row>
    <row r="77" spans="2:26" ht="92" x14ac:dyDescent="0.25">
      <c r="B77" s="1030"/>
      <c r="C77" s="1047"/>
      <c r="D77" s="1038"/>
      <c r="E77" s="1038"/>
      <c r="F77" s="1038"/>
      <c r="G77" s="1044"/>
      <c r="H77" s="1044"/>
      <c r="I77" s="1056"/>
      <c r="J77" s="1044"/>
      <c r="K77" s="1044"/>
      <c r="L77" s="1023"/>
      <c r="M77" s="1026"/>
      <c r="N77" s="1016" t="s">
        <v>2194</v>
      </c>
      <c r="O77" s="1016"/>
      <c r="P77" s="991"/>
      <c r="Q77" s="316">
        <f>COUNTIFS(input!$O:$O,August!$Q$75,input!$G:$G,August!N77,input!$A:$A,August!$B$2)</f>
        <v>0</v>
      </c>
      <c r="R77" s="316">
        <f>COUNTIFS(input!$O:$O,August!$R$75,input!$G:$G,August!N77,input!$A:$A,August!$B$2)</f>
        <v>0</v>
      </c>
      <c r="S77" s="316">
        <f>COUNTIFS(input!$O:$O,August!$S$75,input!$G:$G,August!N77,input!$A:$A,August!$B$2)</f>
        <v>0</v>
      </c>
      <c r="T77" s="321">
        <f>COUNTIFS(input!$O:$O,August!$T$75,input!$G:$G,August!N77,input!$A:$A,August!$B$2)</f>
        <v>0</v>
      </c>
      <c r="U77" s="322">
        <f>COUNTIFS(input!$O:$O,August!$U$75,input!$G:$G,August!N77,input!$A:$A,August!$B$2)</f>
        <v>0</v>
      </c>
      <c r="V77" s="322">
        <f>COUNTIFS(input!$O:$O,August!$V$75,input!$G:$G,August!N77,input!$A:$A,August!$B$2)</f>
        <v>0</v>
      </c>
      <c r="W77" s="323">
        <f>COUNTIFS(input!$O:$O,August!$W$75,input!$G:$G,August!N77,input!$A:$A,August!$B$2)</f>
        <v>1</v>
      </c>
      <c r="X77" s="324">
        <f>COUNTIFS(input!$O:$O,August!$X$75,input!$G:$G,August!N77,input!$A:$A,August!$B$2)</f>
        <v>0</v>
      </c>
      <c r="Y77" s="312">
        <f>SUM(Q77:X77)</f>
        <v>1</v>
      </c>
      <c r="Z77" s="315" cm="1">
        <f t="array" ref="Z77">_xlfn.IFS(Y77=0,0,Y77&gt;=1,Y77/$Y$133)</f>
        <v>6.25E-2</v>
      </c>
    </row>
    <row r="78" spans="2:26" ht="92" x14ac:dyDescent="0.25">
      <c r="B78" s="1030"/>
      <c r="C78" s="1047"/>
      <c r="D78" s="1038"/>
      <c r="E78" s="1038"/>
      <c r="F78" s="1038"/>
      <c r="G78" s="1044"/>
      <c r="H78" s="1044"/>
      <c r="I78" s="1056"/>
      <c r="J78" s="1044"/>
      <c r="K78" s="1044"/>
      <c r="L78" s="1023"/>
      <c r="M78" s="1026"/>
      <c r="N78" s="1016" t="s">
        <v>2269</v>
      </c>
      <c r="O78" s="1016"/>
      <c r="P78" s="991"/>
      <c r="Q78" s="316">
        <f>COUNTIFS(input!$O:$O,August!$Q$75,input!$G:$G,August!N78,input!$A:$A,August!$B$2)</f>
        <v>0</v>
      </c>
      <c r="R78" s="316">
        <f>COUNTIFS(input!$O:$O,August!$R$75,input!$G:$G,August!N78,input!$A:$A,August!$B$2)</f>
        <v>0</v>
      </c>
      <c r="S78" s="316">
        <f>COUNTIFS(input!$O:$O,August!$S$75,input!$G:$G,August!N78,input!$A:$A,August!$B$2)</f>
        <v>0</v>
      </c>
      <c r="T78" s="321">
        <f>COUNTIFS(input!$O:$O,August!$T$75,input!$G:$G,August!N78,input!$A:$A,August!$B$2)</f>
        <v>2</v>
      </c>
      <c r="U78" s="322">
        <f>COUNTIFS(input!$O:$O,August!$U$75,input!$G:$G,August!N78,input!$A:$A,August!$B$2)</f>
        <v>0</v>
      </c>
      <c r="V78" s="322">
        <f>COUNTIFS(input!$O:$O,August!$V$75,input!$G:$G,August!N78,input!$A:$A,August!$B$2)</f>
        <v>0</v>
      </c>
      <c r="W78" s="323">
        <f>COUNTIFS(input!$O:$O,August!$W$75,input!$G:$G,August!N78,input!$A:$A,August!$B$2)</f>
        <v>0</v>
      </c>
      <c r="X78" s="324">
        <f>COUNTIFS(input!$O:$O,August!$X$75,input!$G:$G,August!N78,input!$A:$A,August!$B$2)</f>
        <v>0</v>
      </c>
      <c r="Y78" s="312">
        <f>SUM(Q78:X78)</f>
        <v>2</v>
      </c>
      <c r="Z78" s="315" cm="1">
        <f t="array" ref="Z78">_xlfn.IFS(Y78=0,0,Y78&gt;=1,Y78/$Y$133)</f>
        <v>0.125</v>
      </c>
    </row>
    <row r="79" spans="2:26" ht="92" hidden="1" x14ac:dyDescent="0.25">
      <c r="B79" s="1030"/>
      <c r="C79" s="1047"/>
      <c r="D79" s="1038"/>
      <c r="E79" s="1038"/>
      <c r="F79" s="1038"/>
      <c r="G79" s="1044"/>
      <c r="H79" s="1044"/>
      <c r="I79" s="1056"/>
      <c r="J79" s="1044"/>
      <c r="K79" s="1044"/>
      <c r="L79" s="1023"/>
      <c r="M79" s="1026"/>
      <c r="N79" s="1065" t="s">
        <v>856</v>
      </c>
      <c r="O79" s="1065"/>
      <c r="P79" s="1066"/>
      <c r="Q79" s="316">
        <f>COUNTIFS(input!$O:$O,August!$Q$75,input!$G:$G,August!N79,input!$A:$A,August!$B$2)</f>
        <v>0</v>
      </c>
      <c r="R79" s="316">
        <f>COUNTIFS(input!$O:$O,August!$R$75,input!$G:$G,August!N79,input!$A:$A,August!$B$2)</f>
        <v>0</v>
      </c>
      <c r="S79" s="316">
        <f>COUNTIFS(input!$O:$O,August!$S$75,input!$G:$G,August!N79,input!$A:$A,August!$B$2)</f>
        <v>0</v>
      </c>
      <c r="T79" s="321">
        <f>COUNTIFS(input!$O:$O,August!$T$75,input!$G:$G,August!N79,input!$A:$A,August!$B$2)</f>
        <v>0</v>
      </c>
      <c r="U79" s="322">
        <f>COUNTIFS(input!$O:$O,August!$U$75,input!$G:$G,August!N79,input!$A:$A,August!$B$2)</f>
        <v>0</v>
      </c>
      <c r="V79" s="322">
        <f>COUNTIFS(input!$O:$O,August!$V$75,input!$G:$G,August!N79,input!$A:$A,August!$B$2)</f>
        <v>0</v>
      </c>
      <c r="W79" s="323">
        <f>COUNTIFS(input!$O:$O,August!$W$75,input!$G:$G,August!N79,input!$A:$A,August!$B$2)</f>
        <v>0</v>
      </c>
      <c r="X79" s="324">
        <f>COUNTIFS(input!$O:$O,August!$X$75,input!$G:$G,August!N79,input!$A:$A,August!$B$2)</f>
        <v>0</v>
      </c>
      <c r="Y79" s="312">
        <f>SUM(Q79:X79)</f>
        <v>0</v>
      </c>
      <c r="Z79" s="315" cm="1">
        <f t="array" ref="Z79">_xlfn.IFS(Y79=0,0,Y79&gt;=1,Y79/$Y$133)</f>
        <v>0</v>
      </c>
    </row>
    <row r="80" spans="2:26" ht="92" hidden="1" x14ac:dyDescent="0.25">
      <c r="B80" s="1030"/>
      <c r="C80" s="1047"/>
      <c r="D80" s="1038"/>
      <c r="E80" s="1038"/>
      <c r="F80" s="1038"/>
      <c r="G80" s="1044"/>
      <c r="H80" s="1044"/>
      <c r="I80" s="1056"/>
      <c r="J80" s="1044"/>
      <c r="K80" s="1044"/>
      <c r="L80" s="1023"/>
      <c r="M80" s="1026"/>
      <c r="N80" s="996" t="s">
        <v>816</v>
      </c>
      <c r="O80" s="996"/>
      <c r="P80" s="997"/>
      <c r="Q80" s="316">
        <f>COUNTIFS(input!$O:$O,August!$Q$75,input!$G:$G,August!N80,input!$A:$A,August!$B$2)</f>
        <v>0</v>
      </c>
      <c r="R80" s="316">
        <f>COUNTIFS(input!$O:$O,August!$R$75,input!$G:$G,August!N80,input!$A:$A,August!$B$2)</f>
        <v>0</v>
      </c>
      <c r="S80" s="316">
        <f>COUNTIFS(input!$O:$O,August!$S$75,input!$G:$G,August!N80,input!$A:$A,August!$B$2)</f>
        <v>0</v>
      </c>
      <c r="T80" s="321">
        <f>COUNTIFS(input!$O:$O,August!$T$75,input!$G:$G,August!N80,input!$A:$A,August!$B$2)</f>
        <v>0</v>
      </c>
      <c r="U80" s="322">
        <f>COUNTIFS(input!$O:$O,August!$U$75,input!$G:$G,August!N80,input!$A:$A,August!$B$2)</f>
        <v>0</v>
      </c>
      <c r="V80" s="322">
        <f>COUNTIFS(input!$O:$O,August!$V$75,input!$G:$G,August!N80,input!$A:$A,August!$B$2)</f>
        <v>0</v>
      </c>
      <c r="W80" s="323">
        <f>COUNTIFS(input!$O:$O,August!$W$75,input!$G:$G,August!N80,input!$A:$A,August!$B$2)</f>
        <v>0</v>
      </c>
      <c r="X80" s="324">
        <f>COUNTIFS(input!$O:$O,August!$X$75,input!$G:$G,August!N80,input!$A:$A,August!$B$2)</f>
        <v>0</v>
      </c>
      <c r="Y80" s="312">
        <f t="shared" ref="Y80:Y85" si="17">SUM(Q80:X80)</f>
        <v>0</v>
      </c>
      <c r="Z80" s="315" cm="1">
        <f t="array" ref="Z80">_xlfn.IFS(Y80=0,0,Y80&gt;=1,Y80/$Y$133)</f>
        <v>0</v>
      </c>
    </row>
    <row r="81" spans="2:26" ht="92" x14ac:dyDescent="0.25">
      <c r="B81" s="1030"/>
      <c r="C81" s="1047"/>
      <c r="D81" s="1038"/>
      <c r="E81" s="1038"/>
      <c r="F81" s="1038"/>
      <c r="G81" s="1044"/>
      <c r="H81" s="1044"/>
      <c r="I81" s="1056"/>
      <c r="J81" s="1044"/>
      <c r="K81" s="1044"/>
      <c r="L81" s="1023"/>
      <c r="M81" s="1026"/>
      <c r="N81" s="1016" t="s">
        <v>449</v>
      </c>
      <c r="O81" s="1016"/>
      <c r="P81" s="991"/>
      <c r="Q81" s="316">
        <f>COUNTIFS(input!$O:$O,August!$Q$75,input!$G:$G,August!N81,input!$A:$A,August!$B$2)</f>
        <v>0</v>
      </c>
      <c r="R81" s="316">
        <f>COUNTIFS(input!$O:$O,August!$R$75,input!$G:$G,August!N81,input!$A:$A,August!$B$2)</f>
        <v>0</v>
      </c>
      <c r="S81" s="316">
        <f>COUNTIFS(input!$O:$O,August!$S$75,input!$G:$G,August!N81,input!$A:$A,August!$B$2)</f>
        <v>0</v>
      </c>
      <c r="T81" s="321">
        <f>COUNTIFS(input!$O:$O,August!$T$75,input!$G:$G,August!N81,input!$A:$A,August!$B$2)</f>
        <v>1</v>
      </c>
      <c r="U81" s="322">
        <f>COUNTIFS(input!$O:$O,August!$U$75,input!$G:$G,August!N81,input!$A:$A,August!$B$2)</f>
        <v>0</v>
      </c>
      <c r="V81" s="322">
        <f>COUNTIFS(input!$O:$O,August!$V$75,input!$G:$G,August!N81,input!$A:$A,August!$B$2)</f>
        <v>0</v>
      </c>
      <c r="W81" s="323">
        <f>COUNTIFS(input!$O:$O,August!$W$75,input!$G:$G,August!N81,input!$A:$A,August!$B$2)</f>
        <v>0</v>
      </c>
      <c r="X81" s="324">
        <f>COUNTIFS(input!$O:$O,August!$X$75,input!$G:$G,August!N81,input!$A:$A,August!$B$2)</f>
        <v>0</v>
      </c>
      <c r="Y81" s="312">
        <f t="shared" si="17"/>
        <v>1</v>
      </c>
      <c r="Z81" s="315" cm="1">
        <f t="array" ref="Z81">_xlfn.IFS(Y81=0,0,Y81&gt;=1,Y81/$Y$133)</f>
        <v>6.25E-2</v>
      </c>
    </row>
    <row r="82" spans="2:26" ht="92" hidden="1" x14ac:dyDescent="0.25">
      <c r="B82" s="1030"/>
      <c r="C82" s="1047"/>
      <c r="D82" s="1038"/>
      <c r="E82" s="1038"/>
      <c r="F82" s="1038"/>
      <c r="G82" s="1044"/>
      <c r="H82" s="1044"/>
      <c r="I82" s="1056"/>
      <c r="J82" s="1044"/>
      <c r="K82" s="1044"/>
      <c r="L82" s="1023"/>
      <c r="M82" s="1026"/>
      <c r="N82" s="1065" t="s">
        <v>915</v>
      </c>
      <c r="O82" s="1065"/>
      <c r="P82" s="1066"/>
      <c r="Q82" s="316">
        <f>COUNTIFS(input!$O:$O,August!$Q$75,input!$G:$G,August!N82,input!$A:$A,August!$B$2)</f>
        <v>0</v>
      </c>
      <c r="R82" s="316">
        <f>COUNTIFS(input!$O:$O,August!$R$75,input!$G:$G,August!N82,input!$A:$A,August!$B$2)</f>
        <v>0</v>
      </c>
      <c r="S82" s="316">
        <f>COUNTIFS(input!$O:$O,August!$S$75,input!$G:$G,August!N82,input!$A:$A,August!$B$2)</f>
        <v>0</v>
      </c>
      <c r="T82" s="321">
        <f>COUNTIFS(input!$O:$O,August!$T$75,input!$G:$G,August!N82,input!$A:$A,August!$B$2)</f>
        <v>0</v>
      </c>
      <c r="U82" s="322">
        <f>COUNTIFS(input!$O:$O,August!$U$75,input!$G:$G,August!N82,input!$A:$A,August!$B$2)</f>
        <v>0</v>
      </c>
      <c r="V82" s="322">
        <f>COUNTIFS(input!$O:$O,August!$V$75,input!$G:$G,August!N82,input!$A:$A,August!$B$2)</f>
        <v>0</v>
      </c>
      <c r="W82" s="323">
        <f>COUNTIFS(input!$O:$O,August!$W$75,input!$G:$G,August!N82,input!$A:$A,August!$B$2)</f>
        <v>0</v>
      </c>
      <c r="X82" s="324">
        <f>COUNTIFS(input!$O:$O,August!$X$75,input!$G:$G,August!N82,input!$A:$A,August!$B$2)</f>
        <v>0</v>
      </c>
      <c r="Y82" s="312">
        <f t="shared" si="17"/>
        <v>0</v>
      </c>
      <c r="Z82" s="315" cm="1">
        <f t="array" ref="Z82">_xlfn.IFS(Y82=0,0,Y82&gt;=1,Y82/$Y$133)</f>
        <v>0</v>
      </c>
    </row>
    <row r="83" spans="2:26" ht="92" hidden="1" x14ac:dyDescent="0.25">
      <c r="B83" s="1030"/>
      <c r="C83" s="1047"/>
      <c r="D83" s="1038"/>
      <c r="E83" s="1038"/>
      <c r="F83" s="1038"/>
      <c r="G83" s="1044"/>
      <c r="H83" s="1044"/>
      <c r="I83" s="1056"/>
      <c r="J83" s="1044"/>
      <c r="K83" s="1044"/>
      <c r="L83" s="1023"/>
      <c r="M83" s="1026"/>
      <c r="N83" s="1065" t="s">
        <v>898</v>
      </c>
      <c r="O83" s="1065"/>
      <c r="P83" s="1066"/>
      <c r="Q83" s="316">
        <f>COUNTIFS(input!$O:$O,August!$Q$75,input!$G:$G,August!N83,input!$A:$A,August!$B$2)</f>
        <v>0</v>
      </c>
      <c r="R83" s="316">
        <f>COUNTIFS(input!$O:$O,August!$R$75,input!$G:$G,August!N83,input!$A:$A,August!$B$2)</f>
        <v>0</v>
      </c>
      <c r="S83" s="316">
        <f>COUNTIFS(input!$O:$O,August!$S$75,input!$G:$G,August!N83,input!$A:$A,August!$B$2)</f>
        <v>0</v>
      </c>
      <c r="T83" s="321">
        <f>COUNTIFS(input!$O:$O,August!$T$75,input!$G:$G,August!N83,input!$A:$A,August!$B$2)</f>
        <v>0</v>
      </c>
      <c r="U83" s="322">
        <f>COUNTIFS(input!$O:$O,August!$U$75,input!$G:$G,August!N83,input!$A:$A,August!$B$2)</f>
        <v>0</v>
      </c>
      <c r="V83" s="322">
        <f>COUNTIFS(input!$O:$O,August!$V$75,input!$G:$G,August!N83,input!$A:$A,August!$B$2)</f>
        <v>0</v>
      </c>
      <c r="W83" s="323">
        <f>COUNTIFS(input!$O:$O,August!$W$75,input!$G:$G,August!N83,input!$A:$A,August!$B$2)</f>
        <v>0</v>
      </c>
      <c r="X83" s="324">
        <f>COUNTIFS(input!$O:$O,August!$X$75,input!$G:$G,August!N83,input!$A:$A,August!$B$2)</f>
        <v>0</v>
      </c>
      <c r="Y83" s="312">
        <f t="shared" si="17"/>
        <v>0</v>
      </c>
      <c r="Z83" s="315" cm="1">
        <f t="array" ref="Z83">_xlfn.IFS(Y83=0,0,Y83&gt;=1,Y83/$Y$133)</f>
        <v>0</v>
      </c>
    </row>
    <row r="84" spans="2:26" ht="92" x14ac:dyDescent="0.25">
      <c r="B84" s="1030"/>
      <c r="C84" s="1047"/>
      <c r="D84" s="1038"/>
      <c r="E84" s="1038"/>
      <c r="F84" s="1038"/>
      <c r="G84" s="1044"/>
      <c r="H84" s="1044"/>
      <c r="I84" s="1056"/>
      <c r="J84" s="1044"/>
      <c r="K84" s="1044"/>
      <c r="L84" s="1023"/>
      <c r="M84" s="1026"/>
      <c r="N84" s="1016" t="s">
        <v>90</v>
      </c>
      <c r="O84" s="1016"/>
      <c r="P84" s="991"/>
      <c r="Q84" s="316">
        <f>COUNTIFS(input!$O:$O,August!$Q$75,input!$G:$G,August!N84,input!$A:$A,August!$B$2)</f>
        <v>0</v>
      </c>
      <c r="R84" s="316">
        <f>COUNTIFS(input!$O:$O,August!$R$75,input!$G:$G,August!N84,input!$A:$A,August!$B$2)</f>
        <v>0</v>
      </c>
      <c r="S84" s="316">
        <f>COUNTIFS(input!$O:$O,August!$S$75,input!$G:$G,August!N84,input!$A:$A,August!$B$2)</f>
        <v>0</v>
      </c>
      <c r="T84" s="321">
        <f>COUNTIFS(input!$O:$O,August!$T$75,input!$G:$G,August!N84,input!$A:$A,August!$B$2)</f>
        <v>0</v>
      </c>
      <c r="U84" s="322">
        <f>COUNTIFS(input!$O:$O,August!$U$75,input!$G:$G,August!N84,input!$A:$A,August!$B$2)</f>
        <v>0</v>
      </c>
      <c r="V84" s="322">
        <f>COUNTIFS(input!$O:$O,August!$V$75,input!$G:$G,August!N84,input!$A:$A,August!$B$2)</f>
        <v>0</v>
      </c>
      <c r="W84" s="323">
        <f>COUNTIFS(input!$O:$O,August!$W$75,input!$G:$G,August!N84,input!$A:$A,August!$B$2)</f>
        <v>1</v>
      </c>
      <c r="X84" s="324">
        <f>COUNTIFS(input!$O:$O,August!$X$75,input!$G:$G,August!N84,input!$A:$A,August!$B$2)</f>
        <v>0</v>
      </c>
      <c r="Y84" s="312">
        <f t="shared" ref="Y84" si="18">SUM(Q84:X84)</f>
        <v>1</v>
      </c>
      <c r="Z84" s="315" cm="1">
        <f t="array" ref="Z84">_xlfn.IFS(Y84=0,0,Y84&gt;=1,Y84/$Y$133)</f>
        <v>6.25E-2</v>
      </c>
    </row>
    <row r="85" spans="2:26" ht="92" hidden="1" x14ac:dyDescent="0.25">
      <c r="B85" s="1030"/>
      <c r="C85" s="1047"/>
      <c r="D85" s="1038"/>
      <c r="E85" s="1038"/>
      <c r="F85" s="1038"/>
      <c r="G85" s="1044"/>
      <c r="H85" s="1044"/>
      <c r="I85" s="1056"/>
      <c r="J85" s="1044"/>
      <c r="K85" s="1044"/>
      <c r="L85" s="1023"/>
      <c r="M85" s="1026"/>
      <c r="N85" s="1065" t="s">
        <v>1782</v>
      </c>
      <c r="O85" s="1065"/>
      <c r="P85" s="1066"/>
      <c r="Q85" s="316">
        <f>COUNTIFS(input!$O:$O,August!$Q$75,input!$G:$G,August!N85,input!$A:$A,August!$B$2)</f>
        <v>0</v>
      </c>
      <c r="R85" s="316">
        <f>COUNTIFS(input!$O:$O,August!$R$75,input!$G:$G,August!N85,input!$A:$A,August!$B$2)</f>
        <v>0</v>
      </c>
      <c r="S85" s="316">
        <f>COUNTIFS(input!$O:$O,August!$S$75,input!$G:$G,August!N85,input!$A:$A,August!$B$2)</f>
        <v>0</v>
      </c>
      <c r="T85" s="321">
        <f>COUNTIFS(input!$O:$O,August!$T$75,input!$G:$G,August!N85,input!$A:$A,August!$B$2)</f>
        <v>0</v>
      </c>
      <c r="U85" s="322">
        <f>COUNTIFS(input!$O:$O,August!$U$75,input!$G:$G,August!N85,input!$A:$A,August!$B$2)</f>
        <v>0</v>
      </c>
      <c r="V85" s="322">
        <f>COUNTIFS(input!$O:$O,August!$V$75,input!$G:$G,August!N85,input!$A:$A,August!$B$2)</f>
        <v>0</v>
      </c>
      <c r="W85" s="323">
        <f>COUNTIFS(input!$O:$O,August!$W$75,input!$G:$G,August!N85,input!$A:$A,August!$B$2)</f>
        <v>0</v>
      </c>
      <c r="X85" s="324">
        <f>COUNTIFS(input!$O:$O,August!$X$75,input!$G:$G,August!N85,input!$A:$A,August!$B$2)</f>
        <v>0</v>
      </c>
      <c r="Y85" s="312">
        <f t="shared" si="17"/>
        <v>0</v>
      </c>
      <c r="Z85" s="315" cm="1">
        <f t="array" ref="Z85">_xlfn.IFS(Y85=0,0,Y85&gt;=1,Y85/$Y$133)</f>
        <v>0</v>
      </c>
    </row>
    <row r="86" spans="2:26" ht="92" hidden="1" x14ac:dyDescent="0.25">
      <c r="B86" s="1030"/>
      <c r="C86" s="1047"/>
      <c r="D86" s="1038"/>
      <c r="E86" s="1038"/>
      <c r="F86" s="1038"/>
      <c r="G86" s="1044"/>
      <c r="H86" s="1044"/>
      <c r="I86" s="1056"/>
      <c r="J86" s="1044"/>
      <c r="K86" s="1044"/>
      <c r="L86" s="1023"/>
      <c r="M86" s="1026"/>
      <c r="N86" s="1065" t="s">
        <v>2117</v>
      </c>
      <c r="O86" s="1065"/>
      <c r="P86" s="1066"/>
      <c r="Q86" s="316">
        <f>COUNTIFS(input!$O:$O,August!$Q$75,input!$G:$G,August!N86,input!$A:$A,August!$B$2)</f>
        <v>0</v>
      </c>
      <c r="R86" s="316">
        <f>COUNTIFS(input!$O:$O,August!$R$75,input!$G:$G,August!N86,input!$A:$A,August!$B$2)</f>
        <v>0</v>
      </c>
      <c r="S86" s="316">
        <f>COUNTIFS(input!$O:$O,August!$S$75,input!$G:$G,August!N86,input!$A:$A,August!$B$2)</f>
        <v>0</v>
      </c>
      <c r="T86" s="321">
        <f>COUNTIFS(input!$O:$O,August!$T$75,input!$G:$G,August!N86,input!$A:$A,August!$B$2)</f>
        <v>0</v>
      </c>
      <c r="U86" s="322">
        <f>COUNTIFS(input!$O:$O,August!$U$75,input!$G:$G,August!N86,input!$A:$A,August!$B$2)</f>
        <v>0</v>
      </c>
      <c r="V86" s="322">
        <f>COUNTIFS(input!$O:$O,August!$V$75,input!$G:$G,August!N86,input!$A:$A,August!$B$2)</f>
        <v>0</v>
      </c>
      <c r="W86" s="323">
        <f>COUNTIFS(input!$O:$O,August!$W$75,input!$G:$G,August!N86,input!$A:$A,August!$B$2)</f>
        <v>0</v>
      </c>
      <c r="X86" s="324">
        <f>COUNTIFS(input!$O:$O,August!$X$75,input!$G:$G,August!N86,input!$A:$A,August!$B$2)</f>
        <v>0</v>
      </c>
      <c r="Y86" s="312">
        <f>SUM(Q86:X86)</f>
        <v>0</v>
      </c>
      <c r="Z86" s="315" cm="1">
        <f t="array" ref="Z86">_xlfn.IFS(Y86=0,0,Y86&gt;=1,Y86/$Y$133)</f>
        <v>0</v>
      </c>
    </row>
    <row r="87" spans="2:26" ht="92" hidden="1" x14ac:dyDescent="0.25">
      <c r="B87" s="1030"/>
      <c r="C87" s="1047"/>
      <c r="D87" s="1038"/>
      <c r="E87" s="1038"/>
      <c r="F87" s="1038"/>
      <c r="G87" s="1044"/>
      <c r="H87" s="1044"/>
      <c r="I87" s="1056"/>
      <c r="J87" s="1044"/>
      <c r="K87" s="1044"/>
      <c r="L87" s="1023"/>
      <c r="M87" s="1026"/>
      <c r="N87" s="1065" t="s">
        <v>2116</v>
      </c>
      <c r="O87" s="1065"/>
      <c r="P87" s="1066"/>
      <c r="Q87" s="316">
        <f>COUNTIFS(input!$O:$O,August!$Q$75,input!$G:$G,August!N87,input!$A:$A,August!$B$2)</f>
        <v>0</v>
      </c>
      <c r="R87" s="316">
        <f>COUNTIFS(input!$O:$O,August!$R$75,input!$G:$G,August!N87,input!$A:$A,August!$B$2)</f>
        <v>0</v>
      </c>
      <c r="S87" s="316">
        <f>COUNTIFS(input!$O:$O,August!$S$75,input!$G:$G,August!N87,input!$A:$A,August!$B$2)</f>
        <v>0</v>
      </c>
      <c r="T87" s="321">
        <f>COUNTIFS(input!$O:$O,August!$T$75,input!$G:$G,August!N87,input!$A:$A,August!$B$2)</f>
        <v>0</v>
      </c>
      <c r="U87" s="322">
        <f>COUNTIFS(input!$O:$O,August!$U$75,input!$G:$G,August!N87,input!$A:$A,August!$B$2)</f>
        <v>0</v>
      </c>
      <c r="V87" s="322">
        <f>COUNTIFS(input!$O:$O,August!$V$75,input!$G:$G,August!N87,input!$A:$A,August!$B$2)</f>
        <v>0</v>
      </c>
      <c r="W87" s="323">
        <f>COUNTIFS(input!$O:$O,August!$W$75,input!$G:$G,August!N87,input!$A:$A,August!$B$2)</f>
        <v>0</v>
      </c>
      <c r="X87" s="324">
        <f>COUNTIFS(input!$O:$O,August!$X$75,input!$G:$G,August!N87,input!$A:$A,August!$B$2)</f>
        <v>0</v>
      </c>
      <c r="Y87" s="312">
        <f>SUM(Q87:X87)</f>
        <v>0</v>
      </c>
      <c r="Z87" s="315" cm="1">
        <f t="array" ref="Z87">_xlfn.IFS(Y87=0,0,Y87&gt;=1,Y87/$Y$133)</f>
        <v>0</v>
      </c>
    </row>
    <row r="88" spans="2:26" ht="92" customHeight="1" x14ac:dyDescent="0.25">
      <c r="B88" s="1030"/>
      <c r="C88" s="1047"/>
      <c r="D88" s="1038"/>
      <c r="E88" s="1038"/>
      <c r="F88" s="1038"/>
      <c r="G88" s="1044"/>
      <c r="H88" s="1044"/>
      <c r="I88" s="1056"/>
      <c r="J88" s="1044"/>
      <c r="K88" s="1044"/>
      <c r="L88" s="1023"/>
      <c r="M88" s="1026"/>
      <c r="N88" s="1016" t="s">
        <v>659</v>
      </c>
      <c r="O88" s="1016"/>
      <c r="P88" s="991"/>
      <c r="Q88" s="316">
        <f>COUNTIFS(input!$O:$O,August!$Q$75,input!$G:$G,August!N88,input!$A:$A,August!$B$2)</f>
        <v>0</v>
      </c>
      <c r="R88" s="316">
        <f>COUNTIFS(input!$O:$O,August!$R$75,input!$G:$G,August!N88,input!$A:$A,August!$B$2)</f>
        <v>0</v>
      </c>
      <c r="S88" s="316">
        <f>COUNTIFS(input!$O:$O,August!$S$75,input!$G:$G,August!N88,input!$A:$A,August!$B$2)</f>
        <v>0</v>
      </c>
      <c r="T88" s="321">
        <f>COUNTIFS(input!$O:$O,August!$T$75,input!$G:$G,August!N88,input!$A:$A,August!$B$2)</f>
        <v>1</v>
      </c>
      <c r="U88" s="322">
        <f>COUNTIFS(input!$O:$O,August!$U$75,input!$G:$G,August!N88,input!$A:$A,August!$B$2)</f>
        <v>0</v>
      </c>
      <c r="V88" s="322">
        <f>COUNTIFS(input!$O:$O,August!$V$75,input!$G:$G,August!N88,input!$A:$A,August!$B$2)</f>
        <v>0</v>
      </c>
      <c r="W88" s="323">
        <f>COUNTIFS(input!$O:$O,August!$W$75,input!$G:$G,August!N88,input!$A:$A,August!$B$2)</f>
        <v>0</v>
      </c>
      <c r="X88" s="324">
        <f>COUNTIFS(input!$O:$O,August!$X$75,input!$G:$G,August!N88,input!$A:$A,August!$B$2)</f>
        <v>0</v>
      </c>
      <c r="Y88" s="312">
        <f t="shared" ref="Y88:Y94" si="19">SUM(Q88:X88)</f>
        <v>1</v>
      </c>
      <c r="Z88" s="315" cm="1">
        <f t="array" ref="Z88">_xlfn.IFS(Y88=0,0,Y88&gt;=1,Y88/$Y$133)</f>
        <v>6.25E-2</v>
      </c>
    </row>
    <row r="89" spans="2:26" ht="92" hidden="1" customHeight="1" x14ac:dyDescent="0.25">
      <c r="B89" s="1030"/>
      <c r="C89" s="1047"/>
      <c r="D89" s="1038"/>
      <c r="E89" s="1038"/>
      <c r="F89" s="1038"/>
      <c r="G89" s="1044"/>
      <c r="H89" s="1044"/>
      <c r="I89" s="1056"/>
      <c r="J89" s="1044"/>
      <c r="K89" s="1044"/>
      <c r="L89" s="1023"/>
      <c r="M89" s="1026"/>
      <c r="N89" s="1121" t="s">
        <v>52</v>
      </c>
      <c r="O89" s="1065"/>
      <c r="P89" s="1066"/>
      <c r="Q89" s="316">
        <f>COUNTIFS(input!$O:$O,August!$Q$75,input!$G:$G,August!N89,input!$A:$A,August!$B$2)</f>
        <v>0</v>
      </c>
      <c r="R89" s="316">
        <f>COUNTIFS(input!$O:$O,August!$R$75,input!$G:$G,August!N89,input!$A:$A,August!$B$2)</f>
        <v>0</v>
      </c>
      <c r="S89" s="316">
        <f>COUNTIFS(input!$O:$O,August!$S$75,input!$G:$G,August!N89,input!$A:$A,August!$B$2)</f>
        <v>0</v>
      </c>
      <c r="T89" s="321">
        <f>COUNTIFS(input!$O:$O,August!$T$75,input!$G:$G,August!N89,input!$A:$A,August!$B$2)</f>
        <v>0</v>
      </c>
      <c r="U89" s="322">
        <f>COUNTIFS(input!$O:$O,August!$U$75,input!$G:$G,August!N89,input!$A:$A,August!$B$2)</f>
        <v>0</v>
      </c>
      <c r="V89" s="322">
        <f>COUNTIFS(input!$O:$O,August!$V$75,input!$G:$G,August!N89,input!$A:$A,August!$B$2)</f>
        <v>0</v>
      </c>
      <c r="W89" s="323">
        <f>COUNTIFS(input!$O:$O,August!$W$75,input!$G:$G,August!N89,input!$A:$A,August!$B$2)</f>
        <v>0</v>
      </c>
      <c r="X89" s="324">
        <f>COUNTIFS(input!$O:$O,August!$X$75,input!$G:$G,August!N89,input!$A:$A,August!$B$2)</f>
        <v>0</v>
      </c>
      <c r="Y89" s="312">
        <f t="shared" si="19"/>
        <v>0</v>
      </c>
      <c r="Z89" s="315" cm="1">
        <f t="array" ref="Z89">_xlfn.IFS(Y89=0,0,Y89&gt;=1,Y89/$Y$133)</f>
        <v>0</v>
      </c>
    </row>
    <row r="90" spans="2:26" ht="92" hidden="1" customHeight="1" x14ac:dyDescent="0.25">
      <c r="B90" s="1030"/>
      <c r="C90" s="1047"/>
      <c r="D90" s="1038"/>
      <c r="E90" s="1038"/>
      <c r="F90" s="1038"/>
      <c r="G90" s="1044"/>
      <c r="H90" s="1044"/>
      <c r="I90" s="1056"/>
      <c r="J90" s="1044"/>
      <c r="K90" s="1044"/>
      <c r="L90" s="1023"/>
      <c r="M90" s="1026"/>
      <c r="N90" s="1065" t="s">
        <v>103</v>
      </c>
      <c r="O90" s="1065"/>
      <c r="P90" s="1066"/>
      <c r="Q90" s="316">
        <f>COUNTIFS(input!$O:$O,August!$Q$75,input!$G:$G,August!N90,input!$A:$A,August!$B$2)</f>
        <v>0</v>
      </c>
      <c r="R90" s="316">
        <f>COUNTIFS(input!$O:$O,August!$R$75,input!$G:$G,August!N90,input!$A:$A,August!$B$2)</f>
        <v>0</v>
      </c>
      <c r="S90" s="316">
        <f>COUNTIFS(input!$O:$O,August!$S$75,input!$G:$G,August!N90,input!$A:$A,August!$B$2)</f>
        <v>0</v>
      </c>
      <c r="T90" s="321">
        <f>COUNTIFS(input!$O:$O,August!$T$75,input!$G:$G,August!N90,input!$A:$A,August!$B$2)</f>
        <v>0</v>
      </c>
      <c r="U90" s="322">
        <f>COUNTIFS(input!$O:$O,August!$U$75,input!$G:$G,August!N90,input!$A:$A,August!$B$2)</f>
        <v>0</v>
      </c>
      <c r="V90" s="322">
        <f>COUNTIFS(input!$O:$O,August!$V$75,input!$G:$G,August!N90,input!$A:$A,August!$B$2)</f>
        <v>0</v>
      </c>
      <c r="W90" s="323">
        <f>COUNTIFS(input!$O:$O,August!$W$75,input!$G:$G,August!N90,input!$A:$A,August!$B$2)</f>
        <v>0</v>
      </c>
      <c r="X90" s="324">
        <f>COUNTIFS(input!$O:$O,August!$X$75,input!$G:$G,August!N90,input!$A:$A,August!$B$2)</f>
        <v>0</v>
      </c>
      <c r="Y90" s="312">
        <f t="shared" si="19"/>
        <v>0</v>
      </c>
      <c r="Z90" s="315" cm="1">
        <f t="array" ref="Z90">_xlfn.IFS(Y90=0,0,Y90&gt;=1,Y90/$Y$133)</f>
        <v>0</v>
      </c>
    </row>
    <row r="91" spans="2:26" ht="92" hidden="1" customHeight="1" x14ac:dyDescent="0.25">
      <c r="B91" s="1109"/>
      <c r="C91" s="1113"/>
      <c r="D91" s="1114"/>
      <c r="E91" s="1114"/>
      <c r="F91" s="1114"/>
      <c r="G91" s="1054"/>
      <c r="H91" s="1054"/>
      <c r="I91" s="1057"/>
      <c r="J91" s="1054"/>
      <c r="K91" s="1054"/>
      <c r="L91" s="1024"/>
      <c r="M91" s="1027"/>
      <c r="N91" s="1065" t="s">
        <v>483</v>
      </c>
      <c r="O91" s="1065"/>
      <c r="P91" s="1066"/>
      <c r="Q91" s="316">
        <f>COUNTIFS(input!$O:$O,August!$Q$75,input!$G:$G,August!N91,input!$A:$A,August!$B$2)</f>
        <v>0</v>
      </c>
      <c r="R91" s="316">
        <f>COUNTIFS(input!$O:$O,August!$R$75,input!$G:$G,August!N91,input!$A:$A,August!$B$2)</f>
        <v>0</v>
      </c>
      <c r="S91" s="316">
        <f>COUNTIFS(input!$O:$O,August!$S$75,input!$G:$G,August!N91,input!$A:$A,August!$B$2)</f>
        <v>0</v>
      </c>
      <c r="T91" s="321">
        <f>COUNTIFS(input!$O:$O,August!$T$75,input!$G:$G,August!N91,input!$A:$A,August!$B$2)</f>
        <v>0</v>
      </c>
      <c r="U91" s="322">
        <f>COUNTIFS(input!$O:$O,August!$U$75,input!$G:$G,August!N91,input!$A:$A,August!$B$2)</f>
        <v>0</v>
      </c>
      <c r="V91" s="322">
        <f>COUNTIFS(input!$O:$O,August!$V$75,input!$G:$G,August!N91,input!$A:$A,August!$B$2)</f>
        <v>0</v>
      </c>
      <c r="W91" s="323">
        <f>COUNTIFS(input!$O:$O,August!$W$75,input!$G:$G,August!N91,input!$A:$A,August!$B$2)</f>
        <v>0</v>
      </c>
      <c r="X91" s="324">
        <f>COUNTIFS(input!$O:$O,August!$X$75,input!$G:$G,August!N91,input!$A:$A,August!$B$2)</f>
        <v>0</v>
      </c>
      <c r="Y91" s="312">
        <f t="shared" si="19"/>
        <v>0</v>
      </c>
      <c r="Z91" s="315" cm="1">
        <f t="array" ref="Z91">_xlfn.IFS(Y91=0,0,Y91&gt;=1,Y91/$Y$133)</f>
        <v>0</v>
      </c>
    </row>
    <row r="92" spans="2:26" ht="92" hidden="1" customHeight="1" x14ac:dyDescent="0.25">
      <c r="B92" s="1028" t="s">
        <v>14</v>
      </c>
      <c r="C92" s="1029"/>
      <c r="D92" s="1037">
        <f>COUNTIFS(input!$O:$O,August!$D$75,input!$K:$K,August!B92,input!$A:$A,August!$B$2)</f>
        <v>0</v>
      </c>
      <c r="E92" s="1037">
        <f>COUNTIFS(input!$O:$O,August!$E$75,input!$K:$K,August!B92,input!$A:$A,August!$B$2)</f>
        <v>0</v>
      </c>
      <c r="F92" s="1037">
        <f>COUNTIFS(input!$O:$O,August!$F$75,input!$K:$K,August!B92,input!$A:$A,August!$B$2)</f>
        <v>0</v>
      </c>
      <c r="G92" s="1043">
        <f>COUNTIFS(input!$O:$O,August!$G$75,input!$K:$K,August!B92,input!$A:$A,August!$B$2)</f>
        <v>7</v>
      </c>
      <c r="H92" s="1043">
        <f>COUNTIFS(input!$O:$O,August!$H$75,input!$K:$K,August!B92,input!$A:$A,August!$B$2)</f>
        <v>0</v>
      </c>
      <c r="I92" s="1055">
        <f>COUNTIFS(input!$O:$O,August!$I$75,input!$K:$K,August!B92,input!$A:$A,August!$B$2)</f>
        <v>2</v>
      </c>
      <c r="J92" s="1043">
        <f>COUNTIFS(input!$O:$O,August!$J$75,input!$K:$K,August!B92,input!$A:$A,August!$B$2)</f>
        <v>1</v>
      </c>
      <c r="K92" s="1043">
        <f>COUNTIFS(input!$O:$O,August!$K$75,input!$K:$K,August!B92,input!$A:$A,August!$B$2)</f>
        <v>0</v>
      </c>
      <c r="L92" s="1022">
        <f>SUM(D92:K109)</f>
        <v>10</v>
      </c>
      <c r="M92" s="1025">
        <f>_xlfn.IFS(L92=0,0,L92&gt;=1,L92/L133)</f>
        <v>0.625</v>
      </c>
      <c r="N92" s="1065" t="s">
        <v>1421</v>
      </c>
      <c r="O92" s="1065"/>
      <c r="P92" s="1066"/>
      <c r="Q92" s="316">
        <f>COUNTIFS(input!$O:$O,August!$Q$75,input!$G:$G,August!N92,input!$A:$A,August!$B$2)</f>
        <v>0</v>
      </c>
      <c r="R92" s="316">
        <f>COUNTIFS(input!$O:$O,August!$R$75,input!$G:$G,August!N92,input!$A:$A,August!$B$2)</f>
        <v>0</v>
      </c>
      <c r="S92" s="316">
        <f>COUNTIFS(input!$O:$O,August!$S$75,input!$G:$G,August!N92,input!$A:$A,August!$B$2)</f>
        <v>0</v>
      </c>
      <c r="T92" s="321">
        <f>COUNTIFS(input!$O:$O,August!$T$75,input!$G:$G,August!N92,input!$A:$A,August!$B$2)</f>
        <v>0</v>
      </c>
      <c r="U92" s="322">
        <f>COUNTIFS(input!$O:$O,August!$U$75,input!$G:$G,August!N92,input!$A:$A,August!$B$2)</f>
        <v>0</v>
      </c>
      <c r="V92" s="322">
        <f>COUNTIFS(input!$O:$O,August!$V$75,input!$G:$G,August!N92,input!$A:$A,August!$B$2)</f>
        <v>0</v>
      </c>
      <c r="W92" s="323">
        <f>COUNTIFS(input!$O:$O,August!$W$75,input!$G:$G,August!N92,input!$A:$A,August!$B$2)</f>
        <v>0</v>
      </c>
      <c r="X92" s="324">
        <f>COUNTIFS(input!$O:$O,August!$X$75,input!$G:$G,August!N92,input!$A:$A,August!$B$2)</f>
        <v>0</v>
      </c>
      <c r="Y92" s="312">
        <f t="shared" si="19"/>
        <v>0</v>
      </c>
      <c r="Z92" s="315" cm="1">
        <f t="array" ref="Z92">_xlfn.IFS(Y92=0,0,Y92&gt;=1,Y92/$Y$133)</f>
        <v>0</v>
      </c>
    </row>
    <row r="93" spans="2:26" ht="92" hidden="1" customHeight="1" x14ac:dyDescent="0.25">
      <c r="B93" s="1030"/>
      <c r="C93" s="1031"/>
      <c r="D93" s="1038"/>
      <c r="E93" s="1038"/>
      <c r="F93" s="1038"/>
      <c r="G93" s="1044"/>
      <c r="H93" s="1044"/>
      <c r="I93" s="1056"/>
      <c r="J93" s="1044"/>
      <c r="K93" s="1044"/>
      <c r="L93" s="1023"/>
      <c r="M93" s="1026"/>
      <c r="N93" s="1065" t="s">
        <v>678</v>
      </c>
      <c r="O93" s="1065"/>
      <c r="P93" s="1066"/>
      <c r="Q93" s="316">
        <f>COUNTIFS(input!$O:$O,August!$Q$75,input!$G:$G,August!N93,input!$A:$A,August!$B$2)</f>
        <v>0</v>
      </c>
      <c r="R93" s="316">
        <f>COUNTIFS(input!$O:$O,August!$R$75,input!$G:$G,August!N93,input!$A:$A,August!$B$2)</f>
        <v>0</v>
      </c>
      <c r="S93" s="316">
        <f>COUNTIFS(input!$O:$O,August!$S$75,input!$G:$G,August!N93,input!$A:$A,August!$B$2)</f>
        <v>0</v>
      </c>
      <c r="T93" s="321">
        <f>COUNTIFS(input!$O:$O,August!$T$75,input!$G:$G,August!N93,input!$A:$A,August!$B$2)</f>
        <v>0</v>
      </c>
      <c r="U93" s="322">
        <f>COUNTIFS(input!$O:$O,August!$U$75,input!$G:$G,August!N93,input!$A:$A,August!$B$2)</f>
        <v>0</v>
      </c>
      <c r="V93" s="322">
        <f>COUNTIFS(input!$O:$O,August!$V$75,input!$G:$G,August!N93,input!$A:$A,August!$B$2)</f>
        <v>0</v>
      </c>
      <c r="W93" s="323">
        <f>COUNTIFS(input!$O:$O,August!$W$75,input!$G:$G,August!N93,input!$A:$A,August!$B$2)</f>
        <v>0</v>
      </c>
      <c r="X93" s="324">
        <f>COUNTIFS(input!$O:$O,August!$X$75,input!$G:$G,August!N93,input!$A:$A,August!$B$2)</f>
        <v>0</v>
      </c>
      <c r="Y93" s="312">
        <f t="shared" si="19"/>
        <v>0</v>
      </c>
      <c r="Z93" s="315" cm="1">
        <f t="array" ref="Z93">_xlfn.IFS(Y93=0,0,Y93&gt;=1,Y93/$Y$133)</f>
        <v>0</v>
      </c>
    </row>
    <row r="94" spans="2:26" ht="92" hidden="1" customHeight="1" x14ac:dyDescent="0.25">
      <c r="B94" s="1030"/>
      <c r="C94" s="1031"/>
      <c r="D94" s="1038"/>
      <c r="E94" s="1038"/>
      <c r="F94" s="1038"/>
      <c r="G94" s="1044"/>
      <c r="H94" s="1044"/>
      <c r="I94" s="1056"/>
      <c r="J94" s="1044"/>
      <c r="K94" s="1044"/>
      <c r="L94" s="1023"/>
      <c r="M94" s="1026"/>
      <c r="N94" s="1065" t="s">
        <v>694</v>
      </c>
      <c r="O94" s="1065"/>
      <c r="P94" s="1066"/>
      <c r="Q94" s="316">
        <f>COUNTIFS(input!$O:$O,August!$Q$75,input!$G:$G,August!N94,input!$A:$A,August!$B$2)</f>
        <v>0</v>
      </c>
      <c r="R94" s="316">
        <f>COUNTIFS(input!$O:$O,August!$R$75,input!$G:$G,August!N94,input!$A:$A,August!$B$2)</f>
        <v>0</v>
      </c>
      <c r="S94" s="316">
        <f>COUNTIFS(input!$O:$O,August!$S$75,input!$G:$G,August!N94,input!$A:$A,August!$B$2)</f>
        <v>0</v>
      </c>
      <c r="T94" s="321">
        <f>COUNTIFS(input!$O:$O,August!$T$75,input!$G:$G,August!N94,input!$A:$A,August!$B$2)</f>
        <v>0</v>
      </c>
      <c r="U94" s="322">
        <f>COUNTIFS(input!$O:$O,August!$U$75,input!$G:$G,August!N94,input!$A:$A,August!$B$2)</f>
        <v>0</v>
      </c>
      <c r="V94" s="322">
        <f>COUNTIFS(input!$O:$O,August!$V$75,input!$G:$G,August!N94,input!$A:$A,August!$B$2)</f>
        <v>0</v>
      </c>
      <c r="W94" s="323">
        <f>COUNTIFS(input!$O:$O,August!$W$75,input!$G:$G,August!N94,input!$A:$A,August!$B$2)</f>
        <v>0</v>
      </c>
      <c r="X94" s="324">
        <f>COUNTIFS(input!$O:$O,August!$X$75,input!$G:$G,August!N94,input!$A:$A,August!$B$2)</f>
        <v>0</v>
      </c>
      <c r="Y94" s="312">
        <f t="shared" si="19"/>
        <v>0</v>
      </c>
      <c r="Z94" s="315" cm="1">
        <f t="array" ref="Z94">_xlfn.IFS(Y94=0,0,Y94&gt;=1,Y94/$Y$133)</f>
        <v>0</v>
      </c>
    </row>
    <row r="95" spans="2:26" ht="92" hidden="1" customHeight="1" x14ac:dyDescent="0.25">
      <c r="B95" s="1030"/>
      <c r="C95" s="1031"/>
      <c r="D95" s="1038"/>
      <c r="E95" s="1038"/>
      <c r="F95" s="1038"/>
      <c r="G95" s="1044"/>
      <c r="H95" s="1044"/>
      <c r="I95" s="1056"/>
      <c r="J95" s="1044"/>
      <c r="K95" s="1044"/>
      <c r="L95" s="1023"/>
      <c r="M95" s="1026"/>
      <c r="N95" s="1065" t="s">
        <v>2115</v>
      </c>
      <c r="O95" s="1065"/>
      <c r="P95" s="1066"/>
      <c r="Q95" s="316">
        <f>COUNTIFS(input!$O:$O,August!$Q$75,input!$G:$G,August!N95,input!$A:$A,August!$B$2)</f>
        <v>0</v>
      </c>
      <c r="R95" s="316">
        <f>COUNTIFS(input!$O:$O,August!$R$75,input!$G:$G,August!N95,input!$A:$A,August!$B$2)</f>
        <v>0</v>
      </c>
      <c r="S95" s="316">
        <f>COUNTIFS(input!$O:$O,August!$S$75,input!$G:$G,August!N95,input!$A:$A,August!$B$2)</f>
        <v>0</v>
      </c>
      <c r="T95" s="321">
        <f>COUNTIFS(input!$O:$O,August!$T$75,input!$G:$G,August!N95,input!$A:$A,August!$B$2)</f>
        <v>0</v>
      </c>
      <c r="U95" s="322">
        <f>COUNTIFS(input!$O:$O,August!$U$75,input!$G:$G,August!N95,input!$A:$A,August!$B$2)</f>
        <v>0</v>
      </c>
      <c r="V95" s="322">
        <f>COUNTIFS(input!$O:$O,August!$V$75,input!$G:$G,August!N95,input!$A:$A,August!$B$2)</f>
        <v>0</v>
      </c>
      <c r="W95" s="323">
        <f>COUNTIFS(input!$O:$O,August!$W$75,input!$G:$G,August!N95,input!$A:$A,August!$B$2)</f>
        <v>0</v>
      </c>
      <c r="X95" s="324">
        <f>COUNTIFS(input!$O:$O,August!$X$75,input!$G:$G,August!N95,input!$A:$A,August!$B$2)</f>
        <v>0</v>
      </c>
      <c r="Y95" s="312">
        <f>SUM(Q95:X95)</f>
        <v>0</v>
      </c>
      <c r="Z95" s="315" cm="1">
        <f t="array" ref="Z95">_xlfn.IFS(Y95=0,0,Y95&gt;=1,Y95/$Y$133)</f>
        <v>0</v>
      </c>
    </row>
    <row r="96" spans="2:26" ht="92" hidden="1" customHeight="1" x14ac:dyDescent="0.25">
      <c r="B96" s="1030"/>
      <c r="C96" s="1031"/>
      <c r="D96" s="1038"/>
      <c r="E96" s="1038"/>
      <c r="F96" s="1038"/>
      <c r="G96" s="1044"/>
      <c r="H96" s="1044"/>
      <c r="I96" s="1056"/>
      <c r="J96" s="1044"/>
      <c r="K96" s="1044"/>
      <c r="L96" s="1023"/>
      <c r="M96" s="1026"/>
      <c r="N96" s="1065" t="s">
        <v>116</v>
      </c>
      <c r="O96" s="1065"/>
      <c r="P96" s="1066"/>
      <c r="Q96" s="316">
        <f>COUNTIFS(input!$O:$O,August!$Q$75,input!$G:$G,August!N96,input!$A:$A,August!$B$2)</f>
        <v>0</v>
      </c>
      <c r="R96" s="316">
        <f>COUNTIFS(input!$O:$O,August!$R$75,input!$G:$G,August!N96,input!$A:$A,August!$B$2)</f>
        <v>0</v>
      </c>
      <c r="S96" s="316">
        <f>COUNTIFS(input!$O:$O,August!$S$75,input!$G:$G,August!N96,input!$A:$A,August!$B$2)</f>
        <v>0</v>
      </c>
      <c r="T96" s="321">
        <f>COUNTIFS(input!$O:$O,August!$T$75,input!$G:$G,August!N96,input!$A:$A,August!$B$2)</f>
        <v>0</v>
      </c>
      <c r="U96" s="322">
        <f>COUNTIFS(input!$O:$O,August!$U$75,input!$G:$G,August!N96,input!$A:$A,August!$B$2)</f>
        <v>0</v>
      </c>
      <c r="V96" s="322">
        <f>COUNTIFS(input!$O:$O,August!$V$75,input!$G:$G,August!N96,input!$A:$A,August!$B$2)</f>
        <v>0</v>
      </c>
      <c r="W96" s="323">
        <f>COUNTIFS(input!$O:$O,August!$W$75,input!$G:$G,August!N96,input!$A:$A,August!$B$2)</f>
        <v>0</v>
      </c>
      <c r="X96" s="324">
        <f>COUNTIFS(input!$O:$O,August!$X$75,input!$G:$G,August!N96,input!$A:$A,August!$B$2)</f>
        <v>0</v>
      </c>
      <c r="Y96" s="312">
        <f t="shared" ref="Y96:Y99" si="20">SUM(Q96:X96)</f>
        <v>0</v>
      </c>
      <c r="Z96" s="315" cm="1">
        <f t="array" ref="Z96">_xlfn.IFS(Y96=0,0,Y96&gt;=1,Y96/$Y$133)</f>
        <v>0</v>
      </c>
    </row>
    <row r="97" spans="2:26" ht="92" hidden="1" customHeight="1" x14ac:dyDescent="0.25">
      <c r="B97" s="1030"/>
      <c r="C97" s="1031"/>
      <c r="D97" s="1038"/>
      <c r="E97" s="1038"/>
      <c r="F97" s="1038"/>
      <c r="G97" s="1044"/>
      <c r="H97" s="1044"/>
      <c r="I97" s="1056"/>
      <c r="J97" s="1044"/>
      <c r="K97" s="1044"/>
      <c r="L97" s="1023"/>
      <c r="M97" s="1026"/>
      <c r="N97" s="1065" t="s">
        <v>1185</v>
      </c>
      <c r="O97" s="1065"/>
      <c r="P97" s="1066"/>
      <c r="Q97" s="316">
        <f>COUNTIFS(input!$O:$O,August!$Q$75,input!$G:$G,August!N97,input!$A:$A,August!$B$2)</f>
        <v>0</v>
      </c>
      <c r="R97" s="316">
        <f>COUNTIFS(input!$O:$O,August!$R$75,input!$G:$G,August!N97,input!$A:$A,August!$B$2)</f>
        <v>0</v>
      </c>
      <c r="S97" s="316">
        <f>COUNTIFS(input!$O:$O,August!$S$75,input!$G:$G,August!N97,input!$A:$A,August!$B$2)</f>
        <v>0</v>
      </c>
      <c r="T97" s="321">
        <f>COUNTIFS(input!$O:$O,August!$T$75,input!$G:$G,August!N97,input!$A:$A,August!$B$2)</f>
        <v>0</v>
      </c>
      <c r="U97" s="322">
        <f>COUNTIFS(input!$O:$O,August!$U$75,input!$G:$G,August!N97,input!$A:$A,August!$B$2)</f>
        <v>0</v>
      </c>
      <c r="V97" s="322">
        <f>COUNTIFS(input!$O:$O,August!$V$75,input!$G:$G,August!N97,input!$A:$A,August!$B$2)</f>
        <v>0</v>
      </c>
      <c r="W97" s="323">
        <f>COUNTIFS(input!$O:$O,August!$W$75,input!$G:$G,August!N97,input!$A:$A,August!$B$2)</f>
        <v>0</v>
      </c>
      <c r="X97" s="324">
        <f>COUNTIFS(input!$O:$O,August!$X$75,input!$G:$G,August!N97,input!$A:$A,August!$B$2)</f>
        <v>0</v>
      </c>
      <c r="Y97" s="312">
        <f t="shared" si="20"/>
        <v>0</v>
      </c>
      <c r="Z97" s="315" cm="1">
        <f t="array" ref="Z97">_xlfn.IFS(Y97=0,0,Y97&gt;=1,Y97/$Y$133)</f>
        <v>0</v>
      </c>
    </row>
    <row r="98" spans="2:26" ht="92" hidden="1" customHeight="1" x14ac:dyDescent="0.25">
      <c r="B98" s="1030"/>
      <c r="C98" s="1031"/>
      <c r="D98" s="1038"/>
      <c r="E98" s="1038"/>
      <c r="F98" s="1038"/>
      <c r="G98" s="1044"/>
      <c r="H98" s="1044"/>
      <c r="I98" s="1056"/>
      <c r="J98" s="1044"/>
      <c r="K98" s="1044"/>
      <c r="L98" s="1023"/>
      <c r="M98" s="1026"/>
      <c r="N98" s="1065" t="s">
        <v>740</v>
      </c>
      <c r="O98" s="1065"/>
      <c r="P98" s="1066"/>
      <c r="Q98" s="316">
        <f>COUNTIFS(input!$O:$O,August!$Q$75,input!$G:$G,August!N98,input!$A:$A,August!$B$2)</f>
        <v>0</v>
      </c>
      <c r="R98" s="316">
        <f>COUNTIFS(input!$O:$O,August!$R$75,input!$G:$G,August!N98,input!$A:$A,August!$B$2)</f>
        <v>0</v>
      </c>
      <c r="S98" s="316">
        <f>COUNTIFS(input!$O:$O,August!$S$75,input!$G:$G,August!N98,input!$A:$A,August!$B$2)</f>
        <v>0</v>
      </c>
      <c r="T98" s="321">
        <f>COUNTIFS(input!$O:$O,August!$T$75,input!$G:$G,August!N98,input!$A:$A,August!$B$2)</f>
        <v>0</v>
      </c>
      <c r="U98" s="322">
        <f>COUNTIFS(input!$O:$O,August!$U$75,input!$G:$G,August!N98,input!$A:$A,August!$B$2)</f>
        <v>0</v>
      </c>
      <c r="V98" s="322">
        <f>COUNTIFS(input!$O:$O,August!$V$75,input!$G:$G,August!N98,input!$A:$A,August!$B$2)</f>
        <v>0</v>
      </c>
      <c r="W98" s="323">
        <f>COUNTIFS(input!$O:$O,August!$W$75,input!$G:$G,August!N98,input!$A:$A,August!$B$2)</f>
        <v>0</v>
      </c>
      <c r="X98" s="324">
        <f>COUNTIFS(input!$O:$O,August!$X$75,input!$G:$G,August!N98,input!$A:$A,August!$B$2)</f>
        <v>0</v>
      </c>
      <c r="Y98" s="312">
        <f t="shared" si="20"/>
        <v>0</v>
      </c>
      <c r="Z98" s="315" cm="1">
        <f t="array" ref="Z98">_xlfn.IFS(Y98=0,0,Y98&gt;=1,Y98/$Y$133)</f>
        <v>0</v>
      </c>
    </row>
    <row r="99" spans="2:26" ht="92" hidden="1" customHeight="1" x14ac:dyDescent="0.25">
      <c r="B99" s="1030"/>
      <c r="C99" s="1031"/>
      <c r="D99" s="1038"/>
      <c r="E99" s="1038"/>
      <c r="F99" s="1038"/>
      <c r="G99" s="1044"/>
      <c r="H99" s="1044"/>
      <c r="I99" s="1056"/>
      <c r="J99" s="1044"/>
      <c r="K99" s="1044"/>
      <c r="L99" s="1023"/>
      <c r="M99" s="1026"/>
      <c r="N99" s="1065" t="s">
        <v>2118</v>
      </c>
      <c r="O99" s="1065"/>
      <c r="P99" s="1066"/>
      <c r="Q99" s="316">
        <f>COUNTIFS(input!$O:$O,August!$Q$75,input!$G:$G,August!N99,input!$A:$A,August!$B$2)</f>
        <v>0</v>
      </c>
      <c r="R99" s="316">
        <f>COUNTIFS(input!$O:$O,August!$R$75,input!$G:$G,August!N99,input!$A:$A,August!$B$2)</f>
        <v>0</v>
      </c>
      <c r="S99" s="316">
        <f>COUNTIFS(input!$O:$O,August!$S$75,input!$G:$G,August!N99,input!$A:$A,August!$B$2)</f>
        <v>0</v>
      </c>
      <c r="T99" s="321">
        <f>COUNTIFS(input!$O:$O,August!$T$75,input!$G:$G,August!N99,input!$A:$A,August!$B$2)</f>
        <v>0</v>
      </c>
      <c r="U99" s="322">
        <f>COUNTIFS(input!$O:$O,August!$U$75,input!$G:$G,August!N99,input!$A:$A,August!$B$2)</f>
        <v>0</v>
      </c>
      <c r="V99" s="322">
        <f>COUNTIFS(input!$O:$O,August!$V$75,input!$G:$G,August!N99,input!$A:$A,August!$B$2)</f>
        <v>0</v>
      </c>
      <c r="W99" s="323">
        <f>COUNTIFS(input!$O:$O,August!$W$75,input!$G:$G,August!N99,input!$A:$A,August!$B$2)</f>
        <v>0</v>
      </c>
      <c r="X99" s="324">
        <f>COUNTIFS(input!$O:$O,August!$X$75,input!$G:$G,August!N99,input!$A:$A,August!$B$2)</f>
        <v>0</v>
      </c>
      <c r="Y99" s="312">
        <f t="shared" si="20"/>
        <v>0</v>
      </c>
      <c r="Z99" s="315" cm="1">
        <f t="array" ref="Z99">_xlfn.IFS(Y99=0,0,Y99&gt;=1,Y99/$Y$133)</f>
        <v>0</v>
      </c>
    </row>
    <row r="100" spans="2:26" ht="92" customHeight="1" x14ac:dyDescent="0.25">
      <c r="B100" s="1030"/>
      <c r="C100" s="1031"/>
      <c r="D100" s="1038"/>
      <c r="E100" s="1038"/>
      <c r="F100" s="1038"/>
      <c r="G100" s="1044"/>
      <c r="H100" s="1044"/>
      <c r="I100" s="1056"/>
      <c r="J100" s="1044"/>
      <c r="K100" s="1044"/>
      <c r="L100" s="1023"/>
      <c r="M100" s="1026"/>
      <c r="N100" s="1016" t="s">
        <v>89</v>
      </c>
      <c r="O100" s="1016"/>
      <c r="P100" s="991"/>
      <c r="Q100" s="316">
        <f>COUNTIFS(input!$O:$O,August!$Q$75,input!$G:$G,August!N100,input!$A:$A,August!$B$2)</f>
        <v>0</v>
      </c>
      <c r="R100" s="316">
        <f>COUNTIFS(input!$O:$O,August!$R$75,input!$G:$G,August!N100,input!$A:$A,August!$B$2)</f>
        <v>0</v>
      </c>
      <c r="S100" s="316">
        <f>COUNTIFS(input!$O:$O,August!$S$75,input!$G:$G,August!N100,input!$A:$A,August!$B$2)</f>
        <v>0</v>
      </c>
      <c r="T100" s="321">
        <f>COUNTIFS(input!$O:$O,August!$T$75,input!$G:$G,August!N100,input!$A:$A,August!$B$2)</f>
        <v>1</v>
      </c>
      <c r="U100" s="322">
        <f>COUNTIFS(input!$O:$O,August!$U$75,input!$G:$G,August!N100,input!$A:$A,August!$B$2)</f>
        <v>0</v>
      </c>
      <c r="V100" s="322">
        <f>COUNTIFS(input!$O:$O,August!$V$75,input!$G:$G,August!N100,input!$A:$A,August!$B$2)</f>
        <v>0</v>
      </c>
      <c r="W100" s="323">
        <f>COUNTIFS(input!$O:$O,August!$W$75,input!$G:$G,August!N100,input!$A:$A,August!$B$2)</f>
        <v>0</v>
      </c>
      <c r="X100" s="324">
        <f>COUNTIFS(input!$O:$O,August!$X$75,input!$G:$G,August!N100,input!$A:$A,August!$B$2)</f>
        <v>0</v>
      </c>
      <c r="Y100" s="312">
        <f>SUM(Q100:X100)</f>
        <v>1</v>
      </c>
      <c r="Z100" s="315" cm="1">
        <f t="array" ref="Z100">_xlfn.IFS(Y100=0,0,Y100&gt;=1,Y100/$Y$133)</f>
        <v>6.25E-2</v>
      </c>
    </row>
    <row r="101" spans="2:26" ht="92" hidden="1" customHeight="1" x14ac:dyDescent="0.25">
      <c r="B101" s="1030"/>
      <c r="C101" s="1031"/>
      <c r="D101" s="1038"/>
      <c r="E101" s="1038"/>
      <c r="F101" s="1038"/>
      <c r="G101" s="1044"/>
      <c r="H101" s="1044"/>
      <c r="I101" s="1056"/>
      <c r="J101" s="1044"/>
      <c r="K101" s="1044"/>
      <c r="L101" s="1023"/>
      <c r="M101" s="1026"/>
      <c r="N101" s="1065" t="s">
        <v>108</v>
      </c>
      <c r="O101" s="1065"/>
      <c r="P101" s="1066"/>
      <c r="Q101" s="316">
        <f>COUNTIFS(input!$O:$O,August!$Q$75,input!$G:$G,August!N101,input!$A:$A,August!$B$2)</f>
        <v>0</v>
      </c>
      <c r="R101" s="316">
        <f>COUNTIFS(input!$O:$O,August!$R$75,input!$G:$G,August!N101,input!$A:$A,August!$B$2)</f>
        <v>0</v>
      </c>
      <c r="S101" s="316">
        <f>COUNTIFS(input!$O:$O,August!$S$75,input!$G:$G,August!N101,input!$A:$A,August!$B$2)</f>
        <v>0</v>
      </c>
      <c r="T101" s="321">
        <f>COUNTIFS(input!$O:$O,August!$T$75,input!$G:$G,August!N101,input!$A:$A,August!$B$2)</f>
        <v>0</v>
      </c>
      <c r="U101" s="322">
        <f>COUNTIFS(input!$O:$O,August!$U$75,input!$G:$G,August!N101,input!$A:$A,August!$B$2)</f>
        <v>0</v>
      </c>
      <c r="V101" s="322">
        <f>COUNTIFS(input!$O:$O,August!$V$75,input!$G:$G,August!N101,input!$A:$A,August!$B$2)</f>
        <v>0</v>
      </c>
      <c r="W101" s="323">
        <f>COUNTIFS(input!$O:$O,August!$W$75,input!$G:$G,August!N101,input!$A:$A,August!$B$2)</f>
        <v>0</v>
      </c>
      <c r="X101" s="324">
        <f>COUNTIFS(input!$O:$O,August!$X$75,input!$G:$G,August!N101,input!$A:$A,August!$B$2)</f>
        <v>0</v>
      </c>
      <c r="Y101" s="312">
        <f t="shared" ref="Y101:Y121" si="21">SUM(Q101:X101)</f>
        <v>0</v>
      </c>
      <c r="Z101" s="315" cm="1">
        <f t="array" ref="Z101">_xlfn.IFS(Y101=0,0,Y101&gt;=1,Y101/$Y$133)</f>
        <v>0</v>
      </c>
    </row>
    <row r="102" spans="2:26" ht="92" hidden="1" customHeight="1" x14ac:dyDescent="0.25">
      <c r="B102" s="1030"/>
      <c r="C102" s="1031"/>
      <c r="D102" s="1038"/>
      <c r="E102" s="1038"/>
      <c r="F102" s="1038"/>
      <c r="G102" s="1044"/>
      <c r="H102" s="1044"/>
      <c r="I102" s="1056"/>
      <c r="J102" s="1044"/>
      <c r="K102" s="1044"/>
      <c r="L102" s="1023"/>
      <c r="M102" s="1026"/>
      <c r="N102" s="1065" t="s">
        <v>398</v>
      </c>
      <c r="O102" s="1065"/>
      <c r="P102" s="1066"/>
      <c r="Q102" s="316">
        <f>COUNTIFS(input!$O:$O,August!$Q$75,input!$G:$G,August!N102,input!$A:$A,August!$B$2)</f>
        <v>0</v>
      </c>
      <c r="R102" s="316">
        <f>COUNTIFS(input!$O:$O,August!$R$75,input!$G:$G,August!N102,input!$A:$A,August!$B$2)</f>
        <v>0</v>
      </c>
      <c r="S102" s="316">
        <f>COUNTIFS(input!$O:$O,August!$S$75,input!$G:$G,August!N102,input!$A:$A,August!$B$2)</f>
        <v>0</v>
      </c>
      <c r="T102" s="321">
        <f>COUNTIFS(input!$O:$O,August!$T$75,input!$G:$G,August!N102,input!$A:$A,August!$B$2)</f>
        <v>0</v>
      </c>
      <c r="U102" s="322">
        <f>COUNTIFS(input!$O:$O,August!$U$75,input!$G:$G,August!N102,input!$A:$A,August!$B$2)</f>
        <v>0</v>
      </c>
      <c r="V102" s="322">
        <f>COUNTIFS(input!$O:$O,August!$V$75,input!$G:$G,August!N102,input!$A:$A,August!$B$2)</f>
        <v>0</v>
      </c>
      <c r="W102" s="323">
        <f>COUNTIFS(input!$O:$O,August!$W$75,input!$G:$G,August!N102,input!$A:$A,August!$B$2)</f>
        <v>0</v>
      </c>
      <c r="X102" s="324">
        <f>COUNTIFS(input!$O:$O,August!$X$75,input!$G:$G,August!N102,input!$A:$A,August!$B$2)</f>
        <v>0</v>
      </c>
      <c r="Y102" s="312">
        <f t="shared" si="21"/>
        <v>0</v>
      </c>
      <c r="Z102" s="315" cm="1">
        <f t="array" ref="Z102">_xlfn.IFS(Y102=0,0,Y102&gt;=1,Y102/$Y$133)</f>
        <v>0</v>
      </c>
    </row>
    <row r="103" spans="2:26" ht="92" hidden="1" customHeight="1" x14ac:dyDescent="0.25">
      <c r="B103" s="1030"/>
      <c r="C103" s="1031"/>
      <c r="D103" s="1038"/>
      <c r="E103" s="1038"/>
      <c r="F103" s="1038"/>
      <c r="G103" s="1044"/>
      <c r="H103" s="1044"/>
      <c r="I103" s="1056"/>
      <c r="J103" s="1044"/>
      <c r="K103" s="1044"/>
      <c r="L103" s="1023"/>
      <c r="M103" s="1026"/>
      <c r="N103" s="1065" t="s">
        <v>83</v>
      </c>
      <c r="O103" s="1065"/>
      <c r="P103" s="1066"/>
      <c r="Q103" s="316">
        <f>COUNTIFS(input!$O:$O,August!$Q$75,input!$G:$G,August!N103,input!$A:$A,August!$B$2)</f>
        <v>0</v>
      </c>
      <c r="R103" s="316">
        <f>COUNTIFS(input!$O:$O,August!$R$75,input!$G:$G,August!N103,input!$A:$A,August!$B$2)</f>
        <v>0</v>
      </c>
      <c r="S103" s="316">
        <f>COUNTIFS(input!$O:$O,August!$S$75,input!$G:$G,August!N103,input!$A:$A,August!$B$2)</f>
        <v>0</v>
      </c>
      <c r="T103" s="321">
        <f>COUNTIFS(input!$O:$O,August!$T$75,input!$G:$G,August!N103,input!$A:$A,August!$B$2)</f>
        <v>0</v>
      </c>
      <c r="U103" s="322">
        <f>COUNTIFS(input!$O:$O,August!$U$75,input!$G:$G,August!N103,input!$A:$A,August!$B$2)</f>
        <v>0</v>
      </c>
      <c r="V103" s="322">
        <f>COUNTIFS(input!$O:$O,August!$V$75,input!$G:$G,August!N103,input!$A:$A,August!$B$2)</f>
        <v>0</v>
      </c>
      <c r="W103" s="323">
        <f>COUNTIFS(input!$O:$O,August!$W$75,input!$G:$G,August!N103,input!$A:$A,August!$B$2)</f>
        <v>0</v>
      </c>
      <c r="X103" s="324">
        <f>COUNTIFS(input!$O:$O,August!$X$75,input!$G:$G,August!N103,input!$A:$A,August!$B$2)</f>
        <v>0</v>
      </c>
      <c r="Y103" s="312">
        <f t="shared" si="21"/>
        <v>0</v>
      </c>
      <c r="Z103" s="315" cm="1">
        <f t="array" ref="Z103">_xlfn.IFS(Y103=0,0,Y103&gt;=1,Y103/$Y$133)</f>
        <v>0</v>
      </c>
    </row>
    <row r="104" spans="2:26" ht="92" hidden="1" customHeight="1" x14ac:dyDescent="0.25">
      <c r="B104" s="1030"/>
      <c r="C104" s="1031"/>
      <c r="D104" s="1038"/>
      <c r="E104" s="1038"/>
      <c r="F104" s="1038"/>
      <c r="G104" s="1044"/>
      <c r="H104" s="1044"/>
      <c r="I104" s="1056"/>
      <c r="J104" s="1044"/>
      <c r="K104" s="1044"/>
      <c r="L104" s="1023"/>
      <c r="M104" s="1026"/>
      <c r="N104" s="1016" t="s">
        <v>2193</v>
      </c>
      <c r="O104" s="1016"/>
      <c r="P104" s="991"/>
      <c r="Q104" s="316">
        <f>COUNTIFS(input!$O:$O,August!$Q$75,input!$G:$G,August!N104,input!$A:$A,August!$B$2)</f>
        <v>0</v>
      </c>
      <c r="R104" s="316">
        <f>COUNTIFS(input!$O:$O,August!$R$75,input!$G:$G,August!N104,input!$A:$A,August!$B$2)</f>
        <v>0</v>
      </c>
      <c r="S104" s="316">
        <f>COUNTIFS(input!$O:$O,August!$S$75,input!$G:$G,August!N104,input!$A:$A,August!$B$2)</f>
        <v>0</v>
      </c>
      <c r="T104" s="321">
        <f>COUNTIFS(input!$O:$O,August!$T$75,input!$G:$G,August!N104,input!$A:$A,August!$B$2)</f>
        <v>0</v>
      </c>
      <c r="U104" s="322">
        <f>COUNTIFS(input!$O:$O,August!$U$75,input!$G:$G,August!N104,input!$A:$A,August!$B$2)</f>
        <v>0</v>
      </c>
      <c r="V104" s="322">
        <f>COUNTIFS(input!$O:$O,August!$V$75,input!$G:$G,August!N104,input!$A:$A,August!$B$2)</f>
        <v>0</v>
      </c>
      <c r="W104" s="323">
        <f>COUNTIFS(input!$O:$O,August!$W$75,input!$G:$G,August!N104,input!$A:$A,August!$B$2)</f>
        <v>0</v>
      </c>
      <c r="X104" s="324">
        <f>COUNTIFS(input!$O:$O,August!$X$75,input!$G:$G,August!N104,input!$A:$A,August!$B$2)</f>
        <v>0</v>
      </c>
      <c r="Y104" s="312">
        <f t="shared" ref="Y104" si="22">SUM(Q104:X104)</f>
        <v>0</v>
      </c>
      <c r="Z104" s="315" cm="1">
        <f t="array" ref="Z104">_xlfn.IFS(Y104=0,0,Y104&gt;=1,Y104/$Y$133)</f>
        <v>0</v>
      </c>
    </row>
    <row r="105" spans="2:26" ht="92" customHeight="1" x14ac:dyDescent="0.25">
      <c r="B105" s="1030"/>
      <c r="C105" s="1031"/>
      <c r="D105" s="1038"/>
      <c r="E105" s="1038"/>
      <c r="F105" s="1038"/>
      <c r="G105" s="1044"/>
      <c r="H105" s="1044"/>
      <c r="I105" s="1056"/>
      <c r="J105" s="1044"/>
      <c r="K105" s="1044"/>
      <c r="L105" s="1023"/>
      <c r="M105" s="1026"/>
      <c r="N105" s="1016" t="s">
        <v>1438</v>
      </c>
      <c r="O105" s="1016"/>
      <c r="P105" s="991"/>
      <c r="Q105" s="316">
        <f>COUNTIFS(input!$O:$O,August!$Q$75,input!$G:$G,August!N105,input!$A:$A,August!$B$2)</f>
        <v>0</v>
      </c>
      <c r="R105" s="316">
        <f>COUNTIFS(input!$O:$O,August!$R$75,input!$G:$G,August!N105,input!$A:$A,August!$B$2)</f>
        <v>0</v>
      </c>
      <c r="S105" s="316">
        <f>COUNTIFS(input!$O:$O,August!$S$75,input!$G:$G,August!N105,input!$A:$A,August!$B$2)</f>
        <v>0</v>
      </c>
      <c r="T105" s="321">
        <f>COUNTIFS(input!$O:$O,August!$T$75,input!$G:$G,August!N105,input!$A:$A,August!$B$2)</f>
        <v>0</v>
      </c>
      <c r="U105" s="322">
        <f>COUNTIFS(input!$O:$O,August!$U$75,input!$G:$G,August!N105,input!$A:$A,August!$B$2)</f>
        <v>0</v>
      </c>
      <c r="V105" s="322">
        <f>COUNTIFS(input!$O:$O,August!$V$75,input!$G:$G,August!N105,input!$A:$A,August!$B$2)</f>
        <v>2</v>
      </c>
      <c r="W105" s="323">
        <f>COUNTIFS(input!$O:$O,August!$W$75,input!$G:$G,August!N105,input!$A:$A,August!$B$2)</f>
        <v>0</v>
      </c>
      <c r="X105" s="324">
        <f>COUNTIFS(input!$O:$O,August!$X$75,input!$G:$G,August!N105,input!$A:$A,August!$B$2)</f>
        <v>0</v>
      </c>
      <c r="Y105" s="312">
        <f t="shared" si="21"/>
        <v>2</v>
      </c>
      <c r="Z105" s="315" cm="1">
        <f t="array" ref="Z105">_xlfn.IFS(Y105=0,0,Y105&gt;=1,Y105/$Y$133)</f>
        <v>0.125</v>
      </c>
    </row>
    <row r="106" spans="2:26" ht="92" hidden="1" customHeight="1" x14ac:dyDescent="0.25">
      <c r="B106" s="1030"/>
      <c r="C106" s="1031"/>
      <c r="D106" s="1038"/>
      <c r="E106" s="1038"/>
      <c r="F106" s="1038"/>
      <c r="G106" s="1044"/>
      <c r="H106" s="1044"/>
      <c r="I106" s="1056"/>
      <c r="J106" s="1044"/>
      <c r="K106" s="1044"/>
      <c r="L106" s="1023"/>
      <c r="M106" s="1026"/>
      <c r="N106" s="1065" t="s">
        <v>876</v>
      </c>
      <c r="O106" s="1065"/>
      <c r="P106" s="1066"/>
      <c r="Q106" s="316">
        <f>COUNTIFS(input!$O:$O,August!$Q$75,input!$G:$G,August!N106,input!$A:$A,August!$B$2)</f>
        <v>0</v>
      </c>
      <c r="R106" s="316">
        <f>COUNTIFS(input!$O:$O,August!$R$75,input!$G:$G,August!N106,input!$A:$A,August!$B$2)</f>
        <v>0</v>
      </c>
      <c r="S106" s="316">
        <f>COUNTIFS(input!$O:$O,August!$S$75,input!$G:$G,August!N106,input!$A:$A,August!$B$2)</f>
        <v>0</v>
      </c>
      <c r="T106" s="321">
        <f>COUNTIFS(input!$O:$O,August!$T$75,input!$G:$G,August!N106,input!$A:$A,August!$B$2)</f>
        <v>0</v>
      </c>
      <c r="U106" s="322">
        <f>COUNTIFS(input!$O:$O,August!$U$75,input!$G:$G,August!N106,input!$A:$A,August!$B$2)</f>
        <v>0</v>
      </c>
      <c r="V106" s="322">
        <f>COUNTIFS(input!$O:$O,August!$V$75,input!$G:$G,August!N106,input!$A:$A,August!$B$2)</f>
        <v>0</v>
      </c>
      <c r="W106" s="323">
        <f>COUNTIFS(input!$O:$O,August!$W$75,input!$G:$G,August!N106,input!$A:$A,August!$B$2)</f>
        <v>0</v>
      </c>
      <c r="X106" s="324">
        <f>COUNTIFS(input!$O:$O,August!$X$75,input!$G:$G,August!N106,input!$A:$A,August!$B$2)</f>
        <v>0</v>
      </c>
      <c r="Y106" s="312">
        <f t="shared" si="21"/>
        <v>0</v>
      </c>
      <c r="Z106" s="315" cm="1">
        <f t="array" ref="Z106">_xlfn.IFS(Y106=0,0,Y106&gt;=1,Y106/$Y$133)</f>
        <v>0</v>
      </c>
    </row>
    <row r="107" spans="2:26" ht="92" hidden="1" customHeight="1" x14ac:dyDescent="0.25">
      <c r="B107" s="1030"/>
      <c r="C107" s="1031"/>
      <c r="D107" s="1038"/>
      <c r="E107" s="1038"/>
      <c r="F107" s="1038"/>
      <c r="G107" s="1044"/>
      <c r="H107" s="1044"/>
      <c r="I107" s="1056"/>
      <c r="J107" s="1044"/>
      <c r="K107" s="1044"/>
      <c r="L107" s="1023"/>
      <c r="M107" s="1026"/>
      <c r="N107" s="1065" t="s">
        <v>1492</v>
      </c>
      <c r="O107" s="1065"/>
      <c r="P107" s="1066"/>
      <c r="Q107" s="316">
        <f>COUNTIFS(input!$O:$O,August!$Q$75,input!$G:$G,August!N107,input!$A:$A,August!$B$2)</f>
        <v>0</v>
      </c>
      <c r="R107" s="316">
        <f>COUNTIFS(input!$O:$O,August!$R$75,input!$G:$G,August!N107,input!$A:$A,August!$B$2)</f>
        <v>0</v>
      </c>
      <c r="S107" s="316">
        <f>COUNTIFS(input!$O:$O,August!$S$75,input!$G:$G,August!N107,input!$A:$A,August!$B$2)</f>
        <v>0</v>
      </c>
      <c r="T107" s="321">
        <f>COUNTIFS(input!$O:$O,August!$T$75,input!$G:$G,August!N107,input!$A:$A,August!$B$2)</f>
        <v>0</v>
      </c>
      <c r="U107" s="322">
        <f>COUNTIFS(input!$O:$O,August!$U$75,input!$G:$G,August!N107,input!$A:$A,August!$B$2)</f>
        <v>0</v>
      </c>
      <c r="V107" s="322">
        <f>COUNTIFS(input!$O:$O,August!$V$75,input!$G:$G,August!N107,input!$A:$A,August!$B$2)</f>
        <v>0</v>
      </c>
      <c r="W107" s="323">
        <f>COUNTIFS(input!$O:$O,August!$W$75,input!$G:$G,August!N107,input!$A:$A,August!$B$2)</f>
        <v>0</v>
      </c>
      <c r="X107" s="324">
        <f>COUNTIFS(input!$O:$O,August!$X$75,input!$G:$G,August!N107,input!$A:$A,August!$B$2)</f>
        <v>0</v>
      </c>
      <c r="Y107" s="312">
        <f t="shared" si="21"/>
        <v>0</v>
      </c>
      <c r="Z107" s="315" cm="1">
        <f t="array" ref="Z107">_xlfn.IFS(Y107=0,0,Y107&gt;=1,Y107/$Y$133)</f>
        <v>0</v>
      </c>
    </row>
    <row r="108" spans="2:26" ht="92" hidden="1" customHeight="1" x14ac:dyDescent="0.25">
      <c r="B108" s="1030"/>
      <c r="C108" s="1031"/>
      <c r="D108" s="1038"/>
      <c r="E108" s="1038"/>
      <c r="F108" s="1038"/>
      <c r="G108" s="1044"/>
      <c r="H108" s="1044"/>
      <c r="I108" s="1056"/>
      <c r="J108" s="1044"/>
      <c r="K108" s="1044"/>
      <c r="L108" s="1023"/>
      <c r="M108" s="1026"/>
      <c r="N108" s="1065" t="s">
        <v>1839</v>
      </c>
      <c r="O108" s="1065"/>
      <c r="P108" s="1066"/>
      <c r="Q108" s="316">
        <f>COUNTIFS(input!$O:$O,August!$Q$75,input!$G:$G,August!N108,input!$A:$A,August!$B$2)</f>
        <v>0</v>
      </c>
      <c r="R108" s="316">
        <f>COUNTIFS(input!$O:$O,August!$R$75,input!$G:$G,August!N108,input!$A:$A,August!$B$2)</f>
        <v>0</v>
      </c>
      <c r="S108" s="316">
        <f>COUNTIFS(input!$O:$O,August!$S$75,input!$G:$G,August!N108,input!$A:$A,August!$B$2)</f>
        <v>0</v>
      </c>
      <c r="T108" s="321">
        <f>COUNTIFS(input!$O:$O,August!$T$75,input!$G:$G,August!N108,input!$A:$A,August!$B$2)</f>
        <v>0</v>
      </c>
      <c r="U108" s="322">
        <f>COUNTIFS(input!$O:$O,August!$U$75,input!$G:$G,August!N108,input!$A:$A,August!$B$2)</f>
        <v>0</v>
      </c>
      <c r="V108" s="322">
        <f>COUNTIFS(input!$O:$O,August!$V$75,input!$G:$G,August!N108,input!$A:$A,August!$B$2)</f>
        <v>0</v>
      </c>
      <c r="W108" s="323">
        <f>COUNTIFS(input!$O:$O,August!$W$75,input!$G:$G,August!N108,input!$A:$A,August!$B$2)</f>
        <v>0</v>
      </c>
      <c r="X108" s="324">
        <f>COUNTIFS(input!$O:$O,August!$X$75,input!$G:$G,August!N108,input!$A:$A,August!$B$2)</f>
        <v>0</v>
      </c>
      <c r="Y108" s="312">
        <f t="shared" si="21"/>
        <v>0</v>
      </c>
      <c r="Z108" s="315" cm="1">
        <f t="array" ref="Z108">_xlfn.IFS(Y108=0,0,Y108&gt;=1,Y108/$Y$133)</f>
        <v>0</v>
      </c>
    </row>
    <row r="109" spans="2:26" ht="92" hidden="1" customHeight="1" x14ac:dyDescent="0.25">
      <c r="B109" s="1030"/>
      <c r="C109" s="1031"/>
      <c r="D109" s="1038"/>
      <c r="E109" s="1038"/>
      <c r="F109" s="1038"/>
      <c r="G109" s="1044"/>
      <c r="H109" s="1044"/>
      <c r="I109" s="1056"/>
      <c r="J109" s="1044"/>
      <c r="K109" s="1044"/>
      <c r="L109" s="1023"/>
      <c r="M109" s="1026"/>
      <c r="N109" s="1065" t="s">
        <v>895</v>
      </c>
      <c r="O109" s="1065"/>
      <c r="P109" s="1066"/>
      <c r="Q109" s="316">
        <f>COUNTIFS(input!$O:$O,August!$Q$75,input!$G:$G,August!N109,input!$A:$A,August!$B$2)</f>
        <v>0</v>
      </c>
      <c r="R109" s="316">
        <f>COUNTIFS(input!$O:$O,August!$R$75,input!$G:$G,August!N109,input!$A:$A,August!$B$2)</f>
        <v>0</v>
      </c>
      <c r="S109" s="316">
        <f>COUNTIFS(input!$O:$O,August!$S$75,input!$G:$G,August!N109,input!$A:$A,August!$B$2)</f>
        <v>0</v>
      </c>
      <c r="T109" s="321">
        <f>COUNTIFS(input!$O:$O,August!$T$75,input!$G:$G,August!N109,input!$A:$A,August!$B$2)</f>
        <v>0</v>
      </c>
      <c r="U109" s="322">
        <f>COUNTIFS(input!$O:$O,August!$U$75,input!$G:$G,August!N109,input!$A:$A,August!$B$2)</f>
        <v>0</v>
      </c>
      <c r="V109" s="322">
        <f>COUNTIFS(input!$O:$O,August!$V$75,input!$G:$G,August!N109,input!$A:$A,August!$B$2)</f>
        <v>0</v>
      </c>
      <c r="W109" s="323">
        <f>COUNTIFS(input!$O:$O,August!$W$75,input!$G:$G,August!N109,input!$A:$A,August!$B$2)</f>
        <v>0</v>
      </c>
      <c r="X109" s="324">
        <f>COUNTIFS(input!$O:$O,August!$X$75,input!$G:$G,August!N109,input!$A:$A,August!$B$2)</f>
        <v>0</v>
      </c>
      <c r="Y109" s="312">
        <f t="shared" si="21"/>
        <v>0</v>
      </c>
      <c r="Z109" s="315" cm="1">
        <f t="array" ref="Z109">_xlfn.IFS(Y109=0,0,Y109&gt;=1,Y109/$Y$133)</f>
        <v>0</v>
      </c>
    </row>
    <row r="110" spans="2:26" ht="92" hidden="1" customHeight="1" x14ac:dyDescent="0.25">
      <c r="B110" s="1030"/>
      <c r="C110" s="1031"/>
      <c r="D110" s="1038"/>
      <c r="E110" s="1038"/>
      <c r="F110" s="1038"/>
      <c r="G110" s="1044"/>
      <c r="H110" s="1044"/>
      <c r="I110" s="1056"/>
      <c r="J110" s="1044"/>
      <c r="K110" s="1044"/>
      <c r="L110" s="1023"/>
      <c r="M110" s="1026"/>
      <c r="N110" s="1065" t="s">
        <v>1767</v>
      </c>
      <c r="O110" s="1065"/>
      <c r="P110" s="1066"/>
      <c r="Q110" s="316">
        <f>COUNTIFS(input!$O:$O,August!$Q$75,input!$G:$G,August!N110,input!$A:$A,August!$B$2)</f>
        <v>0</v>
      </c>
      <c r="R110" s="316">
        <f>COUNTIFS(input!$O:$O,August!$R$75,input!$G:$G,August!N110,input!$A:$A,August!$B$2)</f>
        <v>0</v>
      </c>
      <c r="S110" s="316">
        <f>COUNTIFS(input!$O:$O,August!$S$75,input!$G:$G,August!N110,input!$A:$A,August!$B$2)</f>
        <v>0</v>
      </c>
      <c r="T110" s="321">
        <f>COUNTIFS(input!$O:$O,August!$T$75,input!$G:$G,August!N110,input!$A:$A,August!$B$2)</f>
        <v>0</v>
      </c>
      <c r="U110" s="322">
        <f>COUNTIFS(input!$O:$O,August!$U$75,input!$G:$G,August!N110,input!$A:$A,August!$B$2)</f>
        <v>0</v>
      </c>
      <c r="V110" s="322">
        <f>COUNTIFS(input!$O:$O,August!$V$75,input!$G:$G,August!N110,input!$A:$A,August!$B$2)</f>
        <v>0</v>
      </c>
      <c r="W110" s="323">
        <f>COUNTIFS(input!$O:$O,August!$W$75,input!$G:$G,August!N110,input!$A:$A,August!$B$2)</f>
        <v>0</v>
      </c>
      <c r="X110" s="324">
        <f>COUNTIFS(input!$O:$O,August!$X$75,input!$G:$G,August!N110,input!$A:$A,August!$B$2)</f>
        <v>0</v>
      </c>
      <c r="Y110" s="312">
        <f t="shared" si="21"/>
        <v>0</v>
      </c>
      <c r="Z110" s="315" cm="1">
        <f t="array" ref="Z110">_xlfn.IFS(Y110=0,0,Y110&gt;=1,Y110/$Y$133)</f>
        <v>0</v>
      </c>
    </row>
    <row r="111" spans="2:26" ht="92" hidden="1" customHeight="1" x14ac:dyDescent="0.25">
      <c r="B111" s="1109"/>
      <c r="C111" s="1110"/>
      <c r="D111" s="1114"/>
      <c r="E111" s="1114"/>
      <c r="F111" s="1114"/>
      <c r="G111" s="1054"/>
      <c r="H111" s="1054"/>
      <c r="I111" s="1057"/>
      <c r="J111" s="1054"/>
      <c r="K111" s="1054"/>
      <c r="L111" s="417"/>
      <c r="M111" s="1027"/>
      <c r="N111" s="1065" t="s">
        <v>1889</v>
      </c>
      <c r="O111" s="1065"/>
      <c r="P111" s="1066"/>
      <c r="Q111" s="316">
        <f>COUNTIFS(input!$O:$O,August!$Q$75,input!$G:$G,August!N111,input!$A:$A,August!$B$2)</f>
        <v>0</v>
      </c>
      <c r="R111" s="316">
        <f>COUNTIFS(input!$O:$O,August!$R$75,input!$G:$G,August!N111,input!$A:$A,August!$B$2)</f>
        <v>0</v>
      </c>
      <c r="S111" s="316">
        <f>COUNTIFS(input!$O:$O,August!$S$75,input!$G:$G,August!N111,input!$A:$A,August!$B$2)</f>
        <v>0</v>
      </c>
      <c r="T111" s="321">
        <f>COUNTIFS(input!$O:$O,August!$T$75,input!$G:$G,August!N111,input!$A:$A,August!$B$2)</f>
        <v>0</v>
      </c>
      <c r="U111" s="322">
        <f>COUNTIFS(input!$O:$O,August!$U$75,input!$G:$G,August!N111,input!$A:$A,August!$B$2)</f>
        <v>0</v>
      </c>
      <c r="V111" s="322">
        <f>COUNTIFS(input!$O:$O,August!$V$75,input!$G:$G,August!N111,input!$A:$A,August!$B$2)</f>
        <v>0</v>
      </c>
      <c r="W111" s="323">
        <f>COUNTIFS(input!$O:$O,August!$W$75,input!$G:$G,August!N111,input!$A:$A,August!$B$2)</f>
        <v>0</v>
      </c>
      <c r="X111" s="324">
        <f>COUNTIFS(input!$O:$O,August!$X$75,input!$G:$G,August!N111,input!$A:$A,August!$B$2)</f>
        <v>0</v>
      </c>
      <c r="Y111" s="312">
        <f t="shared" si="21"/>
        <v>0</v>
      </c>
      <c r="Z111" s="315" cm="1">
        <f t="array" ref="Z111">_xlfn.IFS(Y111=0,0,Y111&gt;=1,Y111/$Y$133)</f>
        <v>0</v>
      </c>
    </row>
    <row r="112" spans="2:26" ht="92" hidden="1" customHeight="1" x14ac:dyDescent="0.25">
      <c r="B112" s="1028" t="s">
        <v>15</v>
      </c>
      <c r="C112" s="1029"/>
      <c r="D112" s="1037">
        <f>COUNTIFS(input!$O:$O,August!$D$75,input!$K:$K,August!B112,input!$A:$A,August!$B$2)</f>
        <v>0</v>
      </c>
      <c r="E112" s="1037">
        <f>COUNTIFS(input!$O:$O,August!$E$75,input!$K:$K,August!B112,input!$A:$A,August!$B$2)</f>
        <v>0</v>
      </c>
      <c r="F112" s="1037">
        <f>COUNTIFS(input!$O:$O,August!$F$75,input!$K:$K,August!B112,input!$A:$A,August!$B$2)</f>
        <v>0</v>
      </c>
      <c r="G112" s="1043">
        <f>COUNTIFS(input!$O:$O,August!$G$75,input!$K:$K,August!B112,input!$A:$A,August!$B$2)</f>
        <v>3</v>
      </c>
      <c r="H112" s="1043">
        <f>COUNTIFS(input!$O:$O,August!$H$75,input!$K:$K,August!B112,input!$A:$A,August!$B$2)</f>
        <v>0</v>
      </c>
      <c r="I112" s="1055">
        <f>COUNTIFS(input!$O:$O,August!$I$75,input!$K:$K,August!B112,input!$A:$A,August!$B$2)</f>
        <v>0</v>
      </c>
      <c r="J112" s="1043">
        <f>COUNTIFS(input!$O:$O,August!$J$75,input!$K:$K,August!B112,input!$A:$A,August!$B$2)</f>
        <v>0</v>
      </c>
      <c r="K112" s="1043">
        <f>COUNTIFS(input!$O:$O,August!$K$75,input!$K:$K,August!B112,input!$A:$A,August!$B$2)</f>
        <v>0</v>
      </c>
      <c r="L112" s="1345">
        <f>SUM(D112:K129)</f>
        <v>3</v>
      </c>
      <c r="M112" s="1025">
        <f>_xlfn.IFS(L112=0,0,L112&gt;=1,L112/L133)</f>
        <v>0.1875</v>
      </c>
      <c r="N112" s="1065" t="s">
        <v>55</v>
      </c>
      <c r="O112" s="1065"/>
      <c r="P112" s="1066"/>
      <c r="Q112" s="316">
        <f>COUNTIFS(input!$O:$O,August!$Q$75,input!$G:$G,August!N112,input!$A:$A,August!$B$2)</f>
        <v>0</v>
      </c>
      <c r="R112" s="316">
        <f>COUNTIFS(input!$O:$O,August!$R$75,input!$G:$G,August!N112,input!$A:$A,August!$B$2)</f>
        <v>0</v>
      </c>
      <c r="S112" s="316">
        <f>COUNTIFS(input!$O:$O,August!$S$75,input!$G:$G,August!N112,input!$A:$A,August!$B$2)</f>
        <v>0</v>
      </c>
      <c r="T112" s="321">
        <f>COUNTIFS(input!$O:$O,August!$T$75,input!$G:$G,August!N112,input!$A:$A,August!$B$2)</f>
        <v>0</v>
      </c>
      <c r="U112" s="322">
        <f>COUNTIFS(input!$O:$O,August!$U$75,input!$G:$G,August!N112,input!$A:$A,August!$B$2)</f>
        <v>0</v>
      </c>
      <c r="V112" s="322">
        <f>COUNTIFS(input!$O:$O,August!$V$75,input!$G:$G,August!N112,input!$A:$A,August!$B$2)</f>
        <v>0</v>
      </c>
      <c r="W112" s="323">
        <f>COUNTIFS(input!$O:$O,August!$W$75,input!$G:$G,August!N112,input!$A:$A,August!$B$2)</f>
        <v>0</v>
      </c>
      <c r="X112" s="324">
        <f>COUNTIFS(input!$O:$O,August!$X$75,input!$G:$G,August!N112,input!$A:$A,August!$B$2)</f>
        <v>0</v>
      </c>
      <c r="Y112" s="312">
        <f t="shared" si="21"/>
        <v>0</v>
      </c>
      <c r="Z112" s="315" cm="1">
        <f t="array" ref="Z112">_xlfn.IFS(Y112=0,0,Y112&gt;=1,Y112/$Y$133)</f>
        <v>0</v>
      </c>
    </row>
    <row r="113" spans="2:26" ht="92" customHeight="1" x14ac:dyDescent="0.25">
      <c r="B113" s="1030"/>
      <c r="C113" s="1031"/>
      <c r="D113" s="1038"/>
      <c r="E113" s="1038"/>
      <c r="F113" s="1038"/>
      <c r="G113" s="1044"/>
      <c r="H113" s="1044"/>
      <c r="I113" s="1056"/>
      <c r="J113" s="1044"/>
      <c r="K113" s="1044"/>
      <c r="L113" s="1011"/>
      <c r="M113" s="1026"/>
      <c r="N113" s="1016" t="s">
        <v>285</v>
      </c>
      <c r="O113" s="1016"/>
      <c r="P113" s="991"/>
      <c r="Q113" s="316">
        <f>COUNTIFS(input!$O:$O,August!$Q$75,input!$G:$G,August!N113,input!$A:$A,August!$B$2)</f>
        <v>0</v>
      </c>
      <c r="R113" s="316">
        <f>COUNTIFS(input!$O:$O,August!$R$75,input!$G:$G,August!N113,input!$A:$A,August!$B$2)</f>
        <v>0</v>
      </c>
      <c r="S113" s="316">
        <f>COUNTIFS(input!$O:$O,August!$S$75,input!$G:$G,August!N113,input!$A:$A,August!$B$2)</f>
        <v>0</v>
      </c>
      <c r="T113" s="321">
        <f>COUNTIFS(input!$O:$O,August!$T$75,input!$G:$G,August!N113,input!$A:$A,August!$B$2)</f>
        <v>1</v>
      </c>
      <c r="U113" s="322">
        <f>COUNTIFS(input!$O:$O,August!$U$75,input!$G:$G,August!N113,input!$A:$A,August!$B$2)</f>
        <v>0</v>
      </c>
      <c r="V113" s="322">
        <f>COUNTIFS(input!$O:$O,August!$V$75,input!$G:$G,August!N113,input!$A:$A,August!$B$2)</f>
        <v>0</v>
      </c>
      <c r="W113" s="323">
        <f>COUNTIFS(input!$O:$O,August!$W$75,input!$G:$G,August!N113,input!$A:$A,August!$B$2)</f>
        <v>0</v>
      </c>
      <c r="X113" s="324">
        <f>COUNTIFS(input!$O:$O,August!$X$75,input!$G:$G,August!N113,input!$A:$A,August!$B$2)</f>
        <v>0</v>
      </c>
      <c r="Y113" s="312">
        <f t="shared" si="21"/>
        <v>1</v>
      </c>
      <c r="Z113" s="315" cm="1">
        <f t="array" ref="Z113">_xlfn.IFS(Y113=0,0,Y113&gt;=1,Y113/$Y$133)</f>
        <v>6.25E-2</v>
      </c>
    </row>
    <row r="114" spans="2:26" ht="92" customHeight="1" x14ac:dyDescent="0.25">
      <c r="B114" s="1030"/>
      <c r="C114" s="1031"/>
      <c r="D114" s="1038"/>
      <c r="E114" s="1038"/>
      <c r="F114" s="1038"/>
      <c r="G114" s="1044"/>
      <c r="H114" s="1044"/>
      <c r="I114" s="1056"/>
      <c r="J114" s="1044"/>
      <c r="K114" s="1044"/>
      <c r="L114" s="1011"/>
      <c r="M114" s="1026"/>
      <c r="N114" s="1016" t="s">
        <v>142</v>
      </c>
      <c r="O114" s="1016"/>
      <c r="P114" s="991"/>
      <c r="Q114" s="316">
        <f>COUNTIFS(input!$O:$O,August!$Q$75,input!$G:$G,August!N114,input!$A:$A,August!$B$2)</f>
        <v>0</v>
      </c>
      <c r="R114" s="316">
        <f>COUNTIFS(input!$O:$O,August!$R$75,input!$G:$G,August!N114,input!$A:$A,August!$B$2)</f>
        <v>0</v>
      </c>
      <c r="S114" s="316">
        <f>COUNTIFS(input!$O:$O,August!$S$75,input!$G:$G,August!N114,input!$A:$A,August!$B$2)</f>
        <v>0</v>
      </c>
      <c r="T114" s="321">
        <f>COUNTIFS(input!$O:$O,August!$T$75,input!$G:$G,August!N114,input!$A:$A,August!$B$2)</f>
        <v>1</v>
      </c>
      <c r="U114" s="322">
        <f>COUNTIFS(input!$O:$O,August!$U$75,input!$G:$G,August!N114,input!$A:$A,August!$B$2)</f>
        <v>0</v>
      </c>
      <c r="V114" s="322">
        <f>COUNTIFS(input!$O:$O,August!$V$75,input!$G:$G,August!N114,input!$A:$A,August!$B$2)</f>
        <v>0</v>
      </c>
      <c r="W114" s="323">
        <f>COUNTIFS(input!$O:$O,August!$W$75,input!$G:$G,August!N114,input!$A:$A,August!$B$2)</f>
        <v>0</v>
      </c>
      <c r="X114" s="324">
        <f>COUNTIFS(input!$O:$O,August!$X$75,input!$G:$G,August!N114,input!$A:$A,August!$B$2)</f>
        <v>0</v>
      </c>
      <c r="Y114" s="312">
        <f t="shared" si="21"/>
        <v>1</v>
      </c>
      <c r="Z114" s="315" cm="1">
        <f t="array" ref="Z114">_xlfn.IFS(Y114=0,0,Y114&gt;=1,Y114/$Y$133)</f>
        <v>6.25E-2</v>
      </c>
    </row>
    <row r="115" spans="2:26" ht="92" hidden="1" customHeight="1" x14ac:dyDescent="0.25">
      <c r="B115" s="1030"/>
      <c r="C115" s="1031"/>
      <c r="D115" s="1038"/>
      <c r="E115" s="1038"/>
      <c r="F115" s="1038"/>
      <c r="G115" s="1044"/>
      <c r="H115" s="1044"/>
      <c r="I115" s="1056"/>
      <c r="J115" s="1044"/>
      <c r="K115" s="1044"/>
      <c r="L115" s="1011"/>
      <c r="M115" s="1026"/>
      <c r="N115" s="1065" t="s">
        <v>778</v>
      </c>
      <c r="O115" s="1065"/>
      <c r="P115" s="1066"/>
      <c r="Q115" s="316">
        <f>COUNTIFS(input!$O:$O,August!$Q$75,input!$G:$G,August!N115,input!$A:$A,August!$B$2)</f>
        <v>0</v>
      </c>
      <c r="R115" s="316">
        <f>COUNTIFS(input!$O:$O,August!$R$75,input!$G:$G,August!N115,input!$A:$A,August!$B$2)</f>
        <v>0</v>
      </c>
      <c r="S115" s="316">
        <f>COUNTIFS(input!$O:$O,August!$S$75,input!$G:$G,August!N115,input!$A:$A,August!$B$2)</f>
        <v>0</v>
      </c>
      <c r="T115" s="321">
        <f>COUNTIFS(input!$O:$O,August!$T$75,input!$G:$G,August!N115,input!$A:$A,August!$B$2)</f>
        <v>0</v>
      </c>
      <c r="U115" s="322">
        <f>COUNTIFS(input!$O:$O,August!$U$75,input!$G:$G,August!N115,input!$A:$A,August!$B$2)</f>
        <v>0</v>
      </c>
      <c r="V115" s="322">
        <f>COUNTIFS(input!$O:$O,August!$V$75,input!$G:$G,August!N115,input!$A:$A,August!$B$2)</f>
        <v>0</v>
      </c>
      <c r="W115" s="323">
        <f>COUNTIFS(input!$O:$O,August!$W$75,input!$G:$G,August!N115,input!$A:$A,August!$B$2)</f>
        <v>0</v>
      </c>
      <c r="X115" s="324">
        <f>COUNTIFS(input!$O:$O,August!$X$75,input!$G:$G,August!N115,input!$A:$A,August!$B$2)</f>
        <v>0</v>
      </c>
      <c r="Y115" s="312">
        <f t="shared" si="21"/>
        <v>0</v>
      </c>
      <c r="Z115" s="315" cm="1">
        <f t="array" ref="Z115">_xlfn.IFS(Y115=0,0,Y115&gt;=1,Y115/$Y$133)</f>
        <v>0</v>
      </c>
    </row>
    <row r="116" spans="2:26" ht="92" hidden="1" customHeight="1" x14ac:dyDescent="0.25">
      <c r="B116" s="1030"/>
      <c r="C116" s="1031"/>
      <c r="D116" s="1038"/>
      <c r="E116" s="1038"/>
      <c r="F116" s="1038"/>
      <c r="G116" s="1044"/>
      <c r="H116" s="1044"/>
      <c r="I116" s="1056"/>
      <c r="J116" s="1044"/>
      <c r="K116" s="1044"/>
      <c r="L116" s="1011"/>
      <c r="M116" s="1026"/>
      <c r="N116" s="1065" t="s">
        <v>1411</v>
      </c>
      <c r="O116" s="1065"/>
      <c r="P116" s="1066"/>
      <c r="Q116" s="316">
        <f>COUNTIFS(input!$O:$O,August!$Q$75,input!$G:$G,August!N116,input!$A:$A,August!$B$2)</f>
        <v>0</v>
      </c>
      <c r="R116" s="316">
        <f>COUNTIFS(input!$O:$O,August!$R$75,input!$G:$G,August!N116,input!$A:$A,August!$B$2)</f>
        <v>0</v>
      </c>
      <c r="S116" s="316">
        <f>COUNTIFS(input!$O:$O,August!$S$75,input!$G:$G,August!N116,input!$A:$A,August!$B$2)</f>
        <v>0</v>
      </c>
      <c r="T116" s="321">
        <f>COUNTIFS(input!$O:$O,August!$T$75,input!$G:$G,August!N116,input!$A:$A,August!$B$2)</f>
        <v>0</v>
      </c>
      <c r="U116" s="322">
        <f>COUNTIFS(input!$O:$O,August!$U$75,input!$G:$G,August!N116,input!$A:$A,August!$B$2)</f>
        <v>0</v>
      </c>
      <c r="V116" s="322">
        <f>COUNTIFS(input!$O:$O,August!$V$75,input!$G:$G,August!N116,input!$A:$A,August!$B$2)</f>
        <v>0</v>
      </c>
      <c r="W116" s="323">
        <f>COUNTIFS(input!$O:$O,August!$W$75,input!$G:$G,August!N116,input!$A:$A,August!$B$2)</f>
        <v>0</v>
      </c>
      <c r="X116" s="324">
        <f>COUNTIFS(input!$O:$O,August!$X$75,input!$G:$G,August!N116,input!$A:$A,August!$B$2)</f>
        <v>0</v>
      </c>
      <c r="Y116" s="312">
        <f t="shared" si="21"/>
        <v>0</v>
      </c>
      <c r="Z116" s="315" cm="1">
        <f t="array" ref="Z116">_xlfn.IFS(Y116=0,0,Y116&gt;=1,Y116/$Y$133)</f>
        <v>0</v>
      </c>
    </row>
    <row r="117" spans="2:26" ht="92" hidden="1" customHeight="1" x14ac:dyDescent="0.25">
      <c r="B117" s="1030"/>
      <c r="C117" s="1031"/>
      <c r="D117" s="1038"/>
      <c r="E117" s="1038"/>
      <c r="F117" s="1038"/>
      <c r="G117" s="1044"/>
      <c r="H117" s="1044"/>
      <c r="I117" s="1056"/>
      <c r="J117" s="1044"/>
      <c r="K117" s="1044"/>
      <c r="L117" s="1011"/>
      <c r="M117" s="1026"/>
      <c r="N117" s="1121" t="s">
        <v>877</v>
      </c>
      <c r="O117" s="1065"/>
      <c r="P117" s="1066"/>
      <c r="Q117" s="316">
        <f>COUNTIFS(input!$O:$O,August!$Q$75,input!$G:$G,August!N117,input!$A:$A,August!$B$2)</f>
        <v>0</v>
      </c>
      <c r="R117" s="316">
        <f>COUNTIFS(input!$O:$O,August!$R$75,input!$G:$G,August!N117,input!$A:$A,August!$B$2)</f>
        <v>0</v>
      </c>
      <c r="S117" s="316">
        <f>COUNTIFS(input!$O:$O,August!$S$75,input!$G:$G,August!N117,input!$A:$A,August!$B$2)</f>
        <v>0</v>
      </c>
      <c r="T117" s="321">
        <f>COUNTIFS(input!$O:$O,August!$T$75,input!$G:$G,August!N117,input!$A:$A,August!$B$2)</f>
        <v>0</v>
      </c>
      <c r="U117" s="322">
        <f>COUNTIFS(input!$O:$O,August!$U$75,input!$G:$G,August!N117,input!$A:$A,August!$B$2)</f>
        <v>0</v>
      </c>
      <c r="V117" s="322">
        <f>COUNTIFS(input!$O:$O,August!$V$75,input!$G:$G,August!N117,input!$A:$A,August!$B$2)</f>
        <v>0</v>
      </c>
      <c r="W117" s="323">
        <f>COUNTIFS(input!$O:$O,August!$W$75,input!$G:$G,August!N117,input!$A:$A,August!$B$2)</f>
        <v>0</v>
      </c>
      <c r="X117" s="324">
        <f>COUNTIFS(input!$O:$O,August!$X$75,input!$G:$G,August!N117,input!$A:$A,August!$B$2)</f>
        <v>0</v>
      </c>
      <c r="Y117" s="312">
        <f t="shared" si="21"/>
        <v>0</v>
      </c>
      <c r="Z117" s="315" cm="1">
        <f t="array" ref="Z117">_xlfn.IFS(Y117=0,0,Y117&gt;=1,Y117/$Y$133)</f>
        <v>0</v>
      </c>
    </row>
    <row r="118" spans="2:26" ht="92" hidden="1" customHeight="1" x14ac:dyDescent="0.25">
      <c r="B118" s="1030"/>
      <c r="C118" s="1031"/>
      <c r="D118" s="1038"/>
      <c r="E118" s="1038"/>
      <c r="F118" s="1038"/>
      <c r="G118" s="1044"/>
      <c r="H118" s="1044"/>
      <c r="I118" s="1056"/>
      <c r="J118" s="1044"/>
      <c r="K118" s="1044"/>
      <c r="L118" s="1011"/>
      <c r="M118" s="1026"/>
      <c r="N118" s="1065" t="s">
        <v>356</v>
      </c>
      <c r="O118" s="1065"/>
      <c r="P118" s="1066"/>
      <c r="Q118" s="316">
        <f>COUNTIFS(input!$O:$O,August!$Q$75,input!$G:$G,August!N118,input!$A:$A,August!$B$2)</f>
        <v>0</v>
      </c>
      <c r="R118" s="316">
        <f>COUNTIFS(input!$O:$O,August!$R$75,input!$G:$G,August!N118,input!$A:$A,August!$B$2)</f>
        <v>0</v>
      </c>
      <c r="S118" s="316">
        <f>COUNTIFS(input!$O:$O,August!$S$75,input!$G:$G,August!N118,input!$A:$A,August!$B$2)</f>
        <v>0</v>
      </c>
      <c r="T118" s="321">
        <f>COUNTIFS(input!$O:$O,August!$T$75,input!$G:$G,August!N118,input!$A:$A,August!$B$2)</f>
        <v>0</v>
      </c>
      <c r="U118" s="322">
        <f>COUNTIFS(input!$O:$O,August!$U$75,input!$G:$G,August!N118,input!$A:$A,August!$B$2)</f>
        <v>0</v>
      </c>
      <c r="V118" s="322">
        <f>COUNTIFS(input!$O:$O,August!$V$75,input!$G:$G,August!N118,input!$A:$A,August!$B$2)</f>
        <v>0</v>
      </c>
      <c r="W118" s="323">
        <f>COUNTIFS(input!$O:$O,August!$W$75,input!$G:$G,August!N118,input!$A:$A,August!$B$2)</f>
        <v>0</v>
      </c>
      <c r="X118" s="324">
        <f>COUNTIFS(input!$O:$O,August!$X$75,input!$G:$G,August!N118,input!$A:$A,August!$B$2)</f>
        <v>0</v>
      </c>
      <c r="Y118" s="312">
        <f t="shared" si="21"/>
        <v>0</v>
      </c>
      <c r="Z118" s="315" cm="1">
        <f t="array" ref="Z118">_xlfn.IFS(Y118=0,0,Y118&gt;=1,Y118/$Y$133)</f>
        <v>0</v>
      </c>
    </row>
    <row r="119" spans="2:26" ht="92" hidden="1" customHeight="1" x14ac:dyDescent="0.25">
      <c r="B119" s="1030"/>
      <c r="C119" s="1031"/>
      <c r="D119" s="1038"/>
      <c r="E119" s="1038"/>
      <c r="F119" s="1038"/>
      <c r="G119" s="1044"/>
      <c r="H119" s="1044"/>
      <c r="I119" s="1056"/>
      <c r="J119" s="1044"/>
      <c r="K119" s="1044"/>
      <c r="L119" s="1011"/>
      <c r="M119" s="1026"/>
      <c r="N119" s="1065" t="s">
        <v>760</v>
      </c>
      <c r="O119" s="1065"/>
      <c r="P119" s="1066"/>
      <c r="Q119" s="316">
        <f>COUNTIFS(input!$O:$O,August!$Q$75,input!$G:$G,August!N119,input!$A:$A,August!$B$2)</f>
        <v>0</v>
      </c>
      <c r="R119" s="316">
        <f>COUNTIFS(input!$O:$O,August!$R$75,input!$G:$G,August!N119,input!$A:$A,August!$B$2)</f>
        <v>0</v>
      </c>
      <c r="S119" s="316">
        <f>COUNTIFS(input!$O:$O,August!$S$75,input!$G:$G,August!N119,input!$A:$A,August!$B$2)</f>
        <v>0</v>
      </c>
      <c r="T119" s="321">
        <f>COUNTIFS(input!$O:$O,August!$T$75,input!$G:$G,August!N119,input!$A:$A,August!$B$2)</f>
        <v>0</v>
      </c>
      <c r="U119" s="322">
        <f>COUNTIFS(input!$O:$O,August!$U$75,input!$G:$G,August!N119,input!$A:$A,August!$B$2)</f>
        <v>0</v>
      </c>
      <c r="V119" s="322">
        <f>COUNTIFS(input!$O:$O,August!$V$75,input!$G:$G,August!N119,input!$A:$A,August!$B$2)</f>
        <v>0</v>
      </c>
      <c r="W119" s="323">
        <f>COUNTIFS(input!$O:$O,August!$W$75,input!$G:$G,August!N119,input!$A:$A,August!$B$2)</f>
        <v>0</v>
      </c>
      <c r="X119" s="324">
        <f>COUNTIFS(input!$O:$O,August!$X$75,input!$G:$G,August!N119,input!$A:$A,August!$B$2)</f>
        <v>0</v>
      </c>
      <c r="Y119" s="312">
        <f t="shared" si="21"/>
        <v>0</v>
      </c>
      <c r="Z119" s="315" cm="1">
        <f t="array" ref="Z119">_xlfn.IFS(Y119=0,0,Y119&gt;=1,Y119/$Y$133)</f>
        <v>0</v>
      </c>
    </row>
    <row r="120" spans="2:26" ht="92" hidden="1" customHeight="1" x14ac:dyDescent="0.25">
      <c r="B120" s="1030"/>
      <c r="C120" s="1031"/>
      <c r="D120" s="1038"/>
      <c r="E120" s="1038"/>
      <c r="F120" s="1038"/>
      <c r="G120" s="1044"/>
      <c r="H120" s="1044"/>
      <c r="I120" s="1056"/>
      <c r="J120" s="1044"/>
      <c r="K120" s="1044"/>
      <c r="L120" s="1011"/>
      <c r="M120" s="1026"/>
      <c r="N120" s="1065" t="s">
        <v>414</v>
      </c>
      <c r="O120" s="1065"/>
      <c r="P120" s="1066"/>
      <c r="Q120" s="316">
        <f>COUNTIFS(input!$O:$O,August!$Q$75,input!$G:$G,August!N120,input!$A:$A,August!$B$2)</f>
        <v>0</v>
      </c>
      <c r="R120" s="316">
        <f>COUNTIFS(input!$O:$O,August!$R$75,input!$G:$G,August!N120,input!$A:$A,August!$B$2)</f>
        <v>0</v>
      </c>
      <c r="S120" s="316">
        <f>COUNTIFS(input!$O:$O,August!$S$75,input!$G:$G,August!N120,input!$A:$A,August!$B$2)</f>
        <v>0</v>
      </c>
      <c r="T120" s="321">
        <f>COUNTIFS(input!$O:$O,August!$T$75,input!$G:$G,August!N120,input!$A:$A,August!$B$2)</f>
        <v>0</v>
      </c>
      <c r="U120" s="322">
        <f>COUNTIFS(input!$O:$O,August!$U$75,input!$G:$G,August!N120,input!$A:$A,August!$B$2)</f>
        <v>0</v>
      </c>
      <c r="V120" s="322">
        <f>COUNTIFS(input!$O:$O,August!$V$75,input!$G:$G,August!N120,input!$A:$A,August!$B$2)</f>
        <v>0</v>
      </c>
      <c r="W120" s="323">
        <f>COUNTIFS(input!$O:$O,August!$W$75,input!$G:$G,August!N120,input!$A:$A,August!$B$2)</f>
        <v>0</v>
      </c>
      <c r="X120" s="324">
        <f>COUNTIFS(input!$O:$O,August!$X$75,input!$G:$G,August!N120,input!$A:$A,August!$B$2)</f>
        <v>0</v>
      </c>
      <c r="Y120" s="312">
        <f t="shared" si="21"/>
        <v>0</v>
      </c>
      <c r="Z120" s="315" cm="1">
        <f t="array" ref="Z120">_xlfn.IFS(Y120=0,0,Y120&gt;=1,Y120/$Y$133)</f>
        <v>0</v>
      </c>
    </row>
    <row r="121" spans="2:26" ht="92" customHeight="1" x14ac:dyDescent="0.25">
      <c r="B121" s="1030"/>
      <c r="C121" s="1031"/>
      <c r="D121" s="1038"/>
      <c r="E121" s="1038"/>
      <c r="F121" s="1038"/>
      <c r="G121" s="1044"/>
      <c r="H121" s="1044"/>
      <c r="I121" s="1056"/>
      <c r="J121" s="1044"/>
      <c r="K121" s="1044"/>
      <c r="L121" s="1011"/>
      <c r="M121" s="1026"/>
      <c r="N121" s="1016" t="s">
        <v>23</v>
      </c>
      <c r="O121" s="1016"/>
      <c r="P121" s="991"/>
      <c r="Q121" s="316">
        <f>COUNTIFS(input!$O:$O,August!$Q$75,input!$G:$G,August!N121,input!$A:$A,August!$B$2)</f>
        <v>0</v>
      </c>
      <c r="R121" s="316">
        <f>COUNTIFS(input!$O:$O,August!$R$75,input!$G:$G,August!N121,input!$A:$A,August!$B$2)</f>
        <v>0</v>
      </c>
      <c r="S121" s="316">
        <f>COUNTIFS(input!$O:$O,August!$S$75,input!$G:$G,August!N121,input!$A:$A,August!$B$2)</f>
        <v>0</v>
      </c>
      <c r="T121" s="321">
        <f>COUNTIFS(input!$O:$O,August!$T$75,input!$G:$G,August!N121,input!$A:$A,August!$B$2)</f>
        <v>1</v>
      </c>
      <c r="U121" s="322">
        <f>COUNTIFS(input!$O:$O,August!$U$75,input!$G:$G,August!N121,input!$A:$A,August!$B$2)</f>
        <v>0</v>
      </c>
      <c r="V121" s="322">
        <f>COUNTIFS(input!$O:$O,August!$V$75,input!$G:$G,August!N121,input!$A:$A,August!$B$2)</f>
        <v>1</v>
      </c>
      <c r="W121" s="323">
        <f>COUNTIFS(input!$O:$O,August!$W$75,input!$G:$G,August!N121,input!$A:$A,August!$B$2)</f>
        <v>0</v>
      </c>
      <c r="X121" s="324">
        <f>COUNTIFS(input!$O:$O,August!$X$75,input!$G:$G,August!N121,input!$A:$A,August!$B$2)</f>
        <v>0</v>
      </c>
      <c r="Y121" s="312">
        <f t="shared" si="21"/>
        <v>2</v>
      </c>
      <c r="Z121" s="315" cm="1">
        <f t="array" ref="Z121">_xlfn.IFS(Y121=0,0,Y121&gt;=1,Y121/$Y$133)</f>
        <v>0.125</v>
      </c>
    </row>
    <row r="122" spans="2:26" ht="92" customHeight="1" x14ac:dyDescent="0.25">
      <c r="B122" s="1030"/>
      <c r="C122" s="1031"/>
      <c r="D122" s="1038"/>
      <c r="E122" s="1038"/>
      <c r="F122" s="1038"/>
      <c r="G122" s="1044"/>
      <c r="H122" s="1044"/>
      <c r="I122" s="1056"/>
      <c r="J122" s="1044"/>
      <c r="K122" s="1044"/>
      <c r="L122" s="1011"/>
      <c r="M122" s="1026"/>
      <c r="N122" s="1016" t="s">
        <v>2029</v>
      </c>
      <c r="O122" s="1016"/>
      <c r="P122" s="991"/>
      <c r="Q122" s="316">
        <f>COUNTIFS(input!$O:$O,August!$Q$75,input!$G:$G,August!N122,input!$A:$A,August!$B$2)</f>
        <v>0</v>
      </c>
      <c r="R122" s="316">
        <f>COUNTIFS(input!$O:$O,August!$R$75,input!$G:$G,August!N122,input!$A:$A,August!$B$2)</f>
        <v>0</v>
      </c>
      <c r="S122" s="316">
        <f>COUNTIFS(input!$O:$O,August!$S$75,input!$G:$G,August!N122,input!$A:$A,August!$B$2)</f>
        <v>0</v>
      </c>
      <c r="T122" s="321">
        <f>COUNTIFS(input!$O:$O,August!$T$75,input!$G:$G,August!N122,input!$A:$A,August!$B$2)</f>
        <v>1</v>
      </c>
      <c r="U122" s="322">
        <f>COUNTIFS(input!$O:$O,August!$U$75,input!$G:$G,August!N122,input!$A:$A,August!$B$2)</f>
        <v>0</v>
      </c>
      <c r="V122" s="322">
        <f>COUNTIFS(input!$O:$O,August!$V$75,input!$G:$G,August!N122,input!$A:$A,August!$B$2)</f>
        <v>0</v>
      </c>
      <c r="W122" s="323">
        <f>COUNTIFS(input!$O:$O,August!$W$75,input!$G:$G,August!N122,input!$A:$A,August!$B$2)</f>
        <v>0</v>
      </c>
      <c r="X122" s="324">
        <f>COUNTIFS(input!$O:$O,August!$X$75,input!$G:$G,August!N122,input!$A:$A,August!$B$2)</f>
        <v>0</v>
      </c>
      <c r="Y122" s="312">
        <f>SUM(Q122:X122)</f>
        <v>1</v>
      </c>
      <c r="Z122" s="315" cm="1">
        <f t="array" ref="Z122">_xlfn.IFS(Y122=0,0,Y122&gt;=1,Y122/$Y$133)</f>
        <v>6.25E-2</v>
      </c>
    </row>
    <row r="123" spans="2:26" ht="92" hidden="1" customHeight="1" x14ac:dyDescent="0.25">
      <c r="B123" s="1030"/>
      <c r="C123" s="1031"/>
      <c r="D123" s="1038"/>
      <c r="E123" s="1038"/>
      <c r="F123" s="1038"/>
      <c r="G123" s="1044"/>
      <c r="H123" s="1044"/>
      <c r="I123" s="1056"/>
      <c r="J123" s="1044"/>
      <c r="K123" s="1044"/>
      <c r="L123" s="1011"/>
      <c r="M123" s="1026"/>
      <c r="N123" s="1065" t="s">
        <v>704</v>
      </c>
      <c r="O123" s="1065"/>
      <c r="P123" s="1066"/>
      <c r="Q123" s="316">
        <f>COUNTIFS(input!$O:$O,August!$Q$75,input!$G:$G,August!N123,input!$A:$A,August!$B$2)</f>
        <v>0</v>
      </c>
      <c r="R123" s="316">
        <f>COUNTIFS(input!$O:$O,August!$R$75,input!$G:$G,August!N123,input!$A:$A,August!$B$2)</f>
        <v>0</v>
      </c>
      <c r="S123" s="316">
        <f>COUNTIFS(input!$O:$O,August!$S$75,input!$G:$G,August!N123,input!$A:$A,August!$B$2)</f>
        <v>0</v>
      </c>
      <c r="T123" s="321">
        <f>COUNTIFS(input!$O:$O,August!$T$75,input!$G:$G,August!N123,input!$A:$A,August!$B$2)</f>
        <v>0</v>
      </c>
      <c r="U123" s="322">
        <f>COUNTIFS(input!$O:$O,August!$U$75,input!$G:$G,August!N123,input!$A:$A,August!$B$2)</f>
        <v>0</v>
      </c>
      <c r="V123" s="322">
        <f>COUNTIFS(input!$O:$O,August!$V$75,input!$G:$G,August!N123,input!$A:$A,August!$B$2)</f>
        <v>0</v>
      </c>
      <c r="W123" s="323">
        <f>COUNTIFS(input!$O:$O,August!$W$75,input!$G:$G,August!N123,input!$A:$A,August!$B$2)</f>
        <v>0</v>
      </c>
      <c r="X123" s="324">
        <f>COUNTIFS(input!$O:$O,August!$X$75,input!$G:$G,August!N123,input!$A:$A,August!$B$2)</f>
        <v>0</v>
      </c>
      <c r="Y123" s="312">
        <f t="shared" ref="Y123:Y129" si="23">SUM(Q123:X123)</f>
        <v>0</v>
      </c>
      <c r="Z123" s="315" cm="1">
        <f t="array" ref="Z123">_xlfn.IFS(Y123=0,0,Y123&gt;=1,Y123/$Y$133)</f>
        <v>0</v>
      </c>
    </row>
    <row r="124" spans="2:26" ht="92" hidden="1" customHeight="1" x14ac:dyDescent="0.25">
      <c r="B124" s="1030"/>
      <c r="C124" s="1031"/>
      <c r="D124" s="1038"/>
      <c r="E124" s="1038"/>
      <c r="F124" s="1038"/>
      <c r="G124" s="1044"/>
      <c r="H124" s="1044"/>
      <c r="I124" s="1056"/>
      <c r="J124" s="1044"/>
      <c r="K124" s="1044"/>
      <c r="L124" s="1011"/>
      <c r="M124" s="1026"/>
      <c r="N124" s="1065" t="s">
        <v>710</v>
      </c>
      <c r="O124" s="1065"/>
      <c r="P124" s="1066"/>
      <c r="Q124" s="316">
        <f>COUNTIFS(input!$O:$O,August!$Q$75,input!$G:$G,August!N124,input!$A:$A,August!$B$2)</f>
        <v>0</v>
      </c>
      <c r="R124" s="316">
        <f>COUNTIFS(input!$O:$O,August!$R$75,input!$G:$G,August!N124,input!$A:$A,August!$B$2)</f>
        <v>0</v>
      </c>
      <c r="S124" s="316">
        <f>COUNTIFS(input!$O:$O,August!$S$75,input!$G:$G,August!N124,input!$A:$A,August!$B$2)</f>
        <v>0</v>
      </c>
      <c r="T124" s="321">
        <f>COUNTIFS(input!$O:$O,August!$T$75,input!$G:$G,August!N124,input!$A:$A,August!$B$2)</f>
        <v>0</v>
      </c>
      <c r="U124" s="322">
        <f>COUNTIFS(input!$O:$O,August!$U$75,input!$G:$G,August!N124,input!$A:$A,August!$B$2)</f>
        <v>0</v>
      </c>
      <c r="V124" s="322">
        <f>COUNTIFS(input!$O:$O,August!$V$75,input!$G:$G,August!N124,input!$A:$A,August!$B$2)</f>
        <v>0</v>
      </c>
      <c r="W124" s="323">
        <f>COUNTIFS(input!$O:$O,August!$W$75,input!$G:$G,August!N124,input!$A:$A,August!$B$2)</f>
        <v>0</v>
      </c>
      <c r="X124" s="324">
        <f>COUNTIFS(input!$O:$O,August!$X$75,input!$G:$G,August!N124,input!$A:$A,August!$B$2)</f>
        <v>0</v>
      </c>
      <c r="Y124" s="312">
        <f t="shared" si="23"/>
        <v>0</v>
      </c>
      <c r="Z124" s="315" cm="1">
        <f t="array" ref="Z124">_xlfn.IFS(Y124=0,0,Y124&gt;=1,Y124/$Y$133)</f>
        <v>0</v>
      </c>
    </row>
    <row r="125" spans="2:26" ht="92" hidden="1" customHeight="1" x14ac:dyDescent="0.25">
      <c r="B125" s="1030"/>
      <c r="C125" s="1031"/>
      <c r="D125" s="1038"/>
      <c r="E125" s="1038"/>
      <c r="F125" s="1038"/>
      <c r="G125" s="1044"/>
      <c r="H125" s="1044"/>
      <c r="I125" s="1056"/>
      <c r="J125" s="1044"/>
      <c r="K125" s="1044"/>
      <c r="L125" s="1011"/>
      <c r="M125" s="1026"/>
      <c r="N125" s="1065" t="s">
        <v>1407</v>
      </c>
      <c r="O125" s="1065"/>
      <c r="P125" s="1066"/>
      <c r="Q125" s="316">
        <f>COUNTIFS(input!$O:$O,August!$Q$75,input!$G:$G,August!N125,input!$A:$A,August!$B$2)</f>
        <v>0</v>
      </c>
      <c r="R125" s="316">
        <f>COUNTIFS(input!$O:$O,August!$R$75,input!$G:$G,August!N125,input!$A:$A,August!$B$2)</f>
        <v>0</v>
      </c>
      <c r="S125" s="316">
        <f>COUNTIFS(input!$O:$O,August!$S$75,input!$G:$G,August!N125,input!$A:$A,August!$B$2)</f>
        <v>0</v>
      </c>
      <c r="T125" s="321">
        <f>COUNTIFS(input!$O:$O,August!$T$75,input!$G:$G,August!N125,input!$A:$A,August!$B$2)</f>
        <v>0</v>
      </c>
      <c r="U125" s="322">
        <f>COUNTIFS(input!$O:$O,August!$U$75,input!$G:$G,August!N125,input!$A:$A,August!$B$2)</f>
        <v>0</v>
      </c>
      <c r="V125" s="322">
        <f>COUNTIFS(input!$O:$O,August!$V$75,input!$G:$G,August!N125,input!$A:$A,August!$B$2)</f>
        <v>0</v>
      </c>
      <c r="W125" s="323">
        <f>COUNTIFS(input!$O:$O,August!$W$75,input!$G:$G,August!N125,input!$A:$A,August!$B$2)</f>
        <v>0</v>
      </c>
      <c r="X125" s="324">
        <f>COUNTIFS(input!$O:$O,August!$X$75,input!$G:$G,August!N125,input!$A:$A,August!$B$2)</f>
        <v>0</v>
      </c>
      <c r="Y125" s="312">
        <f t="shared" si="23"/>
        <v>0</v>
      </c>
      <c r="Z125" s="315" cm="1">
        <f t="array" ref="Z125">_xlfn.IFS(Y125=0,0,Y125&gt;=1,Y125/$Y$133)</f>
        <v>0</v>
      </c>
    </row>
    <row r="126" spans="2:26" ht="92" hidden="1" customHeight="1" x14ac:dyDescent="0.25">
      <c r="B126" s="1030"/>
      <c r="C126" s="1031"/>
      <c r="D126" s="1038"/>
      <c r="E126" s="1038"/>
      <c r="F126" s="1038"/>
      <c r="G126" s="1044"/>
      <c r="H126" s="1044"/>
      <c r="I126" s="1056"/>
      <c r="J126" s="1044"/>
      <c r="K126" s="1044"/>
      <c r="L126" s="1011"/>
      <c r="M126" s="1026"/>
      <c r="N126" s="1065" t="s">
        <v>779</v>
      </c>
      <c r="O126" s="1065"/>
      <c r="P126" s="1066"/>
      <c r="Q126" s="316">
        <f>COUNTIFS(input!$O:$O,August!$Q$75,input!$G:$G,August!N126,input!$A:$A,August!$B$2)</f>
        <v>0</v>
      </c>
      <c r="R126" s="316">
        <f>COUNTIFS(input!$O:$O,August!$R$75,input!$G:$G,August!N126,input!$A:$A,August!$B$2)</f>
        <v>0</v>
      </c>
      <c r="S126" s="316">
        <f>COUNTIFS(input!$O:$O,August!$S$75,input!$G:$G,August!N126,input!$A:$A,August!$B$2)</f>
        <v>0</v>
      </c>
      <c r="T126" s="321">
        <f>COUNTIFS(input!$O:$O,August!$T$75,input!$G:$G,August!N126,input!$A:$A,August!$B$2)</f>
        <v>0</v>
      </c>
      <c r="U126" s="322">
        <f>COUNTIFS(input!$O:$O,August!$U$75,input!$G:$G,August!N126,input!$A:$A,August!$B$2)</f>
        <v>0</v>
      </c>
      <c r="V126" s="322">
        <f>COUNTIFS(input!$O:$O,August!$V$75,input!$G:$G,August!N126,input!$A:$A,August!$B$2)</f>
        <v>0</v>
      </c>
      <c r="W126" s="323">
        <f>COUNTIFS(input!$O:$O,August!$W$75,input!$G:$G,August!N126,input!$A:$A,August!$B$2)</f>
        <v>0</v>
      </c>
      <c r="X126" s="324">
        <f>COUNTIFS(input!$O:$O,August!$X$75,input!$G:$G,August!N126,input!$A:$A,August!$B$2)</f>
        <v>0</v>
      </c>
      <c r="Y126" s="312">
        <f t="shared" si="23"/>
        <v>0</v>
      </c>
      <c r="Z126" s="315" cm="1">
        <f t="array" ref="Z126">_xlfn.IFS(Y126=0,0,Y126&gt;=1,Y126/$Y$133)</f>
        <v>0</v>
      </c>
    </row>
    <row r="127" spans="2:26" ht="92" hidden="1" customHeight="1" x14ac:dyDescent="0.25">
      <c r="B127" s="1030"/>
      <c r="C127" s="1031"/>
      <c r="D127" s="1038"/>
      <c r="E127" s="1038"/>
      <c r="F127" s="1038"/>
      <c r="G127" s="1044"/>
      <c r="H127" s="1044"/>
      <c r="I127" s="1056"/>
      <c r="J127" s="1044"/>
      <c r="K127" s="1044"/>
      <c r="L127" s="1011"/>
      <c r="M127" s="1026"/>
      <c r="N127" s="1065" t="s">
        <v>1391</v>
      </c>
      <c r="O127" s="1065"/>
      <c r="P127" s="1066"/>
      <c r="Q127" s="316">
        <f>COUNTIFS(input!$O:$O,August!$Q$75,input!$G:$G,August!N127,input!$A:$A,August!$B$2)</f>
        <v>0</v>
      </c>
      <c r="R127" s="316">
        <f>COUNTIFS(input!$O:$O,August!$R$75,input!$G:$G,August!N127,input!$A:$A,August!$B$2)</f>
        <v>0</v>
      </c>
      <c r="S127" s="316">
        <f>COUNTIFS(input!$O:$O,August!$S$75,input!$G:$G,August!N127,input!$A:$A,August!$B$2)</f>
        <v>0</v>
      </c>
      <c r="T127" s="321">
        <f>COUNTIFS(input!$O:$O,August!$T$75,input!$G:$G,August!N127,input!$A:$A,August!$B$2)</f>
        <v>0</v>
      </c>
      <c r="U127" s="322">
        <f>COUNTIFS(input!$O:$O,August!$U$75,input!$G:$G,August!N127,input!$A:$A,August!$B$2)</f>
        <v>0</v>
      </c>
      <c r="V127" s="322">
        <f>COUNTIFS(input!$O:$O,August!$V$75,input!$G:$G,August!N127,input!$A:$A,August!$B$2)</f>
        <v>0</v>
      </c>
      <c r="W127" s="323">
        <f>COUNTIFS(input!$O:$O,August!$W$75,input!$G:$G,August!N127,input!$A:$A,August!$B$2)</f>
        <v>0</v>
      </c>
      <c r="X127" s="324">
        <f>COUNTIFS(input!$O:$O,August!$X$75,input!$G:$G,August!N127,input!$A:$A,August!$B$2)</f>
        <v>0</v>
      </c>
      <c r="Y127" s="312">
        <f t="shared" si="23"/>
        <v>0</v>
      </c>
      <c r="Z127" s="315" cm="1">
        <f t="array" ref="Z127">_xlfn.IFS(Y127=0,0,Y127&gt;=1,Y127/$Y$133)</f>
        <v>0</v>
      </c>
    </row>
    <row r="128" spans="2:26" ht="92" customHeight="1" x14ac:dyDescent="0.25">
      <c r="B128" s="1030"/>
      <c r="C128" s="1031"/>
      <c r="D128" s="1038"/>
      <c r="E128" s="1038"/>
      <c r="F128" s="1038"/>
      <c r="G128" s="1044"/>
      <c r="H128" s="1044"/>
      <c r="I128" s="1056"/>
      <c r="J128" s="1044"/>
      <c r="K128" s="1044"/>
      <c r="L128" s="1011"/>
      <c r="M128" s="1026"/>
      <c r="N128" s="1016" t="s">
        <v>389</v>
      </c>
      <c r="O128" s="1016"/>
      <c r="P128" s="991"/>
      <c r="Q128" s="316">
        <f>COUNTIFS(input!$O:$O,August!$Q$75,input!$G:$G,August!N128,input!$A:$A,August!$B$2)</f>
        <v>0</v>
      </c>
      <c r="R128" s="316">
        <f>COUNTIFS(input!$O:$O,August!$R$75,input!$G:$G,August!N128,input!$A:$A,August!$B$2)</f>
        <v>0</v>
      </c>
      <c r="S128" s="316">
        <f>COUNTIFS(input!$O:$O,August!$S$75,input!$G:$G,August!N128,input!$A:$A,August!$B$2)</f>
        <v>0</v>
      </c>
      <c r="T128" s="321">
        <f>COUNTIFS(input!$O:$O,August!$T$75,input!$G:$G,August!N128,input!$A:$A,August!$B$2)</f>
        <v>2</v>
      </c>
      <c r="U128" s="322">
        <f>COUNTIFS(input!$O:$O,August!$U$75,input!$G:$G,August!N128,input!$A:$A,August!$B$2)</f>
        <v>0</v>
      </c>
      <c r="V128" s="322">
        <f>COUNTIFS(input!$O:$O,August!$V$75,input!$G:$G,August!N128,input!$A:$A,August!$B$2)</f>
        <v>0</v>
      </c>
      <c r="W128" s="323">
        <f>COUNTIFS(input!$O:$O,August!$W$75,input!$G:$G,August!N128,input!$A:$A,August!$B$2)</f>
        <v>0</v>
      </c>
      <c r="X128" s="324">
        <f>COUNTIFS(input!$O:$O,August!$X$75,input!$G:$G,August!N128,input!$A:$A,August!$B$2)</f>
        <v>0</v>
      </c>
      <c r="Y128" s="312">
        <f t="shared" ref="Y128" si="24">SUM(Q128:X128)</f>
        <v>2</v>
      </c>
      <c r="Z128" s="315" cm="1">
        <f t="array" ref="Z128">_xlfn.IFS(Y128=0,0,Y128&gt;=1,Y128/$Y$133)</f>
        <v>0.125</v>
      </c>
    </row>
    <row r="129" spans="2:26" ht="92" hidden="1" customHeight="1" x14ac:dyDescent="0.25">
      <c r="B129" s="1030"/>
      <c r="C129" s="1031"/>
      <c r="D129" s="1038"/>
      <c r="E129" s="1038"/>
      <c r="F129" s="1038"/>
      <c r="G129" s="1044"/>
      <c r="H129" s="1044"/>
      <c r="I129" s="1056"/>
      <c r="J129" s="1044"/>
      <c r="K129" s="1044"/>
      <c r="L129" s="1011"/>
      <c r="M129" s="1026"/>
      <c r="N129" s="1065" t="s">
        <v>181</v>
      </c>
      <c r="O129" s="1065"/>
      <c r="P129" s="1066"/>
      <c r="Q129" s="316">
        <f>COUNTIFS(input!$O:$O,August!$Q$75,input!$G:$G,August!N129,input!$A:$A,August!$B$2)</f>
        <v>0</v>
      </c>
      <c r="R129" s="316">
        <f>COUNTIFS(input!$O:$O,August!$R$75,input!$G:$G,August!N129,input!$A:$A,August!$B$2)</f>
        <v>0</v>
      </c>
      <c r="S129" s="316">
        <f>COUNTIFS(input!$O:$O,August!$S$75,input!$G:$G,August!N129,input!$A:$A,August!$B$2)</f>
        <v>0</v>
      </c>
      <c r="T129" s="321">
        <f>COUNTIFS(input!$O:$O,August!$T$75,input!$G:$G,August!N129,input!$A:$A,August!$B$2)</f>
        <v>0</v>
      </c>
      <c r="U129" s="322">
        <f>COUNTIFS(input!$O:$O,August!$U$75,input!$G:$G,August!N129,input!$A:$A,August!$B$2)</f>
        <v>0</v>
      </c>
      <c r="V129" s="322">
        <f>COUNTIFS(input!$O:$O,August!$V$75,input!$G:$G,August!N129,input!$A:$A,August!$B$2)</f>
        <v>0</v>
      </c>
      <c r="W129" s="323">
        <f>COUNTIFS(input!$O:$O,August!$W$75,input!$G:$G,August!N129,input!$A:$A,August!$B$2)</f>
        <v>0</v>
      </c>
      <c r="X129" s="324">
        <f>COUNTIFS(input!$O:$O,August!$X$75,input!$G:$G,August!N129,input!$A:$A,August!$B$2)</f>
        <v>0</v>
      </c>
      <c r="Y129" s="312">
        <f t="shared" si="23"/>
        <v>0</v>
      </c>
      <c r="Z129" s="315" cm="1">
        <f t="array" ref="Z129">_xlfn.IFS(Y129=0,0,Y129&gt;=1,Y129/$Y$133)</f>
        <v>0</v>
      </c>
    </row>
    <row r="130" spans="2:26" ht="92" hidden="1" x14ac:dyDescent="0.25">
      <c r="B130" s="1030"/>
      <c r="C130" s="1031"/>
      <c r="D130" s="1038"/>
      <c r="E130" s="1038"/>
      <c r="F130" s="1038"/>
      <c r="G130" s="1044"/>
      <c r="H130" s="1044"/>
      <c r="I130" s="1056"/>
      <c r="J130" s="1044"/>
      <c r="K130" s="1044"/>
      <c r="L130" s="1011"/>
      <c r="M130" s="1026"/>
      <c r="N130" s="1065" t="s">
        <v>2168</v>
      </c>
      <c r="O130" s="1065"/>
      <c r="P130" s="1066"/>
      <c r="Q130" s="316">
        <f>COUNTIFS(input!$O:$O,August!$Q$75,input!$G:$G,August!N130,input!$A:$A,August!$B$2)</f>
        <v>0</v>
      </c>
      <c r="R130" s="316">
        <f>COUNTIFS(input!$O:$O,August!$R$75,input!$G:$G,August!N130,input!$A:$A,August!$B$2)</f>
        <v>0</v>
      </c>
      <c r="S130" s="316">
        <f>COUNTIFS(input!$O:$O,August!$S$75,input!$G:$G,August!N130,input!$A:$A,August!$B$2)</f>
        <v>0</v>
      </c>
      <c r="T130" s="321">
        <f>COUNTIFS(input!$O:$O,August!$T$75,input!$G:$G,August!N130,input!$A:$A,August!$B$2)</f>
        <v>0</v>
      </c>
      <c r="U130" s="322">
        <f>COUNTIFS(input!$O:$O,August!$U$75,input!$G:$G,August!N130,input!$A:$A,August!$B$2)</f>
        <v>0</v>
      </c>
      <c r="V130" s="322">
        <f>COUNTIFS(input!$O:$O,August!$V$75,input!$G:$G,August!N130,input!$A:$A,August!$B$2)</f>
        <v>0</v>
      </c>
      <c r="W130" s="323">
        <f>COUNTIFS(input!$O:$O,August!$W$75,input!$G:$G,August!N130,input!$A:$A,August!$B$2)</f>
        <v>0</v>
      </c>
      <c r="X130" s="324">
        <f>COUNTIFS(input!$O:$O,August!$X$75,input!$G:$G,August!N130,input!$A:$A,August!$B$2)</f>
        <v>0</v>
      </c>
      <c r="Y130" s="312">
        <f>SUM(Q130:X130)</f>
        <v>0</v>
      </c>
      <c r="Z130" s="315" cm="1">
        <f t="array" ref="Z130">_xlfn.IFS(Y130=0,0,Y130&gt;=1,Y130/$Y$133)</f>
        <v>0</v>
      </c>
    </row>
    <row r="131" spans="2:26" ht="92" hidden="1" x14ac:dyDescent="0.25">
      <c r="B131" s="1030"/>
      <c r="C131" s="1031"/>
      <c r="D131" s="1038"/>
      <c r="E131" s="1038"/>
      <c r="F131" s="1038"/>
      <c r="G131" s="1044"/>
      <c r="H131" s="1044"/>
      <c r="I131" s="1056"/>
      <c r="J131" s="1044"/>
      <c r="K131" s="1044"/>
      <c r="L131" s="1011"/>
      <c r="M131" s="1026"/>
      <c r="N131" s="1065" t="s">
        <v>1828</v>
      </c>
      <c r="O131" s="1065"/>
      <c r="P131" s="1066"/>
      <c r="Q131" s="316">
        <f>COUNTIFS(input!$O:$O,August!$Q$75,input!$G:$G,August!N131,input!$A:$A,August!$B$2)</f>
        <v>0</v>
      </c>
      <c r="R131" s="316">
        <f>COUNTIFS(input!$O:$O,August!$R$75,input!$G:$G,August!N131,input!$A:$A,August!$B$2)</f>
        <v>0</v>
      </c>
      <c r="S131" s="316">
        <f>COUNTIFS(input!$O:$O,August!$S$75,input!$G:$G,August!N131,input!$A:$A,August!$B$2)</f>
        <v>0</v>
      </c>
      <c r="T131" s="321">
        <f>COUNTIFS(input!$O:$O,August!$T$75,input!$G:$G,August!N131,input!$A:$A,August!$B$2)</f>
        <v>0</v>
      </c>
      <c r="U131" s="322">
        <f>COUNTIFS(input!$O:$O,August!$U$75,input!$G:$G,August!N131,input!$A:$A,August!$B$2)</f>
        <v>0</v>
      </c>
      <c r="V131" s="322">
        <f>COUNTIFS(input!$O:$O,August!$V$75,input!$G:$G,August!N131,input!$A:$A,August!$B$2)</f>
        <v>0</v>
      </c>
      <c r="W131" s="323">
        <f>COUNTIFS(input!$O:$O,August!$W$75,input!$G:$G,August!N131,input!$A:$A,August!$B$2)</f>
        <v>0</v>
      </c>
      <c r="X131" s="324">
        <f>COUNTIFS(input!$O:$O,August!$X$75,input!$G:$G,August!N131,input!$A:$A,August!$B$2)</f>
        <v>0</v>
      </c>
      <c r="Y131" s="312">
        <f t="shared" ref="Y131" si="25">SUM(Q131:X131)</f>
        <v>0</v>
      </c>
      <c r="Z131" s="315" cm="1">
        <f t="array" ref="Z131">_xlfn.IFS(Y131=0,0,Y131&gt;=1,Y131/$Y$133)</f>
        <v>0</v>
      </c>
    </row>
    <row r="132" spans="2:26" ht="92" hidden="1" x14ac:dyDescent="0.25">
      <c r="B132" s="1032"/>
      <c r="C132" s="1033"/>
      <c r="D132" s="1039"/>
      <c r="E132" s="1039"/>
      <c r="F132" s="1039"/>
      <c r="G132" s="1045"/>
      <c r="H132" s="1045"/>
      <c r="I132" s="1175"/>
      <c r="J132" s="1045"/>
      <c r="K132" s="1045"/>
      <c r="L132" s="1012"/>
      <c r="M132" s="1173"/>
      <c r="N132" s="1065" t="s">
        <v>2030</v>
      </c>
      <c r="O132" s="1065"/>
      <c r="P132" s="1066"/>
      <c r="Q132" s="316">
        <f>COUNTIFS(input!$O:$O,August!$Q$75,input!$G:$G,August!N132,input!$A:$A,August!$B$2)</f>
        <v>0</v>
      </c>
      <c r="R132" s="316">
        <f>COUNTIFS(input!$O:$O,August!$R$75,input!$G:$G,August!N132,input!$A:$A,August!$B$2)</f>
        <v>0</v>
      </c>
      <c r="S132" s="316">
        <f>COUNTIFS(input!$O:$O,August!$S$75,input!$G:$G,August!N132,input!$A:$A,August!$B$2)</f>
        <v>0</v>
      </c>
      <c r="T132" s="321">
        <f>COUNTIFS(input!$O:$O,August!$T$75,input!$G:$G,August!N132,input!$A:$A,August!$B$2)</f>
        <v>0</v>
      </c>
      <c r="U132" s="322">
        <f>COUNTIFS(input!$O:$O,August!$U$75,input!$G:$G,August!N132,input!$A:$A,August!$B$2)</f>
        <v>0</v>
      </c>
      <c r="V132" s="322">
        <f>COUNTIFS(input!$O:$O,August!$V$75,input!$G:$G,August!N132,input!$A:$A,August!$B$2)</f>
        <v>0</v>
      </c>
      <c r="W132" s="323">
        <f>COUNTIFS(input!$O:$O,August!$W$75,input!$G:$G,August!N132,input!$A:$A,August!$B$2)</f>
        <v>0</v>
      </c>
      <c r="X132" s="324">
        <f>COUNTIFS(input!$O:$O,August!$X$75,input!$G:$G,August!N132,input!$A:$A,August!$B$2)</f>
        <v>0</v>
      </c>
      <c r="Y132" s="312">
        <f>SUM(Q132:X132)</f>
        <v>0</v>
      </c>
      <c r="Z132" s="315" cm="1">
        <f t="array" ref="Z132">_xlfn.IFS(Y132=0,0,Y132&gt;=1,Y132/$Y$133)</f>
        <v>0</v>
      </c>
    </row>
    <row r="133" spans="2:26" ht="90.5" thickBot="1" x14ac:dyDescent="0.3">
      <c r="B133" s="1005" t="s">
        <v>4</v>
      </c>
      <c r="C133" s="984"/>
      <c r="D133" s="340">
        <f t="shared" ref="D133:M133" si="26">SUM(D76:D119)</f>
        <v>0</v>
      </c>
      <c r="E133" s="340">
        <f t="shared" si="26"/>
        <v>0</v>
      </c>
      <c r="F133" s="340">
        <f t="shared" si="26"/>
        <v>0</v>
      </c>
      <c r="G133" s="340">
        <f t="shared" si="26"/>
        <v>11</v>
      </c>
      <c r="H133" s="340">
        <f t="shared" si="26"/>
        <v>0</v>
      </c>
      <c r="I133" s="340">
        <f t="shared" si="26"/>
        <v>3</v>
      </c>
      <c r="J133" s="340">
        <f t="shared" si="26"/>
        <v>2</v>
      </c>
      <c r="K133" s="340">
        <f t="shared" si="26"/>
        <v>0</v>
      </c>
      <c r="L133" s="340">
        <f t="shared" si="26"/>
        <v>16</v>
      </c>
      <c r="M133" s="341">
        <f t="shared" si="26"/>
        <v>1</v>
      </c>
      <c r="N133" s="983" t="s">
        <v>4</v>
      </c>
      <c r="O133" s="983"/>
      <c r="P133" s="984"/>
      <c r="Q133" s="340">
        <f t="shared" ref="Q133:W133" si="27">SUM(Q76:Q119)</f>
        <v>0</v>
      </c>
      <c r="R133" s="340">
        <f t="shared" si="27"/>
        <v>0</v>
      </c>
      <c r="S133" s="340">
        <f t="shared" si="27"/>
        <v>0</v>
      </c>
      <c r="T133" s="340">
        <f t="shared" si="27"/>
        <v>7</v>
      </c>
      <c r="U133" s="340">
        <f t="shared" si="27"/>
        <v>0</v>
      </c>
      <c r="V133" s="340">
        <f t="shared" si="27"/>
        <v>2</v>
      </c>
      <c r="W133" s="340">
        <f t="shared" si="27"/>
        <v>2</v>
      </c>
      <c r="X133" s="340">
        <f>SUM(X76:X129)</f>
        <v>0</v>
      </c>
      <c r="Y133" s="340">
        <f>SUM(Y76:Y132)</f>
        <v>16</v>
      </c>
      <c r="Z133" s="341">
        <f>SUM(Z76:Z132)</f>
        <v>1</v>
      </c>
    </row>
    <row r="134" spans="2:26" ht="270" x14ac:dyDescent="0.25">
      <c r="B134" s="1006" t="s">
        <v>44</v>
      </c>
      <c r="C134" s="1007"/>
      <c r="D134" s="308" t="s">
        <v>6</v>
      </c>
      <c r="E134" s="308" t="s">
        <v>2</v>
      </c>
      <c r="F134" s="308" t="s">
        <v>3</v>
      </c>
      <c r="G134" s="308" t="s">
        <v>1</v>
      </c>
      <c r="H134" s="308" t="s">
        <v>0</v>
      </c>
      <c r="I134" s="308" t="s">
        <v>53</v>
      </c>
      <c r="J134" s="308" t="s">
        <v>12</v>
      </c>
      <c r="K134" s="308" t="s">
        <v>693</v>
      </c>
      <c r="L134" s="308" t="s">
        <v>5</v>
      </c>
      <c r="M134" s="336" t="s">
        <v>40</v>
      </c>
      <c r="N134" s="1008" t="s">
        <v>70</v>
      </c>
      <c r="O134" s="1008"/>
      <c r="P134" s="1007"/>
      <c r="Q134" s="308" t="s">
        <v>6</v>
      </c>
      <c r="R134" s="308" t="s">
        <v>2</v>
      </c>
      <c r="S134" s="308" t="s">
        <v>3</v>
      </c>
      <c r="T134" s="308" t="s">
        <v>1</v>
      </c>
      <c r="U134" s="308" t="s">
        <v>0</v>
      </c>
      <c r="V134" s="308" t="s">
        <v>53</v>
      </c>
      <c r="W134" s="308" t="s">
        <v>12</v>
      </c>
      <c r="X134" s="308" t="s">
        <v>693</v>
      </c>
      <c r="Y134" s="308" t="s">
        <v>5</v>
      </c>
      <c r="Z134" s="309" t="s">
        <v>40</v>
      </c>
    </row>
    <row r="135" spans="2:26" ht="92" customHeight="1" x14ac:dyDescent="0.25">
      <c r="B135" s="1121" t="s">
        <v>357</v>
      </c>
      <c r="C135" s="1066"/>
      <c r="D135" s="310">
        <f>COUNTIFS(input!$O:$O,August!$D$134,input!$W:$W,August!B135,input!$A:$A,August!$B$2)</f>
        <v>0</v>
      </c>
      <c r="E135" s="310">
        <f>COUNTIFS(input!$O:$O,August!$E$134,input!$W:$W,August!B135,input!$A:$A,August!$B$2)</f>
        <v>0</v>
      </c>
      <c r="F135" s="310">
        <f>COUNTIFS(input!$O:$O,August!$F$134,input!$W:$W,August!B135,input!$A:$A,August!$B$2)</f>
        <v>0</v>
      </c>
      <c r="G135" s="314">
        <f>COUNTIFS(input!$O:$O,August!$G$134,input!$W:$W,August!B135,input!$A:$A,August!$B$2)</f>
        <v>0</v>
      </c>
      <c r="H135" s="314">
        <f>COUNTIFS(input!$O:$O,August!$H$134,input!$W:$W,August!B135,input!$A:$A,August!$B$2)</f>
        <v>0</v>
      </c>
      <c r="I135" s="314">
        <f>COUNTIFS(input!$O:$O,August!$I$134,input!$W:$W,August!B135,input!$A:$A,August!$B$2)</f>
        <v>0</v>
      </c>
      <c r="J135" s="314">
        <f>COUNTIFS(input!$O:$O,August!$J$134,input!$W:$W,August!B135,input!$A:$A,August!$B$2)</f>
        <v>0</v>
      </c>
      <c r="K135" s="314">
        <f>COUNTIFS(input!$O:$O,August!$K$134,input!$W:$W,August!B135,input!$A:$A,August!$B$2)</f>
        <v>0</v>
      </c>
      <c r="L135" s="312">
        <f>SUM(D135:K135)</f>
        <v>0</v>
      </c>
      <c r="M135" s="313" cm="1">
        <f t="array" ref="M135">_xlfn.IFS(L135=0,0,L135&gt;=1,L135/$L$210)</f>
        <v>0</v>
      </c>
      <c r="N135" s="992" t="s">
        <v>370</v>
      </c>
      <c r="O135" s="993"/>
      <c r="P135" s="994"/>
      <c r="Q135" s="310">
        <f>COUNTIFS(input!$O:$O,August!$Q$134,input!$X:$X,August!N135,input!$A:$A,August!$B$2)</f>
        <v>0</v>
      </c>
      <c r="R135" s="310">
        <f>COUNTIFS(input!$O:$O,August!$R$134,input!$X:$X,August!N135,input!$A:$A,August!$B$2)</f>
        <v>0</v>
      </c>
      <c r="S135" s="310">
        <f>COUNTIFS(input!$O:$O,August!$S$134,input!$X:$X,August!N135,input!$A:$A,August!$B$2)</f>
        <v>0</v>
      </c>
      <c r="T135" s="314">
        <f>COUNTIFS(input!$O:$O,August!$T$134,input!$X:$X,August!N135,input!$A:$A,August!$B$2)</f>
        <v>4</v>
      </c>
      <c r="U135" s="314">
        <f>COUNTIFS(input!$O:$O,August!$U$134,input!$X:$X,August!N135,input!$A:$A,August!$B$2)</f>
        <v>0</v>
      </c>
      <c r="V135" s="342">
        <f>COUNTIFS(input!$O:$O,August!$V$134,input!$X:$X,August!N135,input!$A:$A,August!$B$2)</f>
        <v>0</v>
      </c>
      <c r="W135" s="342">
        <f>COUNTIFS(input!$O:$O,August!$W$134,input!$X:$X,August!N135,input!$A:$A,August!$B$2)</f>
        <v>0</v>
      </c>
      <c r="X135" s="314">
        <f>COUNTIFS(input!$O:$O,August!$X$134,input!$X:$X,August!N135,input!$A:$A,August!$B$2)</f>
        <v>0</v>
      </c>
      <c r="Y135" s="312">
        <f>SUM(Q135:X135)</f>
        <v>4</v>
      </c>
      <c r="Z135" s="315" cm="1">
        <f t="array" ref="Z135">_xlfn.IFS(Y135=0,0,Y135&gt;=1,Y135/$Y$210)</f>
        <v>0.25</v>
      </c>
    </row>
    <row r="136" spans="2:26" ht="92" hidden="1" customHeight="1" x14ac:dyDescent="0.25">
      <c r="B136" s="1121" t="s">
        <v>605</v>
      </c>
      <c r="C136" s="1066"/>
      <c r="D136" s="316">
        <f>COUNTIFS(input!$O:$O,August!$D$134,input!$W:$W,August!B136,input!$A:$A,August!$B$2)</f>
        <v>0</v>
      </c>
      <c r="E136" s="316">
        <f>COUNTIFS(input!$O:$O,August!$E$134,input!$W:$W,August!B136,input!$A:$A,August!$B$2)</f>
        <v>0</v>
      </c>
      <c r="F136" s="316">
        <f>COUNTIFS(input!$O:$O,August!$F$134,input!$W:$W,August!B136,input!$A:$A,August!$B$2)</f>
        <v>0</v>
      </c>
      <c r="G136" s="322">
        <f>COUNTIFS(input!$O:$O,August!$G$134,input!$W:$W,August!B136,input!$A:$A,August!$B$2)</f>
        <v>0</v>
      </c>
      <c r="H136" s="321">
        <f>COUNTIFS(input!$O:$O,August!$H$134,input!$W:$W,August!B136,input!$A:$A,August!$B$2)</f>
        <v>0</v>
      </c>
      <c r="I136" s="321">
        <f>COUNTIFS(input!$O:$O,August!$I$134,input!$W:$W,August!B136,input!$A:$A,August!$B$2)</f>
        <v>0</v>
      </c>
      <c r="J136" s="321">
        <f>COUNTIFS(input!$O:$O,August!$J$134,input!$W:$W,August!B136,input!$A:$A,August!$B$2)</f>
        <v>0</v>
      </c>
      <c r="K136" s="343">
        <f>COUNTIFS(input!$O:$O,August!$K$134,input!$W:$W,August!B136,input!$A:$A,August!$B$2)</f>
        <v>0</v>
      </c>
      <c r="L136" s="312">
        <f>SUM(D136:K136)</f>
        <v>0</v>
      </c>
      <c r="M136" s="320" cm="1">
        <f t="array" ref="M136">_xlfn.IFS(L136=0,0,L136&gt;=1,L136/$L$210)</f>
        <v>0</v>
      </c>
      <c r="N136" s="995" t="s">
        <v>371</v>
      </c>
      <c r="O136" s="996"/>
      <c r="P136" s="997"/>
      <c r="Q136" s="316">
        <f>COUNTIFS(input!$O:$O,August!$Q$134,input!$X:$X,August!N136,input!$A:$A,August!$B$2)</f>
        <v>0</v>
      </c>
      <c r="R136" s="316">
        <f>COUNTIFS(input!$O:$O,August!$R$134,input!$X:$X,August!N136,input!$A:$A,August!$B$2)</f>
        <v>0</v>
      </c>
      <c r="S136" s="316">
        <f>COUNTIFS(input!$O:$O,August!$S$134,input!$X:$X,August!N136,input!$A:$A,August!$B$2)</f>
        <v>0</v>
      </c>
      <c r="T136" s="322">
        <f>COUNTIFS(input!$O:$O,August!$T$134,input!$X:$X,August!N136,input!$A:$A,August!$B$2)</f>
        <v>0</v>
      </c>
      <c r="U136" s="322">
        <f>COUNTIFS(input!$O:$O,August!$U$134,input!$X:$X,August!N136,input!$A:$A,August!$B$2)</f>
        <v>0</v>
      </c>
      <c r="V136" s="323">
        <f>COUNTIFS(input!$O:$O,August!$V$134,input!$X:$X,August!N136,input!$A:$A,August!$B$2)</f>
        <v>0</v>
      </c>
      <c r="W136" s="323">
        <f>COUNTIFS(input!$O:$O,August!$W$134,input!$X:$X,August!N136,input!$A:$A,August!$B$2)</f>
        <v>0</v>
      </c>
      <c r="X136" s="324">
        <f>COUNTIFS(input!$O:$O,August!$X$134,input!$X:$X,August!N136,input!$A:$A,August!$B$2)</f>
        <v>0</v>
      </c>
      <c r="Y136" s="312">
        <f t="shared" ref="Y136" si="28">SUM(Q136:X136)</f>
        <v>0</v>
      </c>
      <c r="Z136" s="315" cm="1">
        <f t="array" ref="Z136">_xlfn.IFS(Y136=0,0,Y136&gt;=1,Y136/$Y$210)</f>
        <v>0</v>
      </c>
    </row>
    <row r="137" spans="2:26" ht="92" customHeight="1" x14ac:dyDescent="0.25">
      <c r="B137" s="990" t="s">
        <v>2333</v>
      </c>
      <c r="C137" s="991"/>
      <c r="D137" s="316">
        <f>COUNTIFS(input!$O:$O,August!$D$134,input!$W:$W,August!B137,input!$A:$A,August!$B$2)</f>
        <v>0</v>
      </c>
      <c r="E137" s="316">
        <f>COUNTIFS(input!$O:$O,August!$E$134,input!$W:$W,August!B137,input!$A:$A,August!$B$2)</f>
        <v>0</v>
      </c>
      <c r="F137" s="316">
        <f>COUNTIFS(input!$O:$O,August!$F$134,input!$W:$W,August!B137,input!$A:$A,August!$B$2)</f>
        <v>0</v>
      </c>
      <c r="G137" s="322">
        <f>COUNTIFS(input!$O:$O,August!$G$134,input!$W:$W,August!B137,input!$A:$A,August!$B$2)</f>
        <v>0</v>
      </c>
      <c r="H137" s="321">
        <f>COUNTIFS(input!$O:$O,August!$H$134,input!$W:$W,August!B137,input!$A:$A,August!$B$2)</f>
        <v>0</v>
      </c>
      <c r="I137" s="321">
        <f>COUNTIFS(input!$O:$O,August!$I$134,input!$W:$W,August!B137,input!$A:$A,August!$B$2)</f>
        <v>1</v>
      </c>
      <c r="J137" s="321">
        <f>COUNTIFS(input!$O:$O,August!$J$134,input!$W:$W,August!B137,input!$A:$A,August!$B$2)</f>
        <v>0</v>
      </c>
      <c r="K137" s="343">
        <f>COUNTIFS(input!$O:$O,August!$K$134,input!$W:$W,August!B137,input!$A:$A,August!$B$2)</f>
        <v>0</v>
      </c>
      <c r="L137" s="312">
        <f>SUM(D137:K137)</f>
        <v>1</v>
      </c>
      <c r="M137" s="320" cm="1">
        <f t="array" ref="M137">_xlfn.IFS(L137=0,0,L137&gt;=1,L137/$L$210)</f>
        <v>6.25E-2</v>
      </c>
      <c r="N137" s="995" t="s">
        <v>372</v>
      </c>
      <c r="O137" s="996"/>
      <c r="P137" s="997"/>
      <c r="Q137" s="316">
        <f>COUNTIFS(input!$O:$O,August!$Q$134,input!$X:$X,August!N137,input!$A:$A,August!$B$2)</f>
        <v>0</v>
      </c>
      <c r="R137" s="316">
        <f>COUNTIFS(input!$O:$O,August!$R$134,input!$X:$X,August!N137,input!$A:$A,August!$B$2)</f>
        <v>0</v>
      </c>
      <c r="S137" s="316">
        <f>COUNTIFS(input!$O:$O,August!$S$134,input!$X:$X,August!N137,input!$A:$A,August!$B$2)</f>
        <v>0</v>
      </c>
      <c r="T137" s="322">
        <f>COUNTIFS(input!$O:$O,August!$T$134,input!$X:$X,August!N137,input!$A:$A,August!$B$2)</f>
        <v>0</v>
      </c>
      <c r="U137" s="322">
        <f>COUNTIFS(input!$O:$O,August!$U$134,input!$X:$X,August!N137,input!$A:$A,August!$B$2)</f>
        <v>0</v>
      </c>
      <c r="V137" s="323">
        <f>COUNTIFS(input!$O:$O,August!$V$134,input!$X:$X,August!N137,input!$A:$A,August!$B$2)</f>
        <v>0</v>
      </c>
      <c r="W137" s="323">
        <f>COUNTIFS(input!$O:$O,August!$W$134,input!$X:$X,August!N137,input!$A:$A,August!$B$2)</f>
        <v>0</v>
      </c>
      <c r="X137" s="324">
        <f>COUNTIFS(input!$O:$O,August!$X$134,input!$X:$X,August!N137,input!$A:$A,August!$B$2)</f>
        <v>0</v>
      </c>
      <c r="Y137" s="312">
        <f>SUM(Q137:X137)</f>
        <v>0</v>
      </c>
      <c r="Z137" s="315" cm="1">
        <f t="array" ref="Z137">_xlfn.IFS(Y137=0,0,Y137&gt;=1,Y137/$Y$210)</f>
        <v>0</v>
      </c>
    </row>
    <row r="138" spans="2:26" ht="92" customHeight="1" x14ac:dyDescent="0.25">
      <c r="B138" s="990" t="s">
        <v>2334</v>
      </c>
      <c r="C138" s="991"/>
      <c r="D138" s="316">
        <f>COUNTIFS(input!$O:$O,August!$D$134,input!$W:$W,August!B138,input!$A:$A,August!$B$2)</f>
        <v>0</v>
      </c>
      <c r="E138" s="316">
        <f>COUNTIFS(input!$O:$O,August!$E$134,input!$W:$W,August!B138,input!$A:$A,August!$B$2)</f>
        <v>0</v>
      </c>
      <c r="F138" s="316">
        <f>COUNTIFS(input!$O:$O,August!$F$134,input!$W:$W,August!B138,input!$A:$A,August!$B$2)</f>
        <v>0</v>
      </c>
      <c r="G138" s="322">
        <f>COUNTIFS(input!$O:$O,August!$G$134,input!$W:$W,August!B138,input!$A:$A,August!$B$2)</f>
        <v>1</v>
      </c>
      <c r="H138" s="321">
        <f>COUNTIFS(input!$O:$O,August!$H$134,input!$W:$W,August!B138,input!$A:$A,August!$B$2)</f>
        <v>0</v>
      </c>
      <c r="I138" s="321">
        <f>COUNTIFS(input!$O:$O,August!$I$134,input!$W:$W,August!B138,input!$A:$A,August!$B$2)</f>
        <v>0</v>
      </c>
      <c r="J138" s="321">
        <f>COUNTIFS(input!$O:$O,August!$J$134,input!$W:$W,August!B138,input!$A:$A,August!$B$2)</f>
        <v>0</v>
      </c>
      <c r="K138" s="343">
        <f>COUNTIFS(input!$O:$O,August!$K$134,input!$W:$W,August!B138,input!$A:$A,August!$B$2)</f>
        <v>0</v>
      </c>
      <c r="L138" s="312">
        <f>SUM(D138:K138)</f>
        <v>1</v>
      </c>
      <c r="M138" s="320" cm="1">
        <f t="array" ref="M138">_xlfn.IFS(L138=0,0,L138&gt;=1,L138/$L$210)</f>
        <v>6.25E-2</v>
      </c>
      <c r="N138" s="995" t="s">
        <v>373</v>
      </c>
      <c r="O138" s="996"/>
      <c r="P138" s="997"/>
      <c r="Q138" s="316">
        <f>COUNTIFS(input!$O:$O,August!$Q$134,input!$X:$X,August!N138,input!$A:$A,August!$B$2)</f>
        <v>0</v>
      </c>
      <c r="R138" s="316">
        <f>COUNTIFS(input!$O:$O,August!$R$134,input!$X:$X,August!N138,input!$A:$A,August!$B$2)</f>
        <v>0</v>
      </c>
      <c r="S138" s="316">
        <f>COUNTIFS(input!$O:$O,August!$S$134,input!$X:$X,August!N138,input!$A:$A,August!$B$2)</f>
        <v>0</v>
      </c>
      <c r="T138" s="322">
        <f>COUNTIFS(input!$O:$O,August!$T$134,input!$X:$X,August!N138,input!$A:$A,August!$B$2)</f>
        <v>0</v>
      </c>
      <c r="U138" s="322">
        <f>COUNTIFS(input!$O:$O,August!$U$134,input!$X:$X,August!N138,input!$A:$A,August!$B$2)</f>
        <v>0</v>
      </c>
      <c r="V138" s="323">
        <f>COUNTIFS(input!$O:$O,August!$V$134,input!$X:$X,August!N138,input!$A:$A,August!$B$2)</f>
        <v>0</v>
      </c>
      <c r="W138" s="323">
        <f>COUNTIFS(input!$O:$O,August!$W$134,input!$X:$X,August!N138,input!$A:$A,August!$B$2)</f>
        <v>0</v>
      </c>
      <c r="X138" s="324">
        <f>COUNTIFS(input!$O:$O,August!$X$134,input!$X:$X,August!N138,input!$A:$A,August!$B$2)</f>
        <v>0</v>
      </c>
      <c r="Y138" s="312">
        <f>SUM(Q138:X138)</f>
        <v>0</v>
      </c>
      <c r="Z138" s="315" cm="1">
        <f t="array" ref="Z138">_xlfn.IFS(Y138=0,0,Y138&gt;=1,Y138/$Y$210)</f>
        <v>0</v>
      </c>
    </row>
    <row r="139" spans="2:26" ht="92" customHeight="1" x14ac:dyDescent="0.25">
      <c r="B139" s="1121" t="s">
        <v>359</v>
      </c>
      <c r="C139" s="1066"/>
      <c r="D139" s="316">
        <f>COUNTIFS(input!$O:$O,August!$D$134,input!$W:$W,August!B139,input!$A:$A,August!$B$2)</f>
        <v>0</v>
      </c>
      <c r="E139" s="316">
        <f>COUNTIFS(input!$O:$O,August!$E$134,input!$W:$W,August!B139,input!$A:$A,August!$B$2)</f>
        <v>0</v>
      </c>
      <c r="F139" s="316">
        <f>COUNTIFS(input!$O:$O,August!$F$134,input!$W:$W,August!B139,input!$A:$A,August!$B$2)</f>
        <v>0</v>
      </c>
      <c r="G139" s="322">
        <f>COUNTIFS(input!$O:$O,August!$G$134,input!$W:$W,August!B139,input!$A:$A,August!$B$2)</f>
        <v>0</v>
      </c>
      <c r="H139" s="321">
        <f>COUNTIFS(input!$O:$O,August!$H$134,input!$W:$W,August!B139,input!$A:$A,August!$B$2)</f>
        <v>0</v>
      </c>
      <c r="I139" s="321">
        <f>COUNTIFS(input!$O:$O,August!$I$134,input!$W:$W,August!B139,input!$A:$A,August!$B$2)</f>
        <v>0</v>
      </c>
      <c r="J139" s="321">
        <f>COUNTIFS(input!$O:$O,August!$J$134,input!$W:$W,August!B139,input!$A:$A,August!$B$2)</f>
        <v>0</v>
      </c>
      <c r="K139" s="343">
        <f>COUNTIFS(input!$O:$O,August!$K$134,input!$W:$W,August!B139,input!$A:$A,August!$B$2)</f>
        <v>0</v>
      </c>
      <c r="L139" s="312">
        <f>SUM(D139:K139)</f>
        <v>0</v>
      </c>
      <c r="M139" s="320" cm="1">
        <f t="array" ref="M139">_xlfn.IFS(L139=0,0,L139&gt;=1,L139/$L$210)</f>
        <v>0</v>
      </c>
      <c r="N139" s="992" t="s">
        <v>374</v>
      </c>
      <c r="O139" s="993"/>
      <c r="P139" s="994"/>
      <c r="Q139" s="316">
        <f>COUNTIFS(input!$O:$O,August!$Q$134,input!$X:$X,August!N139,input!$A:$A,August!$B$2)</f>
        <v>0</v>
      </c>
      <c r="R139" s="316">
        <f>COUNTIFS(input!$O:$O,August!$R$134,input!$X:$X,August!N139,input!$A:$A,August!$B$2)</f>
        <v>0</v>
      </c>
      <c r="S139" s="316">
        <f>COUNTIFS(input!$O:$O,August!$S$134,input!$X:$X,August!N139,input!$A:$A,August!$B$2)</f>
        <v>0</v>
      </c>
      <c r="T139" s="322">
        <f>COUNTIFS(input!$O:$O,August!$T$134,input!$X:$X,August!N139,input!$A:$A,August!$B$2)</f>
        <v>0</v>
      </c>
      <c r="U139" s="322">
        <f>COUNTIFS(input!$O:$O,August!$U$134,input!$X:$X,August!N139,input!$A:$A,August!$B$2)</f>
        <v>0</v>
      </c>
      <c r="V139" s="323">
        <f>COUNTIFS(input!$O:$O,August!$V$134,input!$X:$X,August!N139,input!$A:$A,August!$B$2)</f>
        <v>1</v>
      </c>
      <c r="W139" s="323">
        <f>COUNTIFS(input!$O:$O,August!$W$134,input!$X:$X,August!N139,input!$A:$A,August!$B$2)</f>
        <v>1</v>
      </c>
      <c r="X139" s="324">
        <f>COUNTIFS(input!$O:$O,August!$X$134,input!$X:$X,August!N139,input!$A:$A,August!$B$2)</f>
        <v>0</v>
      </c>
      <c r="Y139" s="312">
        <f>SUM(Q139:X139)</f>
        <v>2</v>
      </c>
      <c r="Z139" s="315" cm="1">
        <f t="array" ref="Z139">_xlfn.IFS(Y139=0,0,Y139&gt;=1,Y139/$Y$210)</f>
        <v>0.125</v>
      </c>
    </row>
    <row r="140" spans="2:26" ht="92" customHeight="1" x14ac:dyDescent="0.25">
      <c r="B140" s="1121" t="s">
        <v>1542</v>
      </c>
      <c r="C140" s="1066"/>
      <c r="D140" s="316">
        <f>COUNTIFS(input!$O:$O,August!$D$134,input!$W:$W,August!B140,input!$A:$A,August!$B$2)</f>
        <v>0</v>
      </c>
      <c r="E140" s="316">
        <f>COUNTIFS(input!$O:$O,August!$E$134,input!$W:$W,August!B140,input!$A:$A,August!$B$2)</f>
        <v>0</v>
      </c>
      <c r="F140" s="316">
        <f>COUNTIFS(input!$O:$O,August!$F$134,input!$W:$W,August!B140,input!$A:$A,August!$B$2)</f>
        <v>0</v>
      </c>
      <c r="G140" s="322">
        <f>COUNTIFS(input!$O:$O,August!$G$134,input!$W:$W,August!B140,input!$A:$A,August!$B$2)</f>
        <v>0</v>
      </c>
      <c r="H140" s="321">
        <f>COUNTIFS(input!$O:$O,August!$H$134,input!$W:$W,August!B140,input!$A:$A,August!$B$2)</f>
        <v>0</v>
      </c>
      <c r="I140" s="321">
        <f>COUNTIFS(input!$O:$O,August!$I$134,input!$W:$W,August!B140,input!$A:$A,August!$B$2)</f>
        <v>0</v>
      </c>
      <c r="J140" s="321">
        <f>COUNTIFS(input!$O:$O,August!$J$134,input!$W:$W,August!B140,input!$A:$A,August!$B$2)</f>
        <v>0</v>
      </c>
      <c r="K140" s="343">
        <f>COUNTIFS(input!$O:$O,August!$K$134,input!$W:$W,August!B140,input!$A:$A,August!$B$2)</f>
        <v>0</v>
      </c>
      <c r="L140" s="312">
        <f t="shared" ref="L140:L149" si="29">SUM(D140:K140)</f>
        <v>0</v>
      </c>
      <c r="M140" s="320" cm="1">
        <f t="array" ref="M140">_xlfn.IFS(L140=0,0,L140&gt;=1,L140/$L$210)</f>
        <v>0</v>
      </c>
      <c r="N140" s="992" t="s">
        <v>375</v>
      </c>
      <c r="O140" s="993"/>
      <c r="P140" s="994"/>
      <c r="Q140" s="316">
        <f>COUNTIFS(input!$O:$O,August!$Q$134,input!$X:$X,August!N140,input!$A:$A,August!$B$2)</f>
        <v>0</v>
      </c>
      <c r="R140" s="316">
        <f>COUNTIFS(input!$O:$O,August!$R$134,input!$X:$X,August!N140,input!$A:$A,August!$B$2)</f>
        <v>0</v>
      </c>
      <c r="S140" s="316">
        <f>COUNTIFS(input!$O:$O,August!$S$134,input!$X:$X,August!N140,input!$A:$A,August!$B$2)</f>
        <v>0</v>
      </c>
      <c r="T140" s="322">
        <f>COUNTIFS(input!$O:$O,August!$T$134,input!$X:$X,August!N140,input!$A:$A,August!$B$2)</f>
        <v>1</v>
      </c>
      <c r="U140" s="322">
        <f>COUNTIFS(input!$O:$O,August!$U$134,input!$X:$X,August!N140,input!$A:$A,August!$B$2)</f>
        <v>0</v>
      </c>
      <c r="V140" s="323">
        <f>COUNTIFS(input!$O:$O,August!$V$134,input!$X:$X,August!N140,input!$A:$A,August!$B$2)</f>
        <v>1</v>
      </c>
      <c r="W140" s="323">
        <f>COUNTIFS(input!$O:$O,August!$W$134,input!$X:$X,August!N140,input!$A:$A,August!$B$2)</f>
        <v>0</v>
      </c>
      <c r="X140" s="324">
        <f>COUNTIFS(input!$O:$O,August!$X$134,input!$X:$X,August!N140,input!$A:$A,August!$B$2)</f>
        <v>0</v>
      </c>
      <c r="Y140" s="312">
        <f>SUM(Q140:X140)</f>
        <v>2</v>
      </c>
      <c r="Z140" s="315" cm="1">
        <f t="array" ref="Z140">_xlfn.IFS(Y140=0,0,Y140&gt;=1,Y140/$Y$210)</f>
        <v>0.125</v>
      </c>
    </row>
    <row r="141" spans="2:26" ht="92" customHeight="1" x14ac:dyDescent="0.25">
      <c r="B141" s="1121" t="s">
        <v>648</v>
      </c>
      <c r="C141" s="1066"/>
      <c r="D141" s="316">
        <f>COUNTIFS(input!$O:$O,August!$D$134,input!$W:$W,August!B141,input!$A:$A,August!$B$2)</f>
        <v>0</v>
      </c>
      <c r="E141" s="316">
        <f>COUNTIFS(input!$O:$O,August!$E$134,input!$W:$W,August!B141,input!$A:$A,August!$B$2)</f>
        <v>0</v>
      </c>
      <c r="F141" s="316">
        <f>COUNTIFS(input!$O:$O,August!$F$134,input!$W:$W,August!B141,input!$A:$A,August!$B$2)</f>
        <v>0</v>
      </c>
      <c r="G141" s="322">
        <f>COUNTIFS(input!$O:$O,August!$G$134,input!$W:$W,August!B141,input!$A:$A,August!$B$2)</f>
        <v>0</v>
      </c>
      <c r="H141" s="321">
        <f>COUNTIFS(input!$O:$O,August!$H$134,input!$W:$W,August!B141,input!$A:$A,August!$B$2)</f>
        <v>0</v>
      </c>
      <c r="I141" s="321">
        <f>COUNTIFS(input!$O:$O,August!$I$134,input!$W:$W,August!B141,input!$A:$A,August!$B$2)</f>
        <v>0</v>
      </c>
      <c r="J141" s="321">
        <f>COUNTIFS(input!$O:$O,August!$J$134,input!$W:$W,August!B141,input!$A:$A,August!$B$2)</f>
        <v>0</v>
      </c>
      <c r="K141" s="343">
        <f>COUNTIFS(input!$O:$O,August!$K$134,input!$W:$W,August!B141,input!$A:$A,August!$B$2)</f>
        <v>0</v>
      </c>
      <c r="L141" s="312">
        <f t="shared" si="29"/>
        <v>0</v>
      </c>
      <c r="M141" s="320" cm="1">
        <f t="array" ref="M141">_xlfn.IFS(L141=0,0,L141&gt;=1,L141/$L$210)</f>
        <v>0</v>
      </c>
      <c r="N141" s="992" t="s">
        <v>441</v>
      </c>
      <c r="O141" s="993"/>
      <c r="P141" s="994"/>
      <c r="Q141" s="316">
        <f>COUNTIFS(input!$O:$O,August!$Q$134,input!$X:$X,August!N141,input!$A:$A,August!$B$2)</f>
        <v>0</v>
      </c>
      <c r="R141" s="316">
        <f>COUNTIFS(input!$O:$O,August!$R$134,input!$X:$X,August!N141,input!$A:$A,August!$B$2)</f>
        <v>0</v>
      </c>
      <c r="S141" s="316">
        <f>COUNTIFS(input!$O:$O,August!$S$134,input!$X:$X,August!N141,input!$A:$A,August!$B$2)</f>
        <v>0</v>
      </c>
      <c r="T141" s="322">
        <f>COUNTIFS(input!$O:$O,August!$T$134,input!$X:$X,August!N141,input!$A:$A,August!$B$2)</f>
        <v>0</v>
      </c>
      <c r="U141" s="322">
        <f>COUNTIFS(input!$O:$O,August!$U$134,input!$X:$X,August!N141,input!$A:$A,August!$B$2)</f>
        <v>0</v>
      </c>
      <c r="V141" s="323">
        <f>COUNTIFS(input!$O:$O,August!$V$134,input!$X:$X,August!N141,input!$A:$A,August!$B$2)</f>
        <v>1</v>
      </c>
      <c r="W141" s="323">
        <f>COUNTIFS(input!$O:$O,August!$W$134,input!$X:$X,August!N141,input!$A:$A,August!$B$2)</f>
        <v>0</v>
      </c>
      <c r="X141" s="324">
        <f>COUNTIFS(input!$O:$O,August!$X$134,input!$X:$X,August!N141,input!$A:$A,August!$B$2)</f>
        <v>0</v>
      </c>
      <c r="Y141" s="312">
        <f>SUM(Q141:X141)</f>
        <v>1</v>
      </c>
      <c r="Z141" s="315" cm="1">
        <f t="array" ref="Z141">_xlfn.IFS(Y141=0,0,Y141&gt;=1,Y141/$Y$210)</f>
        <v>6.25E-2</v>
      </c>
    </row>
    <row r="142" spans="2:26" ht="92" customHeight="1" x14ac:dyDescent="0.25">
      <c r="B142" s="1121" t="s">
        <v>827</v>
      </c>
      <c r="C142" s="1066"/>
      <c r="D142" s="316">
        <f>COUNTIFS(input!$O:$O,August!$D$134,input!$W:$W,August!B142,input!$A:$A,August!$B$2)</f>
        <v>0</v>
      </c>
      <c r="E142" s="316">
        <f>COUNTIFS(input!$O:$O,August!$E$134,input!$W:$W,August!B142,input!$A:$A,August!$B$2)</f>
        <v>0</v>
      </c>
      <c r="F142" s="316">
        <f>COUNTIFS(input!$O:$O,August!$F$134,input!$W:$W,August!B142,input!$A:$A,August!$B$2)</f>
        <v>0</v>
      </c>
      <c r="G142" s="322">
        <f>COUNTIFS(input!$O:$O,August!$G$134,input!$W:$W,August!B142,input!$A:$A,August!$B$2)</f>
        <v>0</v>
      </c>
      <c r="H142" s="321">
        <f>COUNTIFS(input!$O:$O,August!$H$134,input!$W:$W,August!B142,input!$A:$A,August!$B$2)</f>
        <v>0</v>
      </c>
      <c r="I142" s="321">
        <f>COUNTIFS(input!$O:$O,August!$I$134,input!$W:$W,August!B142,input!$A:$A,August!$B$2)</f>
        <v>0</v>
      </c>
      <c r="J142" s="321">
        <f>COUNTIFS(input!$O:$O,August!$J$134,input!$W:$W,August!B142,input!$A:$A,August!$B$2)</f>
        <v>0</v>
      </c>
      <c r="K142" s="343">
        <f>COUNTIFS(input!$O:$O,August!$K$134,input!$W:$W,August!B142,input!$A:$A,August!$B$2)</f>
        <v>0</v>
      </c>
      <c r="L142" s="312">
        <f t="shared" si="29"/>
        <v>0</v>
      </c>
      <c r="M142" s="320" cm="1">
        <f t="array" ref="M142">_xlfn.IFS(L142=0,0,L142&gt;=1,L142/$L$210)</f>
        <v>0</v>
      </c>
      <c r="N142" s="992" t="s">
        <v>376</v>
      </c>
      <c r="O142" s="993"/>
      <c r="P142" s="994"/>
      <c r="Q142" s="316">
        <f>COUNTIFS(input!$O:$O,August!$Q$134,input!$X:$X,August!N142,input!$A:$A,August!$B$2)</f>
        <v>0</v>
      </c>
      <c r="R142" s="316">
        <f>COUNTIFS(input!$O:$O,August!$R$134,input!$X:$X,August!N142,input!$A:$A,August!$B$2)</f>
        <v>0</v>
      </c>
      <c r="S142" s="316">
        <f>COUNTIFS(input!$O:$O,August!$S$134,input!$X:$X,August!N142,input!$A:$A,August!$B$2)</f>
        <v>0</v>
      </c>
      <c r="T142" s="322">
        <f>COUNTIFS(input!$O:$O,August!$T$134,input!$X:$X,August!N142,input!$A:$A,August!$B$2)</f>
        <v>1</v>
      </c>
      <c r="U142" s="322">
        <f>COUNTIFS(input!$O:$O,August!$U$134,input!$X:$X,August!N142,input!$A:$A,August!$B$2)</f>
        <v>0</v>
      </c>
      <c r="V142" s="323">
        <f>COUNTIFS(input!$O:$O,August!$V$134,input!$X:$X,August!N142,input!$A:$A,August!$B$2)</f>
        <v>0</v>
      </c>
      <c r="W142" s="323">
        <f>COUNTIFS(input!$O:$O,August!$W$134,input!$X:$X,August!N142,input!$A:$A,August!$B$2)</f>
        <v>0</v>
      </c>
      <c r="X142" s="324">
        <f>COUNTIFS(input!$O:$O,August!$X$134,input!$X:$X,August!N142,input!$A:$A,August!$B$2)</f>
        <v>0</v>
      </c>
      <c r="Y142" s="312">
        <f t="shared" ref="Y142:Y146" si="30">SUM(Q142:X142)</f>
        <v>1</v>
      </c>
      <c r="Z142" s="315" cm="1">
        <f t="array" ref="Z142">_xlfn.IFS(Y142=0,0,Y142&gt;=1,Y142/$Y$210)</f>
        <v>6.25E-2</v>
      </c>
    </row>
    <row r="143" spans="2:26" ht="92" customHeight="1" x14ac:dyDescent="0.25">
      <c r="B143" s="990" t="s">
        <v>1834</v>
      </c>
      <c r="C143" s="991"/>
      <c r="D143" s="316">
        <f>COUNTIFS(input!$O:$O,August!$D$134,input!$W:$W,August!B143,input!$A:$A,August!$B$2)</f>
        <v>0</v>
      </c>
      <c r="E143" s="316">
        <f>COUNTIFS(input!$O:$O,August!$E$134,input!$W:$W,August!B143,input!$A:$A,August!$B$2)</f>
        <v>0</v>
      </c>
      <c r="F143" s="316">
        <f>COUNTIFS(input!$O:$O,August!$F$134,input!$W:$W,August!B143,input!$A:$A,August!$B$2)</f>
        <v>0</v>
      </c>
      <c r="G143" s="322">
        <f>COUNTIFS(input!$O:$O,August!$G$134,input!$W:$W,August!B143,input!$A:$A,August!$B$2)</f>
        <v>0</v>
      </c>
      <c r="H143" s="321">
        <f>COUNTIFS(input!$O:$O,August!$H$134,input!$W:$W,August!B143,input!$A:$A,August!$B$2)</f>
        <v>0</v>
      </c>
      <c r="I143" s="321">
        <f>COUNTIFS(input!$O:$O,August!$I$134,input!$W:$W,August!B143,input!$A:$A,August!$B$2)</f>
        <v>0</v>
      </c>
      <c r="J143" s="321">
        <f>COUNTIFS(input!$O:$O,August!$J$134,input!$W:$W,August!B143,input!$A:$A,August!$B$2)</f>
        <v>1</v>
      </c>
      <c r="K143" s="343">
        <f>COUNTIFS(input!$O:$O,August!$K$134,input!$W:$W,August!B143,input!$A:$A,August!$B$2)</f>
        <v>0</v>
      </c>
      <c r="L143" s="312">
        <f t="shared" si="29"/>
        <v>1</v>
      </c>
      <c r="M143" s="320" cm="1">
        <f t="array" ref="M143">_xlfn.IFS(L143=0,0,L143&gt;=1,L143/$L$210)</f>
        <v>6.25E-2</v>
      </c>
      <c r="N143" s="995" t="s">
        <v>378</v>
      </c>
      <c r="O143" s="996"/>
      <c r="P143" s="997"/>
      <c r="Q143" s="316">
        <f>COUNTIFS(input!$O:$O,August!$Q$134,input!$X:$X,August!N143,input!$A:$A,August!$B$2)</f>
        <v>0</v>
      </c>
      <c r="R143" s="316">
        <f>COUNTIFS(input!$O:$O,August!$R$134,input!$X:$X,August!N143,input!$A:$A,August!$B$2)</f>
        <v>0</v>
      </c>
      <c r="S143" s="316">
        <f>COUNTIFS(input!$O:$O,August!$S$134,input!$X:$X,August!N143,input!$A:$A,August!$B$2)</f>
        <v>0</v>
      </c>
      <c r="T143" s="322">
        <f>COUNTIFS(input!$O:$O,August!$T$134,input!$X:$X,August!N143,input!$A:$A,August!$B$2)</f>
        <v>0</v>
      </c>
      <c r="U143" s="322">
        <f>COUNTIFS(input!$O:$O,August!$U$134,input!$X:$X,August!N143,input!$A:$A,August!$B$2)</f>
        <v>0</v>
      </c>
      <c r="V143" s="323">
        <f>COUNTIFS(input!$O:$O,August!$V$134,input!$X:$X,August!N143,input!$A:$A,August!$B$2)</f>
        <v>0</v>
      </c>
      <c r="W143" s="323">
        <f>COUNTIFS(input!$O:$O,August!$W$134,input!$X:$X,August!N143,input!$A:$A,August!$B$2)</f>
        <v>0</v>
      </c>
      <c r="X143" s="324">
        <f>COUNTIFS(input!$O:$O,August!$X$134,input!$X:$X,August!N143,input!$A:$A,August!$B$2)</f>
        <v>0</v>
      </c>
      <c r="Y143" s="312">
        <f t="shared" si="30"/>
        <v>0</v>
      </c>
      <c r="Z143" s="315" cm="1">
        <f t="array" ref="Z143">_xlfn.IFS(Y143=0,0,Y143&gt;=1,Y143/$Y$210)</f>
        <v>0</v>
      </c>
    </row>
    <row r="144" spans="2:26" ht="92" customHeight="1" x14ac:dyDescent="0.25">
      <c r="B144" s="990" t="s">
        <v>2331</v>
      </c>
      <c r="C144" s="991"/>
      <c r="D144" s="316">
        <f>COUNTIFS(input!$O:$O,August!$D$134,input!$W:$W,August!B144,input!$A:$A,August!$B$2)</f>
        <v>0</v>
      </c>
      <c r="E144" s="316">
        <f>COUNTIFS(input!$O:$O,August!$E$134,input!$W:$W,August!B144,input!$A:$A,August!$B$2)</f>
        <v>0</v>
      </c>
      <c r="F144" s="316">
        <f>COUNTIFS(input!$O:$O,August!$F$134,input!$W:$W,August!B144,input!$A:$A,August!$B$2)</f>
        <v>0</v>
      </c>
      <c r="G144" s="322">
        <f>COUNTIFS(input!$O:$O,August!$G$134,input!$W:$W,August!B144,input!$A:$A,August!$B$2)</f>
        <v>0</v>
      </c>
      <c r="H144" s="321">
        <f>COUNTIFS(input!$O:$O,August!$H$134,input!$W:$W,August!B144,input!$A:$A,August!$B$2)</f>
        <v>0</v>
      </c>
      <c r="I144" s="321">
        <f>COUNTIFS(input!$O:$O,August!$I$134,input!$W:$W,August!B144,input!$A:$A,August!$B$2)</f>
        <v>1</v>
      </c>
      <c r="J144" s="321">
        <f>COUNTIFS(input!$O:$O,August!$J$134,input!$W:$W,August!B144,input!$A:$A,August!$B$2)</f>
        <v>0</v>
      </c>
      <c r="K144" s="343">
        <f>COUNTIFS(input!$O:$O,August!$K$134,input!$W:$W,August!B144,input!$A:$A,August!$B$2)</f>
        <v>0</v>
      </c>
      <c r="L144" s="312">
        <f t="shared" ref="L144" si="31">SUM(D144:K144)</f>
        <v>1</v>
      </c>
      <c r="M144" s="320" cm="1">
        <f t="array" ref="M144">_xlfn.IFS(L144=0,0,L144&gt;=1,L144/$L$210)</f>
        <v>6.25E-2</v>
      </c>
      <c r="N144" s="995" t="s">
        <v>379</v>
      </c>
      <c r="O144" s="996"/>
      <c r="P144" s="997"/>
      <c r="Q144" s="316">
        <f>COUNTIFS(input!$O:$O,August!$Q$134,input!$X:$X,August!N144,input!$A:$A,August!$B$2)</f>
        <v>0</v>
      </c>
      <c r="R144" s="316">
        <f>COUNTIFS(input!$O:$O,August!$R$134,input!$X:$X,August!N144,input!$A:$A,August!$B$2)</f>
        <v>0</v>
      </c>
      <c r="S144" s="316">
        <f>COUNTIFS(input!$O:$O,August!$S$134,input!$X:$X,August!N144,input!$A:$A,August!$B$2)</f>
        <v>0</v>
      </c>
      <c r="T144" s="322">
        <f>COUNTIFS(input!$O:$O,August!$T$134,input!$X:$X,August!N144,input!$A:$A,August!$B$2)</f>
        <v>0</v>
      </c>
      <c r="U144" s="322">
        <f>COUNTIFS(input!$O:$O,August!$U$134,input!$X:$X,August!N144,input!$A:$A,August!$B$2)</f>
        <v>0</v>
      </c>
      <c r="V144" s="323">
        <f>COUNTIFS(input!$O:$O,August!$V$134,input!$X:$X,August!N144,input!$A:$A,August!$B$2)</f>
        <v>0</v>
      </c>
      <c r="W144" s="323">
        <f>COUNTIFS(input!$O:$O,August!$W$134,input!$X:$X,August!N144,input!$A:$A,August!$B$2)</f>
        <v>0</v>
      </c>
      <c r="X144" s="324">
        <f>COUNTIFS(input!$O:$O,August!$X$134,input!$X:$X,August!N144,input!$A:$A,August!$B$2)</f>
        <v>0</v>
      </c>
      <c r="Y144" s="312">
        <f t="shared" si="30"/>
        <v>0</v>
      </c>
      <c r="Z144" s="315" cm="1">
        <f t="array" ref="Z144">_xlfn.IFS(Y144=0,0,Y144&gt;=1,Y144/$Y$210)</f>
        <v>0</v>
      </c>
    </row>
    <row r="145" spans="2:26" ht="92" hidden="1" customHeight="1" x14ac:dyDescent="0.25">
      <c r="B145" s="1121" t="s">
        <v>2064</v>
      </c>
      <c r="C145" s="1066"/>
      <c r="D145" s="316">
        <f>COUNTIFS(input!$O:$O,August!$D$134,input!$W:$W,August!B145,input!$A:$A,August!$B$2)</f>
        <v>0</v>
      </c>
      <c r="E145" s="316">
        <f>COUNTIFS(input!$O:$O,August!$E$134,input!$W:$W,August!B145,input!$A:$A,August!$B$2)</f>
        <v>0</v>
      </c>
      <c r="F145" s="316">
        <f>COUNTIFS(input!$O:$O,August!$F$134,input!$W:$W,August!B145,input!$A:$A,August!$B$2)</f>
        <v>0</v>
      </c>
      <c r="G145" s="322">
        <f>COUNTIFS(input!$O:$O,August!$G$134,input!$W:$W,August!B145,input!$A:$A,August!$B$2)</f>
        <v>0</v>
      </c>
      <c r="H145" s="321">
        <f>COUNTIFS(input!$O:$O,August!$H$134,input!$W:$W,August!B145,input!$A:$A,August!$B$2)</f>
        <v>0</v>
      </c>
      <c r="I145" s="321">
        <f>COUNTIFS(input!$O:$O,August!$I$134,input!$W:$W,August!B145,input!$A:$A,August!$B$2)</f>
        <v>0</v>
      </c>
      <c r="J145" s="321">
        <f>COUNTIFS(input!$O:$O,August!$J$134,input!$W:$W,August!B145,input!$A:$A,August!$B$2)</f>
        <v>0</v>
      </c>
      <c r="K145" s="343">
        <f>COUNTIFS(input!$O:$O,August!$K$134,input!$W:$W,August!B145,input!$A:$A,August!$B$2)</f>
        <v>0</v>
      </c>
      <c r="L145" s="312">
        <f t="shared" si="29"/>
        <v>0</v>
      </c>
      <c r="M145" s="320" cm="1">
        <f t="array" ref="M145">_xlfn.IFS(L145=0,0,L145&gt;=1,L145/$L$210)</f>
        <v>0</v>
      </c>
      <c r="N145" s="995" t="s">
        <v>606</v>
      </c>
      <c r="O145" s="996"/>
      <c r="P145" s="997"/>
      <c r="Q145" s="316">
        <f>COUNTIFS(input!$O:$O,August!$Q$134,input!$X:$X,August!N145,input!$A:$A,August!$B$2)</f>
        <v>0</v>
      </c>
      <c r="R145" s="316">
        <f>COUNTIFS(input!$O:$O,August!$R$134,input!$X:$X,August!N145,input!$A:$A,August!$B$2)</f>
        <v>0</v>
      </c>
      <c r="S145" s="316">
        <f>COUNTIFS(input!$O:$O,August!$S$134,input!$X:$X,August!N145,input!$A:$A,August!$B$2)</f>
        <v>0</v>
      </c>
      <c r="T145" s="322">
        <f>COUNTIFS(input!$O:$O,August!$T$134,input!$X:$X,August!N145,input!$A:$A,August!$B$2)</f>
        <v>0</v>
      </c>
      <c r="U145" s="322">
        <f>COUNTIFS(input!$O:$O,August!$U$134,input!$X:$X,August!N145,input!$A:$A,August!$B$2)</f>
        <v>0</v>
      </c>
      <c r="V145" s="323">
        <f>COUNTIFS(input!$O:$O,August!$V$134,input!$X:$X,August!N145,input!$A:$A,August!$B$2)</f>
        <v>0</v>
      </c>
      <c r="W145" s="323">
        <f>COUNTIFS(input!$O:$O,August!$W$134,input!$X:$X,August!N145,input!$A:$A,August!$B$2)</f>
        <v>0</v>
      </c>
      <c r="X145" s="324">
        <f>COUNTIFS(input!$O:$O,August!$X$134,input!$X:$X,August!N145,input!$A:$A,August!$B$2)</f>
        <v>0</v>
      </c>
      <c r="Y145" s="312">
        <f t="shared" si="30"/>
        <v>0</v>
      </c>
      <c r="Z145" s="315" cm="1">
        <f t="array" ref="Z145">_xlfn.IFS(Y145=0,0,Y145&gt;=1,Y145/$Y$210)</f>
        <v>0</v>
      </c>
    </row>
    <row r="146" spans="2:26" ht="92" customHeight="1" x14ac:dyDescent="0.25">
      <c r="B146" s="990" t="s">
        <v>2336</v>
      </c>
      <c r="C146" s="991"/>
      <c r="D146" s="316">
        <f>COUNTIFS(input!$O:$O,August!$D$134,input!$W:$W,August!B146,input!$A:$A,August!$B$2)</f>
        <v>0</v>
      </c>
      <c r="E146" s="316">
        <f>COUNTIFS(input!$O:$O,August!$E$134,input!$W:$W,August!B146,input!$A:$A,August!$B$2)</f>
        <v>0</v>
      </c>
      <c r="F146" s="316">
        <f>COUNTIFS(input!$O:$O,August!$F$134,input!$W:$W,August!B146,input!$A:$A,August!$B$2)</f>
        <v>0</v>
      </c>
      <c r="G146" s="322">
        <f>COUNTIFS(input!$O:$O,August!$G$134,input!$W:$W,August!B146,input!$A:$A,August!$B$2)</f>
        <v>1</v>
      </c>
      <c r="H146" s="321">
        <f>COUNTIFS(input!$O:$O,August!$H$134,input!$W:$W,August!B146,input!$A:$A,August!$B$2)</f>
        <v>0</v>
      </c>
      <c r="I146" s="321">
        <f>COUNTIFS(input!$O:$O,August!$I$134,input!$W:$W,August!B146,input!$A:$A,August!$B$2)</f>
        <v>0</v>
      </c>
      <c r="J146" s="321">
        <f>COUNTIFS(input!$O:$O,August!$J$134,input!$W:$W,August!B146,input!$A:$A,August!$B$2)</f>
        <v>0</v>
      </c>
      <c r="K146" s="343">
        <f>COUNTIFS(input!$O:$O,August!$K$134,input!$W:$W,August!B146,input!$A:$A,August!$B$2)</f>
        <v>0</v>
      </c>
      <c r="L146" s="312">
        <f t="shared" ref="L146" si="32">SUM(D146:K146)</f>
        <v>1</v>
      </c>
      <c r="M146" s="320" cm="1">
        <f t="array" ref="M146">_xlfn.IFS(L146=0,0,L146&gt;=1,L146/$L$210)</f>
        <v>6.25E-2</v>
      </c>
      <c r="N146" s="995" t="s">
        <v>380</v>
      </c>
      <c r="O146" s="996"/>
      <c r="P146" s="997"/>
      <c r="Q146" s="316">
        <f>COUNTIFS(input!$O:$O,August!$Q$134,input!$X:$X,August!N146,input!$A:$A,August!$B$2)</f>
        <v>0</v>
      </c>
      <c r="R146" s="316">
        <f>COUNTIFS(input!$O:$O,August!$R$134,input!$X:$X,August!N146,input!$A:$A,August!$B$2)</f>
        <v>0</v>
      </c>
      <c r="S146" s="316">
        <f>COUNTIFS(input!$O:$O,August!$S$134,input!$X:$X,August!N146,input!$A:$A,August!$B$2)</f>
        <v>0</v>
      </c>
      <c r="T146" s="322">
        <f>COUNTIFS(input!$O:$O,August!$T$134,input!$X:$X,August!N146,input!$A:$A,August!$B$2)</f>
        <v>0</v>
      </c>
      <c r="U146" s="322">
        <f>COUNTIFS(input!$O:$O,August!$U$134,input!$X:$X,August!N146,input!$A:$A,August!$B$2)</f>
        <v>0</v>
      </c>
      <c r="V146" s="323">
        <f>COUNTIFS(input!$O:$O,August!$V$134,input!$X:$X,August!N146,input!$A:$A,August!$B$2)</f>
        <v>0</v>
      </c>
      <c r="W146" s="323">
        <f>COUNTIFS(input!$O:$O,August!$W$134,input!$X:$X,August!N146,input!$A:$A,August!$B$2)</f>
        <v>0</v>
      </c>
      <c r="X146" s="324">
        <f>COUNTIFS(input!$O:$O,August!$X$134,input!$X:$X,August!N146,input!$A:$A,August!$B$2)</f>
        <v>0</v>
      </c>
      <c r="Y146" s="312">
        <f t="shared" si="30"/>
        <v>0</v>
      </c>
      <c r="Z146" s="315" cm="1">
        <f t="array" ref="Z146">_xlfn.IFS(Y146=0,0,Y146&gt;=1,Y146/$Y$210)</f>
        <v>0</v>
      </c>
    </row>
    <row r="147" spans="2:26" ht="92" hidden="1" customHeight="1" x14ac:dyDescent="0.25">
      <c r="B147" s="1121" t="s">
        <v>358</v>
      </c>
      <c r="C147" s="1066"/>
      <c r="D147" s="316">
        <f>COUNTIFS(input!$O:$O,August!$D$134,input!$W:$W,August!B147,input!$A:$A,August!$B$2)</f>
        <v>0</v>
      </c>
      <c r="E147" s="316">
        <f>COUNTIFS(input!$O:$O,August!$E$134,input!$W:$W,August!B147,input!$A:$A,August!$B$2)</f>
        <v>0</v>
      </c>
      <c r="F147" s="316">
        <f>COUNTIFS(input!$O:$O,August!$F$134,input!$W:$W,August!B147,input!$A:$A,August!$B$2)</f>
        <v>0</v>
      </c>
      <c r="G147" s="322">
        <f>COUNTIFS(input!$O:$O,August!$G$134,input!$W:$W,August!B147,input!$A:$A,August!$B$2)</f>
        <v>0</v>
      </c>
      <c r="H147" s="321">
        <f>COUNTIFS(input!$O:$O,August!$H$134,input!$W:$W,August!B147,input!$A:$A,August!$B$2)</f>
        <v>0</v>
      </c>
      <c r="I147" s="321">
        <f>COUNTIFS(input!$O:$O,August!$I$134,input!$W:$W,August!B147,input!$A:$A,August!$B$2)</f>
        <v>0</v>
      </c>
      <c r="J147" s="321">
        <f>COUNTIFS(input!$O:$O,August!$J$134,input!$W:$W,August!B147,input!$A:$A,August!$B$2)</f>
        <v>0</v>
      </c>
      <c r="K147" s="343">
        <f>COUNTIFS(input!$O:$O,August!$K$134,input!$W:$W,August!B147,input!$A:$A,August!$B$2)</f>
        <v>0</v>
      </c>
      <c r="L147" s="312">
        <f t="shared" si="29"/>
        <v>0</v>
      </c>
      <c r="M147" s="320" cm="1">
        <f t="array" ref="M147">_xlfn.IFS(L147=0,0,L147&gt;=1,L147/$L$210)</f>
        <v>0</v>
      </c>
      <c r="N147" s="995" t="s">
        <v>381</v>
      </c>
      <c r="O147" s="996"/>
      <c r="P147" s="997"/>
      <c r="Q147" s="316">
        <f>COUNTIFS(input!$O:$O,August!$Q$134,input!$X:$X,August!N147,input!$A:$A,August!$B$2)</f>
        <v>0</v>
      </c>
      <c r="R147" s="316">
        <f>COUNTIFS(input!$O:$O,August!$R$134,input!$X:$X,August!N147,input!$A:$A,August!$B$2)</f>
        <v>0</v>
      </c>
      <c r="S147" s="316">
        <f>COUNTIFS(input!$O:$O,August!$S$134,input!$X:$X,August!N147,input!$A:$A,August!$B$2)</f>
        <v>0</v>
      </c>
      <c r="T147" s="322">
        <f>COUNTIFS(input!$O:$O,August!$T$134,input!$X:$X,August!N147,input!$A:$A,August!$B$2)</f>
        <v>0</v>
      </c>
      <c r="U147" s="322">
        <f>COUNTIFS(input!$O:$O,August!$U$134,input!$X:$X,August!N147,input!$A:$A,August!$B$2)</f>
        <v>0</v>
      </c>
      <c r="V147" s="323">
        <f>COUNTIFS(input!$O:$O,August!$V$134,input!$X:$X,August!N147,input!$A:$A,August!$B$2)</f>
        <v>0</v>
      </c>
      <c r="W147" s="323">
        <f>COUNTIFS(input!$O:$O,August!$W$134,input!$X:$X,August!N147,input!$A:$A,August!$B$2)</f>
        <v>0</v>
      </c>
      <c r="X147" s="324">
        <f>COUNTIFS(input!$O:$O,August!$X$134,input!$X:$X,August!N147,input!$A:$A,August!$B$2)</f>
        <v>0</v>
      </c>
      <c r="Y147" s="312">
        <f>SUM(Q147:X147)</f>
        <v>0</v>
      </c>
      <c r="Z147" s="315" cm="1">
        <f t="array" ref="Z147">_xlfn.IFS(Y147=0,0,Y147&gt;=1,Y147/$Y$210)</f>
        <v>0</v>
      </c>
    </row>
    <row r="148" spans="2:26" ht="92" hidden="1" customHeight="1" x14ac:dyDescent="0.25">
      <c r="B148" s="1122" t="s">
        <v>360</v>
      </c>
      <c r="C148" s="997"/>
      <c r="D148" s="316">
        <f>COUNTIFS(input!$O:$O,August!$D$134,input!$W:$W,August!B148,input!$A:$A,August!$B$2)</f>
        <v>0</v>
      </c>
      <c r="E148" s="316">
        <f>COUNTIFS(input!$O:$O,August!$E$134,input!$W:$W,August!B148,input!$A:$A,August!$B$2)</f>
        <v>0</v>
      </c>
      <c r="F148" s="316">
        <f>COUNTIFS(input!$O:$O,August!$F$134,input!$W:$W,August!B148,input!$A:$A,August!$B$2)</f>
        <v>0</v>
      </c>
      <c r="G148" s="322">
        <f>COUNTIFS(input!$O:$O,August!$G$134,input!$W:$W,August!B148,input!$A:$A,August!$B$2)</f>
        <v>0</v>
      </c>
      <c r="H148" s="321">
        <f>COUNTIFS(input!$O:$O,August!$H$134,input!$W:$W,August!B148,input!$A:$A,August!$B$2)</f>
        <v>0</v>
      </c>
      <c r="I148" s="321">
        <f>COUNTIFS(input!$O:$O,August!$I$134,input!$W:$W,August!B148,input!$A:$A,August!$B$2)</f>
        <v>0</v>
      </c>
      <c r="J148" s="321">
        <f>COUNTIFS(input!$O:$O,August!$J$134,input!$W:$W,August!B148,input!$A:$A,August!$B$2)</f>
        <v>0</v>
      </c>
      <c r="K148" s="343">
        <f>COUNTIFS(input!$O:$O,August!$K$134,input!$W:$W,August!B148,input!$A:$A,August!$B$2)</f>
        <v>0</v>
      </c>
      <c r="L148" s="312">
        <f t="shared" si="29"/>
        <v>0</v>
      </c>
      <c r="M148" s="320" cm="1">
        <f t="array" ref="M148">_xlfn.IFS(L148=0,0,L148&gt;=1,L148/$L$210)</f>
        <v>0</v>
      </c>
      <c r="N148" s="995" t="s">
        <v>1842</v>
      </c>
      <c r="O148" s="996"/>
      <c r="P148" s="997"/>
      <c r="Q148" s="316">
        <f>COUNTIFS(input!$O:$O,August!$Q$134,input!$X:$X,August!N148,input!$A:$A,August!$B$2)</f>
        <v>0</v>
      </c>
      <c r="R148" s="316">
        <f>COUNTIFS(input!$O:$O,August!$R$134,input!$X:$X,August!N148,input!$A:$A,August!$B$2)</f>
        <v>0</v>
      </c>
      <c r="S148" s="316">
        <f>COUNTIFS(input!$O:$O,August!$S$134,input!$X:$X,August!N148,input!$A:$A,August!$B$2)</f>
        <v>0</v>
      </c>
      <c r="T148" s="322">
        <f>COUNTIFS(input!$O:$O,August!$T$134,input!$X:$X,August!N148,input!$A:$A,August!$B$2)</f>
        <v>0</v>
      </c>
      <c r="U148" s="322">
        <f>COUNTIFS(input!$O:$O,August!$U$134,input!$X:$X,August!N148,input!$A:$A,August!$B$2)</f>
        <v>0</v>
      </c>
      <c r="V148" s="323">
        <f>COUNTIFS(input!$O:$O,August!$V$134,input!$X:$X,August!N148,input!$A:$A,August!$B$2)</f>
        <v>0</v>
      </c>
      <c r="W148" s="323">
        <f>COUNTIFS(input!$O:$O,August!$W$134,input!$X:$X,August!N148,input!$A:$A,August!$B$2)</f>
        <v>0</v>
      </c>
      <c r="X148" s="324">
        <f>COUNTIFS(input!$O:$O,August!$X$134,input!$X:$X,August!N148,input!$A:$A,August!$B$2)</f>
        <v>0</v>
      </c>
      <c r="Y148" s="312">
        <f t="shared" ref="Y148:Y152" si="33">SUM(Q148:X148)</f>
        <v>0</v>
      </c>
      <c r="Z148" s="315" cm="1">
        <f t="array" ref="Z148">_xlfn.IFS(Y148=0,0,Y148&gt;=1,Y148/$Y$210)</f>
        <v>0</v>
      </c>
    </row>
    <row r="149" spans="2:26" ht="92" hidden="1" customHeight="1" x14ac:dyDescent="0.25">
      <c r="B149" s="1122" t="s">
        <v>600</v>
      </c>
      <c r="C149" s="997"/>
      <c r="D149" s="316">
        <f>COUNTIFS(input!$O:$O,August!$D$134,input!$W:$W,August!B149,input!$A:$A,August!$B$2)</f>
        <v>0</v>
      </c>
      <c r="E149" s="316">
        <f>COUNTIFS(input!$O:$O,August!$E$134,input!$W:$W,August!B149,input!$A:$A,August!$B$2)</f>
        <v>0</v>
      </c>
      <c r="F149" s="316">
        <f>COUNTIFS(input!$O:$O,August!$F$134,input!$W:$W,August!B149,input!$A:$A,August!$B$2)</f>
        <v>0</v>
      </c>
      <c r="G149" s="322">
        <f>COUNTIFS(input!$O:$O,August!$G$134,input!$W:$W,August!B149,input!$A:$A,August!$B$2)</f>
        <v>0</v>
      </c>
      <c r="H149" s="321">
        <f>COUNTIFS(input!$O:$O,August!$H$134,input!$W:$W,August!B149,input!$A:$A,August!$B$2)</f>
        <v>0</v>
      </c>
      <c r="I149" s="321">
        <f>COUNTIFS(input!$O:$O,August!$I$134,input!$W:$W,August!B149,input!$A:$A,August!$B$2)</f>
        <v>0</v>
      </c>
      <c r="J149" s="321">
        <f>COUNTIFS(input!$O:$O,August!$J$134,input!$W:$W,August!B149,input!$A:$A,August!$B$2)</f>
        <v>0</v>
      </c>
      <c r="K149" s="343">
        <f>COUNTIFS(input!$O:$O,August!$K$134,input!$W:$W,August!B149,input!$A:$A,August!$B$2)</f>
        <v>0</v>
      </c>
      <c r="L149" s="312">
        <f t="shared" si="29"/>
        <v>0</v>
      </c>
      <c r="M149" s="320" cm="1">
        <f t="array" ref="M149">_xlfn.IFS(L149=0,0,L149&gt;=1,L149/$L$210)</f>
        <v>0</v>
      </c>
      <c r="N149" s="995" t="s">
        <v>1843</v>
      </c>
      <c r="O149" s="996"/>
      <c r="P149" s="997"/>
      <c r="Q149" s="316">
        <f>COUNTIFS(input!$O:$O,August!$Q$134,input!$X:$X,August!N149,input!$A:$A,August!$B$2)</f>
        <v>0</v>
      </c>
      <c r="R149" s="316">
        <f>COUNTIFS(input!$O:$O,August!$R$134,input!$X:$X,August!N149,input!$A:$A,August!$B$2)</f>
        <v>0</v>
      </c>
      <c r="S149" s="316">
        <f>COUNTIFS(input!$O:$O,August!$S$134,input!$X:$X,August!N149,input!$A:$A,August!$B$2)</f>
        <v>0</v>
      </c>
      <c r="T149" s="322">
        <f>COUNTIFS(input!$O:$O,August!$T$134,input!$X:$X,August!N149,input!$A:$A,August!$B$2)</f>
        <v>0</v>
      </c>
      <c r="U149" s="322">
        <f>COUNTIFS(input!$O:$O,August!$U$134,input!$X:$X,August!N149,input!$A:$A,August!$B$2)</f>
        <v>0</v>
      </c>
      <c r="V149" s="323">
        <f>COUNTIFS(input!$O:$O,August!$V$134,input!$X:$X,August!N149,input!$A:$A,August!$B$2)</f>
        <v>0</v>
      </c>
      <c r="W149" s="323">
        <f>COUNTIFS(input!$O:$O,August!$W$134,input!$X:$X,August!N149,input!$A:$A,August!$B$2)</f>
        <v>0</v>
      </c>
      <c r="X149" s="324">
        <f>COUNTIFS(input!$O:$O,August!$X$134,input!$X:$X,August!N149,input!$A:$A,August!$B$2)</f>
        <v>0</v>
      </c>
      <c r="Y149" s="312">
        <f t="shared" si="33"/>
        <v>0</v>
      </c>
      <c r="Z149" s="315" cm="1">
        <f t="array" ref="Z149">_xlfn.IFS(Y149=0,0,Y149&gt;=1,Y149/$Y$210)</f>
        <v>0</v>
      </c>
    </row>
    <row r="150" spans="2:26" ht="92" hidden="1" customHeight="1" x14ac:dyDescent="0.25">
      <c r="B150" s="1122" t="s">
        <v>2103</v>
      </c>
      <c r="C150" s="997"/>
      <c r="D150" s="316">
        <f>COUNTIFS(input!$O:$O,August!$D$134,input!$W:$W,August!B150,input!$A:$A,August!$B$2)</f>
        <v>0</v>
      </c>
      <c r="E150" s="316">
        <f>COUNTIFS(input!$O:$O,August!$E$134,input!$W:$W,August!B150,input!$A:$A,August!$B$2)</f>
        <v>0</v>
      </c>
      <c r="F150" s="316">
        <f>COUNTIFS(input!$O:$O,August!$F$134,input!$W:$W,August!B150,input!$A:$A,August!$B$2)</f>
        <v>0</v>
      </c>
      <c r="G150" s="322">
        <f>COUNTIFS(input!$O:$O,August!$G$134,input!$W:$W,August!B150,input!$A:$A,August!$B$2)</f>
        <v>0</v>
      </c>
      <c r="H150" s="321">
        <f>COUNTIFS(input!$O:$O,August!$H$134,input!$W:$W,August!B150,input!$A:$A,August!$B$2)</f>
        <v>0</v>
      </c>
      <c r="I150" s="321">
        <f>COUNTIFS(input!$O:$O,August!$I$134,input!$W:$W,August!B150,input!$A:$A,August!$B$2)</f>
        <v>0</v>
      </c>
      <c r="J150" s="321">
        <f>COUNTIFS(input!$O:$O,August!$J$134,input!$W:$W,August!B150,input!$A:$A,August!$B$2)</f>
        <v>0</v>
      </c>
      <c r="K150" s="343">
        <f>COUNTIFS(input!$O:$O,August!$K$134,input!$W:$W,August!B150,input!$A:$A,August!$B$2)</f>
        <v>0</v>
      </c>
      <c r="L150" s="312">
        <f>SUM(D150:K150)</f>
        <v>0</v>
      </c>
      <c r="M150" s="320" cm="1">
        <f t="array" ref="M150">_xlfn.IFS(L150=0,0,L150&gt;=1,L150/$L$210)</f>
        <v>0</v>
      </c>
      <c r="N150" s="995" t="s">
        <v>72</v>
      </c>
      <c r="O150" s="996"/>
      <c r="P150" s="997"/>
      <c r="Q150" s="316">
        <f>COUNTIFS(input!$O:$O,August!$Q$134,input!$X:$X,August!N150,input!$A:$A,August!$B$2)</f>
        <v>0</v>
      </c>
      <c r="R150" s="316">
        <f>COUNTIFS(input!$O:$O,August!$R$134,input!$X:$X,August!N150,input!$A:$A,August!$B$2)</f>
        <v>0</v>
      </c>
      <c r="S150" s="316">
        <f>COUNTIFS(input!$O:$O,August!$S$134,input!$X:$X,August!N150,input!$A:$A,August!$B$2)</f>
        <v>0</v>
      </c>
      <c r="T150" s="322">
        <f>COUNTIFS(input!$O:$O,August!$T$134,input!$X:$X,August!N150,input!$A:$A,August!$B$2)</f>
        <v>0</v>
      </c>
      <c r="U150" s="322">
        <f>COUNTIFS(input!$O:$O,August!$U$134,input!$X:$X,August!N150,input!$A:$A,August!$B$2)</f>
        <v>0</v>
      </c>
      <c r="V150" s="323">
        <f>COUNTIFS(input!$O:$O,August!$V$134,input!$X:$X,August!N150,input!$A:$A,August!$B$2)</f>
        <v>0</v>
      </c>
      <c r="W150" s="323">
        <f>COUNTIFS(input!$O:$O,August!$W$134,input!$X:$X,August!N150,input!$A:$A,August!$B$2)</f>
        <v>0</v>
      </c>
      <c r="X150" s="324">
        <f>COUNTIFS(input!$O:$O,August!$X$134,input!$X:$X,August!N150,input!$A:$A,August!$B$2)</f>
        <v>0</v>
      </c>
      <c r="Y150" s="312">
        <f t="shared" si="33"/>
        <v>0</v>
      </c>
      <c r="Z150" s="315" cm="1">
        <f t="array" ref="Z150">_xlfn.IFS(Y150=0,0,Y150&gt;=1,Y150/$Y$210)</f>
        <v>0</v>
      </c>
    </row>
    <row r="151" spans="2:26" ht="92" hidden="1" customHeight="1" x14ac:dyDescent="0.25">
      <c r="B151" s="1122" t="s">
        <v>561</v>
      </c>
      <c r="C151" s="997"/>
      <c r="D151" s="316">
        <f>COUNTIFS(input!$O:$O,August!$D$134,input!$W:$W,August!B151,input!$A:$A,August!$B$2)</f>
        <v>0</v>
      </c>
      <c r="E151" s="316">
        <f>COUNTIFS(input!$O:$O,August!$E$134,input!$W:$W,August!B151,input!$A:$A,August!$B$2)</f>
        <v>0</v>
      </c>
      <c r="F151" s="316">
        <f>COUNTIFS(input!$O:$O,August!$F$134,input!$W:$W,August!B151,input!$A:$A,August!$B$2)</f>
        <v>0</v>
      </c>
      <c r="G151" s="322">
        <f>COUNTIFS(input!$O:$O,August!$G$134,input!$W:$W,August!B151,input!$A:$A,August!$B$2)</f>
        <v>0</v>
      </c>
      <c r="H151" s="321">
        <f>COUNTIFS(input!$O:$O,August!$H$134,input!$W:$W,August!B151,input!$A:$A,August!$B$2)</f>
        <v>0</v>
      </c>
      <c r="I151" s="321">
        <f>COUNTIFS(input!$O:$O,August!$I$134,input!$W:$W,August!B151,input!$A:$A,August!$B$2)</f>
        <v>0</v>
      </c>
      <c r="J151" s="321">
        <f>COUNTIFS(input!$O:$O,August!$J$134,input!$W:$W,August!B151,input!$A:$A,August!$B$2)</f>
        <v>0</v>
      </c>
      <c r="K151" s="343">
        <f>COUNTIFS(input!$O:$O,August!$K$134,input!$W:$W,August!B151,input!$A:$A,August!$B$2)</f>
        <v>0</v>
      </c>
      <c r="L151" s="312">
        <f t="shared" ref="L151:L155" si="34">SUM(D151:K151)</f>
        <v>0</v>
      </c>
      <c r="M151" s="320" cm="1">
        <f t="array" ref="M151">_xlfn.IFS(L151=0,0,L151&gt;=1,L151/$L$210)</f>
        <v>0</v>
      </c>
      <c r="N151" s="995" t="s">
        <v>73</v>
      </c>
      <c r="O151" s="996"/>
      <c r="P151" s="997"/>
      <c r="Q151" s="316">
        <f>COUNTIFS(input!$O:$O,August!$Q$134,input!$X:$X,August!N151,input!$A:$A,August!$B$2)</f>
        <v>0</v>
      </c>
      <c r="R151" s="316">
        <f>COUNTIFS(input!$O:$O,August!$R$134,input!$X:$X,August!N151,input!$A:$A,August!$B$2)</f>
        <v>0</v>
      </c>
      <c r="S151" s="316">
        <f>COUNTIFS(input!$O:$O,August!$S$134,input!$X:$X,August!N151,input!$A:$A,August!$B$2)</f>
        <v>0</v>
      </c>
      <c r="T151" s="322">
        <f>COUNTIFS(input!$O:$O,August!$T$134,input!$X:$X,August!N151,input!$A:$A,August!$B$2)</f>
        <v>0</v>
      </c>
      <c r="U151" s="322">
        <f>COUNTIFS(input!$O:$O,August!$U$134,input!$X:$X,August!N151,input!$A:$A,August!$B$2)</f>
        <v>0</v>
      </c>
      <c r="V151" s="323">
        <f>COUNTIFS(input!$O:$O,August!$V$134,input!$X:$X,August!N151,input!$A:$A,August!$B$2)</f>
        <v>0</v>
      </c>
      <c r="W151" s="323">
        <f>COUNTIFS(input!$O:$O,August!$W$134,input!$X:$X,August!N151,input!$A:$A,August!$B$2)</f>
        <v>0</v>
      </c>
      <c r="X151" s="324">
        <f>COUNTIFS(input!$O:$O,August!$X$134,input!$X:$X,August!N151,input!$A:$A,August!$B$2)</f>
        <v>0</v>
      </c>
      <c r="Y151" s="312">
        <f t="shared" si="33"/>
        <v>0</v>
      </c>
      <c r="Z151" s="315" cm="1">
        <f t="array" ref="Z151">_xlfn.IFS(Y151=0,0,Y151&gt;=1,Y151/$Y$210)</f>
        <v>0</v>
      </c>
    </row>
    <row r="152" spans="2:26" ht="92" hidden="1" customHeight="1" x14ac:dyDescent="0.25">
      <c r="B152" s="1122" t="s">
        <v>1837</v>
      </c>
      <c r="C152" s="997"/>
      <c r="D152" s="316">
        <f>COUNTIFS(input!$O:$O,August!$D$134,input!$W:$W,August!B152,input!$A:$A,August!$B$2)</f>
        <v>0</v>
      </c>
      <c r="E152" s="316">
        <f>COUNTIFS(input!$O:$O,August!$E$134,input!$W:$W,August!B152,input!$A:$A,August!$B$2)</f>
        <v>0</v>
      </c>
      <c r="F152" s="316">
        <f>COUNTIFS(input!$O:$O,August!$F$134,input!$W:$W,August!B152,input!$A:$A,August!$B$2)</f>
        <v>0</v>
      </c>
      <c r="G152" s="322">
        <f>COUNTIFS(input!$O:$O,August!$G$134,input!$W:$W,August!B152,input!$A:$A,August!$B$2)</f>
        <v>0</v>
      </c>
      <c r="H152" s="321">
        <f>COUNTIFS(input!$O:$O,August!$H$134,input!$W:$W,August!B152,input!$A:$A,August!$B$2)</f>
        <v>0</v>
      </c>
      <c r="I152" s="321">
        <f>COUNTIFS(input!$O:$O,August!$I$134,input!$W:$W,August!B152,input!$A:$A,August!$B$2)</f>
        <v>0</v>
      </c>
      <c r="J152" s="321">
        <f>COUNTIFS(input!$O:$O,August!$J$134,input!$W:$W,August!B152,input!$A:$A,August!$B$2)</f>
        <v>0</v>
      </c>
      <c r="K152" s="343">
        <f>COUNTIFS(input!$O:$O,August!$K$134,input!$W:$W,August!B152,input!$A:$A,August!$B$2)</f>
        <v>0</v>
      </c>
      <c r="L152" s="312">
        <f t="shared" si="34"/>
        <v>0</v>
      </c>
      <c r="M152" s="320" cm="1">
        <f t="array" ref="M152">_xlfn.IFS(L152=0,0,L152&gt;=1,L152/$L$210)</f>
        <v>0</v>
      </c>
      <c r="N152" s="995" t="s">
        <v>744</v>
      </c>
      <c r="O152" s="996"/>
      <c r="P152" s="997"/>
      <c r="Q152" s="316">
        <f>COUNTIFS(input!$O:$O,August!$Q$134,input!$X:$X,August!N152,input!$A:$A,August!$B$2)</f>
        <v>0</v>
      </c>
      <c r="R152" s="316">
        <f>COUNTIFS(input!$O:$O,August!$R$134,input!$X:$X,August!N152,input!$A:$A,August!$B$2)</f>
        <v>0</v>
      </c>
      <c r="S152" s="316">
        <f>COUNTIFS(input!$O:$O,August!$S$134,input!$X:$X,August!N152,input!$A:$A,August!$B$2)</f>
        <v>0</v>
      </c>
      <c r="T152" s="322">
        <f>COUNTIFS(input!$O:$O,August!$T$134,input!$X:$X,August!N152,input!$A:$A,August!$B$2)</f>
        <v>0</v>
      </c>
      <c r="U152" s="322">
        <f>COUNTIFS(input!$O:$O,August!$U$134,input!$X:$X,August!N152,input!$A:$A,August!$B$2)</f>
        <v>0</v>
      </c>
      <c r="V152" s="323">
        <f>COUNTIFS(input!$O:$O,August!$V$134,input!$X:$X,August!N152,input!$A:$A,August!$B$2)</f>
        <v>0</v>
      </c>
      <c r="W152" s="323">
        <f>COUNTIFS(input!$O:$O,August!$W$134,input!$X:$X,August!N152,input!$A:$A,August!$B$2)</f>
        <v>0</v>
      </c>
      <c r="X152" s="324">
        <f>COUNTIFS(input!$O:$O,August!$X$134,input!$X:$X,August!N152,input!$A:$A,August!$B$2)</f>
        <v>0</v>
      </c>
      <c r="Y152" s="312">
        <f t="shared" si="33"/>
        <v>0</v>
      </c>
      <c r="Z152" s="315" cm="1">
        <f t="array" ref="Z152">_xlfn.IFS(Y152=0,0,Y152&gt;=1,Y152/$Y$210)</f>
        <v>0</v>
      </c>
    </row>
    <row r="153" spans="2:26" ht="92" customHeight="1" x14ac:dyDescent="0.25">
      <c r="B153" s="998" t="s">
        <v>601</v>
      </c>
      <c r="C153" s="994"/>
      <c r="D153" s="316">
        <f>COUNTIFS(input!$O:$O,August!$D$134,input!$W:$W,August!B153,input!$A:$A,August!$B$2)</f>
        <v>0</v>
      </c>
      <c r="E153" s="316">
        <f>COUNTIFS(input!$O:$O,August!$E$134,input!$W:$W,August!B153,input!$A:$A,August!$B$2)</f>
        <v>0</v>
      </c>
      <c r="F153" s="316">
        <f>COUNTIFS(input!$O:$O,August!$F$134,input!$W:$W,August!B153,input!$A:$A,August!$B$2)</f>
        <v>0</v>
      </c>
      <c r="G153" s="322">
        <f>COUNTIFS(input!$O:$O,August!$G$134,input!$W:$W,August!B153,input!$A:$A,August!$B$2)</f>
        <v>1</v>
      </c>
      <c r="H153" s="321">
        <f>COUNTIFS(input!$O:$O,August!$H$134,input!$W:$W,August!B153,input!$A:$A,August!$B$2)</f>
        <v>0</v>
      </c>
      <c r="I153" s="321">
        <f>COUNTIFS(input!$O:$O,August!$I$134,input!$W:$W,August!B153,input!$A:$A,August!$B$2)</f>
        <v>0</v>
      </c>
      <c r="J153" s="321">
        <f>COUNTIFS(input!$O:$O,August!$J$134,input!$W:$W,August!B153,input!$A:$A,August!$B$2)</f>
        <v>0</v>
      </c>
      <c r="K153" s="343">
        <f>COUNTIFS(input!$O:$O,August!$K$134,input!$W:$W,August!B153,input!$A:$A,August!$B$2)</f>
        <v>0</v>
      </c>
      <c r="L153" s="312">
        <f t="shared" si="34"/>
        <v>1</v>
      </c>
      <c r="M153" s="320" cm="1">
        <f t="array" ref="M153">_xlfn.IFS(L153=0,0,L153&gt;=1,L153/$L$210)</f>
        <v>6.25E-2</v>
      </c>
      <c r="N153" s="995" t="s">
        <v>444</v>
      </c>
      <c r="O153" s="996"/>
      <c r="P153" s="997"/>
      <c r="Q153" s="316">
        <f>COUNTIFS(input!$O:$O,August!$Q$134,input!$X:$X,August!N153,input!$A:$A,August!$B$2)</f>
        <v>0</v>
      </c>
      <c r="R153" s="316">
        <f>COUNTIFS(input!$O:$O,August!$R$134,input!$X:$X,August!N153,input!$A:$A,August!$B$2)</f>
        <v>0</v>
      </c>
      <c r="S153" s="316">
        <f>COUNTIFS(input!$O:$O,August!$S$134,input!$X:$X,August!N153,input!$A:$A,August!$B$2)</f>
        <v>0</v>
      </c>
      <c r="T153" s="322">
        <f>COUNTIFS(input!$O:$O,August!$T$134,input!$X:$X,August!N153,input!$A:$A,August!$B$2)</f>
        <v>0</v>
      </c>
      <c r="U153" s="322">
        <f>COUNTIFS(input!$O:$O,August!$U$134,input!$X:$X,August!N153,input!$A:$A,August!$B$2)</f>
        <v>0</v>
      </c>
      <c r="V153" s="323">
        <f>COUNTIFS(input!$O:$O,August!$V$134,input!$X:$X,August!N153,input!$A:$A,August!$B$2)</f>
        <v>0</v>
      </c>
      <c r="W153" s="323">
        <f>COUNTIFS(input!$O:$O,August!$W$134,input!$X:$X,August!N153,input!$A:$A,August!$B$2)</f>
        <v>0</v>
      </c>
      <c r="X153" s="324">
        <f>COUNTIFS(input!$O:$O,August!$X$134,input!$X:$X,August!N153,input!$A:$A,August!$B$2)</f>
        <v>0</v>
      </c>
      <c r="Y153" s="312">
        <f>SUM(Q153:X153)</f>
        <v>0</v>
      </c>
      <c r="Z153" s="315" cm="1">
        <f t="array" ref="Z153">_xlfn.IFS(Y153=0,0,Y153&gt;=1,Y153/$Y$210)</f>
        <v>0</v>
      </c>
    </row>
    <row r="154" spans="2:26" ht="92" customHeight="1" x14ac:dyDescent="0.25">
      <c r="B154" s="998" t="s">
        <v>645</v>
      </c>
      <c r="C154" s="994"/>
      <c r="D154" s="316">
        <f>COUNTIFS(input!$O:$O,August!$D$134,input!$W:$W,August!B154,input!$A:$A,August!$B$2)</f>
        <v>0</v>
      </c>
      <c r="E154" s="316">
        <f>COUNTIFS(input!$O:$O,August!$E$134,input!$W:$W,August!B154,input!$A:$A,August!$B$2)</f>
        <v>0</v>
      </c>
      <c r="F154" s="316">
        <f>COUNTIFS(input!$O:$O,August!$F$134,input!$W:$W,August!B154,input!$A:$A,August!$B$2)</f>
        <v>0</v>
      </c>
      <c r="G154" s="322">
        <f>COUNTIFS(input!$O:$O,August!$G$134,input!$W:$W,August!B154,input!$A:$A,August!$B$2)</f>
        <v>2</v>
      </c>
      <c r="H154" s="321">
        <f>COUNTIFS(input!$O:$O,August!$H$134,input!$W:$W,August!B154,input!$A:$A,August!$B$2)</f>
        <v>0</v>
      </c>
      <c r="I154" s="321">
        <f>COUNTIFS(input!$O:$O,August!$I$134,input!$W:$W,August!B154,input!$A:$A,August!$B$2)</f>
        <v>0</v>
      </c>
      <c r="J154" s="321">
        <f>COUNTIFS(input!$O:$O,August!$J$134,input!$W:$W,August!B154,input!$A:$A,August!$B$2)</f>
        <v>0</v>
      </c>
      <c r="K154" s="343">
        <f>COUNTIFS(input!$O:$O,August!$K$134,input!$W:$W,August!B154,input!$A:$A,August!$B$2)</f>
        <v>0</v>
      </c>
      <c r="L154" s="312">
        <f t="shared" si="34"/>
        <v>2</v>
      </c>
      <c r="M154" s="320" cm="1">
        <f t="array" ref="M154">_xlfn.IFS(L154=0,0,L154&gt;=1,L154/$L$210)</f>
        <v>0.125</v>
      </c>
      <c r="N154" s="992" t="s">
        <v>764</v>
      </c>
      <c r="O154" s="993"/>
      <c r="P154" s="994"/>
      <c r="Q154" s="316">
        <f>COUNTIFS(input!$O:$O,August!$Q$134,input!$X:$X,August!N154,input!$A:$A,August!$B$2)</f>
        <v>0</v>
      </c>
      <c r="R154" s="316">
        <f>COUNTIFS(input!$O:$O,August!$R$134,input!$X:$X,August!N154,input!$A:$A,August!$B$2)</f>
        <v>0</v>
      </c>
      <c r="S154" s="316">
        <f>COUNTIFS(input!$O:$O,August!$S$134,input!$X:$X,August!N154,input!$A:$A,August!$B$2)</f>
        <v>0</v>
      </c>
      <c r="T154" s="322">
        <f>COUNTIFS(input!$O:$O,August!$T$134,input!$X:$X,August!N154,input!$A:$A,August!$B$2)</f>
        <v>1</v>
      </c>
      <c r="U154" s="322">
        <f>COUNTIFS(input!$O:$O,August!$U$134,input!$X:$X,August!N154,input!$A:$A,August!$B$2)</f>
        <v>0</v>
      </c>
      <c r="V154" s="323">
        <f>COUNTIFS(input!$O:$O,August!$V$134,input!$X:$X,August!N154,input!$A:$A,August!$B$2)</f>
        <v>0</v>
      </c>
      <c r="W154" s="323">
        <f>COUNTIFS(input!$O:$O,August!$W$134,input!$X:$X,August!N154,input!$A:$A,August!$B$2)</f>
        <v>0</v>
      </c>
      <c r="X154" s="324">
        <f>COUNTIFS(input!$O:$O,August!$X$134,input!$X:$X,August!N154,input!$A:$A,August!$B$2)</f>
        <v>0</v>
      </c>
      <c r="Y154" s="312">
        <f t="shared" ref="Y154:Y165" si="35">SUM(Q154:X154)</f>
        <v>1</v>
      </c>
      <c r="Z154" s="315" cm="1">
        <f t="array" ref="Z154">_xlfn.IFS(Y154=0,0,Y154&gt;=1,Y154/$Y$210)</f>
        <v>6.25E-2</v>
      </c>
    </row>
    <row r="155" spans="2:26" ht="92" hidden="1" customHeight="1" x14ac:dyDescent="0.25">
      <c r="B155" s="1122" t="s">
        <v>829</v>
      </c>
      <c r="C155" s="997"/>
      <c r="D155" s="316">
        <f>COUNTIFS(input!$O:$O,August!$D$134,input!$W:$W,August!B155,input!$A:$A,August!$B$2)</f>
        <v>0</v>
      </c>
      <c r="E155" s="316">
        <f>COUNTIFS(input!$O:$O,August!$E$134,input!$W:$W,August!B155,input!$A:$A,August!$B$2)</f>
        <v>0</v>
      </c>
      <c r="F155" s="316">
        <f>COUNTIFS(input!$O:$O,August!$F$134,input!$W:$W,August!B155,input!$A:$A,August!$B$2)</f>
        <v>0</v>
      </c>
      <c r="G155" s="322">
        <f>COUNTIFS(input!$O:$O,August!$G$134,input!$W:$W,August!B155,input!$A:$A,August!$B$2)</f>
        <v>0</v>
      </c>
      <c r="H155" s="321">
        <f>COUNTIFS(input!$O:$O,August!$H$134,input!$W:$W,August!B155,input!$A:$A,August!$B$2)</f>
        <v>0</v>
      </c>
      <c r="I155" s="321">
        <f>COUNTIFS(input!$O:$O,August!$I$134,input!$W:$W,August!B155,input!$A:$A,August!$B$2)</f>
        <v>0</v>
      </c>
      <c r="J155" s="321">
        <f>COUNTIFS(input!$O:$O,August!$J$134,input!$W:$W,August!B155,input!$A:$A,August!$B$2)</f>
        <v>0</v>
      </c>
      <c r="K155" s="343">
        <f>COUNTIFS(input!$O:$O,August!$K$134,input!$W:$W,August!B155,input!$A:$A,August!$B$2)</f>
        <v>0</v>
      </c>
      <c r="L155" s="312">
        <f t="shared" si="34"/>
        <v>0</v>
      </c>
      <c r="M155" s="320" cm="1">
        <f t="array" ref="M155">_xlfn.IFS(L155=0,0,L155&gt;=1,L155/$L$210)</f>
        <v>0</v>
      </c>
      <c r="N155" s="995" t="s">
        <v>507</v>
      </c>
      <c r="O155" s="996"/>
      <c r="P155" s="997"/>
      <c r="Q155" s="316">
        <f>COUNTIFS(input!$O:$O,August!$Q$134,input!$X:$X,August!N155,input!$A:$A,August!$B$2)</f>
        <v>0</v>
      </c>
      <c r="R155" s="316">
        <f>COUNTIFS(input!$O:$O,August!$R$134,input!$X:$X,August!N155,input!$A:$A,August!$B$2)</f>
        <v>0</v>
      </c>
      <c r="S155" s="316">
        <f>COUNTIFS(input!$O:$O,August!$S$134,input!$X:$X,August!N155,input!$A:$A,August!$B$2)</f>
        <v>0</v>
      </c>
      <c r="T155" s="322">
        <f>COUNTIFS(input!$O:$O,August!$T$134,input!$X:$X,August!N155,input!$A:$A,August!$B$2)</f>
        <v>0</v>
      </c>
      <c r="U155" s="322">
        <f>COUNTIFS(input!$O:$O,August!$U$134,input!$X:$X,August!N155,input!$A:$A,August!$B$2)</f>
        <v>0</v>
      </c>
      <c r="V155" s="323">
        <f>COUNTIFS(input!$O:$O,August!$V$134,input!$X:$X,August!N155,input!$A:$A,August!$B$2)</f>
        <v>0</v>
      </c>
      <c r="W155" s="323">
        <f>COUNTIFS(input!$O:$O,August!$W$134,input!$X:$X,August!N155,input!$A:$A,August!$B$2)</f>
        <v>0</v>
      </c>
      <c r="X155" s="324">
        <f>COUNTIFS(input!$O:$O,August!$X$134,input!$X:$X,August!N155,input!$A:$A,August!$B$2)</f>
        <v>0</v>
      </c>
      <c r="Y155" s="312">
        <f t="shared" si="35"/>
        <v>0</v>
      </c>
      <c r="Z155" s="315" cm="1">
        <f t="array" ref="Z155">_xlfn.IFS(Y155=0,0,Y155&gt;=1,Y155/$Y$210)</f>
        <v>0</v>
      </c>
    </row>
    <row r="156" spans="2:26" ht="92" hidden="1" customHeight="1" x14ac:dyDescent="0.25">
      <c r="B156" s="1122" t="s">
        <v>2002</v>
      </c>
      <c r="C156" s="997"/>
      <c r="D156" s="316">
        <f>COUNTIFS(input!$O:$O,August!$D$134,input!$W:$W,August!B156,input!$A:$A,August!$B$2)</f>
        <v>0</v>
      </c>
      <c r="E156" s="316">
        <f>COUNTIFS(input!$O:$O,August!$E$134,input!$W:$W,August!B156,input!$A:$A,August!$B$2)</f>
        <v>0</v>
      </c>
      <c r="F156" s="316">
        <f>COUNTIFS(input!$O:$O,August!$F$134,input!$W:$W,August!B156,input!$A:$A,August!$B$2)</f>
        <v>0</v>
      </c>
      <c r="G156" s="322">
        <f>COUNTIFS(input!$O:$O,August!$G$134,input!$W:$W,August!B156,input!$A:$A,August!$B$2)</f>
        <v>0</v>
      </c>
      <c r="H156" s="321">
        <f>COUNTIFS(input!$O:$O,August!$H$134,input!$W:$W,August!B156,input!$A:$A,August!$B$2)</f>
        <v>0</v>
      </c>
      <c r="I156" s="321">
        <f>COUNTIFS(input!$O:$O,August!$I$134,input!$W:$W,August!B156,input!$A:$A,August!$B$2)</f>
        <v>0</v>
      </c>
      <c r="J156" s="321">
        <f>COUNTIFS(input!$O:$O,August!$J$134,input!$W:$W,August!B156,input!$A:$A,August!$B$2)</f>
        <v>0</v>
      </c>
      <c r="K156" s="343">
        <f>COUNTIFS(input!$O:$O,August!$K$134,input!$W:$W,August!B156,input!$A:$A,August!$B$2)</f>
        <v>0</v>
      </c>
      <c r="L156" s="312">
        <f>SUM(D156:K156)</f>
        <v>0</v>
      </c>
      <c r="M156" s="320" cm="1">
        <f t="array" ref="M156">_xlfn.IFS(L156=0,0,L156&gt;=1,L156/$L$210)</f>
        <v>0</v>
      </c>
      <c r="N156" s="995" t="s">
        <v>75</v>
      </c>
      <c r="O156" s="996"/>
      <c r="P156" s="997"/>
      <c r="Q156" s="316">
        <f>COUNTIFS(input!$O:$O,August!$Q$134,input!$X:$X,August!N156,input!$A:$A,August!$B$2)</f>
        <v>0</v>
      </c>
      <c r="R156" s="316">
        <f>COUNTIFS(input!$O:$O,August!$R$134,input!$X:$X,August!N156,input!$A:$A,August!$B$2)</f>
        <v>0</v>
      </c>
      <c r="S156" s="316">
        <f>COUNTIFS(input!$O:$O,August!$S$134,input!$X:$X,August!N156,input!$A:$A,August!$B$2)</f>
        <v>0</v>
      </c>
      <c r="T156" s="322">
        <f>COUNTIFS(input!$O:$O,August!$T$134,input!$X:$X,August!N156,input!$A:$A,August!$B$2)</f>
        <v>0</v>
      </c>
      <c r="U156" s="322">
        <f>COUNTIFS(input!$O:$O,August!$U$134,input!$X:$X,August!N156,input!$A:$A,August!$B$2)</f>
        <v>0</v>
      </c>
      <c r="V156" s="323">
        <f>COUNTIFS(input!$O:$O,August!$V$134,input!$X:$X,August!N156,input!$A:$A,August!$B$2)</f>
        <v>0</v>
      </c>
      <c r="W156" s="323">
        <f>COUNTIFS(input!$O:$O,August!$W$134,input!$X:$X,August!N156,input!$A:$A,August!$B$2)</f>
        <v>0</v>
      </c>
      <c r="X156" s="324">
        <f>COUNTIFS(input!$O:$O,August!$X$134,input!$X:$X,August!N156,input!$A:$A,August!$B$2)</f>
        <v>0</v>
      </c>
      <c r="Y156" s="312">
        <f t="shared" si="35"/>
        <v>0</v>
      </c>
      <c r="Z156" s="315" cm="1">
        <f t="array" ref="Z156">_xlfn.IFS(Y156=0,0,Y156&gt;=1,Y156/$Y$210)</f>
        <v>0</v>
      </c>
    </row>
    <row r="157" spans="2:26" ht="92" hidden="1" customHeight="1" x14ac:dyDescent="0.25">
      <c r="B157" s="1122" t="s">
        <v>604</v>
      </c>
      <c r="C157" s="997"/>
      <c r="D157" s="316">
        <f>COUNTIFS(input!$O:$O,August!$D$134,input!$W:$W,August!B157,input!$A:$A,August!$B$2)</f>
        <v>0</v>
      </c>
      <c r="E157" s="316">
        <f>COUNTIFS(input!$O:$O,August!$E$134,input!$W:$W,August!B157,input!$A:$A,August!$B$2)</f>
        <v>0</v>
      </c>
      <c r="F157" s="316">
        <f>COUNTIFS(input!$O:$O,August!$F$134,input!$W:$W,August!B157,input!$A:$A,August!$B$2)</f>
        <v>0</v>
      </c>
      <c r="G157" s="322">
        <f>COUNTIFS(input!$O:$O,August!$G$134,input!$W:$W,August!B157,input!$A:$A,August!$B$2)</f>
        <v>0</v>
      </c>
      <c r="H157" s="321">
        <f>COUNTIFS(input!$O:$O,August!$H$134,input!$W:$W,August!B157,input!$A:$A,August!$B$2)</f>
        <v>0</v>
      </c>
      <c r="I157" s="321">
        <f>COUNTIFS(input!$O:$O,August!$I$134,input!$W:$W,August!B157,input!$A:$A,August!$B$2)</f>
        <v>0</v>
      </c>
      <c r="J157" s="321">
        <f>COUNTIFS(input!$O:$O,August!$J$134,input!$W:$W,August!B157,input!$A:$A,August!$B$2)</f>
        <v>0</v>
      </c>
      <c r="K157" s="343">
        <f>COUNTIFS(input!$O:$O,August!$K$134,input!$W:$W,August!B157,input!$A:$A,August!$B$2)</f>
        <v>0</v>
      </c>
      <c r="L157" s="312">
        <f t="shared" ref="L157:L174" si="36">SUM(D157:K157)</f>
        <v>0</v>
      </c>
      <c r="M157" s="320" cm="1">
        <f t="array" ref="M157">_xlfn.IFS(L157=0,0,L157&gt;=1,L157/$L$210)</f>
        <v>0</v>
      </c>
      <c r="N157" s="995" t="s">
        <v>76</v>
      </c>
      <c r="O157" s="996"/>
      <c r="P157" s="997"/>
      <c r="Q157" s="316">
        <f>COUNTIFS(input!$O:$O,August!$Q$134,input!$X:$X,August!N157,input!$A:$A,August!$B$2)</f>
        <v>0</v>
      </c>
      <c r="R157" s="316">
        <f>COUNTIFS(input!$O:$O,August!$R$134,input!$X:$X,August!N157,input!$A:$A,August!$B$2)</f>
        <v>0</v>
      </c>
      <c r="S157" s="316">
        <f>COUNTIFS(input!$O:$O,August!$S$134,input!$X:$X,August!N157,input!$A:$A,August!$B$2)</f>
        <v>0</v>
      </c>
      <c r="T157" s="322">
        <f>COUNTIFS(input!$O:$O,August!$T$134,input!$X:$X,August!N157,input!$A:$A,August!$B$2)</f>
        <v>0</v>
      </c>
      <c r="U157" s="322">
        <f>COUNTIFS(input!$O:$O,August!$U$134,input!$X:$X,August!N157,input!$A:$A,August!$B$2)</f>
        <v>0</v>
      </c>
      <c r="V157" s="323">
        <f>COUNTIFS(input!$O:$O,August!$V$134,input!$X:$X,August!N157,input!$A:$A,August!$B$2)</f>
        <v>0</v>
      </c>
      <c r="W157" s="323">
        <f>COUNTIFS(input!$O:$O,August!$W$134,input!$X:$X,August!N157,input!$A:$A,August!$B$2)</f>
        <v>0</v>
      </c>
      <c r="X157" s="324">
        <f>COUNTIFS(input!$O:$O,August!$X$134,input!$X:$X,August!N157,input!$A:$A,August!$B$2)</f>
        <v>0</v>
      </c>
      <c r="Y157" s="312">
        <f t="shared" si="35"/>
        <v>0</v>
      </c>
      <c r="Z157" s="315" cm="1">
        <f t="array" ref="Z157">_xlfn.IFS(Y157=0,0,Y157&gt;=1,Y157/$Y$210)</f>
        <v>0</v>
      </c>
    </row>
    <row r="158" spans="2:26" ht="92" hidden="1" customHeight="1" x14ac:dyDescent="0.25">
      <c r="B158" s="1122" t="s">
        <v>1541</v>
      </c>
      <c r="C158" s="997"/>
      <c r="D158" s="316">
        <f>COUNTIFS(input!$O:$O,August!$D$134,input!$W:$W,August!B158,input!$A:$A,August!$B$2)</f>
        <v>0</v>
      </c>
      <c r="E158" s="316">
        <f>COUNTIFS(input!$O:$O,August!$E$134,input!$W:$W,August!B158,input!$A:$A,August!$B$2)</f>
        <v>0</v>
      </c>
      <c r="F158" s="316">
        <f>COUNTIFS(input!$O:$O,August!$F$134,input!$W:$W,August!B158,input!$A:$A,August!$B$2)</f>
        <v>0</v>
      </c>
      <c r="G158" s="322">
        <f>COUNTIFS(input!$O:$O,August!$G$134,input!$W:$W,August!B158,input!$A:$A,August!$B$2)</f>
        <v>0</v>
      </c>
      <c r="H158" s="321">
        <f>COUNTIFS(input!$O:$O,August!$H$134,input!$W:$W,August!B158,input!$A:$A,August!$B$2)</f>
        <v>0</v>
      </c>
      <c r="I158" s="321">
        <f>COUNTIFS(input!$O:$O,August!$I$134,input!$W:$W,August!B158,input!$A:$A,August!$B$2)</f>
        <v>0</v>
      </c>
      <c r="J158" s="321">
        <f>COUNTIFS(input!$O:$O,August!$J$134,input!$W:$W,August!B158,input!$A:$A,August!$B$2)</f>
        <v>0</v>
      </c>
      <c r="K158" s="343">
        <f>COUNTIFS(input!$O:$O,August!$K$134,input!$W:$W,August!B158,input!$A:$A,August!$B$2)</f>
        <v>0</v>
      </c>
      <c r="L158" s="312">
        <f t="shared" si="36"/>
        <v>0</v>
      </c>
      <c r="M158" s="320" cm="1">
        <f t="array" ref="M158">_xlfn.IFS(L158=0,0,L158&gt;=1,L158/$L$210)</f>
        <v>0</v>
      </c>
      <c r="N158" s="995" t="s">
        <v>77</v>
      </c>
      <c r="O158" s="996"/>
      <c r="P158" s="997"/>
      <c r="Q158" s="316">
        <f>COUNTIFS(input!$O:$O,August!$Q$134,input!$X:$X,August!N158,input!$A:$A,August!$B$2)</f>
        <v>0</v>
      </c>
      <c r="R158" s="316">
        <f>COUNTIFS(input!$O:$O,August!$R$134,input!$X:$X,August!N158,input!$A:$A,August!$B$2)</f>
        <v>0</v>
      </c>
      <c r="S158" s="316">
        <f>COUNTIFS(input!$O:$O,August!$S$134,input!$X:$X,August!N158,input!$A:$A,August!$B$2)</f>
        <v>0</v>
      </c>
      <c r="T158" s="322">
        <f>COUNTIFS(input!$O:$O,August!$T$134,input!$X:$X,August!N158,input!$A:$A,August!$B$2)</f>
        <v>0</v>
      </c>
      <c r="U158" s="322">
        <f>COUNTIFS(input!$O:$O,August!$U$134,input!$X:$X,August!N158,input!$A:$A,August!$B$2)</f>
        <v>0</v>
      </c>
      <c r="V158" s="323">
        <f>COUNTIFS(input!$O:$O,August!$V$134,input!$X:$X,August!N158,input!$A:$A,August!$B$2)</f>
        <v>0</v>
      </c>
      <c r="W158" s="323">
        <f>COUNTIFS(input!$O:$O,August!$W$134,input!$X:$X,August!N158,input!$A:$A,August!$B$2)</f>
        <v>0</v>
      </c>
      <c r="X158" s="324">
        <f>COUNTIFS(input!$O:$O,August!$X$134,input!$X:$X,August!N158,input!$A:$A,August!$B$2)</f>
        <v>0</v>
      </c>
      <c r="Y158" s="312">
        <f t="shared" si="35"/>
        <v>0</v>
      </c>
      <c r="Z158" s="315" cm="1">
        <f t="array" ref="Z158">_xlfn.IFS(Y158=0,0,Y158&gt;=1,Y158/$Y$210)</f>
        <v>0</v>
      </c>
    </row>
    <row r="159" spans="2:26" ht="92" hidden="1" customHeight="1" x14ac:dyDescent="0.25">
      <c r="B159" s="1122" t="s">
        <v>646</v>
      </c>
      <c r="C159" s="997"/>
      <c r="D159" s="316">
        <f>COUNTIFS(input!$O:$O,August!$D$134,input!$W:$W,August!B159,input!$A:$A,August!$B$2)</f>
        <v>0</v>
      </c>
      <c r="E159" s="316">
        <f>COUNTIFS(input!$O:$O,August!$E$134,input!$W:$W,August!B159,input!$A:$A,August!$B$2)</f>
        <v>0</v>
      </c>
      <c r="F159" s="316">
        <f>COUNTIFS(input!$O:$O,August!$F$134,input!$W:$W,August!B159,input!$A:$A,August!$B$2)</f>
        <v>0</v>
      </c>
      <c r="G159" s="322">
        <f>COUNTIFS(input!$O:$O,August!$G$134,input!$W:$W,August!B159,input!$A:$A,August!$B$2)</f>
        <v>0</v>
      </c>
      <c r="H159" s="321">
        <f>COUNTIFS(input!$O:$O,August!$H$134,input!$W:$W,August!B159,input!$A:$A,August!$B$2)</f>
        <v>0</v>
      </c>
      <c r="I159" s="321">
        <f>COUNTIFS(input!$O:$O,August!$I$134,input!$W:$W,August!B159,input!$A:$A,August!$B$2)</f>
        <v>0</v>
      </c>
      <c r="J159" s="321">
        <f>COUNTIFS(input!$O:$O,August!$J$134,input!$W:$W,August!B159,input!$A:$A,August!$B$2)</f>
        <v>0</v>
      </c>
      <c r="K159" s="343">
        <f>COUNTIFS(input!$O:$O,August!$K$134,input!$W:$W,August!B159,input!$A:$A,August!$B$2)</f>
        <v>0</v>
      </c>
      <c r="L159" s="312">
        <f t="shared" si="36"/>
        <v>0</v>
      </c>
      <c r="M159" s="320" cm="1">
        <f t="array" ref="M159">_xlfn.IFS(L159=0,0,L159&gt;=1,L159/$L$210)</f>
        <v>0</v>
      </c>
      <c r="N159" s="995" t="s">
        <v>78</v>
      </c>
      <c r="O159" s="996"/>
      <c r="P159" s="997"/>
      <c r="Q159" s="316">
        <f>COUNTIFS(input!$O:$O,August!$Q$134,input!$X:$X,August!N159,input!$A:$A,August!$B$2)</f>
        <v>0</v>
      </c>
      <c r="R159" s="316">
        <f>COUNTIFS(input!$O:$O,August!$R$134,input!$X:$X,August!N159,input!$A:$A,August!$B$2)</f>
        <v>0</v>
      </c>
      <c r="S159" s="316">
        <f>COUNTIFS(input!$O:$O,August!$S$134,input!$X:$X,August!N159,input!$A:$A,August!$B$2)</f>
        <v>0</v>
      </c>
      <c r="T159" s="322">
        <f>COUNTIFS(input!$O:$O,August!$T$134,input!$X:$X,August!N159,input!$A:$A,August!$B$2)</f>
        <v>0</v>
      </c>
      <c r="U159" s="322">
        <f>COUNTIFS(input!$O:$O,August!$U$134,input!$X:$X,August!N159,input!$A:$A,August!$B$2)</f>
        <v>0</v>
      </c>
      <c r="V159" s="323">
        <f>COUNTIFS(input!$O:$O,August!$V$134,input!$X:$X,August!N159,input!$A:$A,August!$B$2)</f>
        <v>0</v>
      </c>
      <c r="W159" s="323">
        <f>COUNTIFS(input!$O:$O,August!$W$134,input!$X:$X,August!N159,input!$A:$A,August!$B$2)</f>
        <v>0</v>
      </c>
      <c r="X159" s="324">
        <f>COUNTIFS(input!$O:$O,August!$X$134,input!$X:$X,August!N159,input!$A:$A,August!$B$2)</f>
        <v>0</v>
      </c>
      <c r="Y159" s="312">
        <f t="shared" si="35"/>
        <v>0</v>
      </c>
      <c r="Z159" s="315" cm="1">
        <f t="array" ref="Z159">_xlfn.IFS(Y159=0,0,Y159&gt;=1,Y159/$Y$210)</f>
        <v>0</v>
      </c>
    </row>
    <row r="160" spans="2:26" ht="92" hidden="1" customHeight="1" x14ac:dyDescent="0.25">
      <c r="B160" s="1122" t="s">
        <v>1840</v>
      </c>
      <c r="C160" s="997"/>
      <c r="D160" s="316">
        <f>COUNTIFS(input!$O:$O,August!$D$134,input!$W:$W,August!B160,input!$A:$A,August!$B$2)</f>
        <v>0</v>
      </c>
      <c r="E160" s="316">
        <f>COUNTIFS(input!$O:$O,August!$E$134,input!$W:$W,August!B160,input!$A:$A,August!$B$2)</f>
        <v>0</v>
      </c>
      <c r="F160" s="316">
        <f>COUNTIFS(input!$O:$O,August!$F$134,input!$W:$W,August!B160,input!$A:$A,August!$B$2)</f>
        <v>0</v>
      </c>
      <c r="G160" s="322">
        <f>COUNTIFS(input!$O:$O,August!$G$134,input!$W:$W,August!B160,input!$A:$A,August!$B$2)</f>
        <v>0</v>
      </c>
      <c r="H160" s="321">
        <f>COUNTIFS(input!$O:$O,August!$H$134,input!$W:$W,August!B160,input!$A:$A,August!$B$2)</f>
        <v>0</v>
      </c>
      <c r="I160" s="321">
        <f>COUNTIFS(input!$O:$O,August!$I$134,input!$W:$W,August!B160,input!$A:$A,August!$B$2)</f>
        <v>0</v>
      </c>
      <c r="J160" s="321">
        <f>COUNTIFS(input!$O:$O,August!$J$134,input!$W:$W,August!B160,input!$A:$A,August!$B$2)</f>
        <v>0</v>
      </c>
      <c r="K160" s="343">
        <f>COUNTIFS(input!$O:$O,August!$K$134,input!$W:$W,August!B160,input!$A:$A,August!$B$2)</f>
        <v>0</v>
      </c>
      <c r="L160" s="312">
        <f t="shared" si="36"/>
        <v>0</v>
      </c>
      <c r="M160" s="320" cm="1">
        <f t="array" ref="M160">_xlfn.IFS(L160=0,0,L160&gt;=1,L160/$L$210)</f>
        <v>0</v>
      </c>
      <c r="N160" s="995" t="s">
        <v>2158</v>
      </c>
      <c r="O160" s="996"/>
      <c r="P160" s="997"/>
      <c r="Q160" s="316">
        <f>COUNTIFS(input!$O:$O,August!$Q$134,input!$X:$X,August!N160,input!$A:$A,August!$B$2)</f>
        <v>0</v>
      </c>
      <c r="R160" s="316">
        <f>COUNTIFS(input!$O:$O,August!$R$134,input!$X:$X,August!N160,input!$A:$A,August!$B$2)</f>
        <v>0</v>
      </c>
      <c r="S160" s="316">
        <f>COUNTIFS(input!$O:$O,August!$S$134,input!$X:$X,August!N160,input!$A:$A,August!$B$2)</f>
        <v>0</v>
      </c>
      <c r="T160" s="322">
        <f>COUNTIFS(input!$O:$O,August!$T$134,input!$X:$X,August!N160,input!$A:$A,August!$B$2)</f>
        <v>0</v>
      </c>
      <c r="U160" s="322">
        <f>COUNTIFS(input!$O:$O,August!$U$134,input!$X:$X,August!N160,input!$A:$A,August!$B$2)</f>
        <v>0</v>
      </c>
      <c r="V160" s="323">
        <f>COUNTIFS(input!$O:$O,August!$V$134,input!$X:$X,August!N160,input!$A:$A,August!$B$2)</f>
        <v>0</v>
      </c>
      <c r="W160" s="323">
        <f>COUNTIFS(input!$O:$O,August!$W$134,input!$X:$X,August!N160,input!$A:$A,August!$B$2)</f>
        <v>0</v>
      </c>
      <c r="X160" s="324">
        <f>COUNTIFS(input!$O:$O,August!$X$134,input!$X:$X,August!N160,input!$A:$A,August!$B$2)</f>
        <v>0</v>
      </c>
      <c r="Y160" s="312">
        <f t="shared" si="35"/>
        <v>0</v>
      </c>
      <c r="Z160" s="315" cm="1">
        <f t="array" ref="Z160">_xlfn.IFS(Y160=0,0,Y160&gt;=1,Y160/$Y$210)</f>
        <v>0</v>
      </c>
    </row>
    <row r="161" spans="2:26" ht="92" customHeight="1" x14ac:dyDescent="0.25">
      <c r="B161" s="998" t="s">
        <v>2332</v>
      </c>
      <c r="C161" s="994"/>
      <c r="D161" s="316">
        <f>COUNTIFS(input!$O:$O,August!$D$134,input!$W:$W,August!B161,input!$A:$A,August!$B$2)</f>
        <v>0</v>
      </c>
      <c r="E161" s="316">
        <f>COUNTIFS(input!$O:$O,August!$E$134,input!$W:$W,August!B161,input!$A:$A,August!$B$2)</f>
        <v>0</v>
      </c>
      <c r="F161" s="316">
        <f>COUNTIFS(input!$O:$O,August!$F$134,input!$W:$W,August!B161,input!$A:$A,August!$B$2)</f>
        <v>0</v>
      </c>
      <c r="G161" s="322">
        <f>COUNTIFS(input!$O:$O,August!$G$134,input!$W:$W,August!B161,input!$A:$A,August!$B$2)</f>
        <v>1</v>
      </c>
      <c r="H161" s="321">
        <f>COUNTIFS(input!$O:$O,August!$H$134,input!$W:$W,August!B161,input!$A:$A,August!$B$2)</f>
        <v>0</v>
      </c>
      <c r="I161" s="321">
        <f>COUNTIFS(input!$O:$O,August!$I$134,input!$W:$W,August!B161,input!$A:$A,August!$B$2)</f>
        <v>0</v>
      </c>
      <c r="J161" s="321">
        <f>COUNTIFS(input!$O:$O,August!$J$134,input!$W:$W,August!B161,input!$A:$A,August!$B$2)</f>
        <v>0</v>
      </c>
      <c r="K161" s="343">
        <f>COUNTIFS(input!$O:$O,August!$K$134,input!$W:$W,August!B161,input!$A:$A,August!$B$2)</f>
        <v>0</v>
      </c>
      <c r="L161" s="312">
        <f t="shared" ref="L161" si="37">SUM(D161:K161)</f>
        <v>1</v>
      </c>
      <c r="M161" s="320" cm="1">
        <f t="array" ref="M161">_xlfn.IFS(L161=0,0,L161&gt;=1,L161/$L$210)</f>
        <v>6.25E-2</v>
      </c>
      <c r="N161" s="995" t="s">
        <v>481</v>
      </c>
      <c r="O161" s="996"/>
      <c r="P161" s="997"/>
      <c r="Q161" s="316">
        <f>COUNTIFS(input!$O:$O,August!$Q$134,input!$X:$X,August!N161,input!$A:$A,August!$B$2)</f>
        <v>0</v>
      </c>
      <c r="R161" s="316">
        <f>COUNTIFS(input!$O:$O,August!$R$134,input!$X:$X,August!N161,input!$A:$A,August!$B$2)</f>
        <v>0</v>
      </c>
      <c r="S161" s="316">
        <f>COUNTIFS(input!$O:$O,August!$S$134,input!$X:$X,August!N161,input!$A:$A,August!$B$2)</f>
        <v>0</v>
      </c>
      <c r="T161" s="322">
        <f>COUNTIFS(input!$O:$O,August!$T$134,input!$X:$X,August!N161,input!$A:$A,August!$B$2)</f>
        <v>0</v>
      </c>
      <c r="U161" s="322">
        <f>COUNTIFS(input!$O:$O,August!$U$134,input!$X:$X,August!N161,input!$A:$A,August!$B$2)</f>
        <v>0</v>
      </c>
      <c r="V161" s="323">
        <f>COUNTIFS(input!$O:$O,August!$V$134,input!$X:$X,August!N161,input!$A:$A,August!$B$2)</f>
        <v>0</v>
      </c>
      <c r="W161" s="323">
        <f>COUNTIFS(input!$O:$O,August!$W$134,input!$X:$X,August!N161,input!$A:$A,August!$B$2)</f>
        <v>0</v>
      </c>
      <c r="X161" s="324">
        <f>COUNTIFS(input!$O:$O,August!$X$134,input!$X:$X,August!N161,input!$A:$A,August!$B$2)</f>
        <v>0</v>
      </c>
      <c r="Y161" s="312">
        <f t="shared" si="35"/>
        <v>0</v>
      </c>
      <c r="Z161" s="315" cm="1">
        <f t="array" ref="Z161">_xlfn.IFS(Y161=0,0,Y161&gt;=1,Y161/$Y$210)</f>
        <v>0</v>
      </c>
    </row>
    <row r="162" spans="2:26" ht="92" customHeight="1" x14ac:dyDescent="0.25">
      <c r="B162" s="1122" t="s">
        <v>366</v>
      </c>
      <c r="C162" s="997"/>
      <c r="D162" s="316">
        <f>COUNTIFS(input!$O:$O,August!$D$134,input!$W:$W,August!B162,input!$A:$A,August!$B$2)</f>
        <v>0</v>
      </c>
      <c r="E162" s="316">
        <f>COUNTIFS(input!$O:$O,August!$E$134,input!$W:$W,August!B162,input!$A:$A,August!$B$2)</f>
        <v>0</v>
      </c>
      <c r="F162" s="316">
        <f>COUNTIFS(input!$O:$O,August!$F$134,input!$W:$W,August!B162,input!$A:$A,August!$B$2)</f>
        <v>0</v>
      </c>
      <c r="G162" s="322">
        <f>COUNTIFS(input!$O:$O,August!$G$134,input!$W:$W,August!B162,input!$A:$A,August!$B$2)</f>
        <v>0</v>
      </c>
      <c r="H162" s="321">
        <f>COUNTIFS(input!$O:$O,August!$H$134,input!$W:$W,August!B162,input!$A:$A,August!$B$2)</f>
        <v>0</v>
      </c>
      <c r="I162" s="321">
        <f>COUNTIFS(input!$O:$O,August!$I$134,input!$W:$W,August!B162,input!$A:$A,August!$B$2)</f>
        <v>0</v>
      </c>
      <c r="J162" s="321">
        <f>COUNTIFS(input!$O:$O,August!$J$134,input!$W:$W,August!B162,input!$A:$A,August!$B$2)</f>
        <v>0</v>
      </c>
      <c r="K162" s="343">
        <f>COUNTIFS(input!$O:$O,August!$K$134,input!$W:$W,August!B162,input!$A:$A,August!$B$2)</f>
        <v>0</v>
      </c>
      <c r="L162" s="312">
        <f t="shared" si="36"/>
        <v>0</v>
      </c>
      <c r="M162" s="320" cm="1">
        <f t="array" ref="M162">_xlfn.IFS(L162=0,0,L162&gt;=1,L162/$L$210)</f>
        <v>0</v>
      </c>
      <c r="N162" s="992" t="s">
        <v>467</v>
      </c>
      <c r="O162" s="993"/>
      <c r="P162" s="994"/>
      <c r="Q162" s="316">
        <f>COUNTIFS(input!$O:$O,August!$Q$134,input!$X:$X,August!N162,input!$A:$A,August!$B$2)</f>
        <v>0</v>
      </c>
      <c r="R162" s="316">
        <f>COUNTIFS(input!$O:$O,August!$R$134,input!$X:$X,August!N162,input!$A:$A,August!$B$2)</f>
        <v>0</v>
      </c>
      <c r="S162" s="316">
        <f>COUNTIFS(input!$O:$O,August!$S$134,input!$X:$X,August!N162,input!$A:$A,August!$B$2)</f>
        <v>0</v>
      </c>
      <c r="T162" s="322">
        <f>COUNTIFS(input!$O:$O,August!$T$134,input!$X:$X,August!N162,input!$A:$A,August!$B$2)</f>
        <v>1</v>
      </c>
      <c r="U162" s="322">
        <f>COUNTIFS(input!$O:$O,August!$U$134,input!$X:$X,August!N162,input!$A:$A,August!$B$2)</f>
        <v>0</v>
      </c>
      <c r="V162" s="323">
        <f>COUNTIFS(input!$O:$O,August!$V$134,input!$X:$X,August!N162,input!$A:$A,August!$B$2)</f>
        <v>0</v>
      </c>
      <c r="W162" s="323">
        <f>COUNTIFS(input!$O:$O,August!$W$134,input!$X:$X,August!N162,input!$A:$A,August!$B$2)</f>
        <v>0</v>
      </c>
      <c r="X162" s="324">
        <f>COUNTIFS(input!$O:$O,August!$X$134,input!$X:$X,August!N162,input!$A:$A,August!$B$2)</f>
        <v>0</v>
      </c>
      <c r="Y162" s="312">
        <f t="shared" si="35"/>
        <v>1</v>
      </c>
      <c r="Z162" s="315" cm="1">
        <f t="array" ref="Z162">_xlfn.IFS(Y162=0,0,Y162&gt;=1,Y162/$Y$210)</f>
        <v>6.25E-2</v>
      </c>
    </row>
    <row r="163" spans="2:26" ht="92" hidden="1" customHeight="1" x14ac:dyDescent="0.25">
      <c r="B163" s="1122" t="s">
        <v>1539</v>
      </c>
      <c r="C163" s="997"/>
      <c r="D163" s="316">
        <f>COUNTIFS(input!$O:$O,August!$D$134,input!$W:$W,August!B163,input!$A:$A,August!$B$2)</f>
        <v>0</v>
      </c>
      <c r="E163" s="316">
        <f>COUNTIFS(input!$O:$O,August!$E$134,input!$W:$W,August!B163,input!$A:$A,August!$B$2)</f>
        <v>0</v>
      </c>
      <c r="F163" s="316">
        <f>COUNTIFS(input!$O:$O,August!$F$134,input!$W:$W,August!B163,input!$A:$A,August!$B$2)</f>
        <v>0</v>
      </c>
      <c r="G163" s="322">
        <f>COUNTIFS(input!$O:$O,August!$G$134,input!$W:$W,August!B163,input!$A:$A,August!$B$2)</f>
        <v>0</v>
      </c>
      <c r="H163" s="321">
        <f>COUNTIFS(input!$O:$O,August!$H$134,input!$W:$W,August!B163,input!$A:$A,August!$B$2)</f>
        <v>0</v>
      </c>
      <c r="I163" s="321">
        <f>COUNTIFS(input!$O:$O,August!$I$134,input!$W:$W,August!B163,input!$A:$A,August!$B$2)</f>
        <v>0</v>
      </c>
      <c r="J163" s="321">
        <f>COUNTIFS(input!$O:$O,August!$J$134,input!$W:$W,August!B163,input!$A:$A,August!$B$2)</f>
        <v>0</v>
      </c>
      <c r="K163" s="343">
        <f>COUNTIFS(input!$O:$O,August!$K$134,input!$W:$W,August!B163,input!$A:$A,August!$B$2)</f>
        <v>0</v>
      </c>
      <c r="L163" s="312">
        <f t="shared" si="36"/>
        <v>0</v>
      </c>
      <c r="M163" s="320" cm="1">
        <f t="array" ref="M163">_xlfn.IFS(L163=0,0,L163&gt;=1,L163/$L$210)</f>
        <v>0</v>
      </c>
      <c r="N163" s="995" t="s">
        <v>2011</v>
      </c>
      <c r="O163" s="996"/>
      <c r="P163" s="997"/>
      <c r="Q163" s="316">
        <f>COUNTIFS(input!$O:$O,August!$Q$134,input!$X:$X,August!N163,input!$A:$A,August!$B$2)</f>
        <v>0</v>
      </c>
      <c r="R163" s="316">
        <f>COUNTIFS(input!$O:$O,August!$R$134,input!$X:$X,August!N163,input!$A:$A,August!$B$2)</f>
        <v>0</v>
      </c>
      <c r="S163" s="316">
        <f>COUNTIFS(input!$O:$O,August!$S$134,input!$X:$X,August!N163,input!$A:$A,August!$B$2)</f>
        <v>0</v>
      </c>
      <c r="T163" s="322">
        <f>COUNTIFS(input!$O:$O,August!$T$134,input!$X:$X,August!N163,input!$A:$A,August!$B$2)</f>
        <v>0</v>
      </c>
      <c r="U163" s="322">
        <f>COUNTIFS(input!$O:$O,August!$U$134,input!$X:$X,August!N163,input!$A:$A,August!$B$2)</f>
        <v>0</v>
      </c>
      <c r="V163" s="323">
        <f>COUNTIFS(input!$O:$O,August!$V$134,input!$X:$X,August!N163,input!$A:$A,August!$B$2)</f>
        <v>0</v>
      </c>
      <c r="W163" s="323">
        <f>COUNTIFS(input!$O:$O,August!$W$134,input!$X:$X,August!N163,input!$A:$A,August!$B$2)</f>
        <v>0</v>
      </c>
      <c r="X163" s="324">
        <f>COUNTIFS(input!$O:$O,August!$X$134,input!$X:$X,August!N163,input!$A:$A,August!$B$2)</f>
        <v>0</v>
      </c>
      <c r="Y163" s="312">
        <f t="shared" si="35"/>
        <v>0</v>
      </c>
      <c r="Z163" s="315" cm="1">
        <f t="array" ref="Z163">_xlfn.IFS(Y163=0,0,Y163&gt;=1,Y163/$Y$210)</f>
        <v>0</v>
      </c>
    </row>
    <row r="164" spans="2:26" ht="92" hidden="1" customHeight="1" x14ac:dyDescent="0.25">
      <c r="B164" s="1122" t="s">
        <v>498</v>
      </c>
      <c r="C164" s="997"/>
      <c r="D164" s="316">
        <f>COUNTIFS(input!$O:$O,August!$D$134,input!$W:$W,August!B164,input!$A:$A,August!$B$2)</f>
        <v>0</v>
      </c>
      <c r="E164" s="316">
        <f>COUNTIFS(input!$O:$O,August!$E$134,input!$W:$W,August!B164,input!$A:$A,August!$B$2)</f>
        <v>0</v>
      </c>
      <c r="F164" s="316">
        <f>COUNTIFS(input!$O:$O,August!$F$134,input!$W:$W,August!B164,input!$A:$A,August!$B$2)</f>
        <v>0</v>
      </c>
      <c r="G164" s="322">
        <f>COUNTIFS(input!$O:$O,August!$G$134,input!$W:$W,August!B164,input!$A:$A,August!$B$2)</f>
        <v>0</v>
      </c>
      <c r="H164" s="321">
        <f>COUNTIFS(input!$O:$O,August!$H$134,input!$W:$W,August!B164,input!$A:$A,August!$B$2)</f>
        <v>0</v>
      </c>
      <c r="I164" s="321">
        <f>COUNTIFS(input!$O:$O,August!$I$134,input!$W:$W,August!B164,input!$A:$A,August!$B$2)</f>
        <v>0</v>
      </c>
      <c r="J164" s="321">
        <f>COUNTIFS(input!$O:$O,August!$J$134,input!$W:$W,August!B164,input!$A:$A,August!$B$2)</f>
        <v>0</v>
      </c>
      <c r="K164" s="343">
        <f>COUNTIFS(input!$O:$O,August!$K$134,input!$W:$W,August!B164,input!$A:$A,August!$B$2)</f>
        <v>0</v>
      </c>
      <c r="L164" s="312">
        <f t="shared" si="36"/>
        <v>0</v>
      </c>
      <c r="M164" s="320" cm="1">
        <f t="array" ref="M164">_xlfn.IFS(L164=0,0,L164&gt;=1,L164/$L$210)</f>
        <v>0</v>
      </c>
      <c r="N164" s="995" t="s">
        <v>2006</v>
      </c>
      <c r="O164" s="996"/>
      <c r="P164" s="997"/>
      <c r="Q164" s="316">
        <f>COUNTIFS(input!$O:$O,August!$Q$134,input!$X:$X,August!N164,input!$A:$A,August!$B$2)</f>
        <v>0</v>
      </c>
      <c r="R164" s="316">
        <f>COUNTIFS(input!$O:$O,August!$R$134,input!$X:$X,August!N164,input!$A:$A,August!$B$2)</f>
        <v>0</v>
      </c>
      <c r="S164" s="316">
        <f>COUNTIFS(input!$O:$O,August!$S$134,input!$X:$X,August!N164,input!$A:$A,August!$B$2)</f>
        <v>0</v>
      </c>
      <c r="T164" s="322">
        <f>COUNTIFS(input!$O:$O,August!$T$134,input!$X:$X,August!N164,input!$A:$A,August!$B$2)</f>
        <v>0</v>
      </c>
      <c r="U164" s="322">
        <f>COUNTIFS(input!$O:$O,August!$U$134,input!$X:$X,August!N164,input!$A:$A,August!$B$2)</f>
        <v>0</v>
      </c>
      <c r="V164" s="323">
        <f>COUNTIFS(input!$O:$O,August!$V$134,input!$X:$X,August!N164,input!$A:$A,August!$B$2)</f>
        <v>0</v>
      </c>
      <c r="W164" s="323">
        <f>COUNTIFS(input!$O:$O,August!$W$134,input!$X:$X,August!N164,input!$A:$A,August!$B$2)</f>
        <v>0</v>
      </c>
      <c r="X164" s="324">
        <f>COUNTIFS(input!$O:$O,August!$X$134,input!$X:$X,August!N164,input!$A:$A,August!$B$2)</f>
        <v>0</v>
      </c>
      <c r="Y164" s="312">
        <f t="shared" si="35"/>
        <v>0</v>
      </c>
      <c r="Z164" s="315" cm="1">
        <f t="array" ref="Z164">_xlfn.IFS(Y164=0,0,Y164&gt;=1,Y164/$Y$210)</f>
        <v>0</v>
      </c>
    </row>
    <row r="165" spans="2:26" ht="92" customHeight="1" x14ac:dyDescent="0.25">
      <c r="B165" s="1122" t="s">
        <v>864</v>
      </c>
      <c r="C165" s="997"/>
      <c r="D165" s="316">
        <f>COUNTIFS(input!$O:$O,August!$D$134,input!$W:$W,August!B165,input!$A:$A,August!$B$2)</f>
        <v>0</v>
      </c>
      <c r="E165" s="316">
        <f>COUNTIFS(input!$O:$O,August!$E$134,input!$W:$W,August!B165,input!$A:$A,August!$B$2)</f>
        <v>0</v>
      </c>
      <c r="F165" s="316">
        <f>COUNTIFS(input!$O:$O,August!$F$134,input!$W:$W,August!B165,input!$A:$A,August!$B$2)</f>
        <v>0</v>
      </c>
      <c r="G165" s="322">
        <f>COUNTIFS(input!$O:$O,August!$G$134,input!$W:$W,August!B165,input!$A:$A,August!$B$2)</f>
        <v>0</v>
      </c>
      <c r="H165" s="321">
        <f>COUNTIFS(input!$O:$O,August!$H$134,input!$W:$W,August!B165,input!$A:$A,August!$B$2)</f>
        <v>0</v>
      </c>
      <c r="I165" s="321">
        <f>COUNTIFS(input!$O:$O,August!$I$134,input!$W:$W,August!B165,input!$A:$A,August!$B$2)</f>
        <v>0</v>
      </c>
      <c r="J165" s="321">
        <f>COUNTIFS(input!$O:$O,August!$J$134,input!$W:$W,August!B165,input!$A:$A,August!$B$2)</f>
        <v>0</v>
      </c>
      <c r="K165" s="343">
        <f>COUNTIFS(input!$O:$O,August!$K$134,input!$W:$W,August!B165,input!$A:$A,August!$B$2)</f>
        <v>0</v>
      </c>
      <c r="L165" s="312">
        <f t="shared" si="36"/>
        <v>0</v>
      </c>
      <c r="M165" s="320" cm="1">
        <f t="array" ref="M165">_xlfn.IFS(L165=0,0,L165&gt;=1,L165/$L$210)</f>
        <v>0</v>
      </c>
      <c r="N165" s="992" t="s">
        <v>479</v>
      </c>
      <c r="O165" s="993"/>
      <c r="P165" s="994"/>
      <c r="Q165" s="316">
        <f>COUNTIFS(input!$O:$O,August!$Q$134,input!$X:$X,August!N165,input!$A:$A,August!$B$2)</f>
        <v>0</v>
      </c>
      <c r="R165" s="316">
        <f>COUNTIFS(input!$O:$O,August!$R$134,input!$X:$X,August!N165,input!$A:$A,August!$B$2)</f>
        <v>0</v>
      </c>
      <c r="S165" s="316">
        <f>COUNTIFS(input!$O:$O,August!$S$134,input!$X:$X,August!N165,input!$A:$A,August!$B$2)</f>
        <v>0</v>
      </c>
      <c r="T165" s="322">
        <f>COUNTIFS(input!$O:$O,August!$T$134,input!$X:$X,August!N165,input!$A:$A,August!$B$2)</f>
        <v>1</v>
      </c>
      <c r="U165" s="322">
        <f>COUNTIFS(input!$O:$O,August!$U$134,input!$X:$X,August!N165,input!$A:$A,August!$B$2)</f>
        <v>0</v>
      </c>
      <c r="V165" s="323">
        <f>COUNTIFS(input!$O:$O,August!$V$134,input!$X:$X,August!N165,input!$A:$A,August!$B$2)</f>
        <v>0</v>
      </c>
      <c r="W165" s="323">
        <f>COUNTIFS(input!$O:$O,August!$W$134,input!$X:$X,August!N165,input!$A:$A,August!$B$2)</f>
        <v>0</v>
      </c>
      <c r="X165" s="324">
        <f>COUNTIFS(input!$O:$O,August!$X$134,input!$X:$X,August!N165,input!$A:$A,August!$B$2)</f>
        <v>0</v>
      </c>
      <c r="Y165" s="312">
        <f t="shared" si="35"/>
        <v>1</v>
      </c>
      <c r="Z165" s="315" cm="1">
        <f t="array" ref="Z165">_xlfn.IFS(Y165=0,0,Y165&gt;=1,Y165/$Y$210)</f>
        <v>6.25E-2</v>
      </c>
    </row>
    <row r="166" spans="2:26" ht="92" hidden="1" customHeight="1" x14ac:dyDescent="0.25">
      <c r="B166" s="1122" t="s">
        <v>489</v>
      </c>
      <c r="C166" s="997"/>
      <c r="D166" s="316">
        <f>COUNTIFS(input!$O:$O,August!$D$134,input!$W:$W,August!B166,input!$A:$A,August!$B$2)</f>
        <v>0</v>
      </c>
      <c r="E166" s="316">
        <f>COUNTIFS(input!$O:$O,August!$E$134,input!$W:$W,August!B166,input!$A:$A,August!$B$2)</f>
        <v>0</v>
      </c>
      <c r="F166" s="316">
        <f>COUNTIFS(input!$O:$O,August!$F$134,input!$W:$W,August!B166,input!$A:$A,August!$B$2)</f>
        <v>0</v>
      </c>
      <c r="G166" s="322">
        <f>COUNTIFS(input!$O:$O,August!$G$134,input!$W:$W,August!B166,input!$A:$A,August!$B$2)</f>
        <v>0</v>
      </c>
      <c r="H166" s="321">
        <f>COUNTIFS(input!$O:$O,August!$H$134,input!$W:$W,August!B166,input!$A:$A,August!$B$2)</f>
        <v>0</v>
      </c>
      <c r="I166" s="321">
        <f>COUNTIFS(input!$O:$O,August!$I$134,input!$W:$W,August!B166,input!$A:$A,August!$B$2)</f>
        <v>0</v>
      </c>
      <c r="J166" s="321">
        <f>COUNTIFS(input!$O:$O,August!$J$134,input!$W:$W,August!B166,input!$A:$A,August!$B$2)</f>
        <v>0</v>
      </c>
      <c r="K166" s="343">
        <f>COUNTIFS(input!$O:$O,August!$K$134,input!$W:$W,August!B166,input!$A:$A,August!$B$2)</f>
        <v>0</v>
      </c>
      <c r="L166" s="312">
        <f t="shared" si="36"/>
        <v>0</v>
      </c>
      <c r="M166" s="320" cm="1">
        <f t="array" ref="M166">_xlfn.IFS(L166=0,0,L166&gt;=1,L166/$L$210)</f>
        <v>0</v>
      </c>
      <c r="N166" s="995" t="s">
        <v>2228</v>
      </c>
      <c r="O166" s="996"/>
      <c r="P166" s="997"/>
      <c r="Q166" s="316">
        <f>COUNTIFS(input!$O:$O,August!$Q$134,input!$X:$X,August!N166,input!$A:$A,August!$B$2)</f>
        <v>0</v>
      </c>
      <c r="R166" s="316">
        <f>COUNTIFS(input!$O:$O,August!$R$134,input!$X:$X,August!N166,input!$A:$A,August!$B$2)</f>
        <v>0</v>
      </c>
      <c r="S166" s="316">
        <f>COUNTIFS(input!$O:$O,August!$S$134,input!$X:$X,August!N166,input!$A:$A,August!$B$2)</f>
        <v>0</v>
      </c>
      <c r="T166" s="322">
        <f>COUNTIFS(input!$O:$O,August!$T$134,input!$X:$X,August!N166,input!$A:$A,August!$B$2)</f>
        <v>0</v>
      </c>
      <c r="U166" s="322">
        <f>COUNTIFS(input!$O:$O,August!$U$134,input!$X:$X,August!N166,input!$A:$A,August!$B$2)</f>
        <v>0</v>
      </c>
      <c r="V166" s="323">
        <f>COUNTIFS(input!$O:$O,August!$V$134,input!$X:$X,August!N166,input!$A:$A,August!$B$2)</f>
        <v>0</v>
      </c>
      <c r="W166" s="323">
        <f>COUNTIFS(input!$O:$O,August!$W$134,input!$X:$X,August!N166,input!$A:$A,August!$B$2)</f>
        <v>0</v>
      </c>
      <c r="X166" s="324">
        <f>COUNTIFS(input!$O:$O,August!$X$134,input!$X:$X,August!N166,input!$A:$A,August!$B$2)</f>
        <v>0</v>
      </c>
      <c r="Y166" s="312">
        <f>SUM(Q166:X166)</f>
        <v>0</v>
      </c>
      <c r="Z166" s="315" cm="1">
        <f t="array" ref="Z166">_xlfn.IFS(Y166=0,0,Y166&gt;=1,Y166/$Y$210)</f>
        <v>0</v>
      </c>
    </row>
    <row r="167" spans="2:26" ht="92" customHeight="1" x14ac:dyDescent="0.25">
      <c r="B167" s="1121" t="s">
        <v>466</v>
      </c>
      <c r="C167" s="1066"/>
      <c r="D167" s="316">
        <f>COUNTIFS(input!$O:$O,August!$D$134,input!$W:$W,August!B167,input!$A:$A,August!$B$2)</f>
        <v>0</v>
      </c>
      <c r="E167" s="316">
        <f>COUNTIFS(input!$O:$O,August!$E$134,input!$W:$W,August!B167,input!$A:$A,August!$B$2)</f>
        <v>0</v>
      </c>
      <c r="F167" s="316">
        <f>COUNTIFS(input!$O:$O,August!$F$134,input!$W:$W,August!B167,input!$A:$A,August!$B$2)</f>
        <v>0</v>
      </c>
      <c r="G167" s="322">
        <f>COUNTIFS(input!$O:$O,August!$G$134,input!$W:$W,August!B167,input!$A:$A,August!$B$2)</f>
        <v>0</v>
      </c>
      <c r="H167" s="321">
        <f>COUNTIFS(input!$O:$O,August!$H$134,input!$W:$W,August!B167,input!$A:$A,August!$B$2)</f>
        <v>0</v>
      </c>
      <c r="I167" s="321">
        <f>COUNTIFS(input!$O:$O,August!$I$134,input!$W:$W,August!B167,input!$A:$A,August!$B$2)</f>
        <v>0</v>
      </c>
      <c r="J167" s="321">
        <f>COUNTIFS(input!$O:$O,August!$J$134,input!$W:$W,August!B167,input!$A:$A,August!$B$2)</f>
        <v>0</v>
      </c>
      <c r="K167" s="343">
        <f>COUNTIFS(input!$O:$O,August!$K$134,input!$W:$W,August!B167,input!$A:$A,August!$B$2)</f>
        <v>0</v>
      </c>
      <c r="L167" s="312">
        <f t="shared" si="36"/>
        <v>0</v>
      </c>
      <c r="M167" s="320" cm="1">
        <f t="array" ref="M167">_xlfn.IFS(L167=0,0,L167&gt;=1,L167/$L$210)</f>
        <v>0</v>
      </c>
      <c r="N167" s="992" t="s">
        <v>2225</v>
      </c>
      <c r="O167" s="993"/>
      <c r="P167" s="994"/>
      <c r="Q167" s="316">
        <f>COUNTIFS(input!$O:$O,August!$Q$134,input!$X:$X,August!N167,input!$A:$A,August!$B$2)</f>
        <v>0</v>
      </c>
      <c r="R167" s="316">
        <f>COUNTIFS(input!$O:$O,August!$R$134,input!$X:$X,August!N167,input!$A:$A,August!$B$2)</f>
        <v>0</v>
      </c>
      <c r="S167" s="316">
        <f>COUNTIFS(input!$O:$O,August!$S$134,input!$X:$X,August!N167,input!$A:$A,August!$B$2)</f>
        <v>0</v>
      </c>
      <c r="T167" s="322">
        <f>COUNTIFS(input!$O:$O,August!$T$134,input!$X:$X,August!N167,input!$A:$A,August!$B$2)</f>
        <v>1</v>
      </c>
      <c r="U167" s="322">
        <f>COUNTIFS(input!$O:$O,August!$U$134,input!$X:$X,August!N167,input!$A:$A,August!$B$2)</f>
        <v>0</v>
      </c>
      <c r="V167" s="323">
        <f>COUNTIFS(input!$O:$O,August!$V$134,input!$X:$X,August!N167,input!$A:$A,August!$B$2)</f>
        <v>0</v>
      </c>
      <c r="W167" s="323">
        <f>COUNTIFS(input!$O:$O,August!$W$134,input!$X:$X,August!N167,input!$A:$A,August!$B$2)</f>
        <v>0</v>
      </c>
      <c r="X167" s="324">
        <f>COUNTIFS(input!$O:$O,August!$X$134,input!$X:$X,August!N167,input!$A:$A,August!$B$2)</f>
        <v>0</v>
      </c>
      <c r="Y167" s="312">
        <f>SUM(Q167:X167)</f>
        <v>1</v>
      </c>
      <c r="Z167" s="315" cm="1">
        <f t="array" ref="Z167">_xlfn.IFS(Y167=0,0,Y167&gt;=1,Y167/$Y$210)</f>
        <v>6.25E-2</v>
      </c>
    </row>
    <row r="168" spans="2:26" ht="92" customHeight="1" x14ac:dyDescent="0.25">
      <c r="B168" s="990" t="s">
        <v>2348</v>
      </c>
      <c r="C168" s="991"/>
      <c r="D168" s="316">
        <f>COUNTIFS(input!$O:$O,August!$D$134,input!$W:$W,August!B168,input!$A:$A,August!$B$2)</f>
        <v>0</v>
      </c>
      <c r="E168" s="316">
        <f>COUNTIFS(input!$O:$O,August!$E$134,input!$W:$W,August!B168,input!$A:$A,August!$B$2)</f>
        <v>0</v>
      </c>
      <c r="F168" s="316">
        <f>COUNTIFS(input!$O:$O,August!$F$134,input!$W:$W,August!B168,input!$A:$A,August!$B$2)</f>
        <v>0</v>
      </c>
      <c r="G168" s="322">
        <f>COUNTIFS(input!$O:$O,August!$G$134,input!$W:$W,August!B168,input!$A:$A,August!$B$2)</f>
        <v>1</v>
      </c>
      <c r="H168" s="321">
        <f>COUNTIFS(input!$O:$O,August!$H$134,input!$W:$W,August!B168,input!$A:$A,August!$B$2)</f>
        <v>0</v>
      </c>
      <c r="I168" s="321">
        <f>COUNTIFS(input!$O:$O,August!$I$134,input!$W:$W,August!B168,input!$A:$A,August!$B$2)</f>
        <v>0</v>
      </c>
      <c r="J168" s="321">
        <f>COUNTIFS(input!$O:$O,August!$J$134,input!$W:$W,August!B168,input!$A:$A,August!$B$2)</f>
        <v>0</v>
      </c>
      <c r="K168" s="343">
        <f>COUNTIFS(input!$O:$O,August!$K$134,input!$W:$W,August!B168,input!$A:$A,August!$B$2)</f>
        <v>0</v>
      </c>
      <c r="L168" s="312">
        <f t="shared" ref="L168" si="38">SUM(D168:K168)</f>
        <v>1</v>
      </c>
      <c r="M168" s="320" cm="1">
        <f t="array" ref="M168">_xlfn.IFS(L168=0,0,L168&gt;=1,L168/$L$210)</f>
        <v>6.25E-2</v>
      </c>
      <c r="N168" s="995" t="s">
        <v>2159</v>
      </c>
      <c r="O168" s="996"/>
      <c r="P168" s="997"/>
      <c r="Q168" s="316">
        <f>COUNTIFS(input!$O:$O,August!$Q$134,input!$X:$X,August!N168,input!$A:$A,August!$B$2)</f>
        <v>0</v>
      </c>
      <c r="R168" s="316">
        <f>COUNTIFS(input!$O:$O,August!$R$134,input!$X:$X,August!N168,input!$A:$A,August!$B$2)</f>
        <v>0</v>
      </c>
      <c r="S168" s="316">
        <f>COUNTIFS(input!$O:$O,August!$S$134,input!$X:$X,August!N168,input!$A:$A,August!$B$2)</f>
        <v>0</v>
      </c>
      <c r="T168" s="322">
        <f>COUNTIFS(input!$O:$O,August!$T$134,input!$X:$X,August!N168,input!$A:$A,August!$B$2)</f>
        <v>0</v>
      </c>
      <c r="U168" s="322">
        <f>COUNTIFS(input!$O:$O,August!$U$134,input!$X:$X,August!N168,input!$A:$A,August!$B$2)</f>
        <v>0</v>
      </c>
      <c r="V168" s="323">
        <f>COUNTIFS(input!$O:$O,August!$V$134,input!$X:$X,August!N168,input!$A:$A,August!$B$2)</f>
        <v>0</v>
      </c>
      <c r="W168" s="323">
        <f>COUNTIFS(input!$O:$O,August!$W$134,input!$X:$X,August!N168,input!$A:$A,August!$B$2)</f>
        <v>0</v>
      </c>
      <c r="X168" s="324">
        <f>COUNTIFS(input!$O:$O,August!$X$134,input!$X:$X,August!N168,input!$A:$A,August!$B$2)</f>
        <v>0</v>
      </c>
      <c r="Y168" s="312">
        <f t="shared" ref="Y168:Y169" si="39">SUM(Q168:X168)</f>
        <v>0</v>
      </c>
      <c r="Z168" s="315" cm="1">
        <f t="array" ref="Z168">_xlfn.IFS(Y168=0,0,Y168&gt;=1,Y168/$Y$210)</f>
        <v>0</v>
      </c>
    </row>
    <row r="169" spans="2:26" ht="92" customHeight="1" x14ac:dyDescent="0.25">
      <c r="B169" s="1121" t="s">
        <v>458</v>
      </c>
      <c r="C169" s="1066"/>
      <c r="D169" s="316">
        <f>COUNTIFS(input!$O:$O,August!$D$134,input!$W:$W,August!B169,input!$A:$A,August!$B$2)</f>
        <v>0</v>
      </c>
      <c r="E169" s="316">
        <f>COUNTIFS(input!$O:$O,August!$E$134,input!$W:$W,August!B169,input!$A:$A,August!$B$2)</f>
        <v>0</v>
      </c>
      <c r="F169" s="316">
        <f>COUNTIFS(input!$O:$O,August!$F$134,input!$W:$W,August!B169,input!$A:$A,August!$B$2)</f>
        <v>0</v>
      </c>
      <c r="G169" s="322">
        <f>COUNTIFS(input!$O:$O,August!$G$134,input!$W:$W,August!B169,input!$A:$A,August!$B$2)</f>
        <v>0</v>
      </c>
      <c r="H169" s="321">
        <f>COUNTIFS(input!$O:$O,August!$H$134,input!$W:$W,August!B169,input!$A:$A,August!$B$2)</f>
        <v>0</v>
      </c>
      <c r="I169" s="321">
        <f>COUNTIFS(input!$O:$O,August!$I$134,input!$W:$W,August!B169,input!$A:$A,August!$B$2)</f>
        <v>0</v>
      </c>
      <c r="J169" s="321">
        <f>COUNTIFS(input!$O:$O,August!$J$134,input!$W:$W,August!B169,input!$A:$A,August!$B$2)</f>
        <v>0</v>
      </c>
      <c r="K169" s="343">
        <f>COUNTIFS(input!$O:$O,August!$K$134,input!$W:$W,August!B169,input!$A:$A,August!$B$2)</f>
        <v>0</v>
      </c>
      <c r="L169" s="312">
        <f t="shared" si="36"/>
        <v>0</v>
      </c>
      <c r="M169" s="320" cm="1">
        <f t="array" ref="M169">_xlfn.IFS(L169=0,0,L169&gt;=1,L169/$L$210)</f>
        <v>0</v>
      </c>
      <c r="N169" s="992" t="s">
        <v>2231</v>
      </c>
      <c r="O169" s="993"/>
      <c r="P169" s="994"/>
      <c r="Q169" s="316">
        <f>COUNTIFS(input!$O:$O,August!$Q$134,input!$X:$X,August!N169,input!$A:$A,August!$B$2)</f>
        <v>0</v>
      </c>
      <c r="R169" s="316">
        <f>COUNTIFS(input!$O:$O,August!$R$134,input!$X:$X,August!N169,input!$A:$A,August!$B$2)</f>
        <v>0</v>
      </c>
      <c r="S169" s="316">
        <f>COUNTIFS(input!$O:$O,August!$S$134,input!$X:$X,August!N169,input!$A:$A,August!$B$2)</f>
        <v>0</v>
      </c>
      <c r="T169" s="322">
        <f>COUNTIFS(input!$O:$O,August!$T$134,input!$X:$X,August!N169,input!$A:$A,August!$B$2)</f>
        <v>0</v>
      </c>
      <c r="U169" s="322">
        <f>COUNTIFS(input!$O:$O,August!$U$134,input!$X:$X,August!N169,input!$A:$A,August!$B$2)</f>
        <v>0</v>
      </c>
      <c r="V169" s="323">
        <f>COUNTIFS(input!$O:$O,August!$V$134,input!$X:$X,August!N169,input!$A:$A,August!$B$2)</f>
        <v>0</v>
      </c>
      <c r="W169" s="323">
        <f>COUNTIFS(input!$O:$O,August!$W$134,input!$X:$X,August!N169,input!$A:$A,August!$B$2)</f>
        <v>1</v>
      </c>
      <c r="X169" s="324">
        <f>COUNTIFS(input!$O:$O,August!$X$134,input!$X:$X,August!N169,input!$A:$A,August!$B$2)</f>
        <v>0</v>
      </c>
      <c r="Y169" s="312">
        <f t="shared" si="39"/>
        <v>1</v>
      </c>
      <c r="Z169" s="315" cm="1">
        <f t="array" ref="Z169">_xlfn.IFS(Y169=0,0,Y169&gt;=1,Y169/$Y$210)</f>
        <v>6.25E-2</v>
      </c>
    </row>
    <row r="170" spans="2:26" ht="92" customHeight="1" x14ac:dyDescent="0.25">
      <c r="B170" s="1121" t="s">
        <v>647</v>
      </c>
      <c r="C170" s="1066"/>
      <c r="D170" s="316">
        <f>COUNTIFS(input!$O:$O,August!$D$134,input!$W:$W,August!B170,input!$A:$A,August!$B$2)</f>
        <v>0</v>
      </c>
      <c r="E170" s="316">
        <f>COUNTIFS(input!$O:$O,August!$E$134,input!$W:$W,August!B170,input!$A:$A,August!$B$2)</f>
        <v>0</v>
      </c>
      <c r="F170" s="316">
        <f>COUNTIFS(input!$O:$O,August!$F$134,input!$W:$W,August!B170,input!$A:$A,August!$B$2)</f>
        <v>0</v>
      </c>
      <c r="G170" s="322">
        <f>COUNTIFS(input!$O:$O,August!$G$134,input!$W:$W,August!B170,input!$A:$A,August!$B$2)</f>
        <v>0</v>
      </c>
      <c r="H170" s="321">
        <f>COUNTIFS(input!$O:$O,August!$H$134,input!$W:$W,August!B170,input!$A:$A,August!$B$2)</f>
        <v>0</v>
      </c>
      <c r="I170" s="321">
        <f>COUNTIFS(input!$O:$O,August!$I$134,input!$W:$W,August!B170,input!$A:$A,August!$B$2)</f>
        <v>0</v>
      </c>
      <c r="J170" s="321">
        <f>COUNTIFS(input!$O:$O,August!$J$134,input!$W:$W,August!B170,input!$A:$A,August!$B$2)</f>
        <v>0</v>
      </c>
      <c r="K170" s="343">
        <f>COUNTIFS(input!$O:$O,August!$K$134,input!$W:$W,August!B170,input!$A:$A,August!$B$2)</f>
        <v>0</v>
      </c>
      <c r="L170" s="312">
        <f t="shared" si="36"/>
        <v>0</v>
      </c>
      <c r="M170" s="320" cm="1">
        <f t="array" ref="M170">_xlfn.IFS(L170=0,0,L170&gt;=1,L170/$L$210)</f>
        <v>0</v>
      </c>
      <c r="N170" s="992" t="s">
        <v>2234</v>
      </c>
      <c r="O170" s="993"/>
      <c r="P170" s="994"/>
      <c r="Q170" s="316">
        <f>COUNTIFS(input!$O:$O,August!$Q$134,input!$X:$X,August!N170,input!$A:$A,August!$B$2)</f>
        <v>0</v>
      </c>
      <c r="R170" s="316">
        <f>COUNTIFS(input!$O:$O,August!$R$134,input!$X:$X,August!N170,input!$A:$A,August!$B$2)</f>
        <v>0</v>
      </c>
      <c r="S170" s="316">
        <f>COUNTIFS(input!$O:$O,August!$S$134,input!$X:$X,August!N170,input!$A:$A,August!$B$2)</f>
        <v>0</v>
      </c>
      <c r="T170" s="322">
        <f>COUNTIFS(input!$O:$O,August!$T$134,input!$X:$X,August!N170,input!$A:$A,August!$B$2)</f>
        <v>1</v>
      </c>
      <c r="U170" s="322">
        <f>COUNTIFS(input!$O:$O,August!$U$134,input!$X:$X,August!N170,input!$A:$A,August!$B$2)</f>
        <v>0</v>
      </c>
      <c r="V170" s="323">
        <f>COUNTIFS(input!$O:$O,August!$V$134,input!$X:$X,August!N170,input!$A:$A,August!$B$2)</f>
        <v>0</v>
      </c>
      <c r="W170" s="323">
        <f>COUNTIFS(input!$O:$O,August!$W$134,input!$X:$X,August!N170,input!$A:$A,August!$B$2)</f>
        <v>0</v>
      </c>
      <c r="X170" s="324">
        <f>COUNTIFS(input!$O:$O,August!$X$134,input!$X:$X,August!N170,input!$A:$A,August!$B$2)</f>
        <v>0</v>
      </c>
      <c r="Y170" s="312">
        <f t="shared" ref="Y170" si="40">SUM(Q170:X170)</f>
        <v>1</v>
      </c>
      <c r="Z170" s="315" cm="1">
        <f t="array" ref="Z170">_xlfn.IFS(Y170=0,0,Y170&gt;=1,Y170/$Y$210)</f>
        <v>6.25E-2</v>
      </c>
    </row>
    <row r="171" spans="2:26" ht="92" hidden="1" customHeight="1" x14ac:dyDescent="0.25">
      <c r="B171" s="1122" t="s">
        <v>826</v>
      </c>
      <c r="C171" s="997"/>
      <c r="D171" s="316">
        <f>COUNTIFS(input!$O:$O,August!$D$134,input!$W:$W,August!B171,input!$A:$A,August!$B$2)</f>
        <v>0</v>
      </c>
      <c r="E171" s="316">
        <f>COUNTIFS(input!$O:$O,August!$E$134,input!$W:$W,August!B171,input!$A:$A,August!$B$2)</f>
        <v>0</v>
      </c>
      <c r="F171" s="316">
        <f>COUNTIFS(input!$O:$O,August!$F$134,input!$W:$W,August!B171,input!$A:$A,August!$B$2)</f>
        <v>0</v>
      </c>
      <c r="G171" s="322">
        <f>COUNTIFS(input!$O:$O,August!$G$134,input!$W:$W,August!B171,input!$A:$A,August!$B$2)</f>
        <v>0</v>
      </c>
      <c r="H171" s="321">
        <f>COUNTIFS(input!$O:$O,August!$H$134,input!$W:$W,August!B171,input!$A:$A,August!$B$2)</f>
        <v>0</v>
      </c>
      <c r="I171" s="321">
        <f>COUNTIFS(input!$O:$O,August!$I$134,input!$W:$W,August!B171,input!$A:$A,August!$B$2)</f>
        <v>0</v>
      </c>
      <c r="J171" s="321">
        <f>COUNTIFS(input!$O:$O,August!$J$134,input!$W:$W,August!B171,input!$A:$A,August!$B$2)</f>
        <v>0</v>
      </c>
      <c r="K171" s="343">
        <f>COUNTIFS(input!$O:$O,August!$K$134,input!$W:$W,August!B171,input!$A:$A,August!$B$2)</f>
        <v>0</v>
      </c>
      <c r="L171" s="312">
        <f t="shared" si="36"/>
        <v>0</v>
      </c>
      <c r="M171" s="320" cm="1">
        <f t="array" ref="M171">_xlfn.IFS(L171=0,0,L171&gt;=1,L171/$L$210)</f>
        <v>0</v>
      </c>
      <c r="N171" s="995" t="s">
        <v>188</v>
      </c>
      <c r="O171" s="996"/>
      <c r="P171" s="997"/>
      <c r="Q171" s="316">
        <f>COUNTIFS(input!$O:$O,August!$Q$134,input!$X:$X,August!N171,input!$A:$A,August!$B$2)</f>
        <v>0</v>
      </c>
      <c r="R171" s="316">
        <f>COUNTIFS(input!$O:$O,August!$R$134,input!$X:$X,August!N171,input!$A:$A,August!$B$2)</f>
        <v>0</v>
      </c>
      <c r="S171" s="316">
        <f>COUNTIFS(input!$O:$O,August!$S$134,input!$X:$X,August!N171,input!$A:$A,August!$B$2)</f>
        <v>0</v>
      </c>
      <c r="T171" s="322">
        <f>COUNTIFS(input!$O:$O,August!$T$134,input!$X:$X,August!N171,input!$A:$A,August!$B$2)</f>
        <v>0</v>
      </c>
      <c r="U171" s="322">
        <f>COUNTIFS(input!$O:$O,August!$U$134,input!$X:$X,August!N171,input!$A:$A,August!$B$2)</f>
        <v>0</v>
      </c>
      <c r="V171" s="323">
        <f>COUNTIFS(input!$O:$O,August!$V$134,input!$X:$X,August!N171,input!$A:$A,August!$B$2)</f>
        <v>0</v>
      </c>
      <c r="W171" s="323">
        <f>COUNTIFS(input!$O:$O,August!$W$134,input!$X:$X,August!N171,input!$A:$A,August!$B$2)</f>
        <v>0</v>
      </c>
      <c r="X171" s="324">
        <f>COUNTIFS(input!$O:$O,August!$X$134,input!$X:$X,August!N171,input!$A:$A,August!$B$2)</f>
        <v>0</v>
      </c>
      <c r="Y171" s="312">
        <f>SUM(Q171:X171)</f>
        <v>0</v>
      </c>
      <c r="Z171" s="315" cm="1">
        <f t="array" ref="Z171">_xlfn.IFS(Y171=0,0,Y171&gt;=1,Y171/$Y$210)</f>
        <v>0</v>
      </c>
    </row>
    <row r="172" spans="2:26" ht="92" hidden="1" customHeight="1" x14ac:dyDescent="0.25">
      <c r="B172" s="1122" t="s">
        <v>1537</v>
      </c>
      <c r="C172" s="997"/>
      <c r="D172" s="316">
        <f>COUNTIFS(input!$O:$O,August!$D$134,input!$W:$W,August!B172,input!$A:$A,August!$B$2)</f>
        <v>0</v>
      </c>
      <c r="E172" s="316">
        <f>COUNTIFS(input!$O:$O,August!$E$134,input!$W:$W,August!B172,input!$A:$A,August!$B$2)</f>
        <v>0</v>
      </c>
      <c r="F172" s="316">
        <f>COUNTIFS(input!$O:$O,August!$F$134,input!$W:$W,August!B172,input!$A:$A,August!$B$2)</f>
        <v>0</v>
      </c>
      <c r="G172" s="322">
        <f>COUNTIFS(input!$O:$O,August!$G$134,input!$W:$W,August!B172,input!$A:$A,August!$B$2)</f>
        <v>0</v>
      </c>
      <c r="H172" s="321">
        <f>COUNTIFS(input!$O:$O,August!$H$134,input!$W:$W,August!B172,input!$A:$A,August!$B$2)</f>
        <v>0</v>
      </c>
      <c r="I172" s="321">
        <f>COUNTIFS(input!$O:$O,August!$I$134,input!$W:$W,August!B172,input!$A:$A,August!$B$2)</f>
        <v>0</v>
      </c>
      <c r="J172" s="321">
        <f>COUNTIFS(input!$O:$O,August!$J$134,input!$W:$W,August!B172,input!$A:$A,August!$B$2)</f>
        <v>0</v>
      </c>
      <c r="K172" s="343">
        <f>COUNTIFS(input!$O:$O,August!$K$134,input!$W:$W,August!B172,input!$A:$A,August!$B$2)</f>
        <v>0</v>
      </c>
      <c r="L172" s="312">
        <f t="shared" si="36"/>
        <v>0</v>
      </c>
      <c r="M172" s="320" cm="1">
        <f t="array" ref="M172">_xlfn.IFS(L172=0,0,L172&gt;=1,L172/$L$210)</f>
        <v>0</v>
      </c>
      <c r="N172" s="995"/>
      <c r="O172" s="996"/>
      <c r="P172" s="997"/>
      <c r="Q172" s="316">
        <f>COUNTIFS(input!$O:$O,August!$Q$134,input!$X:$X,August!N172,input!$A:$A,August!$B$2)</f>
        <v>0</v>
      </c>
      <c r="R172" s="316">
        <f>COUNTIFS(input!$O:$O,August!$R$134,input!$X:$X,August!N172,input!$A:$A,August!$B$2)</f>
        <v>0</v>
      </c>
      <c r="S172" s="316">
        <f>COUNTIFS(input!$O:$O,August!$S$134,input!$X:$X,August!N172,input!$A:$A,August!$B$2)</f>
        <v>0</v>
      </c>
      <c r="T172" s="322">
        <f>COUNTIFS(input!$O:$O,August!$T$134,input!$X:$X,August!N172,input!$A:$A,August!$B$2)</f>
        <v>0</v>
      </c>
      <c r="U172" s="322">
        <f>COUNTIFS(input!$O:$O,August!$U$134,input!$X:$X,August!N172,input!$A:$A,August!$B$2)</f>
        <v>0</v>
      </c>
      <c r="V172" s="323">
        <f>COUNTIFS(input!$O:$O,August!$V$134,input!$X:$X,August!N172,input!$A:$A,August!$B$2)</f>
        <v>0</v>
      </c>
      <c r="W172" s="323">
        <f>COUNTIFS(input!$O:$O,August!$W$134,input!$X:$X,August!N172,input!$A:$A,August!$B$2)</f>
        <v>0</v>
      </c>
      <c r="X172" s="324">
        <f>COUNTIFS(input!$O:$O,August!$X$134,input!$X:$X,August!N172,input!$A:$A,August!$B$2)</f>
        <v>0</v>
      </c>
      <c r="Y172" s="312">
        <f>SUM(Q172:X172)</f>
        <v>0</v>
      </c>
      <c r="Z172" s="315" cm="1">
        <f t="array" ref="Z172">_xlfn.IFS(Y172=0,0,Y172&gt;=1,Y172/$Y$210)</f>
        <v>0</v>
      </c>
    </row>
    <row r="173" spans="2:26" ht="92" hidden="1" customHeight="1" x14ac:dyDescent="0.25">
      <c r="B173" s="1121" t="s">
        <v>603</v>
      </c>
      <c r="C173" s="1066"/>
      <c r="D173" s="316">
        <f>COUNTIFS(input!$O:$O,August!$D$134,input!$W:$W,August!B173,input!$A:$A,August!$B$2)</f>
        <v>0</v>
      </c>
      <c r="E173" s="316">
        <f>COUNTIFS(input!$O:$O,August!$E$134,input!$W:$W,August!B173,input!$A:$A,August!$B$2)</f>
        <v>0</v>
      </c>
      <c r="F173" s="316">
        <f>COUNTIFS(input!$O:$O,August!$F$134,input!$W:$W,August!B173,input!$A:$A,August!$B$2)</f>
        <v>0</v>
      </c>
      <c r="G173" s="322">
        <f>COUNTIFS(input!$O:$O,August!$G$134,input!$W:$W,August!B173,input!$A:$A,August!$B$2)</f>
        <v>0</v>
      </c>
      <c r="H173" s="321">
        <f>COUNTIFS(input!$O:$O,August!$H$134,input!$W:$W,August!B173,input!$A:$A,August!$B$2)</f>
        <v>0</v>
      </c>
      <c r="I173" s="321">
        <f>COUNTIFS(input!$O:$O,August!$I$134,input!$W:$W,August!B173,input!$A:$A,August!$B$2)</f>
        <v>0</v>
      </c>
      <c r="J173" s="321">
        <f>COUNTIFS(input!$O:$O,August!$J$134,input!$W:$W,August!B173,input!$A:$A,August!$B$2)</f>
        <v>0</v>
      </c>
      <c r="K173" s="343">
        <f>COUNTIFS(input!$O:$O,August!$K$134,input!$W:$W,August!B173,input!$A:$A,August!$B$2)</f>
        <v>0</v>
      </c>
      <c r="L173" s="312">
        <f t="shared" si="36"/>
        <v>0</v>
      </c>
      <c r="M173" s="320" cm="1">
        <f t="array" ref="M173">_xlfn.IFS(L173=0,0,L173&gt;=1,L173/$L$210)</f>
        <v>0</v>
      </c>
      <c r="N173" s="995"/>
      <c r="O173" s="996"/>
      <c r="P173" s="997"/>
      <c r="Q173" s="316">
        <f>COUNTIFS(input!$O:$O,August!$Q$134,input!$X:$X,August!N173,input!$A:$A,August!$B$2)</f>
        <v>0</v>
      </c>
      <c r="R173" s="316">
        <f>COUNTIFS(input!$O:$O,August!$R$134,input!$X:$X,August!N173,input!$A:$A,August!$B$2)</f>
        <v>0</v>
      </c>
      <c r="S173" s="316">
        <f>COUNTIFS(input!$O:$O,August!$S$134,input!$X:$X,August!N173,input!$A:$A,August!$B$2)</f>
        <v>0</v>
      </c>
      <c r="T173" s="322">
        <f>COUNTIFS(input!$O:$O,August!$T$134,input!$X:$X,August!N173,input!$A:$A,August!$B$2)</f>
        <v>0</v>
      </c>
      <c r="U173" s="322">
        <f>COUNTIFS(input!$O:$O,August!$U$134,input!$X:$X,August!N173,input!$A:$A,August!$B$2)</f>
        <v>0</v>
      </c>
      <c r="V173" s="323">
        <f>COUNTIFS(input!$O:$O,August!$V$134,input!$X:$X,August!N173,input!$A:$A,August!$B$2)</f>
        <v>0</v>
      </c>
      <c r="W173" s="323">
        <f>COUNTIFS(input!$O:$O,August!$W$134,input!$X:$X,August!N173,input!$A:$A,August!$B$2)</f>
        <v>0</v>
      </c>
      <c r="X173" s="324">
        <f>COUNTIFS(input!$O:$O,August!$X$134,input!$X:$X,August!N173,input!$A:$A,August!$B$2)</f>
        <v>0</v>
      </c>
      <c r="Y173" s="312">
        <f t="shared" ref="Y173:Y174" si="41">SUM(Q173:X173)</f>
        <v>0</v>
      </c>
      <c r="Z173" s="315" cm="1">
        <f t="array" ref="Z173">_xlfn.IFS(Y173=0,0,Y173&gt;=1,Y173/$Y$210)</f>
        <v>0</v>
      </c>
    </row>
    <row r="174" spans="2:26" ht="92" hidden="1" customHeight="1" x14ac:dyDescent="0.25">
      <c r="B174" s="1122" t="s">
        <v>828</v>
      </c>
      <c r="C174" s="997"/>
      <c r="D174" s="316">
        <f>COUNTIFS(input!$O:$O,August!$D$134,input!$W:$W,August!B174,input!$A:$A,August!$B$2)</f>
        <v>0</v>
      </c>
      <c r="E174" s="316">
        <f>COUNTIFS(input!$O:$O,August!$E$134,input!$W:$W,August!B174,input!$A:$A,August!$B$2)</f>
        <v>0</v>
      </c>
      <c r="F174" s="316">
        <f>COUNTIFS(input!$O:$O,August!$F$134,input!$W:$W,August!B174,input!$A:$A,August!$B$2)</f>
        <v>0</v>
      </c>
      <c r="G174" s="322">
        <f>COUNTIFS(input!$O:$O,August!$G$134,input!$W:$W,August!B174,input!$A:$A,August!$B$2)</f>
        <v>0</v>
      </c>
      <c r="H174" s="321">
        <f>COUNTIFS(input!$O:$O,August!$H$134,input!$W:$W,August!B174,input!$A:$A,August!$B$2)</f>
        <v>0</v>
      </c>
      <c r="I174" s="321">
        <f>COUNTIFS(input!$O:$O,August!$I$134,input!$W:$W,August!B174,input!$A:$A,August!$B$2)</f>
        <v>0</v>
      </c>
      <c r="J174" s="321">
        <f>COUNTIFS(input!$O:$O,August!$J$134,input!$W:$W,August!B174,input!$A:$A,August!$B$2)</f>
        <v>0</v>
      </c>
      <c r="K174" s="343">
        <f>COUNTIFS(input!$O:$O,August!$K$134,input!$W:$W,August!B174,input!$A:$A,August!$B$2)</f>
        <v>0</v>
      </c>
      <c r="L174" s="312">
        <f t="shared" si="36"/>
        <v>0</v>
      </c>
      <c r="M174" s="320" cm="1">
        <f t="array" ref="M174">_xlfn.IFS(L174=0,0,L174&gt;=1,L174/$L$210)</f>
        <v>0</v>
      </c>
      <c r="N174" s="1064"/>
      <c r="O174" s="1065"/>
      <c r="P174" s="1066"/>
      <c r="Q174" s="316">
        <f>COUNTIFS(input!$O:$O,August!$Q$134,input!$X:$X,August!N174,input!$A:$A,August!$B$2)</f>
        <v>0</v>
      </c>
      <c r="R174" s="316">
        <f>COUNTIFS(input!$O:$O,August!$R$134,input!$X:$X,August!N174,input!$A:$A,August!$B$2)</f>
        <v>0</v>
      </c>
      <c r="S174" s="316">
        <f>COUNTIFS(input!$O:$O,August!$S$134,input!$X:$X,August!N174,input!$A:$A,August!$B$2)</f>
        <v>0</v>
      </c>
      <c r="T174" s="322">
        <f>COUNTIFS(input!$O:$O,August!$T$134,input!$X:$X,August!N174,input!$A:$A,August!$B$2)</f>
        <v>0</v>
      </c>
      <c r="U174" s="322">
        <f>COUNTIFS(input!$O:$O,August!$U$134,input!$X:$X,August!N174,input!$A:$A,August!$B$2)</f>
        <v>0</v>
      </c>
      <c r="V174" s="323">
        <f>COUNTIFS(input!$O:$O,August!$V$134,input!$X:$X,August!N174,input!$A:$A,August!$B$2)</f>
        <v>0</v>
      </c>
      <c r="W174" s="323">
        <f>COUNTIFS(input!$O:$O,August!$W$134,input!$X:$X,August!N174,input!$A:$A,August!$B$2)</f>
        <v>0</v>
      </c>
      <c r="X174" s="324">
        <f>COUNTIFS(input!$O:$O,August!$X$134,input!$X:$X,August!N174,input!$A:$A,August!$B$2)</f>
        <v>0</v>
      </c>
      <c r="Y174" s="312">
        <f t="shared" si="41"/>
        <v>0</v>
      </c>
      <c r="Z174" s="315" cm="1">
        <f t="array" ref="Z174">_xlfn.IFS(Y174=0,0,Y174&gt;=1,Y174/$Y$210)</f>
        <v>0</v>
      </c>
    </row>
    <row r="175" spans="2:26" ht="92" hidden="1" customHeight="1" x14ac:dyDescent="0.25">
      <c r="B175" s="1122" t="s">
        <v>2169</v>
      </c>
      <c r="C175" s="997"/>
      <c r="D175" s="316">
        <f>COUNTIFS(input!$O:$O,August!$D$134,input!$W:$W,August!B175,input!$A:$A,August!$B$2)</f>
        <v>0</v>
      </c>
      <c r="E175" s="316">
        <f>COUNTIFS(input!$O:$O,August!$E$134,input!$W:$W,August!B175,input!$A:$A,August!$B$2)</f>
        <v>0</v>
      </c>
      <c r="F175" s="316">
        <f>COUNTIFS(input!$O:$O,August!$F$134,input!$W:$W,August!B175,input!$A:$A,August!$B$2)</f>
        <v>0</v>
      </c>
      <c r="G175" s="322">
        <f>COUNTIFS(input!$O:$O,August!$G$134,input!$W:$W,August!B175,input!$A:$A,August!$B$2)</f>
        <v>0</v>
      </c>
      <c r="H175" s="321">
        <f>COUNTIFS(input!$O:$O,August!$H$134,input!$W:$W,August!B175,input!$A:$A,August!$B$2)</f>
        <v>0</v>
      </c>
      <c r="I175" s="321">
        <f>COUNTIFS(input!$O:$O,August!$I$134,input!$W:$W,August!B175,input!$A:$A,August!$B$2)</f>
        <v>0</v>
      </c>
      <c r="J175" s="321">
        <f>COUNTIFS(input!$O:$O,August!$J$134,input!$W:$W,August!B175,input!$A:$A,August!$B$2)</f>
        <v>0</v>
      </c>
      <c r="K175" s="343">
        <f>COUNTIFS(input!$O:$O,August!$K$134,input!$W:$W,August!B175,input!$A:$A,August!$B$2)</f>
        <v>0</v>
      </c>
      <c r="L175" s="312">
        <f>SUM(D175:K175)</f>
        <v>0</v>
      </c>
      <c r="M175" s="320" cm="1">
        <f t="array" ref="M175">_xlfn.IFS(L175=0,0,L175&gt;=1,L175/$L$210)</f>
        <v>0</v>
      </c>
      <c r="N175" s="995"/>
      <c r="O175" s="996"/>
      <c r="P175" s="997"/>
      <c r="Q175" s="316">
        <f>COUNTIFS(input!$O:$O,August!$Q$134,input!$X:$X,August!N175,input!$A:$A,August!$B$2)</f>
        <v>0</v>
      </c>
      <c r="R175" s="316">
        <f>COUNTIFS(input!$O:$O,August!$R$134,input!$X:$X,August!N175,input!$A:$A,August!$B$2)</f>
        <v>0</v>
      </c>
      <c r="S175" s="316">
        <f>COUNTIFS(input!$O:$O,August!$S$134,input!$X:$X,August!N175,input!$A:$A,August!$B$2)</f>
        <v>0</v>
      </c>
      <c r="T175" s="322">
        <f>COUNTIFS(input!$O:$O,August!$T$134,input!$X:$X,August!N175,input!$A:$A,August!$B$2)</f>
        <v>0</v>
      </c>
      <c r="U175" s="322">
        <f>COUNTIFS(input!$O:$O,August!$U$134,input!$X:$X,August!N175,input!$A:$A,August!$B$2)</f>
        <v>0</v>
      </c>
      <c r="V175" s="323">
        <f>COUNTIFS(input!$O:$O,August!$V$134,input!$X:$X,August!N175,input!$A:$A,August!$B$2)</f>
        <v>0</v>
      </c>
      <c r="W175" s="323">
        <f>COUNTIFS(input!$O:$O,August!$W$134,input!$X:$X,August!N175,input!$A:$A,August!$B$2)</f>
        <v>0</v>
      </c>
      <c r="X175" s="324">
        <f>COUNTIFS(input!$O:$O,August!$X$134,input!$X:$X,August!N175,input!$A:$A,August!$B$2)</f>
        <v>0</v>
      </c>
      <c r="Y175" s="312">
        <f>SUM(Q175:X175)</f>
        <v>0</v>
      </c>
      <c r="Z175" s="315" cm="1">
        <f t="array" ref="Z175">_xlfn.IFS(Y175=0,0,Y175&gt;=1,Y175/$Y$210)</f>
        <v>0</v>
      </c>
    </row>
    <row r="176" spans="2:26" ht="92" hidden="1" x14ac:dyDescent="0.25">
      <c r="B176" s="1122" t="s">
        <v>1543</v>
      </c>
      <c r="C176" s="997"/>
      <c r="D176" s="316">
        <f>COUNTIFS(input!$O:$O,August!$D$134,input!$W:$W,August!B176,input!$A:$A,August!$B$2)</f>
        <v>0</v>
      </c>
      <c r="E176" s="316">
        <f>COUNTIFS(input!$O:$O,August!$E$134,input!$W:$W,August!B176,input!$A:$A,August!$B$2)</f>
        <v>0</v>
      </c>
      <c r="F176" s="316">
        <f>COUNTIFS(input!$O:$O,August!$F$134,input!$W:$W,August!B176,input!$A:$A,August!$B$2)</f>
        <v>0</v>
      </c>
      <c r="G176" s="322">
        <f>COUNTIFS(input!$O:$O,August!$G$134,input!$W:$W,August!B176,input!$A:$A,August!$B$2)</f>
        <v>0</v>
      </c>
      <c r="H176" s="321">
        <f>COUNTIFS(input!$O:$O,August!$H$134,input!$W:$W,August!B176,input!$A:$A,August!$B$2)</f>
        <v>0</v>
      </c>
      <c r="I176" s="321">
        <f>COUNTIFS(input!$O:$O,August!$I$134,input!$W:$W,August!B176,input!$A:$A,August!$B$2)</f>
        <v>0</v>
      </c>
      <c r="J176" s="321">
        <f>COUNTIFS(input!$O:$O,August!$J$134,input!$W:$W,August!B176,input!$A:$A,August!$B$2)</f>
        <v>0</v>
      </c>
      <c r="K176" s="343">
        <f>COUNTIFS(input!$O:$O,August!$K$134,input!$W:$W,August!B176,input!$A:$A,August!$B$2)</f>
        <v>0</v>
      </c>
      <c r="L176" s="312">
        <f t="shared" ref="L176:L185" si="42">SUM(D176:K176)</f>
        <v>0</v>
      </c>
      <c r="M176" s="320" cm="1">
        <f t="array" ref="M176">_xlfn.IFS(L176=0,0,L176&gt;=1,L176/$L$210)</f>
        <v>0</v>
      </c>
      <c r="N176" s="995"/>
      <c r="O176" s="996"/>
      <c r="P176" s="997"/>
      <c r="Q176" s="316">
        <f>COUNTIFS(input!$O:$O,August!$Q$134,input!$X:$X,August!N176,input!$A:$A,August!$B$2)</f>
        <v>0</v>
      </c>
      <c r="R176" s="316">
        <f>COUNTIFS(input!$O:$O,August!$R$134,input!$X:$X,August!N176,input!$A:$A,August!$B$2)</f>
        <v>0</v>
      </c>
      <c r="S176" s="316">
        <f>COUNTIFS(input!$O:$O,August!$S$134,input!$X:$X,August!N176,input!$A:$A,August!$B$2)</f>
        <v>0</v>
      </c>
      <c r="T176" s="322">
        <f>COUNTIFS(input!$O:$O,August!$T$134,input!$X:$X,August!N176,input!$A:$A,August!$B$2)</f>
        <v>0</v>
      </c>
      <c r="U176" s="322">
        <f>COUNTIFS(input!$O:$O,August!$U$134,input!$X:$X,August!N176,input!$A:$A,August!$B$2)</f>
        <v>0</v>
      </c>
      <c r="V176" s="323">
        <f>COUNTIFS(input!$O:$O,August!$V$134,input!$X:$X,August!N176,input!$A:$A,August!$B$2)</f>
        <v>0</v>
      </c>
      <c r="W176" s="323">
        <f>COUNTIFS(input!$O:$O,August!$W$134,input!$X:$X,August!N176,input!$A:$A,August!$B$2)</f>
        <v>0</v>
      </c>
      <c r="X176" s="324">
        <f>COUNTIFS(input!$O:$O,August!$X$134,input!$X:$X,August!N176,input!$A:$A,August!$B$2)</f>
        <v>0</v>
      </c>
      <c r="Y176" s="312">
        <f t="shared" ref="Y176:Y185" si="43">SUM(Q176:X176)</f>
        <v>0</v>
      </c>
      <c r="Z176" s="315" cm="1">
        <f t="array" ref="Z176">_xlfn.IFS(Y176=0,0,Y176&gt;=1,Y176/$Y$210)</f>
        <v>0</v>
      </c>
    </row>
    <row r="177" spans="2:26" ht="92" hidden="1" x14ac:dyDescent="0.25">
      <c r="B177" s="1122" t="s">
        <v>1540</v>
      </c>
      <c r="C177" s="997"/>
      <c r="D177" s="316">
        <f>COUNTIFS(input!$O:$O,August!$D$134,input!$W:$W,August!B177,input!$A:$A,August!$B$2)</f>
        <v>0</v>
      </c>
      <c r="E177" s="316">
        <f>COUNTIFS(input!$O:$O,August!$E$134,input!$W:$W,August!B177,input!$A:$A,August!$B$2)</f>
        <v>0</v>
      </c>
      <c r="F177" s="316">
        <f>COUNTIFS(input!$O:$O,August!$F$134,input!$W:$W,August!B177,input!$A:$A,August!$B$2)</f>
        <v>0</v>
      </c>
      <c r="G177" s="322">
        <f>COUNTIFS(input!$O:$O,August!$G$134,input!$W:$W,August!B177,input!$A:$A,August!$B$2)</f>
        <v>0</v>
      </c>
      <c r="H177" s="321">
        <f>COUNTIFS(input!$O:$O,August!$H$134,input!$W:$W,August!B177,input!$A:$A,August!$B$2)</f>
        <v>0</v>
      </c>
      <c r="I177" s="321">
        <f>COUNTIFS(input!$O:$O,August!$I$134,input!$W:$W,August!B177,input!$A:$A,August!$B$2)</f>
        <v>0</v>
      </c>
      <c r="J177" s="321">
        <f>COUNTIFS(input!$O:$O,August!$J$134,input!$W:$W,August!B177,input!$A:$A,August!$B$2)</f>
        <v>0</v>
      </c>
      <c r="K177" s="343">
        <f>COUNTIFS(input!$O:$O,August!$K$134,input!$W:$W,August!B177,input!$A:$A,August!$B$2)</f>
        <v>0</v>
      </c>
      <c r="L177" s="312">
        <f t="shared" si="42"/>
        <v>0</v>
      </c>
      <c r="M177" s="320" cm="1">
        <f t="array" ref="M177">_xlfn.IFS(L177=0,0,L177&gt;=1,L177/$L$210)</f>
        <v>0</v>
      </c>
      <c r="N177" s="382"/>
      <c r="O177" s="383"/>
      <c r="P177" s="384"/>
      <c r="Q177" s="316">
        <f>COUNTIFS(input!$O:$O,August!$Q$134,input!$X:$X,August!N177,input!$A:$A,August!$B$2)</f>
        <v>0</v>
      </c>
      <c r="R177" s="316">
        <f>COUNTIFS(input!$O:$O,August!$R$134,input!$X:$X,August!N177,input!$A:$A,August!$B$2)</f>
        <v>0</v>
      </c>
      <c r="S177" s="316">
        <f>COUNTIFS(input!$O:$O,August!$S$134,input!$X:$X,August!N177,input!$A:$A,August!$B$2)</f>
        <v>0</v>
      </c>
      <c r="T177" s="322">
        <f>COUNTIFS(input!$O:$O,August!$T$134,input!$X:$X,August!N177,input!$A:$A,August!$B$2)</f>
        <v>0</v>
      </c>
      <c r="U177" s="322">
        <f>COUNTIFS(input!$O:$O,August!$U$134,input!$X:$X,August!N177,input!$A:$A,August!$B$2)</f>
        <v>0</v>
      </c>
      <c r="V177" s="323">
        <f>COUNTIFS(input!$O:$O,August!$V$134,input!$X:$X,August!N177,input!$A:$A,August!$B$2)</f>
        <v>0</v>
      </c>
      <c r="W177" s="323">
        <f>COUNTIFS(input!$O:$O,August!$W$134,input!$X:$X,August!N177,input!$A:$A,August!$B$2)</f>
        <v>0</v>
      </c>
      <c r="X177" s="324">
        <f>COUNTIFS(input!$O:$O,August!$X$134,input!$X:$X,August!N177,input!$A:$A,August!$B$2)</f>
        <v>0</v>
      </c>
      <c r="Y177" s="312">
        <f t="shared" si="43"/>
        <v>0</v>
      </c>
      <c r="Z177" s="315" cm="1">
        <f t="array" ref="Z177">_xlfn.IFS(Y177=0,0,Y177&gt;=1,Y177/$Y$210)</f>
        <v>0</v>
      </c>
    </row>
    <row r="178" spans="2:26" ht="92" hidden="1" x14ac:dyDescent="0.25">
      <c r="B178" s="1122" t="s">
        <v>1538</v>
      </c>
      <c r="C178" s="997"/>
      <c r="D178" s="316">
        <f>COUNTIFS(input!$O:$O,August!$D$134,input!$W:$W,August!B178,input!$A:$A,August!$B$2)</f>
        <v>0</v>
      </c>
      <c r="E178" s="316">
        <f>COUNTIFS(input!$O:$O,August!$E$134,input!$W:$W,August!B178,input!$A:$A,August!$B$2)</f>
        <v>0</v>
      </c>
      <c r="F178" s="316">
        <f>COUNTIFS(input!$O:$O,August!$F$134,input!$W:$W,August!B178,input!$A:$A,August!$B$2)</f>
        <v>0</v>
      </c>
      <c r="G178" s="322">
        <f>COUNTIFS(input!$O:$O,August!$G$134,input!$W:$W,August!B178,input!$A:$A,August!$B$2)</f>
        <v>0</v>
      </c>
      <c r="H178" s="321">
        <f>COUNTIFS(input!$O:$O,August!$H$134,input!$W:$W,August!B178,input!$A:$A,August!$B$2)</f>
        <v>0</v>
      </c>
      <c r="I178" s="321">
        <f>COUNTIFS(input!$O:$O,August!$I$134,input!$W:$W,August!B178,input!$A:$A,August!$B$2)</f>
        <v>0</v>
      </c>
      <c r="J178" s="321">
        <f>COUNTIFS(input!$O:$O,August!$J$134,input!$W:$W,August!B178,input!$A:$A,August!$B$2)</f>
        <v>0</v>
      </c>
      <c r="K178" s="343">
        <f>COUNTIFS(input!$O:$O,August!$K$134,input!$W:$W,August!B178,input!$A:$A,August!$B$2)</f>
        <v>0</v>
      </c>
      <c r="L178" s="312">
        <f t="shared" si="42"/>
        <v>0</v>
      </c>
      <c r="M178" s="320" cm="1">
        <f t="array" ref="M178">_xlfn.IFS(L178=0,0,L178&gt;=1,L178/$L$210)</f>
        <v>0</v>
      </c>
      <c r="N178" s="382"/>
      <c r="O178" s="383"/>
      <c r="P178" s="384"/>
      <c r="Q178" s="316">
        <f>COUNTIFS(input!$O:$O,August!$Q$134,input!$X:$X,August!N178,input!$A:$A,August!$B$2)</f>
        <v>0</v>
      </c>
      <c r="R178" s="316">
        <f>COUNTIFS(input!$O:$O,August!$R$134,input!$X:$X,August!N178,input!$A:$A,August!$B$2)</f>
        <v>0</v>
      </c>
      <c r="S178" s="316">
        <f>COUNTIFS(input!$O:$O,August!$S$134,input!$X:$X,August!N178,input!$A:$A,August!$B$2)</f>
        <v>0</v>
      </c>
      <c r="T178" s="322">
        <f>COUNTIFS(input!$O:$O,August!$T$134,input!$X:$X,August!N178,input!$A:$A,August!$B$2)</f>
        <v>0</v>
      </c>
      <c r="U178" s="322">
        <f>COUNTIFS(input!$O:$O,August!$U$134,input!$X:$X,August!N178,input!$A:$A,August!$B$2)</f>
        <v>0</v>
      </c>
      <c r="V178" s="323">
        <f>COUNTIFS(input!$O:$O,August!$V$134,input!$X:$X,August!N178,input!$A:$A,August!$B$2)</f>
        <v>0</v>
      </c>
      <c r="W178" s="323">
        <f>COUNTIFS(input!$O:$O,August!$W$134,input!$X:$X,August!N178,input!$A:$A,August!$B$2)</f>
        <v>0</v>
      </c>
      <c r="X178" s="324">
        <f>COUNTIFS(input!$O:$O,August!$X$134,input!$X:$X,August!N178,input!$A:$A,August!$B$2)</f>
        <v>0</v>
      </c>
      <c r="Y178" s="312">
        <f t="shared" si="43"/>
        <v>0</v>
      </c>
      <c r="Z178" s="315" cm="1">
        <f t="array" ref="Z178">_xlfn.IFS(Y178=0,0,Y178&gt;=1,Y178/$Y$210)</f>
        <v>0</v>
      </c>
    </row>
    <row r="179" spans="2:26" ht="92" hidden="1" x14ac:dyDescent="0.25">
      <c r="B179" s="1121" t="s">
        <v>666</v>
      </c>
      <c r="C179" s="1066"/>
      <c r="D179" s="316">
        <f>COUNTIFS(input!$O:$O,August!$D$134,input!$W:$W,August!B179,input!$A:$A,August!$B$2)</f>
        <v>0</v>
      </c>
      <c r="E179" s="316">
        <f>COUNTIFS(input!$O:$O,August!$E$134,input!$W:$W,August!B179,input!$A:$A,August!$B$2)</f>
        <v>0</v>
      </c>
      <c r="F179" s="316">
        <f>COUNTIFS(input!$O:$O,August!$F$134,input!$W:$W,August!B179,input!$A:$A,August!$B$2)</f>
        <v>0</v>
      </c>
      <c r="G179" s="322">
        <f>COUNTIFS(input!$O:$O,August!$G$134,input!$W:$W,August!B179,input!$A:$A,August!$B$2)</f>
        <v>0</v>
      </c>
      <c r="H179" s="321">
        <f>COUNTIFS(input!$O:$O,August!$H$134,input!$W:$W,August!B179,input!$A:$A,August!$B$2)</f>
        <v>0</v>
      </c>
      <c r="I179" s="321">
        <f>COUNTIFS(input!$O:$O,August!$I$134,input!$W:$W,August!B179,input!$A:$A,August!$B$2)</f>
        <v>0</v>
      </c>
      <c r="J179" s="321">
        <f>COUNTIFS(input!$O:$O,August!$J$134,input!$W:$W,August!B179,input!$A:$A,August!$B$2)</f>
        <v>0</v>
      </c>
      <c r="K179" s="343">
        <f>COUNTIFS(input!$O:$O,August!$K$134,input!$W:$W,August!B179,input!$A:$A,August!$B$2)</f>
        <v>0</v>
      </c>
      <c r="L179" s="312">
        <f t="shared" si="42"/>
        <v>0</v>
      </c>
      <c r="M179" s="320" cm="1">
        <f t="array" ref="M179">_xlfn.IFS(L179=0,0,L179&gt;=1,L179/$L$210)</f>
        <v>0</v>
      </c>
      <c r="N179" s="995"/>
      <c r="O179" s="996"/>
      <c r="P179" s="997"/>
      <c r="Q179" s="316">
        <f>COUNTIFS(input!$O:$O,August!$Q$134,input!$X:$X,August!N179,input!$A:$A,August!$B$2)</f>
        <v>0</v>
      </c>
      <c r="R179" s="316">
        <f>COUNTIFS(input!$O:$O,August!$R$134,input!$X:$X,August!N179,input!$A:$A,August!$B$2)</f>
        <v>0</v>
      </c>
      <c r="S179" s="316">
        <f>COUNTIFS(input!$O:$O,August!$S$134,input!$X:$X,August!N179,input!$A:$A,August!$B$2)</f>
        <v>0</v>
      </c>
      <c r="T179" s="322">
        <f>COUNTIFS(input!$O:$O,August!$T$134,input!$X:$X,August!N179,input!$A:$A,August!$B$2)</f>
        <v>0</v>
      </c>
      <c r="U179" s="322">
        <f>COUNTIFS(input!$O:$O,August!$U$134,input!$X:$X,August!N179,input!$A:$A,August!$B$2)</f>
        <v>0</v>
      </c>
      <c r="V179" s="323">
        <f>COUNTIFS(input!$O:$O,August!$V$134,input!$X:$X,August!N179,input!$A:$A,August!$B$2)</f>
        <v>0</v>
      </c>
      <c r="W179" s="323">
        <f>COUNTIFS(input!$O:$O,August!$W$134,input!$X:$X,August!N179,input!$A:$A,August!$B$2)</f>
        <v>0</v>
      </c>
      <c r="X179" s="324">
        <f>COUNTIFS(input!$O:$O,August!$X$134,input!$X:$X,August!N179,input!$A:$A,August!$B$2)</f>
        <v>0</v>
      </c>
      <c r="Y179" s="312">
        <f t="shared" si="43"/>
        <v>0</v>
      </c>
      <c r="Z179" s="315" cm="1">
        <f t="array" ref="Z179">_xlfn.IFS(Y179=0,0,Y179&gt;=1,Y179/$Y$210)</f>
        <v>0</v>
      </c>
    </row>
    <row r="180" spans="2:26" ht="92" x14ac:dyDescent="0.25">
      <c r="B180" s="990" t="s">
        <v>765</v>
      </c>
      <c r="C180" s="991"/>
      <c r="D180" s="316">
        <f>COUNTIFS(input!$O:$O,August!$D$134,input!$W:$W,August!B180,input!$A:$A,August!$B$2)</f>
        <v>0</v>
      </c>
      <c r="E180" s="316">
        <f>COUNTIFS(input!$O:$O,August!$E$134,input!$W:$W,August!B180,input!$A:$A,August!$B$2)</f>
        <v>0</v>
      </c>
      <c r="F180" s="316">
        <f>COUNTIFS(input!$O:$O,August!$F$134,input!$W:$W,August!B180,input!$A:$A,August!$B$2)</f>
        <v>0</v>
      </c>
      <c r="G180" s="322">
        <f>COUNTIFS(input!$O:$O,August!$G$134,input!$W:$W,August!B180,input!$A:$A,August!$B$2)</f>
        <v>1</v>
      </c>
      <c r="H180" s="321">
        <f>COUNTIFS(input!$O:$O,August!$H$134,input!$W:$W,August!B180,input!$A:$A,August!$B$2)</f>
        <v>0</v>
      </c>
      <c r="I180" s="321">
        <f>COUNTIFS(input!$O:$O,August!$I$134,input!$W:$W,August!B180,input!$A:$A,August!$B$2)</f>
        <v>0</v>
      </c>
      <c r="J180" s="321">
        <f>COUNTIFS(input!$O:$O,August!$J$134,input!$W:$W,August!B180,input!$A:$A,August!$B$2)</f>
        <v>0</v>
      </c>
      <c r="K180" s="343">
        <f>COUNTIFS(input!$O:$O,August!$K$134,input!$W:$W,August!B180,input!$A:$A,August!$B$2)</f>
        <v>0</v>
      </c>
      <c r="L180" s="312">
        <f t="shared" si="42"/>
        <v>1</v>
      </c>
      <c r="M180" s="320" cm="1">
        <f t="array" ref="M180">_xlfn.IFS(L180=0,0,L180&gt;=1,L180/$L$210)</f>
        <v>6.25E-2</v>
      </c>
      <c r="N180" s="995"/>
      <c r="O180" s="996"/>
      <c r="P180" s="997"/>
      <c r="Q180" s="316">
        <f>COUNTIFS(input!$O:$O,August!$Q$134,input!$X:$X,August!N180,input!$A:$A,August!$B$2)</f>
        <v>0</v>
      </c>
      <c r="R180" s="316">
        <f>COUNTIFS(input!$O:$O,August!$R$134,input!$X:$X,August!N180,input!$A:$A,August!$B$2)</f>
        <v>0</v>
      </c>
      <c r="S180" s="316">
        <f>COUNTIFS(input!$O:$O,August!$S$134,input!$X:$X,August!N180,input!$A:$A,August!$B$2)</f>
        <v>0</v>
      </c>
      <c r="T180" s="322">
        <f>COUNTIFS(input!$O:$O,August!$T$134,input!$X:$X,August!N180,input!$A:$A,August!$B$2)</f>
        <v>0</v>
      </c>
      <c r="U180" s="322">
        <f>COUNTIFS(input!$O:$O,August!$U$134,input!$X:$X,August!N180,input!$A:$A,August!$B$2)</f>
        <v>0</v>
      </c>
      <c r="V180" s="323">
        <f>COUNTIFS(input!$O:$O,August!$V$134,input!$X:$X,August!N180,input!$A:$A,August!$B$2)</f>
        <v>0</v>
      </c>
      <c r="W180" s="323">
        <f>COUNTIFS(input!$O:$O,August!$W$134,input!$X:$X,August!N180,input!$A:$A,August!$B$2)</f>
        <v>0</v>
      </c>
      <c r="X180" s="324">
        <f>COUNTIFS(input!$O:$O,August!$X$134,input!$X:$X,August!N180,input!$A:$A,August!$B$2)</f>
        <v>0</v>
      </c>
      <c r="Y180" s="312">
        <f t="shared" si="43"/>
        <v>0</v>
      </c>
      <c r="Z180" s="315" cm="1">
        <f t="array" ref="Z180">_xlfn.IFS(Y180=0,0,Y180&gt;=1,Y180/$Y$210)</f>
        <v>0</v>
      </c>
    </row>
    <row r="181" spans="2:26" ht="92" hidden="1" x14ac:dyDescent="0.25">
      <c r="B181" s="1121" t="s">
        <v>1787</v>
      </c>
      <c r="C181" s="1066"/>
      <c r="D181" s="316">
        <f>COUNTIFS(input!$O:$O,August!$D$134,input!$W:$W,August!B181,input!$A:$A,August!$B$2)</f>
        <v>0</v>
      </c>
      <c r="E181" s="316">
        <f>COUNTIFS(input!$O:$O,August!$E$134,input!$W:$W,August!B181,input!$A:$A,August!$B$2)</f>
        <v>0</v>
      </c>
      <c r="F181" s="316">
        <f>COUNTIFS(input!$O:$O,August!$F$134,input!$W:$W,August!B181,input!$A:$A,August!$B$2)</f>
        <v>0</v>
      </c>
      <c r="G181" s="322">
        <f>COUNTIFS(input!$O:$O,August!$G$134,input!$W:$W,August!B181,input!$A:$A,August!$B$2)</f>
        <v>0</v>
      </c>
      <c r="H181" s="321">
        <f>COUNTIFS(input!$O:$O,August!$H$134,input!$W:$W,August!B181,input!$A:$A,August!$B$2)</f>
        <v>0</v>
      </c>
      <c r="I181" s="321">
        <f>COUNTIFS(input!$O:$O,August!$I$134,input!$W:$W,August!B181,input!$A:$A,August!$B$2)</f>
        <v>0</v>
      </c>
      <c r="J181" s="321">
        <f>COUNTIFS(input!$O:$O,August!$J$134,input!$W:$W,August!B181,input!$A:$A,August!$B$2)</f>
        <v>0</v>
      </c>
      <c r="K181" s="343">
        <f>COUNTIFS(input!$O:$O,August!$K$134,input!$W:$W,August!B181,input!$A:$A,August!$B$2)</f>
        <v>0</v>
      </c>
      <c r="L181" s="312">
        <f t="shared" si="42"/>
        <v>0</v>
      </c>
      <c r="M181" s="320" cm="1">
        <f t="array" ref="M181">_xlfn.IFS(L181=0,0,L181&gt;=1,L181/$L$210)</f>
        <v>0</v>
      </c>
      <c r="N181" s="995" t="s">
        <v>1544</v>
      </c>
      <c r="O181" s="996"/>
      <c r="P181" s="997"/>
      <c r="Q181" s="316">
        <f>COUNTIFS(input!$O:$O,August!$Q$134,input!$X:$X,August!N181,input!$A:$A,August!$B$2)</f>
        <v>0</v>
      </c>
      <c r="R181" s="316">
        <f>COUNTIFS(input!$O:$O,August!$R$134,input!$X:$X,August!N181,input!$A:$A,August!$B$2)</f>
        <v>0</v>
      </c>
      <c r="S181" s="316">
        <f>COUNTIFS(input!$O:$O,August!$S$134,input!$X:$X,August!N181,input!$A:$A,August!$B$2)</f>
        <v>0</v>
      </c>
      <c r="T181" s="322">
        <f>COUNTIFS(input!$O:$O,August!$T$134,input!$X:$X,August!N181,input!$A:$A,August!$B$2)</f>
        <v>0</v>
      </c>
      <c r="U181" s="322">
        <f>COUNTIFS(input!$O:$O,August!$U$134,input!$X:$X,August!N181,input!$A:$A,August!$B$2)</f>
        <v>0</v>
      </c>
      <c r="V181" s="323">
        <f>COUNTIFS(input!$O:$O,August!$V$134,input!$X:$X,August!N181,input!$A:$A,August!$B$2)</f>
        <v>0</v>
      </c>
      <c r="W181" s="323">
        <f>COUNTIFS(input!$O:$O,August!$W$134,input!$X:$X,August!N181,input!$A:$A,August!$B$2)</f>
        <v>0</v>
      </c>
      <c r="X181" s="324">
        <f>COUNTIFS(input!$O:$O,August!$X$134,input!$X:$X,August!N181,input!$A:$A,August!$B$2)</f>
        <v>0</v>
      </c>
      <c r="Y181" s="312">
        <f t="shared" si="43"/>
        <v>0</v>
      </c>
      <c r="Z181" s="315" cm="1">
        <f t="array" ref="Z181">_xlfn.IFS(Y181=0,0,Y181&gt;=1,Y181/$Y$210)</f>
        <v>0</v>
      </c>
    </row>
    <row r="182" spans="2:26" ht="92" hidden="1" x14ac:dyDescent="0.25">
      <c r="B182" s="1121" t="s">
        <v>1560</v>
      </c>
      <c r="C182" s="1066"/>
      <c r="D182" s="316">
        <f>COUNTIFS(input!$O:$O,August!$D$134,input!$W:$W,August!B182,input!$A:$A,August!$B$2)</f>
        <v>0</v>
      </c>
      <c r="E182" s="316">
        <f>COUNTIFS(input!$O:$O,August!$E$134,input!$W:$W,August!B182,input!$A:$A,August!$B$2)</f>
        <v>0</v>
      </c>
      <c r="F182" s="316">
        <f>COUNTIFS(input!$O:$O,August!$F$134,input!$W:$W,August!B182,input!$A:$A,August!$B$2)</f>
        <v>0</v>
      </c>
      <c r="G182" s="322">
        <f>COUNTIFS(input!$O:$O,August!$G$134,input!$W:$W,August!B182,input!$A:$A,August!$B$2)</f>
        <v>0</v>
      </c>
      <c r="H182" s="321">
        <f>COUNTIFS(input!$O:$O,August!$H$134,input!$W:$W,August!B182,input!$A:$A,August!$B$2)</f>
        <v>0</v>
      </c>
      <c r="I182" s="321">
        <f>COUNTIFS(input!$O:$O,August!$I$134,input!$W:$W,August!B182,input!$A:$A,August!$B$2)</f>
        <v>0</v>
      </c>
      <c r="J182" s="321">
        <f>COUNTIFS(input!$O:$O,August!$J$134,input!$W:$W,August!B182,input!$A:$A,August!$B$2)</f>
        <v>0</v>
      </c>
      <c r="K182" s="343">
        <f>COUNTIFS(input!$O:$O,August!$K$134,input!$W:$W,August!B182,input!$A:$A,August!$B$2)</f>
        <v>0</v>
      </c>
      <c r="L182" s="312">
        <f t="shared" si="42"/>
        <v>0</v>
      </c>
      <c r="M182" s="320" cm="1">
        <f t="array" ref="M182">_xlfn.IFS(L182=0,0,L182&gt;=1,L182/$L$210)</f>
        <v>0</v>
      </c>
      <c r="N182" s="382"/>
      <c r="O182" s="383"/>
      <c r="P182" s="384"/>
      <c r="Q182" s="316">
        <f>COUNTIFS(input!$O:$O,August!$Q$134,input!$X:$X,August!N182,input!$A:$A,August!$B$2)</f>
        <v>0</v>
      </c>
      <c r="R182" s="316">
        <f>COUNTIFS(input!$O:$O,August!$R$134,input!$X:$X,August!N182,input!$A:$A,August!$B$2)</f>
        <v>0</v>
      </c>
      <c r="S182" s="316">
        <f>COUNTIFS(input!$O:$O,August!$S$134,input!$X:$X,August!N182,input!$A:$A,August!$B$2)</f>
        <v>0</v>
      </c>
      <c r="T182" s="322">
        <f>COUNTIFS(input!$O:$O,August!$T$134,input!$X:$X,August!N182,input!$A:$A,August!$B$2)</f>
        <v>0</v>
      </c>
      <c r="U182" s="322">
        <f>COUNTIFS(input!$O:$O,August!$U$134,input!$X:$X,August!N182,input!$A:$A,August!$B$2)</f>
        <v>0</v>
      </c>
      <c r="V182" s="323">
        <f>COUNTIFS(input!$O:$O,August!$V$134,input!$X:$X,August!N182,input!$A:$A,August!$B$2)</f>
        <v>0</v>
      </c>
      <c r="W182" s="323">
        <f>COUNTIFS(input!$O:$O,August!$W$134,input!$X:$X,August!N182,input!$A:$A,August!$B$2)</f>
        <v>0</v>
      </c>
      <c r="X182" s="324">
        <f>COUNTIFS(input!$O:$O,August!$X$134,input!$X:$X,August!N182,input!$A:$A,August!$B$2)</f>
        <v>0</v>
      </c>
      <c r="Y182" s="312">
        <f t="shared" si="43"/>
        <v>0</v>
      </c>
      <c r="Z182" s="315" cm="1">
        <f t="array" ref="Z182">_xlfn.IFS(Y182=0,0,Y182&gt;=1,Y182/$Y$210)</f>
        <v>0</v>
      </c>
    </row>
    <row r="183" spans="2:26" ht="92" hidden="1" x14ac:dyDescent="0.25">
      <c r="B183" s="1121" t="s">
        <v>1838</v>
      </c>
      <c r="C183" s="1066"/>
      <c r="D183" s="316">
        <f>COUNTIFS(input!$O:$O,August!$D$134,input!$W:$W,August!B183,input!$A:$A,August!$B$2)</f>
        <v>0</v>
      </c>
      <c r="E183" s="316">
        <f>COUNTIFS(input!$O:$O,August!$E$134,input!$W:$W,August!B183,input!$A:$A,August!$B$2)</f>
        <v>0</v>
      </c>
      <c r="F183" s="316">
        <f>COUNTIFS(input!$O:$O,August!$F$134,input!$W:$W,August!B183,input!$A:$A,August!$B$2)</f>
        <v>0</v>
      </c>
      <c r="G183" s="322">
        <f>COUNTIFS(input!$O:$O,August!$G$134,input!$W:$W,August!B183,input!$A:$A,August!$B$2)</f>
        <v>0</v>
      </c>
      <c r="H183" s="321">
        <f>COUNTIFS(input!$O:$O,August!$H$134,input!$W:$W,August!B183,input!$A:$A,August!$B$2)</f>
        <v>0</v>
      </c>
      <c r="I183" s="321">
        <f>COUNTIFS(input!$O:$O,August!$I$134,input!$W:$W,August!B183,input!$A:$A,August!$B$2)</f>
        <v>0</v>
      </c>
      <c r="J183" s="321">
        <f>COUNTIFS(input!$O:$O,August!$J$134,input!$W:$W,August!B183,input!$A:$A,August!$B$2)</f>
        <v>0</v>
      </c>
      <c r="K183" s="343">
        <f>COUNTIFS(input!$O:$O,August!$K$134,input!$W:$W,August!B183,input!$A:$A,August!$B$2)</f>
        <v>0</v>
      </c>
      <c r="L183" s="312">
        <f t="shared" si="42"/>
        <v>0</v>
      </c>
      <c r="M183" s="320" cm="1">
        <f t="array" ref="M183">_xlfn.IFS(L183=0,0,L183&gt;=1,L183/$L$210)</f>
        <v>0</v>
      </c>
      <c r="N183" s="382"/>
      <c r="O183" s="383"/>
      <c r="P183" s="384"/>
      <c r="Q183" s="316">
        <f>COUNTIFS(input!$O:$O,August!$Q$134,input!$X:$X,August!N183,input!$A:$A,August!$B$2)</f>
        <v>0</v>
      </c>
      <c r="R183" s="316">
        <f>COUNTIFS(input!$O:$O,August!$R$134,input!$X:$X,August!N183,input!$A:$A,August!$B$2)</f>
        <v>0</v>
      </c>
      <c r="S183" s="316">
        <f>COUNTIFS(input!$O:$O,August!$S$134,input!$X:$X,August!N183,input!$A:$A,August!$B$2)</f>
        <v>0</v>
      </c>
      <c r="T183" s="322">
        <f>COUNTIFS(input!$O:$O,August!$T$134,input!$X:$X,August!N183,input!$A:$A,August!$B$2)</f>
        <v>0</v>
      </c>
      <c r="U183" s="322">
        <f>COUNTIFS(input!$O:$O,August!$U$134,input!$X:$X,August!N183,input!$A:$A,August!$B$2)</f>
        <v>0</v>
      </c>
      <c r="V183" s="323">
        <f>COUNTIFS(input!$O:$O,August!$V$134,input!$X:$X,August!N183,input!$A:$A,August!$B$2)</f>
        <v>0</v>
      </c>
      <c r="W183" s="323">
        <f>COUNTIFS(input!$O:$O,August!$W$134,input!$X:$X,August!N183,input!$A:$A,August!$B$2)</f>
        <v>0</v>
      </c>
      <c r="X183" s="324">
        <f>COUNTIFS(input!$O:$O,August!$X$134,input!$X:$X,August!N183,input!$A:$A,August!$B$2)</f>
        <v>0</v>
      </c>
      <c r="Y183" s="312">
        <f t="shared" si="43"/>
        <v>0</v>
      </c>
      <c r="Z183" s="315" cm="1">
        <f t="array" ref="Z183">_xlfn.IFS(Y183=0,0,Y183&gt;=1,Y183/$Y$210)</f>
        <v>0</v>
      </c>
    </row>
    <row r="184" spans="2:26" ht="92" hidden="1" x14ac:dyDescent="0.25">
      <c r="B184" s="1121" t="s">
        <v>1561</v>
      </c>
      <c r="C184" s="1066"/>
      <c r="D184" s="316">
        <f>COUNTIFS(input!$O:$O,August!$D$134,input!$W:$W,August!B184,input!$A:$A,August!$B$2)</f>
        <v>0</v>
      </c>
      <c r="E184" s="316">
        <f>COUNTIFS(input!$O:$O,August!$E$134,input!$W:$W,August!B184,input!$A:$A,August!$B$2)</f>
        <v>0</v>
      </c>
      <c r="F184" s="316">
        <f>COUNTIFS(input!$O:$O,August!$F$134,input!$W:$W,August!B184,input!$A:$A,August!$B$2)</f>
        <v>0</v>
      </c>
      <c r="G184" s="322">
        <f>COUNTIFS(input!$O:$O,August!$G$134,input!$W:$W,August!B184,input!$A:$A,August!$B$2)</f>
        <v>0</v>
      </c>
      <c r="H184" s="321">
        <f>COUNTIFS(input!$O:$O,August!$H$134,input!$W:$W,August!B184,input!$A:$A,August!$B$2)</f>
        <v>0</v>
      </c>
      <c r="I184" s="321">
        <f>COUNTIFS(input!$O:$O,August!$I$134,input!$W:$W,August!B184,input!$A:$A,August!$B$2)</f>
        <v>0</v>
      </c>
      <c r="J184" s="321">
        <f>COUNTIFS(input!$O:$O,August!$J$134,input!$W:$W,August!B184,input!$A:$A,August!$B$2)</f>
        <v>0</v>
      </c>
      <c r="K184" s="343">
        <f>COUNTIFS(input!$O:$O,August!$K$134,input!$W:$W,August!B184,input!$A:$A,August!$B$2)</f>
        <v>0</v>
      </c>
      <c r="L184" s="312">
        <f t="shared" si="42"/>
        <v>0</v>
      </c>
      <c r="M184" s="320" cm="1">
        <f t="array" ref="M184">_xlfn.IFS(L184=0,0,L184&gt;=1,L184/$L$210)</f>
        <v>0</v>
      </c>
      <c r="N184" s="382"/>
      <c r="O184" s="383"/>
      <c r="P184" s="384"/>
      <c r="Q184" s="316">
        <f>COUNTIFS(input!$O:$O,August!$Q$134,input!$X:$X,August!N184,input!$A:$A,August!$B$2)</f>
        <v>0</v>
      </c>
      <c r="R184" s="316">
        <f>COUNTIFS(input!$O:$O,August!$R$134,input!$X:$X,August!N184,input!$A:$A,August!$B$2)</f>
        <v>0</v>
      </c>
      <c r="S184" s="316">
        <f>COUNTIFS(input!$O:$O,August!$S$134,input!$X:$X,August!N184,input!$A:$A,August!$B$2)</f>
        <v>0</v>
      </c>
      <c r="T184" s="322">
        <f>COUNTIFS(input!$O:$O,August!$T$134,input!$X:$X,August!N184,input!$A:$A,August!$B$2)</f>
        <v>0</v>
      </c>
      <c r="U184" s="322">
        <f>COUNTIFS(input!$O:$O,August!$U$134,input!$X:$X,August!N184,input!$A:$A,August!$B$2)</f>
        <v>0</v>
      </c>
      <c r="V184" s="323">
        <f>COUNTIFS(input!$O:$O,August!$V$134,input!$X:$X,August!N184,input!$A:$A,August!$B$2)</f>
        <v>0</v>
      </c>
      <c r="W184" s="323">
        <f>COUNTIFS(input!$O:$O,August!$W$134,input!$X:$X,August!N184,input!$A:$A,August!$B$2)</f>
        <v>0</v>
      </c>
      <c r="X184" s="324">
        <f>COUNTIFS(input!$O:$O,August!$X$134,input!$X:$X,August!N184,input!$A:$A,August!$B$2)</f>
        <v>0</v>
      </c>
      <c r="Y184" s="312">
        <f t="shared" si="43"/>
        <v>0</v>
      </c>
      <c r="Z184" s="315" cm="1">
        <f t="array" ref="Z184">_xlfn.IFS(Y184=0,0,Y184&gt;=1,Y184/$Y$210)</f>
        <v>0</v>
      </c>
    </row>
    <row r="185" spans="2:26" ht="92" hidden="1" x14ac:dyDescent="0.25">
      <c r="B185" s="1121" t="s">
        <v>1797</v>
      </c>
      <c r="C185" s="1066"/>
      <c r="D185" s="316">
        <f>COUNTIFS(input!$O:$O,August!$D$134,input!$W:$W,August!B185,input!$A:$A,August!$B$2)</f>
        <v>0</v>
      </c>
      <c r="E185" s="316">
        <f>COUNTIFS(input!$O:$O,August!$E$134,input!$W:$W,August!B185,input!$A:$A,August!$B$2)</f>
        <v>0</v>
      </c>
      <c r="F185" s="316">
        <f>COUNTIFS(input!$O:$O,August!$F$134,input!$W:$W,August!B185,input!$A:$A,August!$B$2)</f>
        <v>0</v>
      </c>
      <c r="G185" s="322">
        <f>COUNTIFS(input!$O:$O,August!$G$134,input!$W:$W,August!B185,input!$A:$A,August!$B$2)</f>
        <v>0</v>
      </c>
      <c r="H185" s="321">
        <f>COUNTIFS(input!$O:$O,August!$H$134,input!$W:$W,August!B185,input!$A:$A,August!$B$2)</f>
        <v>0</v>
      </c>
      <c r="I185" s="321">
        <f>COUNTIFS(input!$O:$O,August!$I$134,input!$W:$W,August!B185,input!$A:$A,August!$B$2)</f>
        <v>0</v>
      </c>
      <c r="J185" s="321">
        <f>COUNTIFS(input!$O:$O,August!$J$134,input!$W:$W,August!B185,input!$A:$A,August!$B$2)</f>
        <v>0</v>
      </c>
      <c r="K185" s="343">
        <f>COUNTIFS(input!$O:$O,August!$K$134,input!$W:$W,August!B185,input!$A:$A,August!$B$2)</f>
        <v>0</v>
      </c>
      <c r="L185" s="312">
        <f t="shared" si="42"/>
        <v>0</v>
      </c>
      <c r="M185" s="320" cm="1">
        <f t="array" ref="M185">_xlfn.IFS(L185=0,0,L185&gt;=1,L185/$L$210)</f>
        <v>0</v>
      </c>
      <c r="N185" s="382"/>
      <c r="O185" s="383"/>
      <c r="P185" s="384"/>
      <c r="Q185" s="316">
        <f>COUNTIFS(input!$O:$O,August!$Q$134,input!$X:$X,August!N185,input!$A:$A,August!$B$2)</f>
        <v>0</v>
      </c>
      <c r="R185" s="316">
        <f>COUNTIFS(input!$O:$O,August!$R$134,input!$X:$X,August!N185,input!$A:$A,August!$B$2)</f>
        <v>0</v>
      </c>
      <c r="S185" s="316">
        <f>COUNTIFS(input!$O:$O,August!$S$134,input!$X:$X,August!N185,input!$A:$A,August!$B$2)</f>
        <v>0</v>
      </c>
      <c r="T185" s="322">
        <f>COUNTIFS(input!$O:$O,August!$T$134,input!$X:$X,August!N185,input!$A:$A,August!$B$2)</f>
        <v>0</v>
      </c>
      <c r="U185" s="322">
        <f>COUNTIFS(input!$O:$O,August!$U$134,input!$X:$X,August!N185,input!$A:$A,August!$B$2)</f>
        <v>0</v>
      </c>
      <c r="V185" s="323">
        <f>COUNTIFS(input!$O:$O,August!$V$134,input!$X:$X,August!N185,input!$A:$A,August!$B$2)</f>
        <v>0</v>
      </c>
      <c r="W185" s="323">
        <f>COUNTIFS(input!$O:$O,August!$W$134,input!$X:$X,August!N185,input!$A:$A,August!$B$2)</f>
        <v>0</v>
      </c>
      <c r="X185" s="324">
        <f>COUNTIFS(input!$O:$O,August!$X$134,input!$X:$X,August!N185,input!$A:$A,August!$B$2)</f>
        <v>0</v>
      </c>
      <c r="Y185" s="312">
        <f t="shared" si="43"/>
        <v>0</v>
      </c>
      <c r="Z185" s="315" cm="1">
        <f t="array" ref="Z185">_xlfn.IFS(Y185=0,0,Y185&gt;=1,Y185/$Y$210)</f>
        <v>0</v>
      </c>
    </row>
    <row r="186" spans="2:26" ht="92" hidden="1" x14ac:dyDescent="0.25">
      <c r="B186" s="1121" t="s">
        <v>2162</v>
      </c>
      <c r="C186" s="1066"/>
      <c r="D186" s="316">
        <f>COUNTIFS(input!$O:$O,August!$D$134,input!$W:$W,August!B186,input!$A:$A,August!$B$2)</f>
        <v>0</v>
      </c>
      <c r="E186" s="316">
        <f>COUNTIFS(input!$O:$O,August!$E$134,input!$W:$W,August!B186,input!$A:$A,August!$B$2)</f>
        <v>0</v>
      </c>
      <c r="F186" s="316">
        <f>COUNTIFS(input!$O:$O,August!$F$134,input!$W:$W,August!B186,input!$A:$A,August!$B$2)</f>
        <v>0</v>
      </c>
      <c r="G186" s="322">
        <f>COUNTIFS(input!$O:$O,August!$G$134,input!$W:$W,August!B186,input!$A:$A,August!$B$2)</f>
        <v>0</v>
      </c>
      <c r="H186" s="321">
        <f>COUNTIFS(input!$O:$O,August!$H$134,input!$W:$W,August!B186,input!$A:$A,August!$B$2)</f>
        <v>0</v>
      </c>
      <c r="I186" s="321">
        <f>COUNTIFS(input!$O:$O,August!$I$134,input!$W:$W,August!B186,input!$A:$A,August!$B$2)</f>
        <v>0</v>
      </c>
      <c r="J186" s="321">
        <f>COUNTIFS(input!$O:$O,August!$J$134,input!$W:$W,August!B186,input!$A:$A,August!$B$2)</f>
        <v>0</v>
      </c>
      <c r="K186" s="343">
        <f>COUNTIFS(input!$O:$O,August!$K$134,input!$W:$W,August!B186,input!$A:$A,August!$B$2)</f>
        <v>0</v>
      </c>
      <c r="L186" s="312">
        <f>SUM(D186:K186)</f>
        <v>0</v>
      </c>
      <c r="M186" s="320" cm="1">
        <f t="array" ref="M186">_xlfn.IFS(L186=0,0,L186&gt;=1,L186/$L$210)</f>
        <v>0</v>
      </c>
      <c r="N186" s="382"/>
      <c r="O186" s="383"/>
      <c r="P186" s="384"/>
      <c r="Q186" s="316">
        <f>COUNTIFS(input!$O:$O,August!$Q$134,input!$X:$X,August!N186,input!$A:$A,August!$B$2)</f>
        <v>0</v>
      </c>
      <c r="R186" s="316">
        <f>COUNTIFS(input!$O:$O,August!$R$134,input!$X:$X,August!N186,input!$A:$A,August!$B$2)</f>
        <v>0</v>
      </c>
      <c r="S186" s="316">
        <f>COUNTIFS(input!$O:$O,August!$S$134,input!$X:$X,August!N186,input!$A:$A,August!$B$2)</f>
        <v>0</v>
      </c>
      <c r="T186" s="322">
        <f>COUNTIFS(input!$O:$O,August!$T$134,input!$X:$X,August!N186,input!$A:$A,August!$B$2)</f>
        <v>0</v>
      </c>
      <c r="U186" s="322">
        <f>COUNTIFS(input!$O:$O,August!$U$134,input!$X:$X,August!N186,input!$A:$A,August!$B$2)</f>
        <v>0</v>
      </c>
      <c r="V186" s="323">
        <f>COUNTIFS(input!$O:$O,August!$V$134,input!$X:$X,August!N186,input!$A:$A,August!$B$2)</f>
        <v>0</v>
      </c>
      <c r="W186" s="323">
        <f>COUNTIFS(input!$O:$O,August!$W$134,input!$X:$X,August!N186,input!$A:$A,August!$B$2)</f>
        <v>0</v>
      </c>
      <c r="X186" s="324">
        <f>COUNTIFS(input!$O:$O,August!$X$134,input!$X:$X,August!N186,input!$A:$A,August!$B$2)</f>
        <v>0</v>
      </c>
      <c r="Y186" s="312">
        <f>SUM(Q186:X186)</f>
        <v>0</v>
      </c>
      <c r="Z186" s="315" cm="1">
        <f t="array" ref="Z186">_xlfn.IFS(Y186=0,0,Y186&gt;=1,Y186/$Y$210)</f>
        <v>0</v>
      </c>
    </row>
    <row r="187" spans="2:26" ht="92" hidden="1" x14ac:dyDescent="0.25">
      <c r="B187" s="1121" t="s">
        <v>2163</v>
      </c>
      <c r="C187" s="1066"/>
      <c r="D187" s="316">
        <f>COUNTIFS(input!$O:$O,August!$D$134,input!$W:$W,August!B187,input!$A:$A,August!$B$2)</f>
        <v>0</v>
      </c>
      <c r="E187" s="316">
        <f>COUNTIFS(input!$O:$O,August!$E$134,input!$W:$W,August!B187,input!$A:$A,August!$B$2)</f>
        <v>0</v>
      </c>
      <c r="F187" s="316">
        <f>COUNTIFS(input!$O:$O,August!$F$134,input!$W:$W,August!B187,input!$A:$A,August!$B$2)</f>
        <v>0</v>
      </c>
      <c r="G187" s="322">
        <f>COUNTIFS(input!$O:$O,August!$G$134,input!$W:$W,August!B187,input!$A:$A,August!$B$2)</f>
        <v>0</v>
      </c>
      <c r="H187" s="321">
        <f>COUNTIFS(input!$O:$O,August!$H$134,input!$W:$W,August!B187,input!$A:$A,August!$B$2)</f>
        <v>0</v>
      </c>
      <c r="I187" s="321">
        <f>COUNTIFS(input!$O:$O,August!$I$134,input!$W:$W,August!B187,input!$A:$A,August!$B$2)</f>
        <v>0</v>
      </c>
      <c r="J187" s="321">
        <f>COUNTIFS(input!$O:$O,August!$J$134,input!$W:$W,August!B187,input!$A:$A,August!$B$2)</f>
        <v>0</v>
      </c>
      <c r="K187" s="343">
        <f>COUNTIFS(input!$O:$O,August!$K$134,input!$W:$W,August!B187,input!$A:$A,August!$B$2)</f>
        <v>0</v>
      </c>
      <c r="L187" s="312">
        <f>SUM(D187:K187)</f>
        <v>0</v>
      </c>
      <c r="M187" s="320" cm="1">
        <f t="array" ref="M187">_xlfn.IFS(L187=0,0,L187&gt;=1,L187/$L$210)</f>
        <v>0</v>
      </c>
      <c r="N187" s="382"/>
      <c r="O187" s="383"/>
      <c r="P187" s="384"/>
      <c r="Q187" s="316">
        <f>COUNTIFS(input!$O:$O,August!$Q$134,input!$X:$X,August!N187,input!$A:$A,August!$B$2)</f>
        <v>0</v>
      </c>
      <c r="R187" s="316">
        <f>COUNTIFS(input!$O:$O,August!$R$134,input!$X:$X,August!N187,input!$A:$A,August!$B$2)</f>
        <v>0</v>
      </c>
      <c r="S187" s="316">
        <f>COUNTIFS(input!$O:$O,August!$S$134,input!$X:$X,August!N187,input!$A:$A,August!$B$2)</f>
        <v>0</v>
      </c>
      <c r="T187" s="322">
        <f>COUNTIFS(input!$O:$O,August!$T$134,input!$X:$X,August!N187,input!$A:$A,August!$B$2)</f>
        <v>0</v>
      </c>
      <c r="U187" s="322">
        <f>COUNTIFS(input!$O:$O,August!$U$134,input!$X:$X,August!N187,input!$A:$A,August!$B$2)</f>
        <v>0</v>
      </c>
      <c r="V187" s="323">
        <f>COUNTIFS(input!$O:$O,August!$V$134,input!$X:$X,August!N187,input!$A:$A,August!$B$2)</f>
        <v>0</v>
      </c>
      <c r="W187" s="323">
        <f>COUNTIFS(input!$O:$O,August!$W$134,input!$X:$X,August!N187,input!$A:$A,August!$B$2)</f>
        <v>0</v>
      </c>
      <c r="X187" s="324">
        <f>COUNTIFS(input!$O:$O,August!$X$134,input!$X:$X,August!N187,input!$A:$A,August!$B$2)</f>
        <v>0</v>
      </c>
      <c r="Y187" s="312">
        <f>SUM(Q187:X187)</f>
        <v>0</v>
      </c>
      <c r="Z187" s="315" cm="1">
        <f t="array" ref="Z187">_xlfn.IFS(Y187=0,0,Y187&gt;=1,Y187/$Y$210)</f>
        <v>0</v>
      </c>
    </row>
    <row r="188" spans="2:26" ht="92" hidden="1" x14ac:dyDescent="0.25">
      <c r="B188" s="1122" t="s">
        <v>862</v>
      </c>
      <c r="C188" s="997"/>
      <c r="D188" s="316">
        <f>COUNTIFS(input!$O:$O,August!$D$134,input!$W:$W,August!B188,input!$A:$A,August!$B$2)</f>
        <v>0</v>
      </c>
      <c r="E188" s="316">
        <f>COUNTIFS(input!$O:$O,August!$E$134,input!$W:$W,August!B188,input!$A:$A,August!$B$2)</f>
        <v>0</v>
      </c>
      <c r="F188" s="316">
        <f>COUNTIFS(input!$O:$O,August!$F$134,input!$W:$W,August!B188,input!$A:$A,August!$B$2)</f>
        <v>0</v>
      </c>
      <c r="G188" s="322">
        <f>COUNTIFS(input!$O:$O,August!$G$134,input!$W:$W,August!B188,input!$A:$A,August!$B$2)</f>
        <v>0</v>
      </c>
      <c r="H188" s="321">
        <f>COUNTIFS(input!$O:$O,August!$H$134,input!$W:$W,August!B188,input!$A:$A,August!$B$2)</f>
        <v>0</v>
      </c>
      <c r="I188" s="321">
        <f>COUNTIFS(input!$O:$O,August!$I$134,input!$W:$W,August!B188,input!$A:$A,August!$B$2)</f>
        <v>0</v>
      </c>
      <c r="J188" s="321">
        <f>COUNTIFS(input!$O:$O,August!$J$134,input!$W:$W,August!B188,input!$A:$A,August!$B$2)</f>
        <v>0</v>
      </c>
      <c r="K188" s="343">
        <f>COUNTIFS(input!$O:$O,August!$K$134,input!$W:$W,August!B188,input!$A:$A,August!$B$2)</f>
        <v>0</v>
      </c>
      <c r="L188" s="312">
        <f t="shared" ref="L188:L200" si="44">SUM(D188:K188)</f>
        <v>0</v>
      </c>
      <c r="M188" s="320" cm="1">
        <f t="array" ref="M188">_xlfn.IFS(L188=0,0,L188&gt;=1,L188/$L$210)</f>
        <v>0</v>
      </c>
      <c r="N188" s="995"/>
      <c r="O188" s="996"/>
      <c r="P188" s="997"/>
      <c r="Q188" s="316">
        <f>COUNTIFS(input!$O:$O,August!$Q$134,input!$X:$X,August!N188,input!$A:$A,August!$B$2)</f>
        <v>0</v>
      </c>
      <c r="R188" s="316">
        <f>COUNTIFS(input!$O:$O,August!$R$134,input!$X:$X,August!N188,input!$A:$A,August!$B$2)</f>
        <v>0</v>
      </c>
      <c r="S188" s="316">
        <f>COUNTIFS(input!$O:$O,August!$S$134,input!$X:$X,August!N188,input!$A:$A,August!$B$2)</f>
        <v>0</v>
      </c>
      <c r="T188" s="322">
        <f>COUNTIFS(input!$O:$O,August!$T$134,input!$X:$X,August!N188,input!$A:$A,August!$B$2)</f>
        <v>0</v>
      </c>
      <c r="U188" s="322">
        <f>COUNTIFS(input!$O:$O,August!$U$134,input!$X:$X,August!N188,input!$A:$A,August!$B$2)</f>
        <v>0</v>
      </c>
      <c r="V188" s="323">
        <f>COUNTIFS(input!$O:$O,August!$V$134,input!$X:$X,August!N188,input!$A:$A,August!$B$2)</f>
        <v>0</v>
      </c>
      <c r="W188" s="323">
        <f>COUNTIFS(input!$O:$O,August!$W$134,input!$X:$X,August!N188,input!$A:$A,August!$B$2)</f>
        <v>0</v>
      </c>
      <c r="X188" s="324">
        <f>COUNTIFS(input!$O:$O,August!$X$134,input!$X:$X,August!N188,input!$A:$A,August!$B$2)</f>
        <v>0</v>
      </c>
      <c r="Y188" s="312">
        <f t="shared" ref="Y188:Y192" si="45">SUM(Q188:X188)</f>
        <v>0</v>
      </c>
      <c r="Z188" s="315" cm="1">
        <f t="array" ref="Z188">_xlfn.IFS(Y188=0,0,Y188&gt;=1,Y188/$Y$210)</f>
        <v>0</v>
      </c>
    </row>
    <row r="189" spans="2:26" ht="92" hidden="1" x14ac:dyDescent="0.25">
      <c r="B189" s="1122" t="s">
        <v>859</v>
      </c>
      <c r="C189" s="997"/>
      <c r="D189" s="316">
        <f>COUNTIFS(input!$O:$O,August!$D$134,input!$W:$W,August!B189,input!$A:$A,August!$B$2)</f>
        <v>0</v>
      </c>
      <c r="E189" s="316">
        <f>COUNTIFS(input!$O:$O,August!$E$134,input!$W:$W,August!B189,input!$A:$A,August!$B$2)</f>
        <v>0</v>
      </c>
      <c r="F189" s="316">
        <f>COUNTIFS(input!$O:$O,August!$F$134,input!$W:$W,August!B189,input!$A:$A,August!$B$2)</f>
        <v>0</v>
      </c>
      <c r="G189" s="322">
        <f>COUNTIFS(input!$O:$O,August!$G$134,input!$W:$W,August!B189,input!$A:$A,August!$B$2)</f>
        <v>0</v>
      </c>
      <c r="H189" s="321">
        <f>COUNTIFS(input!$O:$O,August!$H$134,input!$W:$W,August!B189,input!$A:$A,August!$B$2)</f>
        <v>0</v>
      </c>
      <c r="I189" s="321">
        <f>COUNTIFS(input!$O:$O,August!$I$134,input!$W:$W,August!B189,input!$A:$A,August!$B$2)</f>
        <v>0</v>
      </c>
      <c r="J189" s="321">
        <f>COUNTIFS(input!$O:$O,August!$J$134,input!$W:$W,August!B189,input!$A:$A,August!$B$2)</f>
        <v>0</v>
      </c>
      <c r="K189" s="343">
        <f>COUNTIFS(input!$O:$O,August!$K$134,input!$W:$W,August!B189,input!$A:$A,August!$B$2)</f>
        <v>0</v>
      </c>
      <c r="L189" s="312">
        <f t="shared" si="44"/>
        <v>0</v>
      </c>
      <c r="M189" s="320" cm="1">
        <f t="array" ref="M189">_xlfn.IFS(L189=0,0,L189&gt;=1,L189/$L$210)</f>
        <v>0</v>
      </c>
      <c r="N189" s="995"/>
      <c r="O189" s="996"/>
      <c r="P189" s="997"/>
      <c r="Q189" s="316">
        <f>COUNTIFS(input!$O:$O,August!$Q$134,input!$X:$X,August!N189,input!$A:$A,August!$B$2)</f>
        <v>0</v>
      </c>
      <c r="R189" s="316">
        <f>COUNTIFS(input!$O:$O,August!$R$134,input!$X:$X,August!N189,input!$A:$A,August!$B$2)</f>
        <v>0</v>
      </c>
      <c r="S189" s="316">
        <f>COUNTIFS(input!$O:$O,August!$S$134,input!$X:$X,August!N189,input!$A:$A,August!$B$2)</f>
        <v>0</v>
      </c>
      <c r="T189" s="322">
        <f>COUNTIFS(input!$O:$O,August!$T$134,input!$X:$X,August!N189,input!$A:$A,August!$B$2)</f>
        <v>0</v>
      </c>
      <c r="U189" s="322">
        <f>COUNTIFS(input!$O:$O,August!$U$134,input!$X:$X,August!N189,input!$A:$A,August!$B$2)</f>
        <v>0</v>
      </c>
      <c r="V189" s="323">
        <f>COUNTIFS(input!$O:$O,August!$V$134,input!$X:$X,August!N189,input!$A:$A,August!$B$2)</f>
        <v>0</v>
      </c>
      <c r="W189" s="323">
        <f>COUNTIFS(input!$O:$O,August!$W$134,input!$X:$X,August!N189,input!$A:$A,August!$B$2)</f>
        <v>0</v>
      </c>
      <c r="X189" s="324">
        <f>COUNTIFS(input!$O:$O,August!$X$134,input!$X:$X,August!N189,input!$A:$A,August!$B$2)</f>
        <v>0</v>
      </c>
      <c r="Y189" s="312">
        <f t="shared" si="45"/>
        <v>0</v>
      </c>
      <c r="Z189" s="315" cm="1">
        <f t="array" ref="Z189">_xlfn.IFS(Y189=0,0,Y189&gt;=1,Y189/$Y$210)</f>
        <v>0</v>
      </c>
    </row>
    <row r="190" spans="2:26" ht="92" hidden="1" x14ac:dyDescent="0.25">
      <c r="B190" s="1121" t="s">
        <v>825</v>
      </c>
      <c r="C190" s="1066"/>
      <c r="D190" s="316">
        <f>COUNTIFS(input!$O:$O,August!$D$134,input!$W:$W,August!B190,input!$A:$A,August!$B$2)</f>
        <v>0</v>
      </c>
      <c r="E190" s="316">
        <f>COUNTIFS(input!$O:$O,August!$E$134,input!$W:$W,August!B190,input!$A:$A,August!$B$2)</f>
        <v>0</v>
      </c>
      <c r="F190" s="316">
        <f>COUNTIFS(input!$O:$O,August!$F$134,input!$W:$W,August!B190,input!$A:$A,August!$B$2)</f>
        <v>0</v>
      </c>
      <c r="G190" s="322">
        <f>COUNTIFS(input!$O:$O,August!$G$134,input!$W:$W,August!B190,input!$A:$A,August!$B$2)</f>
        <v>0</v>
      </c>
      <c r="H190" s="321">
        <f>COUNTIFS(input!$O:$O,August!$H$134,input!$W:$W,August!B190,input!$A:$A,August!$B$2)</f>
        <v>0</v>
      </c>
      <c r="I190" s="321">
        <f>COUNTIFS(input!$O:$O,August!$I$134,input!$W:$W,August!B190,input!$A:$A,August!$B$2)</f>
        <v>0</v>
      </c>
      <c r="J190" s="321">
        <f>COUNTIFS(input!$O:$O,August!$J$134,input!$W:$W,August!B190,input!$A:$A,August!$B$2)</f>
        <v>0</v>
      </c>
      <c r="K190" s="343">
        <f>COUNTIFS(input!$O:$O,August!$K$134,input!$W:$W,August!B190,input!$A:$A,August!$B$2)</f>
        <v>0</v>
      </c>
      <c r="L190" s="312">
        <f t="shared" si="44"/>
        <v>0</v>
      </c>
      <c r="M190" s="320" cm="1">
        <f t="array" ref="M190">_xlfn.IFS(L190=0,0,L190&gt;=1,L190/$L$210)</f>
        <v>0</v>
      </c>
      <c r="N190" s="995"/>
      <c r="O190" s="996"/>
      <c r="P190" s="997"/>
      <c r="Q190" s="316">
        <f>COUNTIFS(input!$O:$O,August!$Q$134,input!$X:$X,August!N190,input!$A:$A,August!$B$2)</f>
        <v>0</v>
      </c>
      <c r="R190" s="316">
        <f>COUNTIFS(input!$O:$O,August!$R$134,input!$X:$X,August!N190,input!$A:$A,August!$B$2)</f>
        <v>0</v>
      </c>
      <c r="S190" s="316">
        <f>COUNTIFS(input!$O:$O,August!$S$134,input!$X:$X,August!N190,input!$A:$A,August!$B$2)</f>
        <v>0</v>
      </c>
      <c r="T190" s="322">
        <f>COUNTIFS(input!$O:$O,August!$T$134,input!$X:$X,August!N190,input!$A:$A,August!$B$2)</f>
        <v>0</v>
      </c>
      <c r="U190" s="322">
        <f>COUNTIFS(input!$O:$O,August!$U$134,input!$X:$X,August!N190,input!$A:$A,August!$B$2)</f>
        <v>0</v>
      </c>
      <c r="V190" s="323">
        <f>COUNTIFS(input!$O:$O,August!$V$134,input!$X:$X,August!N190,input!$A:$A,August!$B$2)</f>
        <v>0</v>
      </c>
      <c r="W190" s="323">
        <f>COUNTIFS(input!$O:$O,August!$W$134,input!$X:$X,August!N190,input!$A:$A,August!$B$2)</f>
        <v>0</v>
      </c>
      <c r="X190" s="324">
        <f>COUNTIFS(input!$O:$O,August!$X$134,input!$X:$X,August!N190,input!$A:$A,August!$B$2)</f>
        <v>0</v>
      </c>
      <c r="Y190" s="312">
        <f t="shared" si="45"/>
        <v>0</v>
      </c>
      <c r="Z190" s="315" cm="1">
        <f t="array" ref="Z190">_xlfn.IFS(Y190=0,0,Y190&gt;=1,Y190/$Y$210)</f>
        <v>0</v>
      </c>
    </row>
    <row r="191" spans="2:26" ht="92" hidden="1" x14ac:dyDescent="0.25">
      <c r="B191" s="1121" t="s">
        <v>889</v>
      </c>
      <c r="C191" s="1066"/>
      <c r="D191" s="316">
        <f>COUNTIFS(input!$O:$O,August!$D$134,input!$W:$W,August!B191,input!$A:$A,August!$B$2)</f>
        <v>0</v>
      </c>
      <c r="E191" s="316">
        <f>COUNTIFS(input!$O:$O,August!$E$134,input!$W:$W,August!B191,input!$A:$A,August!$B$2)</f>
        <v>0</v>
      </c>
      <c r="F191" s="316">
        <f>COUNTIFS(input!$O:$O,August!$F$134,input!$W:$W,August!B191,input!$A:$A,August!$B$2)</f>
        <v>0</v>
      </c>
      <c r="G191" s="322">
        <f>COUNTIFS(input!$O:$O,August!$G$134,input!$W:$W,August!B191,input!$A:$A,August!$B$2)</f>
        <v>0</v>
      </c>
      <c r="H191" s="321">
        <f>COUNTIFS(input!$O:$O,August!$H$134,input!$W:$W,August!B191,input!$A:$A,August!$B$2)</f>
        <v>0</v>
      </c>
      <c r="I191" s="321">
        <f>COUNTIFS(input!$O:$O,August!$I$134,input!$W:$W,August!B191,input!$A:$A,August!$B$2)</f>
        <v>0</v>
      </c>
      <c r="J191" s="321">
        <f>COUNTIFS(input!$O:$O,August!$J$134,input!$W:$W,August!B191,input!$A:$A,August!$B$2)</f>
        <v>0</v>
      </c>
      <c r="K191" s="343">
        <f>COUNTIFS(input!$O:$O,August!$K$134,input!$W:$W,August!B191,input!$A:$A,August!$B$2)</f>
        <v>0</v>
      </c>
      <c r="L191" s="312">
        <f t="shared" si="44"/>
        <v>0</v>
      </c>
      <c r="M191" s="320" cm="1">
        <f t="array" ref="M191">_xlfn.IFS(L191=0,0,L191&gt;=1,L191/$L$210)</f>
        <v>0</v>
      </c>
      <c r="N191" s="995"/>
      <c r="O191" s="996"/>
      <c r="P191" s="997"/>
      <c r="Q191" s="316">
        <f>COUNTIFS(input!$O:$O,August!$Q$134,input!$X:$X,August!N191,input!$A:$A,August!$B$2)</f>
        <v>0</v>
      </c>
      <c r="R191" s="316">
        <f>COUNTIFS(input!$O:$O,August!$R$134,input!$X:$X,August!N191,input!$A:$A,August!$B$2)</f>
        <v>0</v>
      </c>
      <c r="S191" s="316">
        <f>COUNTIFS(input!$O:$O,August!$S$134,input!$X:$X,August!N191,input!$A:$A,August!$B$2)</f>
        <v>0</v>
      </c>
      <c r="T191" s="322">
        <f>COUNTIFS(input!$O:$O,August!$T$134,input!$X:$X,August!N191,input!$A:$A,August!$B$2)</f>
        <v>0</v>
      </c>
      <c r="U191" s="322">
        <f>COUNTIFS(input!$O:$O,August!$U$134,input!$X:$X,August!N191,input!$A:$A,August!$B$2)</f>
        <v>0</v>
      </c>
      <c r="V191" s="323">
        <f>COUNTIFS(input!$O:$O,August!$V$134,input!$X:$X,August!N191,input!$A:$A,August!$B$2)</f>
        <v>0</v>
      </c>
      <c r="W191" s="323">
        <f>COUNTIFS(input!$O:$O,August!$W$134,input!$X:$X,August!N191,input!$A:$A,August!$B$2)</f>
        <v>0</v>
      </c>
      <c r="X191" s="324">
        <f>COUNTIFS(input!$O:$O,August!$X$134,input!$X:$X,August!N191,input!$A:$A,August!$B$2)</f>
        <v>0</v>
      </c>
      <c r="Y191" s="312">
        <f t="shared" si="45"/>
        <v>0</v>
      </c>
      <c r="Z191" s="315" cm="1">
        <f t="array" ref="Z191">_xlfn.IFS(Y191=0,0,Y191&gt;=1,Y191/$Y$210)</f>
        <v>0</v>
      </c>
    </row>
    <row r="192" spans="2:26" ht="92" hidden="1" x14ac:dyDescent="0.25">
      <c r="B192" s="1121" t="s">
        <v>1841</v>
      </c>
      <c r="C192" s="1066"/>
      <c r="D192" s="316">
        <f>COUNTIFS(input!$O:$O,August!$D$134,input!$W:$W,August!B192,input!$A:$A,August!$B$2)</f>
        <v>0</v>
      </c>
      <c r="E192" s="316">
        <f>COUNTIFS(input!$O:$O,August!$E$134,input!$W:$W,August!B192,input!$A:$A,August!$B$2)</f>
        <v>0</v>
      </c>
      <c r="F192" s="316">
        <f>COUNTIFS(input!$O:$O,August!$F$134,input!$W:$W,August!B192,input!$A:$A,August!$B$2)</f>
        <v>0</v>
      </c>
      <c r="G192" s="322">
        <f>COUNTIFS(input!$O:$O,August!$G$134,input!$W:$W,August!B192,input!$A:$A,August!$B$2)</f>
        <v>0</v>
      </c>
      <c r="H192" s="321">
        <f>COUNTIFS(input!$O:$O,August!$H$134,input!$W:$W,August!B192,input!$A:$A,August!$B$2)</f>
        <v>0</v>
      </c>
      <c r="I192" s="321">
        <f>COUNTIFS(input!$O:$O,August!$I$134,input!$W:$W,August!B192,input!$A:$A,August!$B$2)</f>
        <v>0</v>
      </c>
      <c r="J192" s="321">
        <f>COUNTIFS(input!$O:$O,August!$J$134,input!$W:$W,August!B192,input!$A:$A,August!$B$2)</f>
        <v>0</v>
      </c>
      <c r="K192" s="343">
        <f>COUNTIFS(input!$O:$O,August!$K$134,input!$W:$W,August!B192,input!$A:$A,August!$B$2)</f>
        <v>0</v>
      </c>
      <c r="L192" s="312">
        <f t="shared" si="44"/>
        <v>0</v>
      </c>
      <c r="M192" s="320" cm="1">
        <f t="array" ref="M192">_xlfn.IFS(L192=0,0,L192&gt;=1,L192/$L$210)</f>
        <v>0</v>
      </c>
      <c r="N192" s="995"/>
      <c r="O192" s="996"/>
      <c r="P192" s="997"/>
      <c r="Q192" s="316">
        <f>COUNTIFS(input!$O:$O,August!$Q$134,input!$X:$X,August!N192,input!$A:$A,August!$B$2)</f>
        <v>0</v>
      </c>
      <c r="R192" s="316">
        <f>COUNTIFS(input!$O:$O,August!$R$134,input!$X:$X,August!N192,input!$A:$A,August!$B$2)</f>
        <v>0</v>
      </c>
      <c r="S192" s="316">
        <f>COUNTIFS(input!$O:$O,August!$S$134,input!$X:$X,August!N192,input!$A:$A,August!$B$2)</f>
        <v>0</v>
      </c>
      <c r="T192" s="322">
        <f>COUNTIFS(input!$O:$O,August!$T$134,input!$X:$X,August!N192,input!$A:$A,August!$B$2)</f>
        <v>0</v>
      </c>
      <c r="U192" s="322">
        <f>COUNTIFS(input!$O:$O,August!$U$134,input!$X:$X,August!N192,input!$A:$A,August!$B$2)</f>
        <v>0</v>
      </c>
      <c r="V192" s="323">
        <f>COUNTIFS(input!$O:$O,August!$V$134,input!$X:$X,August!N192,input!$A:$A,August!$B$2)</f>
        <v>0</v>
      </c>
      <c r="W192" s="323">
        <f>COUNTIFS(input!$O:$O,August!$W$134,input!$X:$X,August!N192,input!$A:$A,August!$B$2)</f>
        <v>0</v>
      </c>
      <c r="X192" s="324">
        <f>COUNTIFS(input!$O:$O,August!$X$134,input!$X:$X,August!N192,input!$A:$A,August!$B$2)</f>
        <v>0</v>
      </c>
      <c r="Y192" s="312">
        <f t="shared" si="45"/>
        <v>0</v>
      </c>
      <c r="Z192" s="315" cm="1">
        <f t="array" ref="Z192">_xlfn.IFS(Y192=0,0,Y192&gt;=1,Y192/$Y$210)</f>
        <v>0</v>
      </c>
    </row>
    <row r="193" spans="2:26" ht="92" x14ac:dyDescent="0.25">
      <c r="B193" s="990" t="s">
        <v>2330</v>
      </c>
      <c r="C193" s="991"/>
      <c r="D193" s="316">
        <f>COUNTIFS(input!$O:$O,August!$D$134,input!$W:$W,August!B193,input!$A:$A,August!$B$2)</f>
        <v>0</v>
      </c>
      <c r="E193" s="316">
        <f>COUNTIFS(input!$O:$O,August!$E$134,input!$W:$W,August!B193,input!$A:$A,August!$B$2)</f>
        <v>0</v>
      </c>
      <c r="F193" s="316">
        <f>COUNTIFS(input!$O:$O,August!$F$134,input!$W:$W,August!B193,input!$A:$A,August!$B$2)</f>
        <v>0</v>
      </c>
      <c r="G193" s="322">
        <f>COUNTIFS(input!$O:$O,August!$G$134,input!$W:$W,August!B193,input!$A:$A,August!$B$2)</f>
        <v>1</v>
      </c>
      <c r="H193" s="321">
        <f>COUNTIFS(input!$O:$O,August!$H$134,input!$W:$W,August!B193,input!$A:$A,August!$B$2)</f>
        <v>0</v>
      </c>
      <c r="I193" s="321">
        <f>COUNTIFS(input!$O:$O,August!$I$134,input!$W:$W,August!B193,input!$A:$A,August!$B$2)</f>
        <v>0</v>
      </c>
      <c r="J193" s="321">
        <f>COUNTIFS(input!$O:$O,August!$J$134,input!$W:$W,August!B193,input!$A:$A,August!$B$2)</f>
        <v>0</v>
      </c>
      <c r="K193" s="343">
        <f>COUNTIFS(input!$O:$O,August!$K$134,input!$W:$W,August!B193,input!$A:$A,August!$B$2)</f>
        <v>0</v>
      </c>
      <c r="L193" s="312">
        <f t="shared" ref="L193" si="46">SUM(D193:K193)</f>
        <v>1</v>
      </c>
      <c r="M193" s="320" cm="1">
        <f t="array" ref="M193">_xlfn.IFS(L193=0,0,L193&gt;=1,L193/$L$210)</f>
        <v>6.25E-2</v>
      </c>
      <c r="N193" s="995"/>
      <c r="O193" s="996"/>
      <c r="P193" s="997"/>
      <c r="Q193" s="316">
        <f>COUNTIFS(input!$O:$O,August!$Q$134,input!$X:$X,August!N193,input!$A:$A,August!$B$2)</f>
        <v>0</v>
      </c>
      <c r="R193" s="316">
        <f>COUNTIFS(input!$O:$O,August!$R$134,input!$X:$X,August!N193,input!$A:$A,August!$B$2)</f>
        <v>0</v>
      </c>
      <c r="S193" s="316">
        <f>COUNTIFS(input!$O:$O,August!$S$134,input!$X:$X,August!N193,input!$A:$A,August!$B$2)</f>
        <v>0</v>
      </c>
      <c r="T193" s="322">
        <f>COUNTIFS(input!$O:$O,August!$T$134,input!$X:$X,August!N193,input!$A:$A,August!$B$2)</f>
        <v>0</v>
      </c>
      <c r="U193" s="322">
        <f>COUNTIFS(input!$O:$O,August!$U$134,input!$X:$X,August!N193,input!$A:$A,August!$B$2)</f>
        <v>0</v>
      </c>
      <c r="V193" s="323">
        <f>COUNTIFS(input!$O:$O,August!$V$134,input!$X:$X,August!N193,input!$A:$A,August!$B$2)</f>
        <v>0</v>
      </c>
      <c r="W193" s="323">
        <f>COUNTIFS(input!$O:$O,August!$W$134,input!$X:$X,August!N193,input!$A:$A,August!$B$2)</f>
        <v>0</v>
      </c>
      <c r="X193" s="324">
        <f>COUNTIFS(input!$O:$O,August!$X$134,input!$X:$X,August!N193,input!$A:$A,August!$B$2)</f>
        <v>0</v>
      </c>
      <c r="Y193" s="312">
        <f t="shared" ref="Y193" si="47">SUM(Q193:X193)</f>
        <v>0</v>
      </c>
      <c r="Z193" s="315" cm="1">
        <f t="array" ref="Z193">_xlfn.IFS(Y193=0,0,Y193&gt;=1,Y193/$Y$210)</f>
        <v>0</v>
      </c>
    </row>
    <row r="194" spans="2:26" ht="92" x14ac:dyDescent="0.25">
      <c r="B194" s="990" t="s">
        <v>2327</v>
      </c>
      <c r="C194" s="991"/>
      <c r="D194" s="316">
        <f>COUNTIFS(input!$O:$O,August!$D$134,input!$W:$W,August!B194,input!$A:$A,August!$B$2)</f>
        <v>0</v>
      </c>
      <c r="E194" s="316">
        <f>COUNTIFS(input!$O:$O,August!$E$134,input!$W:$W,August!B194,input!$A:$A,August!$B$2)</f>
        <v>0</v>
      </c>
      <c r="F194" s="316">
        <f>COUNTIFS(input!$O:$O,August!$F$134,input!$W:$W,August!B194,input!$A:$A,August!$B$2)</f>
        <v>0</v>
      </c>
      <c r="G194" s="322">
        <f>COUNTIFS(input!$O:$O,August!$G$134,input!$W:$W,August!B194,input!$A:$A,August!$B$2)</f>
        <v>1</v>
      </c>
      <c r="H194" s="321">
        <f>COUNTIFS(input!$O:$O,August!$H$134,input!$W:$W,August!B194,input!$A:$A,August!$B$2)</f>
        <v>0</v>
      </c>
      <c r="I194" s="321">
        <f>COUNTIFS(input!$O:$O,August!$I$134,input!$W:$W,August!B194,input!$A:$A,August!$B$2)</f>
        <v>0</v>
      </c>
      <c r="J194" s="321">
        <f>COUNTIFS(input!$O:$O,August!$J$134,input!$W:$W,August!B194,input!$A:$A,August!$B$2)</f>
        <v>0</v>
      </c>
      <c r="K194" s="343">
        <f>COUNTIFS(input!$O:$O,August!$K$134,input!$W:$W,August!B194,input!$A:$A,August!$B$2)</f>
        <v>0</v>
      </c>
      <c r="L194" s="312">
        <f t="shared" ref="L194" si="48">SUM(D194:K194)</f>
        <v>1</v>
      </c>
      <c r="M194" s="320" cm="1">
        <f t="array" ref="M194">_xlfn.IFS(L194=0,0,L194&gt;=1,L194/$L$210)</f>
        <v>6.25E-2</v>
      </c>
      <c r="N194" s="995"/>
      <c r="O194" s="996"/>
      <c r="P194" s="997"/>
      <c r="Q194" s="316">
        <f>COUNTIFS(input!$O:$O,August!$Q$134,input!$X:$X,August!N194,input!$A:$A,August!$B$2)</f>
        <v>0</v>
      </c>
      <c r="R194" s="316">
        <f>COUNTIFS(input!$O:$O,August!$R$134,input!$X:$X,August!N194,input!$A:$A,August!$B$2)</f>
        <v>0</v>
      </c>
      <c r="S194" s="316">
        <f>COUNTIFS(input!$O:$O,August!$S$134,input!$X:$X,August!N194,input!$A:$A,August!$B$2)</f>
        <v>0</v>
      </c>
      <c r="T194" s="322">
        <f>COUNTIFS(input!$O:$O,August!$T$134,input!$X:$X,August!N194,input!$A:$A,August!$B$2)</f>
        <v>0</v>
      </c>
      <c r="U194" s="322">
        <f>COUNTIFS(input!$O:$O,August!$U$134,input!$X:$X,August!N194,input!$A:$A,August!$B$2)</f>
        <v>0</v>
      </c>
      <c r="V194" s="323">
        <f>COUNTIFS(input!$O:$O,August!$V$134,input!$X:$X,August!N194,input!$A:$A,August!$B$2)</f>
        <v>0</v>
      </c>
      <c r="W194" s="323">
        <f>COUNTIFS(input!$O:$O,August!$W$134,input!$X:$X,August!N194,input!$A:$A,August!$B$2)</f>
        <v>0</v>
      </c>
      <c r="X194" s="324">
        <f>COUNTIFS(input!$O:$O,August!$X$134,input!$X:$X,August!N194,input!$A:$A,August!$B$2)</f>
        <v>0</v>
      </c>
      <c r="Y194" s="312">
        <f t="shared" ref="Y194" si="49">SUM(Q194:X194)</f>
        <v>0</v>
      </c>
      <c r="Z194" s="315" cm="1">
        <f t="array" ref="Z194">_xlfn.IFS(Y194=0,0,Y194&gt;=1,Y194/$Y$210)</f>
        <v>0</v>
      </c>
    </row>
    <row r="195" spans="2:26" ht="92" hidden="1" x14ac:dyDescent="0.25">
      <c r="B195" s="1122" t="s">
        <v>863</v>
      </c>
      <c r="C195" s="997"/>
      <c r="D195" s="316">
        <f>COUNTIFS(input!$O:$O,August!$D$134,input!$W:$W,August!B195,input!$A:$A,August!$B$2)</f>
        <v>0</v>
      </c>
      <c r="E195" s="316">
        <f>COUNTIFS(input!$O:$O,August!$E$134,input!$W:$W,August!B195,input!$A:$A,August!$B$2)</f>
        <v>0</v>
      </c>
      <c r="F195" s="316">
        <f>COUNTIFS(input!$O:$O,August!$F$134,input!$W:$W,August!B195,input!$A:$A,August!$B$2)</f>
        <v>0</v>
      </c>
      <c r="G195" s="322">
        <f>COUNTIFS(input!$O:$O,August!$G$134,input!$W:$W,August!B195,input!$A:$A,August!$B$2)</f>
        <v>0</v>
      </c>
      <c r="H195" s="321">
        <f>COUNTIFS(input!$O:$O,August!$H$134,input!$W:$W,August!B195,input!$A:$A,August!$B$2)</f>
        <v>0</v>
      </c>
      <c r="I195" s="321">
        <f>COUNTIFS(input!$O:$O,August!$I$134,input!$W:$W,August!B195,input!$A:$A,August!$B$2)</f>
        <v>0</v>
      </c>
      <c r="J195" s="321">
        <f>COUNTIFS(input!$O:$O,August!$J$134,input!$W:$W,August!B195,input!$A:$A,August!$B$2)</f>
        <v>0</v>
      </c>
      <c r="K195" s="343">
        <f>COUNTIFS(input!$O:$O,August!$K$134,input!$W:$W,August!B195,input!$A:$A,August!$B$2)</f>
        <v>0</v>
      </c>
      <c r="L195" s="312">
        <f t="shared" si="44"/>
        <v>0</v>
      </c>
      <c r="M195" s="320" cm="1">
        <f t="array" ref="M195">_xlfn.IFS(L195=0,0,L195&gt;=1,L195/$L$210)</f>
        <v>0</v>
      </c>
      <c r="N195" s="995"/>
      <c r="O195" s="996"/>
      <c r="P195" s="997"/>
      <c r="Q195" s="316">
        <f>COUNTIFS(input!$O:$O,August!$Q$134,input!$X:$X,August!N195,input!$A:$A,August!$B$2)</f>
        <v>0</v>
      </c>
      <c r="R195" s="316">
        <f>COUNTIFS(input!$O:$O,August!$R$134,input!$X:$X,August!N195,input!$A:$A,August!$B$2)</f>
        <v>0</v>
      </c>
      <c r="S195" s="316">
        <f>COUNTIFS(input!$O:$O,August!$S$134,input!$X:$X,August!N195,input!$A:$A,August!$B$2)</f>
        <v>0</v>
      </c>
      <c r="T195" s="322">
        <f>COUNTIFS(input!$O:$O,August!$T$134,input!$X:$X,August!N195,input!$A:$A,August!$B$2)</f>
        <v>0</v>
      </c>
      <c r="U195" s="322">
        <f>COUNTIFS(input!$O:$O,August!$U$134,input!$X:$X,August!N195,input!$A:$A,August!$B$2)</f>
        <v>0</v>
      </c>
      <c r="V195" s="323">
        <f>COUNTIFS(input!$O:$O,August!$V$134,input!$X:$X,August!N195,input!$A:$A,August!$B$2)</f>
        <v>0</v>
      </c>
      <c r="W195" s="323">
        <f>COUNTIFS(input!$O:$O,August!$W$134,input!$X:$X,August!N195,input!$A:$A,August!$B$2)</f>
        <v>0</v>
      </c>
      <c r="X195" s="324">
        <f>COUNTIFS(input!$O:$O,August!$X$134,input!$X:$X,August!N195,input!$A:$A,August!$B$2)</f>
        <v>0</v>
      </c>
      <c r="Y195" s="312">
        <f t="shared" ref="Y195:Y205" si="50">SUM(Q195:X195)</f>
        <v>0</v>
      </c>
      <c r="Z195" s="315" cm="1">
        <f t="array" ref="Z195">_xlfn.IFS(Y195=0,0,Y195&gt;=1,Y195/$Y$210)</f>
        <v>0</v>
      </c>
    </row>
    <row r="196" spans="2:26" ht="92" x14ac:dyDescent="0.25">
      <c r="B196" s="998" t="s">
        <v>2328</v>
      </c>
      <c r="C196" s="994"/>
      <c r="D196" s="316">
        <f>COUNTIFS(input!$O:$O,August!$D$134,input!$W:$W,August!B196,input!$A:$A,August!$B$2)</f>
        <v>0</v>
      </c>
      <c r="E196" s="316">
        <f>COUNTIFS(input!$O:$O,August!$E$134,input!$W:$W,August!B196,input!$A:$A,August!$B$2)</f>
        <v>0</v>
      </c>
      <c r="F196" s="316">
        <f>COUNTIFS(input!$O:$O,August!$F$134,input!$W:$W,August!B196,input!$A:$A,August!$B$2)</f>
        <v>0</v>
      </c>
      <c r="G196" s="322">
        <f>COUNTIFS(input!$O:$O,August!$G$134,input!$W:$W,August!B196,input!$A:$A,August!$B$2)</f>
        <v>1</v>
      </c>
      <c r="H196" s="321">
        <f>COUNTIFS(input!$O:$O,August!$H$134,input!$W:$W,August!B196,input!$A:$A,August!$B$2)</f>
        <v>0</v>
      </c>
      <c r="I196" s="321">
        <f>COUNTIFS(input!$O:$O,August!$I$134,input!$W:$W,August!B196,input!$A:$A,August!$B$2)</f>
        <v>0</v>
      </c>
      <c r="J196" s="321">
        <f>COUNTIFS(input!$O:$O,August!$J$134,input!$W:$W,August!B196,input!$A:$A,August!$B$2)</f>
        <v>0</v>
      </c>
      <c r="K196" s="343">
        <f>COUNTIFS(input!$O:$O,August!$K$134,input!$W:$W,August!B196,input!$A:$A,August!$B$2)</f>
        <v>0</v>
      </c>
      <c r="L196" s="312">
        <f t="shared" ref="L196" si="51">SUM(D196:K196)</f>
        <v>1</v>
      </c>
      <c r="M196" s="320" cm="1">
        <f t="array" ref="M196">_xlfn.IFS(L196=0,0,L196&gt;=1,L196/$L$210)</f>
        <v>6.25E-2</v>
      </c>
      <c r="N196" s="382"/>
      <c r="O196" s="383"/>
      <c r="P196" s="384"/>
      <c r="Q196" s="316">
        <f>COUNTIFS(input!$O:$O,August!$Q$134,input!$X:$X,August!N196,input!$A:$A,August!$B$2)</f>
        <v>0</v>
      </c>
      <c r="R196" s="316">
        <f>COUNTIFS(input!$O:$O,August!$R$134,input!$X:$X,August!N196,input!$A:$A,August!$B$2)</f>
        <v>0</v>
      </c>
      <c r="S196" s="316">
        <f>COUNTIFS(input!$O:$O,August!$S$134,input!$X:$X,August!N196,input!$A:$A,August!$B$2)</f>
        <v>0</v>
      </c>
      <c r="T196" s="322">
        <f>COUNTIFS(input!$O:$O,August!$T$134,input!$X:$X,August!N196,input!$A:$A,August!$B$2)</f>
        <v>0</v>
      </c>
      <c r="U196" s="322">
        <f>COUNTIFS(input!$O:$O,August!$U$134,input!$X:$X,August!N196,input!$A:$A,August!$B$2)</f>
        <v>0</v>
      </c>
      <c r="V196" s="323">
        <f>COUNTIFS(input!$O:$O,August!$V$134,input!$X:$X,August!N196,input!$A:$A,August!$B$2)</f>
        <v>0</v>
      </c>
      <c r="W196" s="323">
        <f>COUNTIFS(input!$O:$O,August!$W$134,input!$X:$X,August!N196,input!$A:$A,August!$B$2)</f>
        <v>0</v>
      </c>
      <c r="X196" s="324">
        <f>COUNTIFS(input!$O:$O,August!$X$134,input!$X:$X,August!N196,input!$A:$A,August!$B$2)</f>
        <v>0</v>
      </c>
      <c r="Y196" s="312">
        <f t="shared" si="50"/>
        <v>0</v>
      </c>
      <c r="Z196" s="315" cm="1">
        <f t="array" ref="Z196">_xlfn.IFS(Y196=0,0,Y196&gt;=1,Y196/$Y$210)</f>
        <v>0</v>
      </c>
    </row>
    <row r="197" spans="2:26" ht="92" hidden="1" x14ac:dyDescent="0.25">
      <c r="B197" s="1122" t="s">
        <v>1760</v>
      </c>
      <c r="C197" s="997"/>
      <c r="D197" s="316">
        <f>COUNTIFS(input!$O:$O,August!$D$134,input!$W:$W,August!B197,input!$A:$A,August!$B$2)</f>
        <v>0</v>
      </c>
      <c r="E197" s="316">
        <f>COUNTIFS(input!$O:$O,August!$E$134,input!$W:$W,August!B197,input!$A:$A,August!$B$2)</f>
        <v>0</v>
      </c>
      <c r="F197" s="316">
        <f>COUNTIFS(input!$O:$O,August!$F$134,input!$W:$W,August!B197,input!$A:$A,August!$B$2)</f>
        <v>0</v>
      </c>
      <c r="G197" s="322">
        <f>COUNTIFS(input!$O:$O,August!$G$134,input!$W:$W,August!B197,input!$A:$A,August!$B$2)</f>
        <v>0</v>
      </c>
      <c r="H197" s="321">
        <f>COUNTIFS(input!$O:$O,August!$H$134,input!$W:$W,August!B197,input!$A:$A,August!$B$2)</f>
        <v>0</v>
      </c>
      <c r="I197" s="321">
        <f>COUNTIFS(input!$O:$O,August!$I$134,input!$W:$W,August!B197,input!$A:$A,August!$B$2)</f>
        <v>0</v>
      </c>
      <c r="J197" s="321">
        <f>COUNTIFS(input!$O:$O,August!$J$134,input!$W:$W,August!B197,input!$A:$A,August!$B$2)</f>
        <v>0</v>
      </c>
      <c r="K197" s="343">
        <f>COUNTIFS(input!$O:$O,August!$K$134,input!$W:$W,August!B197,input!$A:$A,August!$B$2)</f>
        <v>0</v>
      </c>
      <c r="L197" s="312">
        <f t="shared" si="44"/>
        <v>0</v>
      </c>
      <c r="M197" s="320" cm="1">
        <f t="array" ref="M197">_xlfn.IFS(L197=0,0,L197&gt;=1,L197/$L$210)</f>
        <v>0</v>
      </c>
      <c r="N197" s="995"/>
      <c r="O197" s="996"/>
      <c r="P197" s="997"/>
      <c r="Q197" s="316">
        <f>COUNTIFS(input!$O:$O,August!$Q$134,input!$X:$X,August!N197,input!$A:$A,August!$B$2)</f>
        <v>0</v>
      </c>
      <c r="R197" s="316">
        <f>COUNTIFS(input!$O:$O,August!$R$134,input!$X:$X,August!N197,input!$A:$A,August!$B$2)</f>
        <v>0</v>
      </c>
      <c r="S197" s="316">
        <f>COUNTIFS(input!$O:$O,August!$S$134,input!$X:$X,August!N197,input!$A:$A,August!$B$2)</f>
        <v>0</v>
      </c>
      <c r="T197" s="322">
        <f>COUNTIFS(input!$O:$O,August!$T$134,input!$X:$X,August!N197,input!$A:$A,August!$B$2)</f>
        <v>0</v>
      </c>
      <c r="U197" s="322">
        <f>COUNTIFS(input!$O:$O,August!$U$134,input!$X:$X,August!N197,input!$A:$A,August!$B$2)</f>
        <v>0</v>
      </c>
      <c r="V197" s="323">
        <f>COUNTIFS(input!$O:$O,August!$V$134,input!$X:$X,August!N197,input!$A:$A,August!$B$2)</f>
        <v>0</v>
      </c>
      <c r="W197" s="323">
        <f>COUNTIFS(input!$O:$O,August!$W$134,input!$X:$X,August!N197,input!$A:$A,August!$B$2)</f>
        <v>0</v>
      </c>
      <c r="X197" s="324">
        <f>COUNTIFS(input!$O:$O,August!$X$134,input!$X:$X,August!N197,input!$A:$A,August!$B$2)</f>
        <v>0</v>
      </c>
      <c r="Y197" s="312">
        <f t="shared" si="50"/>
        <v>0</v>
      </c>
      <c r="Z197" s="315" cm="1">
        <f t="array" ref="Z197">_xlfn.IFS(Y197=0,0,Y197&gt;=1,Y197/$Y$210)</f>
        <v>0</v>
      </c>
    </row>
    <row r="198" spans="2:26" ht="92" hidden="1" x14ac:dyDescent="0.25">
      <c r="B198" s="1122" t="s">
        <v>1894</v>
      </c>
      <c r="C198" s="997"/>
      <c r="D198" s="316">
        <f>COUNTIFS(input!$O:$O,August!$D$134,input!$W:$W,August!B198,input!$A:$A,August!$B$2)</f>
        <v>0</v>
      </c>
      <c r="E198" s="316">
        <f>COUNTIFS(input!$O:$O,August!$E$134,input!$W:$W,August!B198,input!$A:$A,August!$B$2)</f>
        <v>0</v>
      </c>
      <c r="F198" s="316">
        <f>COUNTIFS(input!$O:$O,August!$F$134,input!$W:$W,August!B198,input!$A:$A,August!$B$2)</f>
        <v>0</v>
      </c>
      <c r="G198" s="322">
        <f>COUNTIFS(input!$O:$O,August!$G$134,input!$W:$W,August!B198,input!$A:$A,August!$B$2)</f>
        <v>0</v>
      </c>
      <c r="H198" s="321">
        <f>COUNTIFS(input!$O:$O,August!$H$134,input!$W:$W,August!B198,input!$A:$A,August!$B$2)</f>
        <v>0</v>
      </c>
      <c r="I198" s="321">
        <f>COUNTIFS(input!$O:$O,August!$I$134,input!$W:$W,August!B198,input!$A:$A,August!$B$2)</f>
        <v>0</v>
      </c>
      <c r="J198" s="321">
        <f>COUNTIFS(input!$O:$O,August!$J$134,input!$W:$W,August!B198,input!$A:$A,August!$B$2)</f>
        <v>0</v>
      </c>
      <c r="K198" s="343">
        <f>COUNTIFS(input!$O:$O,August!$K$134,input!$W:$W,August!B198,input!$A:$A,August!$B$2)</f>
        <v>0</v>
      </c>
      <c r="L198" s="312">
        <f t="shared" si="44"/>
        <v>0</v>
      </c>
      <c r="M198" s="320" cm="1">
        <f t="array" ref="M198">_xlfn.IFS(L198=0,0,L198&gt;=1,L198/$L$210)</f>
        <v>0</v>
      </c>
      <c r="N198" s="995"/>
      <c r="O198" s="996"/>
      <c r="P198" s="997"/>
      <c r="Q198" s="316">
        <f>COUNTIFS(input!$O:$O,August!$Q$134,input!$X:$X,August!N198,input!$A:$A,August!$B$2)</f>
        <v>0</v>
      </c>
      <c r="R198" s="316">
        <f>COUNTIFS(input!$O:$O,August!$R$134,input!$X:$X,August!N198,input!$A:$A,August!$B$2)</f>
        <v>0</v>
      </c>
      <c r="S198" s="316">
        <f>COUNTIFS(input!$O:$O,August!$S$134,input!$X:$X,August!N198,input!$A:$A,August!$B$2)</f>
        <v>0</v>
      </c>
      <c r="T198" s="322">
        <f>COUNTIFS(input!$O:$O,August!$T$134,input!$X:$X,August!N198,input!$A:$A,August!$B$2)</f>
        <v>0</v>
      </c>
      <c r="U198" s="322">
        <f>COUNTIFS(input!$O:$O,August!$U$134,input!$X:$X,August!N198,input!$A:$A,August!$B$2)</f>
        <v>0</v>
      </c>
      <c r="V198" s="323">
        <f>COUNTIFS(input!$O:$O,August!$V$134,input!$X:$X,August!N198,input!$A:$A,August!$B$2)</f>
        <v>0</v>
      </c>
      <c r="W198" s="323">
        <f>COUNTIFS(input!$O:$O,August!$W$134,input!$X:$X,August!N198,input!$A:$A,August!$B$2)</f>
        <v>0</v>
      </c>
      <c r="X198" s="324">
        <f>COUNTIFS(input!$O:$O,August!$X$134,input!$X:$X,August!N198,input!$A:$A,August!$B$2)</f>
        <v>0</v>
      </c>
      <c r="Y198" s="312">
        <f t="shared" si="50"/>
        <v>0</v>
      </c>
      <c r="Z198" s="315" cm="1">
        <f t="array" ref="Z198">_xlfn.IFS(Y198=0,0,Y198&gt;=1,Y198/$Y$210)</f>
        <v>0</v>
      </c>
    </row>
    <row r="199" spans="2:26" ht="92" hidden="1" x14ac:dyDescent="0.25">
      <c r="B199" s="1122" t="s">
        <v>1780</v>
      </c>
      <c r="C199" s="997"/>
      <c r="D199" s="316">
        <f>COUNTIFS(input!$O:$O,August!$D$134,input!$W:$W,August!B199,input!$A:$A,August!$B$2)</f>
        <v>0</v>
      </c>
      <c r="E199" s="316">
        <f>COUNTIFS(input!$O:$O,August!$E$134,input!$W:$W,August!B199,input!$A:$A,August!$B$2)</f>
        <v>0</v>
      </c>
      <c r="F199" s="316">
        <f>COUNTIFS(input!$O:$O,August!$F$134,input!$W:$W,August!B199,input!$A:$A,August!$B$2)</f>
        <v>0</v>
      </c>
      <c r="G199" s="322">
        <f>COUNTIFS(input!$O:$O,August!$G$134,input!$W:$W,August!B199,input!$A:$A,August!$B$2)</f>
        <v>0</v>
      </c>
      <c r="H199" s="321">
        <f>COUNTIFS(input!$O:$O,August!$H$134,input!$W:$W,August!B199,input!$A:$A,August!$B$2)</f>
        <v>0</v>
      </c>
      <c r="I199" s="321">
        <f>COUNTIFS(input!$O:$O,August!$I$134,input!$W:$W,August!B199,input!$A:$A,August!$B$2)</f>
        <v>0</v>
      </c>
      <c r="J199" s="321">
        <f>COUNTIFS(input!$O:$O,August!$J$134,input!$W:$W,August!B199,input!$A:$A,August!$B$2)</f>
        <v>0</v>
      </c>
      <c r="K199" s="343">
        <f>COUNTIFS(input!$O:$O,August!$K$134,input!$W:$W,August!B199,input!$A:$A,August!$B$2)</f>
        <v>0</v>
      </c>
      <c r="L199" s="312">
        <f t="shared" si="44"/>
        <v>0</v>
      </c>
      <c r="M199" s="320" cm="1">
        <f t="array" ref="M199">_xlfn.IFS(L199=0,0,L199&gt;=1,L199/$L$210)</f>
        <v>0</v>
      </c>
      <c r="N199" s="995"/>
      <c r="O199" s="996"/>
      <c r="P199" s="997"/>
      <c r="Q199" s="316">
        <f>COUNTIFS(input!$O:$O,August!$Q$134,input!$X:$X,August!N199,input!$A:$A,August!$B$2)</f>
        <v>0</v>
      </c>
      <c r="R199" s="316">
        <f>COUNTIFS(input!$O:$O,August!$R$134,input!$X:$X,August!N199,input!$A:$A,August!$B$2)</f>
        <v>0</v>
      </c>
      <c r="S199" s="316">
        <f>COUNTIFS(input!$O:$O,August!$S$134,input!$X:$X,August!N199,input!$A:$A,August!$B$2)</f>
        <v>0</v>
      </c>
      <c r="T199" s="322">
        <f>COUNTIFS(input!$O:$O,August!$T$134,input!$X:$X,August!N199,input!$A:$A,August!$B$2)</f>
        <v>0</v>
      </c>
      <c r="U199" s="322">
        <f>COUNTIFS(input!$O:$O,August!$U$134,input!$X:$X,August!N199,input!$A:$A,August!$B$2)</f>
        <v>0</v>
      </c>
      <c r="V199" s="323">
        <f>COUNTIFS(input!$O:$O,August!$V$134,input!$X:$X,August!N199,input!$A:$A,August!$B$2)</f>
        <v>0</v>
      </c>
      <c r="W199" s="323">
        <f>COUNTIFS(input!$O:$O,August!$W$134,input!$X:$X,August!N199,input!$A:$A,August!$B$2)</f>
        <v>0</v>
      </c>
      <c r="X199" s="324">
        <f>COUNTIFS(input!$O:$O,August!$X$134,input!$X:$X,August!N199,input!$A:$A,August!$B$2)</f>
        <v>0</v>
      </c>
      <c r="Y199" s="312">
        <f t="shared" si="50"/>
        <v>0</v>
      </c>
      <c r="Z199" s="315" cm="1">
        <f t="array" ref="Z199">_xlfn.IFS(Y199=0,0,Y199&gt;=1,Y199/$Y$210)</f>
        <v>0</v>
      </c>
    </row>
    <row r="200" spans="2:26" ht="92" hidden="1" x14ac:dyDescent="0.25">
      <c r="B200" s="1122" t="s">
        <v>2161</v>
      </c>
      <c r="C200" s="997"/>
      <c r="D200" s="316">
        <f>COUNTIFS(input!$O:$O,August!$D$134,input!$W:$W,August!B200,input!$A:$A,August!$B$2)</f>
        <v>0</v>
      </c>
      <c r="E200" s="316">
        <f>COUNTIFS(input!$O:$O,August!$E$134,input!$W:$W,August!B200,input!$A:$A,August!$B$2)</f>
        <v>0</v>
      </c>
      <c r="F200" s="316">
        <f>COUNTIFS(input!$O:$O,August!$F$134,input!$W:$W,August!B200,input!$A:$A,August!$B$2)</f>
        <v>0</v>
      </c>
      <c r="G200" s="322">
        <f>COUNTIFS(input!$O:$O,August!$G$134,input!$W:$W,August!B200,input!$A:$A,August!$B$2)</f>
        <v>0</v>
      </c>
      <c r="H200" s="321">
        <f>COUNTIFS(input!$O:$O,August!$H$134,input!$W:$W,August!B200,input!$A:$A,August!$B$2)</f>
        <v>0</v>
      </c>
      <c r="I200" s="321">
        <f>COUNTIFS(input!$O:$O,August!$I$134,input!$W:$W,August!B200,input!$A:$A,August!$B$2)</f>
        <v>0</v>
      </c>
      <c r="J200" s="321">
        <f>COUNTIFS(input!$O:$O,August!$J$134,input!$W:$W,August!B200,input!$A:$A,August!$B$2)</f>
        <v>0</v>
      </c>
      <c r="K200" s="343">
        <f>COUNTIFS(input!$O:$O,August!$K$134,input!$W:$W,August!B200,input!$A:$A,August!$B$2)</f>
        <v>0</v>
      </c>
      <c r="L200" s="312">
        <f t="shared" si="44"/>
        <v>0</v>
      </c>
      <c r="M200" s="320" cm="1">
        <f t="array" ref="M200">_xlfn.IFS(L200=0,0,L200&gt;=1,L200/$L$210)</f>
        <v>0</v>
      </c>
      <c r="N200" s="995"/>
      <c r="O200" s="996"/>
      <c r="P200" s="997"/>
      <c r="Q200" s="316">
        <f>COUNTIFS(input!$O:$O,August!$Q$134,input!$X:$X,August!N200,input!$A:$A,August!$B$2)</f>
        <v>0</v>
      </c>
      <c r="R200" s="316">
        <f>COUNTIFS(input!$O:$O,August!$R$134,input!$X:$X,August!N200,input!$A:$A,August!$B$2)</f>
        <v>0</v>
      </c>
      <c r="S200" s="316">
        <f>COUNTIFS(input!$O:$O,August!$S$134,input!$X:$X,August!N200,input!$A:$A,August!$B$2)</f>
        <v>0</v>
      </c>
      <c r="T200" s="322">
        <f>COUNTIFS(input!$O:$O,August!$T$134,input!$X:$X,August!N200,input!$A:$A,August!$B$2)</f>
        <v>0</v>
      </c>
      <c r="U200" s="322">
        <f>COUNTIFS(input!$O:$O,August!$U$134,input!$X:$X,August!N200,input!$A:$A,August!$B$2)</f>
        <v>0</v>
      </c>
      <c r="V200" s="323">
        <f>COUNTIFS(input!$O:$O,August!$V$134,input!$X:$X,August!N200,input!$A:$A,August!$B$2)</f>
        <v>0</v>
      </c>
      <c r="W200" s="323">
        <f>COUNTIFS(input!$O:$O,August!$W$134,input!$X:$X,August!N200,input!$A:$A,August!$B$2)</f>
        <v>0</v>
      </c>
      <c r="X200" s="324">
        <f>COUNTIFS(input!$O:$O,August!$X$134,input!$X:$X,August!N200,input!$A:$A,August!$B$2)</f>
        <v>0</v>
      </c>
      <c r="Y200" s="312">
        <f t="shared" si="50"/>
        <v>0</v>
      </c>
      <c r="Z200" s="315" cm="1">
        <f t="array" ref="Z200">_xlfn.IFS(Y200=0,0,Y200&gt;=1,Y200/$Y$210)</f>
        <v>0</v>
      </c>
    </row>
    <row r="201" spans="2:26" ht="92" hidden="1" x14ac:dyDescent="0.25">
      <c r="B201" s="1122" t="s">
        <v>2063</v>
      </c>
      <c r="C201" s="997"/>
      <c r="D201" s="316">
        <f>COUNTIFS(input!$O:$O,August!$D$134,input!$W:$W,August!B201,input!$A:$A,August!$B$2)</f>
        <v>0</v>
      </c>
      <c r="E201" s="316">
        <f>COUNTIFS(input!$O:$O,August!$E$134,input!$W:$W,August!B201,input!$A:$A,August!$B$2)</f>
        <v>0</v>
      </c>
      <c r="F201" s="316">
        <f>COUNTIFS(input!$O:$O,August!$F$134,input!$W:$W,August!B201,input!$A:$A,August!$B$2)</f>
        <v>0</v>
      </c>
      <c r="G201" s="322">
        <f>COUNTIFS(input!$O:$O,August!$G$134,input!$W:$W,August!B201,input!$A:$A,August!$B$2)</f>
        <v>0</v>
      </c>
      <c r="H201" s="321">
        <f>COUNTIFS(input!$O:$O,August!$H$134,input!$W:$W,August!B201,input!$A:$A,August!$B$2)</f>
        <v>0</v>
      </c>
      <c r="I201" s="321">
        <f>COUNTIFS(input!$O:$O,August!$I$134,input!$W:$W,August!B201,input!$A:$A,August!$B$2)</f>
        <v>0</v>
      </c>
      <c r="J201" s="321">
        <f>COUNTIFS(input!$O:$O,August!$J$134,input!$W:$W,August!B201,input!$A:$A,August!$B$2)</f>
        <v>0</v>
      </c>
      <c r="K201" s="343">
        <f>COUNTIFS(input!$O:$O,August!$K$134,input!$W:$W,August!B201,input!$A:$A,August!$B$2)</f>
        <v>0</v>
      </c>
      <c r="L201" s="312">
        <f>SUM(D201:K201)</f>
        <v>0</v>
      </c>
      <c r="M201" s="320" cm="1">
        <f t="array" ref="M201">_xlfn.IFS(L201=0,0,L201&gt;=1,L201/$L$210)</f>
        <v>0</v>
      </c>
      <c r="N201" s="995"/>
      <c r="O201" s="996"/>
      <c r="P201" s="997"/>
      <c r="Q201" s="316">
        <f>COUNTIFS(input!$O:$O,August!$Q$134,input!$X:$X,August!N201,input!$A:$A,August!$B$2)</f>
        <v>0</v>
      </c>
      <c r="R201" s="316">
        <f>COUNTIFS(input!$O:$O,August!$R$134,input!$X:$X,August!N201,input!$A:$A,August!$B$2)</f>
        <v>0</v>
      </c>
      <c r="S201" s="316">
        <f>COUNTIFS(input!$O:$O,August!$S$134,input!$X:$X,August!N201,input!$A:$A,August!$B$2)</f>
        <v>0</v>
      </c>
      <c r="T201" s="322">
        <f>COUNTIFS(input!$O:$O,August!$T$134,input!$X:$X,August!N201,input!$A:$A,August!$B$2)</f>
        <v>0</v>
      </c>
      <c r="U201" s="322">
        <f>COUNTIFS(input!$O:$O,August!$U$134,input!$X:$X,August!N201,input!$A:$A,August!$B$2)</f>
        <v>0</v>
      </c>
      <c r="V201" s="323">
        <f>COUNTIFS(input!$O:$O,August!$V$134,input!$X:$X,August!N201,input!$A:$A,August!$B$2)</f>
        <v>0</v>
      </c>
      <c r="W201" s="323">
        <f>COUNTIFS(input!$O:$O,August!$W$134,input!$X:$X,August!N201,input!$A:$A,August!$B$2)</f>
        <v>0</v>
      </c>
      <c r="X201" s="324">
        <f>COUNTIFS(input!$O:$O,August!$X$134,input!$X:$X,August!N201,input!$A:$A,August!$B$2)</f>
        <v>0</v>
      </c>
      <c r="Y201" s="312">
        <f t="shared" si="50"/>
        <v>0</v>
      </c>
      <c r="Z201" s="315" cm="1">
        <f t="array" ref="Z201">_xlfn.IFS(Y201=0,0,Y201&gt;=1,Y201/$Y$210)</f>
        <v>0</v>
      </c>
    </row>
    <row r="202" spans="2:26" ht="92" hidden="1" x14ac:dyDescent="0.25">
      <c r="B202" s="1122" t="s">
        <v>1836</v>
      </c>
      <c r="C202" s="997"/>
      <c r="D202" s="316">
        <f>COUNTIFS(input!$O:$O,August!$D$134,input!$W:$W,August!B202,input!$A:$A,August!$B$2)</f>
        <v>0</v>
      </c>
      <c r="E202" s="316">
        <f>COUNTIFS(input!$O:$O,August!$E$134,input!$W:$W,August!B202,input!$A:$A,August!$B$2)</f>
        <v>0</v>
      </c>
      <c r="F202" s="316">
        <f>COUNTIFS(input!$O:$O,August!$F$134,input!$W:$W,August!B202,input!$A:$A,August!$B$2)</f>
        <v>0</v>
      </c>
      <c r="G202" s="322">
        <f>COUNTIFS(input!$O:$O,August!$G$134,input!$W:$W,August!B202,input!$A:$A,August!$B$2)</f>
        <v>0</v>
      </c>
      <c r="H202" s="321">
        <f>COUNTIFS(input!$O:$O,August!$H$134,input!$W:$W,August!B202,input!$A:$A,August!$B$2)</f>
        <v>0</v>
      </c>
      <c r="I202" s="321">
        <f>COUNTIFS(input!$O:$O,August!$I$134,input!$W:$W,August!B202,input!$A:$A,August!$B$2)</f>
        <v>0</v>
      </c>
      <c r="J202" s="321">
        <f>COUNTIFS(input!$O:$O,August!$J$134,input!$W:$W,August!B202,input!$A:$A,August!$B$2)</f>
        <v>0</v>
      </c>
      <c r="K202" s="343">
        <f>COUNTIFS(input!$O:$O,August!$K$134,input!$W:$W,August!B202,input!$A:$A,August!$B$2)</f>
        <v>0</v>
      </c>
      <c r="L202" s="312">
        <f t="shared" ref="L202" si="52">SUM(D202:K202)</f>
        <v>0</v>
      </c>
      <c r="M202" s="320" cm="1">
        <f t="array" ref="M202">_xlfn.IFS(L202=0,0,L202&gt;=1,L202/$L$210)</f>
        <v>0</v>
      </c>
      <c r="N202" s="995"/>
      <c r="O202" s="996"/>
      <c r="P202" s="997"/>
      <c r="Q202" s="316">
        <f>COUNTIFS(input!$O:$O,August!$Q$134,input!$X:$X,August!N202,input!$A:$A,August!$B$2)</f>
        <v>0</v>
      </c>
      <c r="R202" s="316">
        <f>COUNTIFS(input!$O:$O,August!$R$134,input!$X:$X,August!N202,input!$A:$A,August!$B$2)</f>
        <v>0</v>
      </c>
      <c r="S202" s="316">
        <f>COUNTIFS(input!$O:$O,August!$S$134,input!$X:$X,August!N202,input!$A:$A,August!$B$2)</f>
        <v>0</v>
      </c>
      <c r="T202" s="322">
        <f>COUNTIFS(input!$O:$O,August!$T$134,input!$X:$X,August!N202,input!$A:$A,August!$B$2)</f>
        <v>0</v>
      </c>
      <c r="U202" s="322">
        <f>COUNTIFS(input!$O:$O,August!$U$134,input!$X:$X,August!N202,input!$A:$A,August!$B$2)</f>
        <v>0</v>
      </c>
      <c r="V202" s="323">
        <f>COUNTIFS(input!$O:$O,August!$V$134,input!$X:$X,August!N202,input!$A:$A,August!$B$2)</f>
        <v>0</v>
      </c>
      <c r="W202" s="323">
        <f>COUNTIFS(input!$O:$O,August!$W$134,input!$X:$X,August!N202,input!$A:$A,August!$B$2)</f>
        <v>0</v>
      </c>
      <c r="X202" s="324">
        <f>COUNTIFS(input!$O:$O,August!$X$134,input!$X:$X,August!N202,input!$A:$A,August!$B$2)</f>
        <v>0</v>
      </c>
      <c r="Y202" s="312">
        <f t="shared" si="50"/>
        <v>0</v>
      </c>
      <c r="Z202" s="315" cm="1">
        <f t="array" ref="Z202">_xlfn.IFS(Y202=0,0,Y202&gt;=1,Y202/$Y$210)</f>
        <v>0</v>
      </c>
    </row>
    <row r="203" spans="2:26" ht="92" hidden="1" x14ac:dyDescent="0.25">
      <c r="B203" s="1122" t="s">
        <v>2160</v>
      </c>
      <c r="C203" s="997"/>
      <c r="D203" s="316">
        <f>COUNTIFS(input!$O:$O,August!$D$134,input!$W:$W,August!B203,input!$A:$A,August!$B$2)</f>
        <v>0</v>
      </c>
      <c r="E203" s="316">
        <f>COUNTIFS(input!$O:$O,August!$E$134,input!$W:$W,August!B203,input!$A:$A,August!$B$2)</f>
        <v>0</v>
      </c>
      <c r="F203" s="316">
        <f>COUNTIFS(input!$O:$O,August!$F$134,input!$W:$W,August!B203,input!$A:$A,August!$B$2)</f>
        <v>0</v>
      </c>
      <c r="G203" s="322">
        <f>COUNTIFS(input!$O:$O,August!$G$134,input!$W:$W,August!B203,input!$A:$A,August!$B$2)</f>
        <v>0</v>
      </c>
      <c r="H203" s="321">
        <f>COUNTIFS(input!$O:$O,August!$H$134,input!$W:$W,August!B203,input!$A:$A,August!$B$2)</f>
        <v>0</v>
      </c>
      <c r="I203" s="321">
        <f>COUNTIFS(input!$O:$O,August!$I$134,input!$W:$W,August!B203,input!$A:$A,August!$B$2)</f>
        <v>0</v>
      </c>
      <c r="J203" s="321">
        <f>COUNTIFS(input!$O:$O,August!$J$134,input!$W:$W,August!B203,input!$A:$A,August!$B$2)</f>
        <v>0</v>
      </c>
      <c r="K203" s="343">
        <f>COUNTIFS(input!$O:$O,August!$K$134,input!$W:$W,August!B203,input!$A:$A,August!$B$2)</f>
        <v>0</v>
      </c>
      <c r="L203" s="312">
        <f>SUM(D203:K203)</f>
        <v>0</v>
      </c>
      <c r="M203" s="320" cm="1">
        <f t="array" ref="M203">_xlfn.IFS(L203=0,0,L203&gt;=1,L203/$L$210)</f>
        <v>0</v>
      </c>
      <c r="N203" s="995"/>
      <c r="O203" s="996"/>
      <c r="P203" s="997"/>
      <c r="Q203" s="316">
        <f>COUNTIFS(input!$O:$O,August!$Q$134,input!$X:$X,August!N203,input!$A:$A,August!$B$2)</f>
        <v>0</v>
      </c>
      <c r="R203" s="316">
        <f>COUNTIFS(input!$O:$O,August!$R$134,input!$X:$X,August!N203,input!$A:$A,August!$B$2)</f>
        <v>0</v>
      </c>
      <c r="S203" s="316">
        <f>COUNTIFS(input!$O:$O,August!$S$134,input!$X:$X,August!N203,input!$A:$A,August!$B$2)</f>
        <v>0</v>
      </c>
      <c r="T203" s="322">
        <f>COUNTIFS(input!$O:$O,August!$T$134,input!$X:$X,August!N203,input!$A:$A,August!$B$2)</f>
        <v>0</v>
      </c>
      <c r="U203" s="322">
        <f>COUNTIFS(input!$O:$O,August!$U$134,input!$X:$X,August!N203,input!$A:$A,August!$B$2)</f>
        <v>0</v>
      </c>
      <c r="V203" s="323">
        <f>COUNTIFS(input!$O:$O,August!$V$134,input!$X:$X,August!N203,input!$A:$A,August!$B$2)</f>
        <v>0</v>
      </c>
      <c r="W203" s="323">
        <f>COUNTIFS(input!$O:$O,August!$W$134,input!$X:$X,August!N203,input!$A:$A,August!$B$2)</f>
        <v>0</v>
      </c>
      <c r="X203" s="324">
        <f>COUNTIFS(input!$O:$O,August!$X$134,input!$X:$X,August!N203,input!$A:$A,August!$B$2)</f>
        <v>0</v>
      </c>
      <c r="Y203" s="312">
        <f t="shared" si="50"/>
        <v>0</v>
      </c>
      <c r="Z203" s="315" cm="1">
        <f t="array" ref="Z203">_xlfn.IFS(Y203=0,0,Y203&gt;=1,Y203/$Y$210)</f>
        <v>0</v>
      </c>
    </row>
    <row r="204" spans="2:26" ht="92" hidden="1" x14ac:dyDescent="0.25">
      <c r="B204" s="1122" t="s">
        <v>2164</v>
      </c>
      <c r="C204" s="997"/>
      <c r="D204" s="316">
        <f>COUNTIFS(input!$O:$O,August!$D$134,input!$W:$W,August!B204,input!$A:$A,August!$B$2)</f>
        <v>0</v>
      </c>
      <c r="E204" s="316">
        <f>COUNTIFS(input!$O:$O,August!$E$134,input!$W:$W,August!B204,input!$A:$A,August!$B$2)</f>
        <v>0</v>
      </c>
      <c r="F204" s="316">
        <f>COUNTIFS(input!$O:$O,August!$F$134,input!$W:$W,August!B204,input!$A:$A,August!$B$2)</f>
        <v>0</v>
      </c>
      <c r="G204" s="322">
        <f>COUNTIFS(input!$O:$O,August!$G$134,input!$W:$W,August!B204,input!$A:$A,August!$B$2)</f>
        <v>0</v>
      </c>
      <c r="H204" s="321">
        <f>COUNTIFS(input!$O:$O,August!$H$134,input!$W:$W,August!B204,input!$A:$A,August!$B$2)</f>
        <v>0</v>
      </c>
      <c r="I204" s="321">
        <f>COUNTIFS(input!$O:$O,August!$I$134,input!$W:$W,August!B204,input!$A:$A,August!$B$2)</f>
        <v>0</v>
      </c>
      <c r="J204" s="321">
        <f>COUNTIFS(input!$O:$O,August!$J$134,input!$W:$W,August!B204,input!$A:$A,August!$B$2)</f>
        <v>0</v>
      </c>
      <c r="K204" s="343">
        <f>COUNTIFS(input!$O:$O,August!$K$134,input!$W:$W,August!B204,input!$A:$A,August!$B$2)</f>
        <v>0</v>
      </c>
      <c r="L204" s="312">
        <f>SUM(D204:K204)</f>
        <v>0</v>
      </c>
      <c r="M204" s="320" cm="1">
        <f t="array" ref="M204">_xlfn.IFS(L204=0,0,L204&gt;=1,L204/$L$210)</f>
        <v>0</v>
      </c>
      <c r="N204" s="995"/>
      <c r="O204" s="996"/>
      <c r="P204" s="997"/>
      <c r="Q204" s="316">
        <f>COUNTIFS(input!$O:$O,August!$Q$134,input!$X:$X,August!N204,input!$A:$A,August!$B$2)</f>
        <v>0</v>
      </c>
      <c r="R204" s="316">
        <f>COUNTIFS(input!$O:$O,August!$R$134,input!$X:$X,August!N204,input!$A:$A,August!$B$2)</f>
        <v>0</v>
      </c>
      <c r="S204" s="316">
        <f>COUNTIFS(input!$O:$O,August!$S$134,input!$X:$X,August!N204,input!$A:$A,August!$B$2)</f>
        <v>0</v>
      </c>
      <c r="T204" s="322">
        <f>COUNTIFS(input!$O:$O,August!$T$134,input!$X:$X,August!N204,input!$A:$A,August!$B$2)</f>
        <v>0</v>
      </c>
      <c r="U204" s="322">
        <f>COUNTIFS(input!$O:$O,August!$U$134,input!$X:$X,August!N204,input!$A:$A,August!$B$2)</f>
        <v>0</v>
      </c>
      <c r="V204" s="323">
        <f>COUNTIFS(input!$O:$O,August!$V$134,input!$X:$X,August!N204,input!$A:$A,August!$B$2)</f>
        <v>0</v>
      </c>
      <c r="W204" s="323">
        <f>COUNTIFS(input!$O:$O,August!$W$134,input!$X:$X,August!N204,input!$A:$A,August!$B$2)</f>
        <v>0</v>
      </c>
      <c r="X204" s="324">
        <f>COUNTIFS(input!$O:$O,August!$X$134,input!$X:$X,August!N204,input!$A:$A,August!$B$2)</f>
        <v>0</v>
      </c>
      <c r="Y204" s="312">
        <f t="shared" si="50"/>
        <v>0</v>
      </c>
      <c r="Z204" s="315" cm="1">
        <f t="array" ref="Z204">_xlfn.IFS(Y204=0,0,Y204&gt;=1,Y204/$Y$210)</f>
        <v>0</v>
      </c>
    </row>
    <row r="205" spans="2:26" ht="92" x14ac:dyDescent="0.25">
      <c r="B205" s="990" t="s">
        <v>2329</v>
      </c>
      <c r="C205" s="991"/>
      <c r="D205" s="316">
        <f>COUNTIFS(input!$O:$O,August!$D$134,input!$W:$W,August!B205,input!$A:$A,August!$B$2)</f>
        <v>0</v>
      </c>
      <c r="E205" s="316">
        <f>COUNTIFS(input!$O:$O,August!$E$134,input!$W:$W,August!B205,input!$A:$A,August!$B$2)</f>
        <v>0</v>
      </c>
      <c r="F205" s="316">
        <f>COUNTIFS(input!$O:$O,August!$F$134,input!$W:$W,August!B205,input!$A:$A,August!$B$2)</f>
        <v>0</v>
      </c>
      <c r="G205" s="322">
        <f>COUNTIFS(input!$O:$O,August!$G$134,input!$W:$W,August!B205,input!$A:$A,August!$B$2)</f>
        <v>0</v>
      </c>
      <c r="H205" s="321">
        <f>COUNTIFS(input!$O:$O,August!$H$134,input!$W:$W,August!B205,input!$A:$A,August!$B$2)</f>
        <v>0</v>
      </c>
      <c r="I205" s="321">
        <f>COUNTIFS(input!$O:$O,August!$I$134,input!$W:$W,August!B205,input!$A:$A,August!$B$2)</f>
        <v>0</v>
      </c>
      <c r="J205" s="321">
        <f>COUNTIFS(input!$O:$O,August!$J$134,input!$W:$W,August!B205,input!$A:$A,August!$B$2)</f>
        <v>1</v>
      </c>
      <c r="K205" s="343">
        <f>COUNTIFS(input!$O:$O,August!$K$134,input!$W:$W,August!B205,input!$A:$A,August!$B$2)</f>
        <v>0</v>
      </c>
      <c r="L205" s="312">
        <f t="shared" ref="L205" si="53">SUM(D205:K205)</f>
        <v>1</v>
      </c>
      <c r="M205" s="320" cm="1">
        <f t="array" ref="M205">_xlfn.IFS(L205=0,0,L205&gt;=1,L205/$L$210)</f>
        <v>6.25E-2</v>
      </c>
      <c r="N205" s="382"/>
      <c r="O205" s="383"/>
      <c r="P205" s="384"/>
      <c r="Q205" s="316">
        <f>COUNTIFS(input!$O:$O,August!$Q$134,input!$X:$X,August!N205,input!$A:$A,August!$B$2)</f>
        <v>0</v>
      </c>
      <c r="R205" s="316">
        <f>COUNTIFS(input!$O:$O,August!$R$134,input!$X:$X,August!N205,input!$A:$A,August!$B$2)</f>
        <v>0</v>
      </c>
      <c r="S205" s="316">
        <f>COUNTIFS(input!$O:$O,August!$S$134,input!$X:$X,August!N205,input!$A:$A,August!$B$2)</f>
        <v>0</v>
      </c>
      <c r="T205" s="322">
        <f>COUNTIFS(input!$O:$O,August!$T$134,input!$X:$X,August!N205,input!$A:$A,August!$B$2)</f>
        <v>0</v>
      </c>
      <c r="U205" s="322">
        <f>COUNTIFS(input!$O:$O,August!$U$134,input!$X:$X,August!N205,input!$A:$A,August!$B$2)</f>
        <v>0</v>
      </c>
      <c r="V205" s="323">
        <f>COUNTIFS(input!$O:$O,August!$V$134,input!$X:$X,August!N205,input!$A:$A,August!$B$2)</f>
        <v>0</v>
      </c>
      <c r="W205" s="323">
        <f>COUNTIFS(input!$O:$O,August!$W$134,input!$X:$X,August!N205,input!$A:$A,August!$B$2)</f>
        <v>0</v>
      </c>
      <c r="X205" s="324">
        <f>COUNTIFS(input!$O:$O,August!$X$134,input!$X:$X,August!N205,input!$A:$A,August!$B$2)</f>
        <v>0</v>
      </c>
      <c r="Y205" s="312">
        <f t="shared" si="50"/>
        <v>0</v>
      </c>
      <c r="Z205" s="315" cm="1">
        <f t="array" ref="Z205">_xlfn.IFS(Y205=0,0,Y205&gt;=1,Y205/$Y$210)</f>
        <v>0</v>
      </c>
    </row>
    <row r="206" spans="2:26" ht="92" x14ac:dyDescent="0.25">
      <c r="B206" s="990" t="s">
        <v>2335</v>
      </c>
      <c r="C206" s="991"/>
      <c r="D206" s="316">
        <f>COUNTIFS(input!$O:$O,August!$D$134,input!$W:$W,August!B206,input!$A:$A,August!$B$2)</f>
        <v>0</v>
      </c>
      <c r="E206" s="316">
        <f>COUNTIFS(input!$O:$O,August!$E$134,input!$W:$W,August!B206,input!$A:$A,August!$B$2)</f>
        <v>0</v>
      </c>
      <c r="F206" s="316">
        <f>COUNTIFS(input!$O:$O,August!$F$134,input!$W:$W,August!B206,input!$A:$A,August!$B$2)</f>
        <v>0</v>
      </c>
      <c r="G206" s="322">
        <f>COUNTIFS(input!$O:$O,August!$G$134,input!$W:$W,August!B206,input!$A:$A,August!$B$2)</f>
        <v>0</v>
      </c>
      <c r="H206" s="321">
        <f>COUNTIFS(input!$O:$O,August!$H$134,input!$W:$W,August!B206,input!$A:$A,August!$B$2)</f>
        <v>0</v>
      </c>
      <c r="I206" s="321">
        <f>COUNTIFS(input!$O:$O,August!$I$134,input!$W:$W,August!B206,input!$A:$A,August!$B$2)</f>
        <v>1</v>
      </c>
      <c r="J206" s="321">
        <f>COUNTIFS(input!$O:$O,August!$J$134,input!$W:$W,August!B206,input!$A:$A,August!$B$2)</f>
        <v>0</v>
      </c>
      <c r="K206" s="343">
        <f>COUNTIFS(input!$O:$O,August!$K$134,input!$W:$W,August!B206,input!$A:$A,August!$B$2)</f>
        <v>0</v>
      </c>
      <c r="L206" s="312">
        <f t="shared" ref="L206" si="54">SUM(D206:K206)</f>
        <v>1</v>
      </c>
      <c r="M206" s="320" cm="1">
        <f t="array" ref="M206">_xlfn.IFS(L206=0,0,L206&gt;=1,L206/$L$210)</f>
        <v>6.25E-2</v>
      </c>
      <c r="N206" s="382"/>
      <c r="O206" s="383"/>
      <c r="P206" s="384"/>
      <c r="Q206" s="316">
        <f>COUNTIFS(input!$O:$O,August!$Q$134,input!$X:$X,August!N206,input!$A:$A,August!$B$2)</f>
        <v>0</v>
      </c>
      <c r="R206" s="316">
        <f>COUNTIFS(input!$O:$O,August!$R$134,input!$X:$X,August!N206,input!$A:$A,August!$B$2)</f>
        <v>0</v>
      </c>
      <c r="S206" s="316">
        <f>COUNTIFS(input!$O:$O,August!$S$134,input!$X:$X,August!N206,input!$A:$A,August!$B$2)</f>
        <v>0</v>
      </c>
      <c r="T206" s="322">
        <f>COUNTIFS(input!$O:$O,August!$T$134,input!$X:$X,August!N206,input!$A:$A,August!$B$2)</f>
        <v>0</v>
      </c>
      <c r="U206" s="322">
        <f>COUNTIFS(input!$O:$O,August!$U$134,input!$X:$X,August!N206,input!$A:$A,August!$B$2)</f>
        <v>0</v>
      </c>
      <c r="V206" s="323">
        <f>COUNTIFS(input!$O:$O,August!$V$134,input!$X:$X,August!N206,input!$A:$A,August!$B$2)</f>
        <v>0</v>
      </c>
      <c r="W206" s="323">
        <f>COUNTIFS(input!$O:$O,August!$W$134,input!$X:$X,August!N206,input!$A:$A,August!$B$2)</f>
        <v>0</v>
      </c>
      <c r="X206" s="324">
        <f>COUNTIFS(input!$O:$O,August!$X$134,input!$X:$X,August!N206,input!$A:$A,August!$B$2)</f>
        <v>0</v>
      </c>
      <c r="Y206" s="312">
        <f t="shared" ref="Y206" si="55">SUM(Q206:X206)</f>
        <v>0</v>
      </c>
      <c r="Z206" s="315" cm="1">
        <f t="array" ref="Z206">_xlfn.IFS(Y206=0,0,Y206&gt;=1,Y206/$Y$210)</f>
        <v>0</v>
      </c>
    </row>
    <row r="207" spans="2:26" ht="92" hidden="1" x14ac:dyDescent="0.25">
      <c r="B207" s="1121" t="s">
        <v>361</v>
      </c>
      <c r="C207" s="1066"/>
      <c r="D207" s="316">
        <f>COUNTIFS(input!$O:$O,August!$D$134,input!$W:$W,August!B207,input!$A:$A,August!$B$2)</f>
        <v>0</v>
      </c>
      <c r="E207" s="316">
        <f>COUNTIFS(input!$O:$O,August!$E$134,input!$W:$W,August!B207,input!$A:$A,August!$B$2)</f>
        <v>0</v>
      </c>
      <c r="F207" s="316">
        <f>COUNTIFS(input!$O:$O,August!$F$134,input!$W:$W,August!B207,input!$A:$A,August!$B$2)</f>
        <v>0</v>
      </c>
      <c r="G207" s="322">
        <f>COUNTIFS(input!$O:$O,August!$G$134,input!$W:$W,August!B207,input!$A:$A,August!$B$2)</f>
        <v>0</v>
      </c>
      <c r="H207" s="321">
        <f>COUNTIFS(input!$O:$O,August!$H$134,input!$W:$W,August!B207,input!$A:$A,August!$B$2)</f>
        <v>0</v>
      </c>
      <c r="I207" s="321">
        <f>COUNTIFS(input!$O:$O,August!$I$134,input!$W:$W,August!B207,input!$A:$A,August!$B$2)</f>
        <v>0</v>
      </c>
      <c r="J207" s="321">
        <f>COUNTIFS(input!$O:$O,August!$J$134,input!$W:$W,August!B207,input!$A:$A,August!$B$2)</f>
        <v>0</v>
      </c>
      <c r="K207" s="343">
        <f>COUNTIFS(input!$O:$O,August!$K$134,input!$W:$W,August!B207,input!$A:$A,August!$B$2)</f>
        <v>0</v>
      </c>
      <c r="L207" s="312">
        <f t="shared" ref="L207:L209" si="56">SUM(D207:K207)</f>
        <v>0</v>
      </c>
      <c r="M207" s="320" cm="1">
        <f t="array" ref="M207">_xlfn.IFS(L207=0,0,L207&gt;=1,L207/$L$210)</f>
        <v>0</v>
      </c>
      <c r="N207" s="382"/>
      <c r="O207" s="383"/>
      <c r="P207" s="384"/>
      <c r="Q207" s="316">
        <f>COUNTIFS(input!$O:$O,August!$Q$134,input!$X:$X,August!N207,input!$A:$A,August!$B$2)</f>
        <v>0</v>
      </c>
      <c r="R207" s="316">
        <f>COUNTIFS(input!$O:$O,August!$R$134,input!$X:$X,August!N207,input!$A:$A,August!$B$2)</f>
        <v>0</v>
      </c>
      <c r="S207" s="316">
        <f>COUNTIFS(input!$O:$O,August!$S$134,input!$X:$X,August!N207,input!$A:$A,August!$B$2)</f>
        <v>0</v>
      </c>
      <c r="T207" s="322">
        <f>COUNTIFS(input!$O:$O,August!$T$134,input!$X:$X,August!N207,input!$A:$A,August!$B$2)</f>
        <v>0</v>
      </c>
      <c r="U207" s="322">
        <f>COUNTIFS(input!$O:$O,August!$U$134,input!$X:$X,August!N207,input!$A:$A,August!$B$2)</f>
        <v>0</v>
      </c>
      <c r="V207" s="323">
        <f>COUNTIFS(input!$O:$O,August!$V$134,input!$X:$X,August!N207,input!$A:$A,August!$B$2)</f>
        <v>0</v>
      </c>
      <c r="W207" s="323">
        <f>COUNTIFS(input!$O:$O,August!$W$134,input!$X:$X,August!N207,input!$A:$A,August!$B$2)</f>
        <v>0</v>
      </c>
      <c r="X207" s="324">
        <f>COUNTIFS(input!$O:$O,August!$X$134,input!$X:$X,August!N207,input!$A:$A,August!$B$2)</f>
        <v>0</v>
      </c>
      <c r="Y207" s="312">
        <f t="shared" ref="Y207:Y209" si="57">SUM(Q207:X207)</f>
        <v>0</v>
      </c>
      <c r="Z207" s="315" cm="1">
        <f t="array" ref="Z207">_xlfn.IFS(Y207=0,0,Y207&gt;=1,Y207/$Y$210)</f>
        <v>0</v>
      </c>
    </row>
    <row r="208" spans="2:26" ht="92" hidden="1" x14ac:dyDescent="0.25">
      <c r="B208" s="1121" t="s">
        <v>188</v>
      </c>
      <c r="C208" s="1066"/>
      <c r="D208" s="316">
        <f>COUNTIFS(input!$O:$O,August!$D$134,input!$W:$W,August!B208,input!$A:$A,August!$B$2)</f>
        <v>0</v>
      </c>
      <c r="E208" s="316">
        <f>COUNTIFS(input!$O:$O,August!$E$134,input!$W:$W,August!B208,input!$A:$A,August!$B$2)</f>
        <v>0</v>
      </c>
      <c r="F208" s="316">
        <f>COUNTIFS(input!$O:$O,August!$F$134,input!$W:$W,August!B208,input!$A:$A,August!$B$2)</f>
        <v>0</v>
      </c>
      <c r="G208" s="322">
        <f>COUNTIFS(input!$O:$O,August!$G$134,input!$W:$W,August!B208,input!$A:$A,August!$B$2)</f>
        <v>0</v>
      </c>
      <c r="H208" s="321">
        <f>COUNTIFS(input!$O:$O,August!$H$134,input!$W:$W,August!B208,input!$A:$A,August!$B$2)</f>
        <v>0</v>
      </c>
      <c r="I208" s="321">
        <f>COUNTIFS(input!$O:$O,August!$I$134,input!$W:$W,August!B208,input!$A:$A,August!$B$2)</f>
        <v>0</v>
      </c>
      <c r="J208" s="321">
        <f>COUNTIFS(input!$O:$O,August!$J$134,input!$W:$W,August!B208,input!$A:$A,August!$B$2)</f>
        <v>0</v>
      </c>
      <c r="K208" s="343">
        <f>COUNTIFS(input!$O:$O,August!$K$134,input!$W:$W,August!B208,input!$A:$A,August!$B$2)</f>
        <v>0</v>
      </c>
      <c r="L208" s="312">
        <f t="shared" si="56"/>
        <v>0</v>
      </c>
      <c r="M208" s="320" cm="1">
        <f t="array" ref="M208">_xlfn.IFS(L208=0,0,L208&gt;=1,L208/$L$210)</f>
        <v>0</v>
      </c>
      <c r="N208" s="995"/>
      <c r="O208" s="996"/>
      <c r="P208" s="997"/>
      <c r="Q208" s="316">
        <f>COUNTIFS(input!$O:$O,August!$Q$134,input!$X:$X,August!N208,input!$A:$A,August!$B$2)</f>
        <v>0</v>
      </c>
      <c r="R208" s="316">
        <f>COUNTIFS(input!$O:$O,August!$R$134,input!$X:$X,August!N208,input!$A:$A,August!$B$2)</f>
        <v>0</v>
      </c>
      <c r="S208" s="316">
        <f>COUNTIFS(input!$O:$O,August!$S$134,input!$X:$X,August!N208,input!$A:$A,August!$B$2)</f>
        <v>0</v>
      </c>
      <c r="T208" s="322">
        <f>COUNTIFS(input!$O:$O,August!$T$134,input!$X:$X,August!N208,input!$A:$A,August!$B$2)</f>
        <v>0</v>
      </c>
      <c r="U208" s="322">
        <f>COUNTIFS(input!$O:$O,August!$U$134,input!$X:$X,August!N208,input!$A:$A,August!$B$2)</f>
        <v>0</v>
      </c>
      <c r="V208" s="323">
        <f>COUNTIFS(input!$O:$O,August!$V$134,input!$X:$X,August!N208,input!$A:$A,August!$B$2)</f>
        <v>0</v>
      </c>
      <c r="W208" s="323">
        <f>COUNTIFS(input!$O:$O,August!$W$134,input!$X:$X,August!N208,input!$A:$A,August!$B$2)</f>
        <v>0</v>
      </c>
      <c r="X208" s="324">
        <f>COUNTIFS(input!$O:$O,August!$X$134,input!$X:$X,August!N208,input!$A:$A,August!$B$2)</f>
        <v>0</v>
      </c>
      <c r="Y208" s="312">
        <f t="shared" si="57"/>
        <v>0</v>
      </c>
      <c r="Z208" s="315" cm="1">
        <f t="array" ref="Z208">_xlfn.IFS(Y208=0,0,Y208&gt;=1,Y208/$Y$210)</f>
        <v>0</v>
      </c>
    </row>
    <row r="209" spans="2:52" ht="92" hidden="1" x14ac:dyDescent="0.25">
      <c r="B209" s="1239" t="s">
        <v>57</v>
      </c>
      <c r="C209" s="1240"/>
      <c r="D209" s="316">
        <f>COUNTIFS(input!$O:$O,August!$D$134,input!$W:$W,August!B209,input!$A:$A,August!$B$2)</f>
        <v>0</v>
      </c>
      <c r="E209" s="316">
        <f>COUNTIFS(input!$O:$O,August!$E$134,input!$W:$W,August!B209,input!$A:$A,August!$B$2)</f>
        <v>0</v>
      </c>
      <c r="F209" s="316">
        <f>COUNTIFS(input!$O:$O,August!$F$134,input!$W:$W,August!B209,input!$A:$A,August!$B$2)</f>
        <v>0</v>
      </c>
      <c r="G209" s="322">
        <f>COUNTIFS(input!$O:$O,August!$G$134,input!$W:$W,August!B209,input!$A:$A,August!$B$2)</f>
        <v>0</v>
      </c>
      <c r="H209" s="321">
        <f>COUNTIFS(input!$O:$O,August!$H$134,input!$W:$W,August!B209,input!$A:$A,August!$B$2)</f>
        <v>0</v>
      </c>
      <c r="I209" s="321">
        <f>COUNTIFS(input!$O:$O,August!$I$134,input!$W:$W,August!B209,input!$A:$A,August!$B$2)</f>
        <v>0</v>
      </c>
      <c r="J209" s="321">
        <f>COUNTIFS(input!$O:$O,August!$J$134,input!$W:$W,August!B209,input!$A:$A,August!$B$2)</f>
        <v>0</v>
      </c>
      <c r="K209" s="343">
        <f>COUNTIFS(input!$O:$O,August!$K$134,input!$W:$W,August!B209,input!$A:$A,August!$B$2)</f>
        <v>0</v>
      </c>
      <c r="L209" s="312">
        <f t="shared" si="56"/>
        <v>0</v>
      </c>
      <c r="M209" s="344" cm="1">
        <f t="array" ref="M209">_xlfn.IFS(L209=0,0,L209&gt;=1,L209/$L$210)</f>
        <v>0</v>
      </c>
      <c r="N209" s="1241" t="s">
        <v>706</v>
      </c>
      <c r="O209" s="1242"/>
      <c r="P209" s="1243"/>
      <c r="Q209" s="316">
        <f>COUNTIFS(input!$O:$O,August!$Q$134,input!$X:$X,August!N209,input!$A:$A,August!$B$2)</f>
        <v>0</v>
      </c>
      <c r="R209" s="316">
        <f>COUNTIFS(input!$O:$O,August!$R$134,input!$X:$X,August!N209,input!$A:$A,August!$B$2)</f>
        <v>0</v>
      </c>
      <c r="S209" s="316">
        <f>COUNTIFS(input!$O:$O,August!$S$134,input!$X:$X,August!N209,input!$A:$A,August!$B$2)</f>
        <v>0</v>
      </c>
      <c r="T209" s="322">
        <f>COUNTIFS(input!$O:$O,August!$T$134,input!$X:$X,August!N209,input!$A:$A,August!$B$2)</f>
        <v>0</v>
      </c>
      <c r="U209" s="322">
        <f>COUNTIFS(input!$O:$O,August!$U$134,input!$X:$X,August!N209,input!$A:$A,August!$B$2)</f>
        <v>0</v>
      </c>
      <c r="V209" s="323">
        <f>COUNTIFS(input!$O:$O,August!$V$134,input!$X:$X,August!N209,input!$A:$A,August!$B$2)</f>
        <v>0</v>
      </c>
      <c r="W209" s="323">
        <f>COUNTIFS(input!$O:$O,August!$W$134,input!$X:$X,August!N209,input!$A:$A,August!$B$2)</f>
        <v>0</v>
      </c>
      <c r="X209" s="324">
        <f>COUNTIFS(input!$O:$O,August!$X$134,input!$X:$X,August!N209,input!$A:$A,August!$B$2)</f>
        <v>0</v>
      </c>
      <c r="Y209" s="312">
        <f t="shared" si="57"/>
        <v>0</v>
      </c>
      <c r="Z209" s="315" cm="1">
        <f t="array" ref="Z209">_xlfn.IFS(Y209=0,0,Y209&gt;=1,Y209/$Y$210)</f>
        <v>0</v>
      </c>
    </row>
    <row r="210" spans="2:52" ht="90.5" thickBot="1" x14ac:dyDescent="0.3">
      <c r="B210" s="981" t="s">
        <v>4</v>
      </c>
      <c r="C210" s="982"/>
      <c r="D210" s="340">
        <f t="shared" ref="D210:M210" si="58">SUM(D135:D209)</f>
        <v>0</v>
      </c>
      <c r="E210" s="340">
        <f t="shared" si="58"/>
        <v>0</v>
      </c>
      <c r="F210" s="340">
        <f t="shared" si="58"/>
        <v>0</v>
      </c>
      <c r="G210" s="340">
        <f t="shared" si="58"/>
        <v>11</v>
      </c>
      <c r="H210" s="340">
        <f t="shared" si="58"/>
        <v>0</v>
      </c>
      <c r="I210" s="340">
        <f t="shared" si="58"/>
        <v>3</v>
      </c>
      <c r="J210" s="340">
        <f t="shared" si="58"/>
        <v>2</v>
      </c>
      <c r="K210" s="340">
        <f t="shared" si="58"/>
        <v>0</v>
      </c>
      <c r="L210" s="340">
        <f t="shared" si="58"/>
        <v>16</v>
      </c>
      <c r="M210" s="347">
        <f t="shared" si="58"/>
        <v>1</v>
      </c>
      <c r="N210" s="1244" t="s">
        <v>4</v>
      </c>
      <c r="O210" s="1244"/>
      <c r="P210" s="1245"/>
      <c r="Q210" s="348">
        <f t="shared" ref="Q210:Z210" si="59">SUM(Q135:Q209)</f>
        <v>0</v>
      </c>
      <c r="R210" s="348">
        <f t="shared" si="59"/>
        <v>0</v>
      </c>
      <c r="S210" s="348">
        <f t="shared" si="59"/>
        <v>0</v>
      </c>
      <c r="T210" s="348">
        <f t="shared" si="59"/>
        <v>11</v>
      </c>
      <c r="U210" s="348">
        <f t="shared" si="59"/>
        <v>0</v>
      </c>
      <c r="V210" s="348">
        <f t="shared" si="59"/>
        <v>3</v>
      </c>
      <c r="W210" s="348">
        <f t="shared" si="59"/>
        <v>2</v>
      </c>
      <c r="X210" s="348">
        <f t="shared" si="59"/>
        <v>0</v>
      </c>
      <c r="Y210" s="340">
        <f t="shared" si="59"/>
        <v>16</v>
      </c>
      <c r="Z210" s="349">
        <f t="shared" si="59"/>
        <v>1</v>
      </c>
    </row>
    <row r="211" spans="2:52" s="133" customFormat="1" ht="90.5" customHeight="1" thickBot="1" x14ac:dyDescent="0.3">
      <c r="B211" s="985"/>
      <c r="C211" s="986"/>
      <c r="D211" s="987" t="s">
        <v>16</v>
      </c>
      <c r="E211" s="988"/>
      <c r="F211" s="988"/>
      <c r="G211" s="988"/>
      <c r="H211" s="988"/>
      <c r="I211" s="988"/>
      <c r="J211" s="988"/>
      <c r="K211" s="988"/>
      <c r="L211" s="988"/>
      <c r="M211" s="989"/>
      <c r="N211" s="987" t="s">
        <v>2349</v>
      </c>
      <c r="O211" s="988"/>
      <c r="P211" s="988"/>
      <c r="Q211" s="988"/>
      <c r="R211" s="988"/>
      <c r="S211" s="988"/>
      <c r="T211" s="988"/>
      <c r="U211" s="988"/>
      <c r="V211" s="988"/>
      <c r="W211" s="988"/>
      <c r="X211" s="988"/>
      <c r="Y211" s="988"/>
      <c r="Z211" s="989"/>
    </row>
    <row r="212" spans="2:52" s="130" customFormat="1" ht="407.5" customHeight="1" x14ac:dyDescent="0.25">
      <c r="B212" s="975" t="str">
        <f>'Description of Incidents'!A345</f>
        <v>ROWELL C. DELA CRUZ</v>
      </c>
      <c r="C212" s="976"/>
      <c r="D212" s="965" t="s">
        <v>2253</v>
      </c>
      <c r="E212" s="966"/>
      <c r="F212" s="966"/>
      <c r="G212" s="966"/>
      <c r="H212" s="966"/>
      <c r="I212" s="966"/>
      <c r="J212" s="966"/>
      <c r="K212" s="966"/>
      <c r="L212" s="966"/>
      <c r="M212" s="967"/>
      <c r="N212" s="1364" t="s">
        <v>2357</v>
      </c>
      <c r="O212" s="1365"/>
      <c r="P212" s="1365"/>
      <c r="Q212" s="1365"/>
      <c r="R212" s="1365"/>
      <c r="S212" s="1365"/>
      <c r="T212" s="1365"/>
      <c r="U212" s="1365"/>
      <c r="V212" s="1365"/>
      <c r="W212" s="1365"/>
      <c r="X212" s="1365"/>
      <c r="Y212" s="1365"/>
      <c r="Z212" s="1366"/>
    </row>
    <row r="213" spans="2:52" s="130" customFormat="1" ht="407.5" customHeight="1" x14ac:dyDescent="0.25">
      <c r="B213" s="977" t="str">
        <f>'Description of Incidents'!A346</f>
        <v>Eye Contact with Foreign Object</v>
      </c>
      <c r="C213" s="978"/>
      <c r="D213" s="968"/>
      <c r="E213" s="969"/>
      <c r="F213" s="969"/>
      <c r="G213" s="969"/>
      <c r="H213" s="969"/>
      <c r="I213" s="969"/>
      <c r="J213" s="969"/>
      <c r="K213" s="969"/>
      <c r="L213" s="969"/>
      <c r="M213" s="970"/>
      <c r="N213" s="1367"/>
      <c r="O213" s="1368"/>
      <c r="P213" s="1368"/>
      <c r="Q213" s="1368"/>
      <c r="R213" s="1368"/>
      <c r="S213" s="1368"/>
      <c r="T213" s="1368"/>
      <c r="U213" s="1368"/>
      <c r="V213" s="1368"/>
      <c r="W213" s="1368"/>
      <c r="X213" s="1368"/>
      <c r="Y213" s="1368"/>
      <c r="Z213" s="1369"/>
      <c r="AC213" s="131"/>
    </row>
    <row r="214" spans="2:52" s="130" customFormat="1" ht="407.5" customHeight="1" thickBot="1" x14ac:dyDescent="0.3">
      <c r="B214" s="979" t="str">
        <f>'Description of Incidents'!A347</f>
        <v>Flocculant Tank Area</v>
      </c>
      <c r="C214" s="980"/>
      <c r="D214" s="971"/>
      <c r="E214" s="972"/>
      <c r="F214" s="972"/>
      <c r="G214" s="972"/>
      <c r="H214" s="972"/>
      <c r="I214" s="972"/>
      <c r="J214" s="972"/>
      <c r="K214" s="972"/>
      <c r="L214" s="972"/>
      <c r="M214" s="973"/>
      <c r="N214" s="1370"/>
      <c r="O214" s="1371"/>
      <c r="P214" s="1371"/>
      <c r="Q214" s="1371"/>
      <c r="R214" s="1371"/>
      <c r="S214" s="1371"/>
      <c r="T214" s="1371"/>
      <c r="U214" s="1371"/>
      <c r="V214" s="1371"/>
      <c r="W214" s="1371"/>
      <c r="X214" s="1371"/>
      <c r="Y214" s="1371"/>
      <c r="Z214" s="1372"/>
    </row>
    <row r="215" spans="2:52" s="130" customFormat="1" ht="407.5" customHeight="1" x14ac:dyDescent="0.25">
      <c r="B215" s="952" t="str">
        <f>'Description of Incidents'!A348</f>
        <v>JUNJUN PATTONDOC</v>
      </c>
      <c r="C215" s="953"/>
      <c r="D215" s="956" t="s">
        <v>2337</v>
      </c>
      <c r="E215" s="957"/>
      <c r="F215" s="957"/>
      <c r="G215" s="957"/>
      <c r="H215" s="957"/>
      <c r="I215" s="957"/>
      <c r="J215" s="957"/>
      <c r="K215" s="957"/>
      <c r="L215" s="957"/>
      <c r="M215" s="958"/>
      <c r="N215" s="1155" t="s">
        <v>2360</v>
      </c>
      <c r="O215" s="1156"/>
      <c r="P215" s="1156"/>
      <c r="Q215" s="1156"/>
      <c r="R215" s="1156"/>
      <c r="S215" s="1156"/>
      <c r="T215" s="1156"/>
      <c r="U215" s="1156"/>
      <c r="V215" s="1156"/>
      <c r="W215" s="1156"/>
      <c r="X215" s="1156"/>
      <c r="Y215" s="1156"/>
      <c r="Z215" s="1157"/>
    </row>
    <row r="216" spans="2:52" s="130" customFormat="1" ht="407.5" customHeight="1" x14ac:dyDescent="0.25">
      <c r="B216" s="948" t="str">
        <f>'Description of Incidents'!A349</f>
        <v>Contact with Object</v>
      </c>
      <c r="C216" s="954"/>
      <c r="D216" s="959"/>
      <c r="E216" s="960"/>
      <c r="F216" s="960"/>
      <c r="G216" s="960"/>
      <c r="H216" s="960"/>
      <c r="I216" s="960"/>
      <c r="J216" s="960"/>
      <c r="K216" s="960"/>
      <c r="L216" s="960"/>
      <c r="M216" s="961"/>
      <c r="N216" s="1158"/>
      <c r="O216" s="1159"/>
      <c r="P216" s="1159"/>
      <c r="Q216" s="1159"/>
      <c r="R216" s="1159"/>
      <c r="S216" s="1159"/>
      <c r="T216" s="1159"/>
      <c r="U216" s="1159"/>
      <c r="V216" s="1159"/>
      <c r="W216" s="1159"/>
      <c r="X216" s="1159"/>
      <c r="Y216" s="1159"/>
      <c r="Z216" s="1160"/>
      <c r="AC216" s="131"/>
      <c r="AZ216" s="131"/>
    </row>
    <row r="217" spans="2:52" s="130" customFormat="1" ht="407.5" customHeight="1" thickBot="1" x14ac:dyDescent="0.3">
      <c r="B217" s="950" t="str">
        <f>'Description of Incidents'!A350</f>
        <v>Carpentry Shop</v>
      </c>
      <c r="C217" s="955"/>
      <c r="D217" s="962"/>
      <c r="E217" s="963"/>
      <c r="F217" s="963"/>
      <c r="G217" s="963"/>
      <c r="H217" s="963"/>
      <c r="I217" s="963"/>
      <c r="J217" s="963"/>
      <c r="K217" s="963"/>
      <c r="L217" s="963"/>
      <c r="M217" s="964"/>
      <c r="N217" s="1161"/>
      <c r="O217" s="1162"/>
      <c r="P217" s="1162"/>
      <c r="Q217" s="1162"/>
      <c r="R217" s="1162"/>
      <c r="S217" s="1162"/>
      <c r="T217" s="1162"/>
      <c r="U217" s="1162"/>
      <c r="V217" s="1162"/>
      <c r="W217" s="1162"/>
      <c r="X217" s="1162"/>
      <c r="Y217" s="1162"/>
      <c r="Z217" s="1163"/>
    </row>
    <row r="218" spans="2:52" s="130" customFormat="1" ht="407.5" customHeight="1" x14ac:dyDescent="0.25">
      <c r="B218" s="975" t="str">
        <f>'Description of Incidents'!A351</f>
        <v>HARLEM B. BALONG</v>
      </c>
      <c r="C218" s="976"/>
      <c r="D218" s="965" t="s">
        <v>2255</v>
      </c>
      <c r="E218" s="966"/>
      <c r="F218" s="966"/>
      <c r="G218" s="966"/>
      <c r="H218" s="966"/>
      <c r="I218" s="966"/>
      <c r="J218" s="966"/>
      <c r="K218" s="966"/>
      <c r="L218" s="966"/>
      <c r="M218" s="967"/>
      <c r="N218" s="1355" t="s">
        <v>2361</v>
      </c>
      <c r="O218" s="1356"/>
      <c r="P218" s="1356"/>
      <c r="Q218" s="1356"/>
      <c r="R218" s="1356"/>
      <c r="S218" s="1356"/>
      <c r="T218" s="1356"/>
      <c r="U218" s="1356"/>
      <c r="V218" s="1356"/>
      <c r="W218" s="1356"/>
      <c r="X218" s="1356"/>
      <c r="Y218" s="1356"/>
      <c r="Z218" s="1357"/>
    </row>
    <row r="219" spans="2:52" s="130" customFormat="1" ht="407.5" customHeight="1" x14ac:dyDescent="0.25">
      <c r="B219" s="977" t="str">
        <f>'Description of Incidents'!A352</f>
        <v>Over-Exertion in Lifting Objects</v>
      </c>
      <c r="C219" s="978"/>
      <c r="D219" s="968"/>
      <c r="E219" s="969"/>
      <c r="F219" s="969"/>
      <c r="G219" s="969"/>
      <c r="H219" s="969"/>
      <c r="I219" s="969"/>
      <c r="J219" s="969"/>
      <c r="K219" s="969"/>
      <c r="L219" s="969"/>
      <c r="M219" s="970"/>
      <c r="N219" s="1358"/>
      <c r="O219" s="1359"/>
      <c r="P219" s="1359"/>
      <c r="Q219" s="1359"/>
      <c r="R219" s="1359"/>
      <c r="S219" s="1359"/>
      <c r="T219" s="1359"/>
      <c r="U219" s="1359"/>
      <c r="V219" s="1359"/>
      <c r="W219" s="1359"/>
      <c r="X219" s="1359"/>
      <c r="Y219" s="1359"/>
      <c r="Z219" s="1360"/>
      <c r="AC219" s="131"/>
    </row>
    <row r="220" spans="2:52" s="130" customFormat="1" ht="407.5" customHeight="1" thickBot="1" x14ac:dyDescent="0.3">
      <c r="B220" s="935" t="str">
        <f>'Description of Incidents'!A353</f>
        <v>Symone Cone Crusher No. 2</v>
      </c>
      <c r="C220" s="936"/>
      <c r="D220" s="971"/>
      <c r="E220" s="972"/>
      <c r="F220" s="972"/>
      <c r="G220" s="972"/>
      <c r="H220" s="972"/>
      <c r="I220" s="972"/>
      <c r="J220" s="972"/>
      <c r="K220" s="972"/>
      <c r="L220" s="972"/>
      <c r="M220" s="973"/>
      <c r="N220" s="1361"/>
      <c r="O220" s="1362"/>
      <c r="P220" s="1362"/>
      <c r="Q220" s="1362"/>
      <c r="R220" s="1362"/>
      <c r="S220" s="1362"/>
      <c r="T220" s="1362"/>
      <c r="U220" s="1362"/>
      <c r="V220" s="1362"/>
      <c r="W220" s="1362"/>
      <c r="X220" s="1362"/>
      <c r="Y220" s="1362"/>
      <c r="Z220" s="1363"/>
    </row>
    <row r="221" spans="2:52" s="130" customFormat="1" ht="407.5" customHeight="1" x14ac:dyDescent="0.25">
      <c r="B221" s="952" t="str">
        <f>'Description of Incidents'!A354</f>
        <v>AGOSTO P. MIGUEL</v>
      </c>
      <c r="C221" s="953"/>
      <c r="D221" s="956" t="s">
        <v>2254</v>
      </c>
      <c r="E221" s="957"/>
      <c r="F221" s="957"/>
      <c r="G221" s="957"/>
      <c r="H221" s="957"/>
      <c r="I221" s="957"/>
      <c r="J221" s="957"/>
      <c r="K221" s="957"/>
      <c r="L221" s="957"/>
      <c r="M221" s="958"/>
      <c r="N221" s="956" t="s">
        <v>2358</v>
      </c>
      <c r="O221" s="957"/>
      <c r="P221" s="957"/>
      <c r="Q221" s="957"/>
      <c r="R221" s="957"/>
      <c r="S221" s="957"/>
      <c r="T221" s="957"/>
      <c r="U221" s="957"/>
      <c r="V221" s="957"/>
      <c r="W221" s="957"/>
      <c r="X221" s="957"/>
      <c r="Y221" s="957"/>
      <c r="Z221" s="958"/>
    </row>
    <row r="222" spans="2:52" s="130" customFormat="1" ht="407.5" customHeight="1" x14ac:dyDescent="0.25">
      <c r="B222" s="948" t="str">
        <f>'Description of Incidents'!A355</f>
        <v>Struck by Object</v>
      </c>
      <c r="C222" s="954"/>
      <c r="D222" s="959"/>
      <c r="E222" s="960"/>
      <c r="F222" s="960"/>
      <c r="G222" s="960"/>
      <c r="H222" s="960"/>
      <c r="I222" s="960"/>
      <c r="J222" s="960"/>
      <c r="K222" s="960"/>
      <c r="L222" s="960"/>
      <c r="M222" s="961"/>
      <c r="N222" s="959"/>
      <c r="O222" s="960"/>
      <c r="P222" s="960"/>
      <c r="Q222" s="960"/>
      <c r="R222" s="960"/>
      <c r="S222" s="960"/>
      <c r="T222" s="960"/>
      <c r="U222" s="960"/>
      <c r="V222" s="960"/>
      <c r="W222" s="960"/>
      <c r="X222" s="960"/>
      <c r="Y222" s="960"/>
      <c r="Z222" s="961"/>
      <c r="AC222" s="131"/>
      <c r="AZ222" s="131"/>
    </row>
    <row r="223" spans="2:52" s="130" customFormat="1" ht="407.5" customHeight="1" thickBot="1" x14ac:dyDescent="0.3">
      <c r="B223" s="950" t="str">
        <f>'Description of Incidents'!A356</f>
        <v>Guellong Access Road</v>
      </c>
      <c r="C223" s="955"/>
      <c r="D223" s="962"/>
      <c r="E223" s="963"/>
      <c r="F223" s="963"/>
      <c r="G223" s="963"/>
      <c r="H223" s="963"/>
      <c r="I223" s="963"/>
      <c r="J223" s="963"/>
      <c r="K223" s="963"/>
      <c r="L223" s="963"/>
      <c r="M223" s="964"/>
      <c r="N223" s="962"/>
      <c r="O223" s="963"/>
      <c r="P223" s="963"/>
      <c r="Q223" s="963"/>
      <c r="R223" s="963"/>
      <c r="S223" s="963"/>
      <c r="T223" s="963"/>
      <c r="U223" s="963"/>
      <c r="V223" s="963"/>
      <c r="W223" s="963"/>
      <c r="X223" s="963"/>
      <c r="Y223" s="963"/>
      <c r="Z223" s="964"/>
    </row>
    <row r="224" spans="2:52" s="130" customFormat="1" ht="407.5" customHeight="1" x14ac:dyDescent="0.25">
      <c r="B224" s="922" t="str">
        <f>'Description of Incidents'!A357</f>
        <v>VERONICA T. VELASCO</v>
      </c>
      <c r="C224" s="923"/>
      <c r="D224" s="965" t="s">
        <v>2256</v>
      </c>
      <c r="E224" s="966"/>
      <c r="F224" s="966"/>
      <c r="G224" s="966"/>
      <c r="H224" s="966"/>
      <c r="I224" s="966"/>
      <c r="J224" s="966"/>
      <c r="K224" s="966"/>
      <c r="L224" s="966"/>
      <c r="M224" s="967"/>
      <c r="N224" s="965" t="s">
        <v>2359</v>
      </c>
      <c r="O224" s="1247"/>
      <c r="P224" s="1247"/>
      <c r="Q224" s="1247"/>
      <c r="R224" s="1247"/>
      <c r="S224" s="1247"/>
      <c r="T224" s="1247"/>
      <c r="U224" s="1247"/>
      <c r="V224" s="1247"/>
      <c r="W224" s="1247"/>
      <c r="X224" s="1247"/>
      <c r="Y224" s="1247"/>
      <c r="Z224" s="1248"/>
    </row>
    <row r="225" spans="2:52" s="130" customFormat="1" ht="407.5" customHeight="1" x14ac:dyDescent="0.25">
      <c r="B225" s="933" t="str">
        <f>'Description of Incidents'!A358</f>
        <v>Property Damage</v>
      </c>
      <c r="C225" s="934"/>
      <c r="D225" s="968"/>
      <c r="E225" s="969"/>
      <c r="F225" s="969"/>
      <c r="G225" s="969"/>
      <c r="H225" s="969"/>
      <c r="I225" s="969"/>
      <c r="J225" s="969"/>
      <c r="K225" s="969"/>
      <c r="L225" s="969"/>
      <c r="M225" s="970"/>
      <c r="N225" s="1249"/>
      <c r="O225" s="1250"/>
      <c r="P225" s="1250"/>
      <c r="Q225" s="1250"/>
      <c r="R225" s="1250"/>
      <c r="S225" s="1250"/>
      <c r="T225" s="1250"/>
      <c r="U225" s="1250"/>
      <c r="V225" s="1250"/>
      <c r="W225" s="1250"/>
      <c r="X225" s="1250"/>
      <c r="Y225" s="1250"/>
      <c r="Z225" s="1251"/>
      <c r="AC225" s="131"/>
    </row>
    <row r="226" spans="2:52" s="130" customFormat="1" ht="407.5" customHeight="1" thickBot="1" x14ac:dyDescent="0.3">
      <c r="B226" s="935" t="str">
        <f>'Description of Incidents'!A359</f>
        <v>Wet Laboratory</v>
      </c>
      <c r="C226" s="936"/>
      <c r="D226" s="971"/>
      <c r="E226" s="972"/>
      <c r="F226" s="972"/>
      <c r="G226" s="972"/>
      <c r="H226" s="972"/>
      <c r="I226" s="972"/>
      <c r="J226" s="972"/>
      <c r="K226" s="972"/>
      <c r="L226" s="972"/>
      <c r="M226" s="973"/>
      <c r="N226" s="1252"/>
      <c r="O226" s="1253"/>
      <c r="P226" s="1253"/>
      <c r="Q226" s="1253"/>
      <c r="R226" s="1253"/>
      <c r="S226" s="1253"/>
      <c r="T226" s="1253"/>
      <c r="U226" s="1253"/>
      <c r="V226" s="1253"/>
      <c r="W226" s="1253"/>
      <c r="X226" s="1253"/>
      <c r="Y226" s="1253"/>
      <c r="Z226" s="1254"/>
    </row>
    <row r="227" spans="2:52" s="130" customFormat="1" ht="407.5" customHeight="1" x14ac:dyDescent="0.25">
      <c r="B227" s="952" t="str">
        <f>'Description of Incidents'!A360</f>
        <v>DESMOND D. BAYANGAN</v>
      </c>
      <c r="C227" s="953"/>
      <c r="D227" s="956" t="s">
        <v>2257</v>
      </c>
      <c r="E227" s="957"/>
      <c r="F227" s="957"/>
      <c r="G227" s="957"/>
      <c r="H227" s="957"/>
      <c r="I227" s="957"/>
      <c r="J227" s="957"/>
      <c r="K227" s="957"/>
      <c r="L227" s="957"/>
      <c r="M227" s="958"/>
      <c r="N227" s="956" t="s">
        <v>2362</v>
      </c>
      <c r="O227" s="957"/>
      <c r="P227" s="957"/>
      <c r="Q227" s="957"/>
      <c r="R227" s="957"/>
      <c r="S227" s="957"/>
      <c r="T227" s="957"/>
      <c r="U227" s="957"/>
      <c r="V227" s="957"/>
      <c r="W227" s="957"/>
      <c r="X227" s="957"/>
      <c r="Y227" s="957"/>
      <c r="Z227" s="958"/>
    </row>
    <row r="228" spans="2:52" s="130" customFormat="1" ht="407.5" customHeight="1" x14ac:dyDescent="0.25">
      <c r="B228" s="948" t="str">
        <f>'Description of Incidents'!A361</f>
        <v>Eye Contact with Foreign Object</v>
      </c>
      <c r="C228" s="954"/>
      <c r="D228" s="959"/>
      <c r="E228" s="960"/>
      <c r="F228" s="960"/>
      <c r="G228" s="960"/>
      <c r="H228" s="960"/>
      <c r="I228" s="960"/>
      <c r="J228" s="960"/>
      <c r="K228" s="960"/>
      <c r="L228" s="960"/>
      <c r="M228" s="961"/>
      <c r="N228" s="959"/>
      <c r="O228" s="960"/>
      <c r="P228" s="960"/>
      <c r="Q228" s="960"/>
      <c r="R228" s="960"/>
      <c r="S228" s="960"/>
      <c r="T228" s="960"/>
      <c r="U228" s="960"/>
      <c r="V228" s="960"/>
      <c r="W228" s="960"/>
      <c r="X228" s="960"/>
      <c r="Y228" s="960"/>
      <c r="Z228" s="961"/>
      <c r="AC228" s="131"/>
      <c r="AZ228" s="131"/>
    </row>
    <row r="229" spans="2:52" s="130" customFormat="1" ht="407.5" customHeight="1" thickBot="1" x14ac:dyDescent="0.3">
      <c r="B229" s="950" t="str">
        <f>'Description of Incidents'!A362</f>
        <v>Final Sump</v>
      </c>
      <c r="C229" s="955"/>
      <c r="D229" s="962"/>
      <c r="E229" s="963"/>
      <c r="F229" s="963"/>
      <c r="G229" s="963"/>
      <c r="H229" s="963"/>
      <c r="I229" s="963"/>
      <c r="J229" s="963"/>
      <c r="K229" s="963"/>
      <c r="L229" s="963"/>
      <c r="M229" s="964"/>
      <c r="N229" s="962"/>
      <c r="O229" s="963"/>
      <c r="P229" s="963"/>
      <c r="Q229" s="963"/>
      <c r="R229" s="963"/>
      <c r="S229" s="963"/>
      <c r="T229" s="963"/>
      <c r="U229" s="963"/>
      <c r="V229" s="963"/>
      <c r="W229" s="963"/>
      <c r="X229" s="963"/>
      <c r="Y229" s="963"/>
      <c r="Z229" s="964"/>
    </row>
    <row r="230" spans="2:52" s="130" customFormat="1" ht="407.5" customHeight="1" x14ac:dyDescent="0.25">
      <c r="B230" s="922" t="str">
        <f>'Description of Incidents'!A363</f>
        <v xml:space="preserve">JOLIVER T. CABRADILLA </v>
      </c>
      <c r="C230" s="923"/>
      <c r="D230" s="924" t="s">
        <v>2338</v>
      </c>
      <c r="E230" s="925"/>
      <c r="F230" s="925"/>
      <c r="G230" s="925"/>
      <c r="H230" s="925"/>
      <c r="I230" s="925"/>
      <c r="J230" s="925"/>
      <c r="K230" s="925"/>
      <c r="L230" s="925"/>
      <c r="M230" s="926"/>
      <c r="N230" s="965" t="s">
        <v>2363</v>
      </c>
      <c r="O230" s="966"/>
      <c r="P230" s="966"/>
      <c r="Q230" s="966"/>
      <c r="R230" s="966"/>
      <c r="S230" s="966"/>
      <c r="T230" s="966"/>
      <c r="U230" s="966"/>
      <c r="V230" s="966"/>
      <c r="W230" s="966"/>
      <c r="X230" s="966"/>
      <c r="Y230" s="966"/>
      <c r="Z230" s="967"/>
    </row>
    <row r="231" spans="2:52" s="130" customFormat="1" ht="407.5" customHeight="1" x14ac:dyDescent="0.25">
      <c r="B231" s="933" t="str">
        <f>'Description of Incidents'!A364</f>
        <v>Occupational Illness / Pain</v>
      </c>
      <c r="C231" s="934"/>
      <c r="D231" s="927"/>
      <c r="E231" s="928"/>
      <c r="F231" s="928"/>
      <c r="G231" s="928"/>
      <c r="H231" s="928"/>
      <c r="I231" s="928"/>
      <c r="J231" s="928"/>
      <c r="K231" s="928"/>
      <c r="L231" s="928"/>
      <c r="M231" s="929"/>
      <c r="N231" s="968"/>
      <c r="O231" s="969"/>
      <c r="P231" s="969"/>
      <c r="Q231" s="969"/>
      <c r="R231" s="969"/>
      <c r="S231" s="969"/>
      <c r="T231" s="969"/>
      <c r="U231" s="969"/>
      <c r="V231" s="969"/>
      <c r="W231" s="969"/>
      <c r="X231" s="969"/>
      <c r="Y231" s="969"/>
      <c r="Z231" s="970"/>
      <c r="AC231" s="131"/>
    </row>
    <row r="232" spans="2:52" s="130" customFormat="1" ht="407.5" customHeight="1" thickBot="1" x14ac:dyDescent="0.3">
      <c r="B232" s="935" t="str">
        <f>'Description of Incidents'!A365</f>
        <v>Nayak Safety Office</v>
      </c>
      <c r="C232" s="936"/>
      <c r="D232" s="930"/>
      <c r="E232" s="931"/>
      <c r="F232" s="931"/>
      <c r="G232" s="931"/>
      <c r="H232" s="931"/>
      <c r="I232" s="931"/>
      <c r="J232" s="931"/>
      <c r="K232" s="931"/>
      <c r="L232" s="931"/>
      <c r="M232" s="932"/>
      <c r="N232" s="971"/>
      <c r="O232" s="972"/>
      <c r="P232" s="972"/>
      <c r="Q232" s="972"/>
      <c r="R232" s="972"/>
      <c r="S232" s="972"/>
      <c r="T232" s="972"/>
      <c r="U232" s="972"/>
      <c r="V232" s="972"/>
      <c r="W232" s="972"/>
      <c r="X232" s="972"/>
      <c r="Y232" s="972"/>
      <c r="Z232" s="973"/>
    </row>
    <row r="233" spans="2:52" s="130" customFormat="1" ht="267.5" customHeight="1" x14ac:dyDescent="0.25">
      <c r="B233" s="937" t="str">
        <f>'Description of Incidents'!A366</f>
        <v>JOHN REY T. SABIO</v>
      </c>
      <c r="C233" s="938"/>
      <c r="D233" s="956" t="s">
        <v>2339</v>
      </c>
      <c r="E233" s="957"/>
      <c r="F233" s="957"/>
      <c r="G233" s="957"/>
      <c r="H233" s="957"/>
      <c r="I233" s="957"/>
      <c r="J233" s="957"/>
      <c r="K233" s="957"/>
      <c r="L233" s="957"/>
      <c r="M233" s="958"/>
      <c r="N233" s="1282" t="s">
        <v>2364</v>
      </c>
      <c r="O233" s="1283"/>
      <c r="P233" s="1283"/>
      <c r="Q233" s="1283"/>
      <c r="R233" s="1283"/>
      <c r="S233" s="1283"/>
      <c r="T233" s="1283"/>
      <c r="U233" s="1283"/>
      <c r="V233" s="1283"/>
      <c r="W233" s="1283"/>
      <c r="X233" s="1283"/>
      <c r="Y233" s="1283"/>
      <c r="Z233" s="1284"/>
    </row>
    <row r="234" spans="2:52" s="130" customFormat="1" ht="267.5" customHeight="1" x14ac:dyDescent="0.25">
      <c r="B234" s="948" t="str">
        <f>'Description of Incidents'!A367</f>
        <v>Struck by Flying Object</v>
      </c>
      <c r="C234" s="949"/>
      <c r="D234" s="959"/>
      <c r="E234" s="960"/>
      <c r="F234" s="960"/>
      <c r="G234" s="960"/>
      <c r="H234" s="960"/>
      <c r="I234" s="960"/>
      <c r="J234" s="960"/>
      <c r="K234" s="960"/>
      <c r="L234" s="960"/>
      <c r="M234" s="961"/>
      <c r="N234" s="1285"/>
      <c r="O234" s="1286"/>
      <c r="P234" s="1286"/>
      <c r="Q234" s="1286"/>
      <c r="R234" s="1286"/>
      <c r="S234" s="1286"/>
      <c r="T234" s="1286"/>
      <c r="U234" s="1286"/>
      <c r="V234" s="1286"/>
      <c r="W234" s="1286"/>
      <c r="X234" s="1286"/>
      <c r="Y234" s="1286"/>
      <c r="Z234" s="1287"/>
      <c r="AC234" s="131"/>
      <c r="AZ234" s="131"/>
    </row>
    <row r="235" spans="2:52" s="130" customFormat="1" ht="267.5" customHeight="1" thickBot="1" x14ac:dyDescent="0.3">
      <c r="B235" s="950" t="str">
        <f>'Description of Incidents'!A368</f>
        <v>RP 22 REPAIR BAY</v>
      </c>
      <c r="C235" s="951"/>
      <c r="D235" s="962"/>
      <c r="E235" s="963"/>
      <c r="F235" s="963"/>
      <c r="G235" s="963"/>
      <c r="H235" s="963"/>
      <c r="I235" s="963"/>
      <c r="J235" s="963"/>
      <c r="K235" s="963"/>
      <c r="L235" s="963"/>
      <c r="M235" s="964"/>
      <c r="N235" s="1288"/>
      <c r="O235" s="1289"/>
      <c r="P235" s="1289"/>
      <c r="Q235" s="1289"/>
      <c r="R235" s="1289"/>
      <c r="S235" s="1289"/>
      <c r="T235" s="1289"/>
      <c r="U235" s="1289"/>
      <c r="V235" s="1289"/>
      <c r="W235" s="1289"/>
      <c r="X235" s="1289"/>
      <c r="Y235" s="1289"/>
      <c r="Z235" s="1290"/>
    </row>
    <row r="236" spans="2:52" s="130" customFormat="1" ht="322.5" customHeight="1" x14ac:dyDescent="0.25">
      <c r="B236" s="974" t="str">
        <f>'Description of Incidents'!A369</f>
        <v>SHEMRAN A. KIWANG</v>
      </c>
      <c r="C236" s="923"/>
      <c r="D236" s="965" t="s">
        <v>2441</v>
      </c>
      <c r="E236" s="966"/>
      <c r="F236" s="966"/>
      <c r="G236" s="966"/>
      <c r="H236" s="966"/>
      <c r="I236" s="966"/>
      <c r="J236" s="966"/>
      <c r="K236" s="966"/>
      <c r="L236" s="966"/>
      <c r="M236" s="967"/>
      <c r="N236" s="965" t="s">
        <v>2442</v>
      </c>
      <c r="O236" s="966"/>
      <c r="P236" s="966"/>
      <c r="Q236" s="966"/>
      <c r="R236" s="966"/>
      <c r="S236" s="966"/>
      <c r="T236" s="966"/>
      <c r="U236" s="966"/>
      <c r="V236" s="966"/>
      <c r="W236" s="966"/>
      <c r="X236" s="966"/>
      <c r="Y236" s="966"/>
      <c r="Z236" s="967"/>
    </row>
    <row r="237" spans="2:52" s="130" customFormat="1" ht="322.5" customHeight="1" x14ac:dyDescent="0.25">
      <c r="B237" s="933" t="str">
        <f>'Description of Incidents'!A370</f>
        <v>Fall on Same Level</v>
      </c>
      <c r="C237" s="934"/>
      <c r="D237" s="968"/>
      <c r="E237" s="969"/>
      <c r="F237" s="969"/>
      <c r="G237" s="969"/>
      <c r="H237" s="969"/>
      <c r="I237" s="969"/>
      <c r="J237" s="969"/>
      <c r="K237" s="969"/>
      <c r="L237" s="969"/>
      <c r="M237" s="970"/>
      <c r="N237" s="968"/>
      <c r="O237" s="969"/>
      <c r="P237" s="969"/>
      <c r="Q237" s="969"/>
      <c r="R237" s="969"/>
      <c r="S237" s="969"/>
      <c r="T237" s="969"/>
      <c r="U237" s="969"/>
      <c r="V237" s="969"/>
      <c r="W237" s="969"/>
      <c r="X237" s="969"/>
      <c r="Y237" s="969"/>
      <c r="Z237" s="970"/>
      <c r="AC237" s="131"/>
    </row>
    <row r="238" spans="2:52" s="130" customFormat="1" ht="322.5" customHeight="1" thickBot="1" x14ac:dyDescent="0.3">
      <c r="B238" s="935" t="str">
        <f>'Description of Incidents'!A371</f>
        <v>24913 8L3</v>
      </c>
      <c r="C238" s="936"/>
      <c r="D238" s="971"/>
      <c r="E238" s="972"/>
      <c r="F238" s="972"/>
      <c r="G238" s="972"/>
      <c r="H238" s="972"/>
      <c r="I238" s="972"/>
      <c r="J238" s="972"/>
      <c r="K238" s="972"/>
      <c r="L238" s="972"/>
      <c r="M238" s="973"/>
      <c r="N238" s="971"/>
      <c r="O238" s="972"/>
      <c r="P238" s="972"/>
      <c r="Q238" s="972"/>
      <c r="R238" s="972"/>
      <c r="S238" s="972"/>
      <c r="T238" s="972"/>
      <c r="U238" s="972"/>
      <c r="V238" s="972"/>
      <c r="W238" s="972"/>
      <c r="X238" s="972"/>
      <c r="Y238" s="972"/>
      <c r="Z238" s="973"/>
    </row>
    <row r="239" spans="2:52" s="130" customFormat="1" ht="297.5" customHeight="1" x14ac:dyDescent="0.25">
      <c r="B239" s="952" t="str">
        <f>'Description of Incidents'!A372</f>
        <v>SALDY A. DALUG</v>
      </c>
      <c r="C239" s="953"/>
      <c r="D239" s="956" t="s">
        <v>2341</v>
      </c>
      <c r="E239" s="957"/>
      <c r="F239" s="957"/>
      <c r="G239" s="957"/>
      <c r="H239" s="957"/>
      <c r="I239" s="957"/>
      <c r="J239" s="957"/>
      <c r="K239" s="957"/>
      <c r="L239" s="957"/>
      <c r="M239" s="958"/>
      <c r="N239" s="939" t="s">
        <v>2365</v>
      </c>
      <c r="O239" s="940"/>
      <c r="P239" s="940"/>
      <c r="Q239" s="940"/>
      <c r="R239" s="940"/>
      <c r="S239" s="940"/>
      <c r="T239" s="940"/>
      <c r="U239" s="940"/>
      <c r="V239" s="940"/>
      <c r="W239" s="940"/>
      <c r="X239" s="940"/>
      <c r="Y239" s="940"/>
      <c r="Z239" s="941"/>
    </row>
    <row r="240" spans="2:52" s="130" customFormat="1" ht="297.5" customHeight="1" x14ac:dyDescent="0.25">
      <c r="B240" s="948" t="str">
        <f>'Description of Incidents'!A373</f>
        <v>Over-Exertion in Pushing / Pulling Objects</v>
      </c>
      <c r="C240" s="954"/>
      <c r="D240" s="959"/>
      <c r="E240" s="960"/>
      <c r="F240" s="960"/>
      <c r="G240" s="960"/>
      <c r="H240" s="960"/>
      <c r="I240" s="960"/>
      <c r="J240" s="960"/>
      <c r="K240" s="960"/>
      <c r="L240" s="960"/>
      <c r="M240" s="961"/>
      <c r="N240" s="942"/>
      <c r="O240" s="943"/>
      <c r="P240" s="943"/>
      <c r="Q240" s="943"/>
      <c r="R240" s="943"/>
      <c r="S240" s="943"/>
      <c r="T240" s="943"/>
      <c r="U240" s="943"/>
      <c r="V240" s="943"/>
      <c r="W240" s="943"/>
      <c r="X240" s="943"/>
      <c r="Y240" s="943"/>
      <c r="Z240" s="944"/>
      <c r="AC240" s="131"/>
    </row>
    <row r="241" spans="2:52" s="130" customFormat="1" ht="297.5" customHeight="1" thickBot="1" x14ac:dyDescent="0.3">
      <c r="B241" s="950" t="str">
        <f>'Description of Incidents'!A374</f>
        <v>250 J LPT Loading Bay</v>
      </c>
      <c r="C241" s="955"/>
      <c r="D241" s="962"/>
      <c r="E241" s="963"/>
      <c r="F241" s="963"/>
      <c r="G241" s="963"/>
      <c r="H241" s="963"/>
      <c r="I241" s="963"/>
      <c r="J241" s="963"/>
      <c r="K241" s="963"/>
      <c r="L241" s="963"/>
      <c r="M241" s="964"/>
      <c r="N241" s="945"/>
      <c r="O241" s="946"/>
      <c r="P241" s="946"/>
      <c r="Q241" s="946"/>
      <c r="R241" s="946"/>
      <c r="S241" s="946"/>
      <c r="T241" s="946"/>
      <c r="U241" s="946"/>
      <c r="V241" s="946"/>
      <c r="W241" s="946"/>
      <c r="X241" s="946"/>
      <c r="Y241" s="946"/>
      <c r="Z241" s="947"/>
    </row>
    <row r="242" spans="2:52" s="130" customFormat="1" ht="347.5" customHeight="1" x14ac:dyDescent="0.25">
      <c r="B242" s="975" t="str">
        <f>'Description of Incidents'!A375</f>
        <v>LUNES D. MUSLING</v>
      </c>
      <c r="C242" s="976"/>
      <c r="D242" s="1187" t="s">
        <v>2342</v>
      </c>
      <c r="E242" s="1188"/>
      <c r="F242" s="1188"/>
      <c r="G242" s="1188"/>
      <c r="H242" s="1188"/>
      <c r="I242" s="1188"/>
      <c r="J242" s="1188"/>
      <c r="K242" s="1188"/>
      <c r="L242" s="1188"/>
      <c r="M242" s="1189"/>
      <c r="N242" s="1187" t="s">
        <v>2383</v>
      </c>
      <c r="O242" s="1188"/>
      <c r="P242" s="1188"/>
      <c r="Q242" s="1188"/>
      <c r="R242" s="1188"/>
      <c r="S242" s="1188"/>
      <c r="T242" s="1188"/>
      <c r="U242" s="1188"/>
      <c r="V242" s="1188"/>
      <c r="W242" s="1188"/>
      <c r="X242" s="1188"/>
      <c r="Y242" s="1188"/>
      <c r="Z242" s="1189"/>
    </row>
    <row r="243" spans="2:52" s="130" customFormat="1" ht="347.5" customHeight="1" x14ac:dyDescent="0.25">
      <c r="B243" s="977" t="str">
        <f>'Description of Incidents'!A376</f>
        <v>Occupational Illness / Pain</v>
      </c>
      <c r="C243" s="978"/>
      <c r="D243" s="1190"/>
      <c r="E243" s="1191"/>
      <c r="F243" s="1191"/>
      <c r="G243" s="1191"/>
      <c r="H243" s="1191"/>
      <c r="I243" s="1191"/>
      <c r="J243" s="1191"/>
      <c r="K243" s="1191"/>
      <c r="L243" s="1191"/>
      <c r="M243" s="1192"/>
      <c r="N243" s="1190"/>
      <c r="O243" s="1191"/>
      <c r="P243" s="1191"/>
      <c r="Q243" s="1191"/>
      <c r="R243" s="1191"/>
      <c r="S243" s="1191"/>
      <c r="T243" s="1191"/>
      <c r="U243" s="1191"/>
      <c r="V243" s="1191"/>
      <c r="W243" s="1191"/>
      <c r="X243" s="1191"/>
      <c r="Y243" s="1191"/>
      <c r="Z243" s="1192"/>
      <c r="AC243" s="131"/>
      <c r="AZ243" s="131"/>
    </row>
    <row r="244" spans="2:52" s="130" customFormat="1" ht="347.5" customHeight="1" thickBot="1" x14ac:dyDescent="0.3">
      <c r="B244" s="979" t="str">
        <f>'Description of Incidents'!A377</f>
        <v>12502 C31N</v>
      </c>
      <c r="C244" s="980"/>
      <c r="D244" s="1193"/>
      <c r="E244" s="1194"/>
      <c r="F244" s="1194"/>
      <c r="G244" s="1194"/>
      <c r="H244" s="1194"/>
      <c r="I244" s="1194"/>
      <c r="J244" s="1194"/>
      <c r="K244" s="1194"/>
      <c r="L244" s="1194"/>
      <c r="M244" s="1195"/>
      <c r="N244" s="1193"/>
      <c r="O244" s="1194"/>
      <c r="P244" s="1194"/>
      <c r="Q244" s="1194"/>
      <c r="R244" s="1194"/>
      <c r="S244" s="1194"/>
      <c r="T244" s="1194"/>
      <c r="U244" s="1194"/>
      <c r="V244" s="1194"/>
      <c r="W244" s="1194"/>
      <c r="X244" s="1194"/>
      <c r="Y244" s="1194"/>
      <c r="Z244" s="1195"/>
    </row>
    <row r="245" spans="2:52" s="130" customFormat="1" ht="407.5" customHeight="1" x14ac:dyDescent="0.25">
      <c r="B245" s="1115" t="str">
        <f>'Description of Incidents'!A378</f>
        <v>LHD 139</v>
      </c>
      <c r="C245" s="1116"/>
      <c r="D245" s="956" t="s">
        <v>2343</v>
      </c>
      <c r="E245" s="957"/>
      <c r="F245" s="957"/>
      <c r="G245" s="957"/>
      <c r="H245" s="957"/>
      <c r="I245" s="957"/>
      <c r="J245" s="957"/>
      <c r="K245" s="957"/>
      <c r="L245" s="957"/>
      <c r="M245" s="958"/>
      <c r="N245" s="1346" t="s">
        <v>2443</v>
      </c>
      <c r="O245" s="1347"/>
      <c r="P245" s="1347"/>
      <c r="Q245" s="1347"/>
      <c r="R245" s="1347"/>
      <c r="S245" s="1347"/>
      <c r="T245" s="1347"/>
      <c r="U245" s="1347"/>
      <c r="V245" s="1347"/>
      <c r="W245" s="1347"/>
      <c r="X245" s="1347"/>
      <c r="Y245" s="1347"/>
      <c r="Z245" s="1348"/>
    </row>
    <row r="246" spans="2:52" s="130" customFormat="1" ht="407.5" customHeight="1" x14ac:dyDescent="0.25">
      <c r="B246" s="1117" t="str">
        <f>'Description of Incidents'!A379</f>
        <v>Property Damage</v>
      </c>
      <c r="C246" s="1118"/>
      <c r="D246" s="959"/>
      <c r="E246" s="960"/>
      <c r="F246" s="960"/>
      <c r="G246" s="960"/>
      <c r="H246" s="960"/>
      <c r="I246" s="960"/>
      <c r="J246" s="960"/>
      <c r="K246" s="960"/>
      <c r="L246" s="960"/>
      <c r="M246" s="961"/>
      <c r="N246" s="1349"/>
      <c r="O246" s="1350"/>
      <c r="P246" s="1350"/>
      <c r="Q246" s="1350"/>
      <c r="R246" s="1350"/>
      <c r="S246" s="1350"/>
      <c r="T246" s="1350"/>
      <c r="U246" s="1350"/>
      <c r="V246" s="1350"/>
      <c r="W246" s="1350"/>
      <c r="X246" s="1350"/>
      <c r="Y246" s="1350"/>
      <c r="Z246" s="1351"/>
      <c r="AC246" s="131"/>
    </row>
    <row r="247" spans="2:52" s="130" customFormat="1" ht="407.5" customHeight="1" thickBot="1" x14ac:dyDescent="0.3">
      <c r="B247" s="1119" t="str">
        <f>'Description of Incidents'!A380</f>
        <v>Transfer Chute</v>
      </c>
      <c r="C247" s="1120"/>
      <c r="D247" s="962"/>
      <c r="E247" s="963"/>
      <c r="F247" s="963"/>
      <c r="G247" s="963"/>
      <c r="H247" s="963"/>
      <c r="I247" s="963"/>
      <c r="J247" s="963"/>
      <c r="K247" s="963"/>
      <c r="L247" s="963"/>
      <c r="M247" s="964"/>
      <c r="N247" s="1352"/>
      <c r="O247" s="1353"/>
      <c r="P247" s="1353"/>
      <c r="Q247" s="1353"/>
      <c r="R247" s="1353"/>
      <c r="S247" s="1353"/>
      <c r="T247" s="1353"/>
      <c r="U247" s="1353"/>
      <c r="V247" s="1353"/>
      <c r="W247" s="1353"/>
      <c r="X247" s="1353"/>
      <c r="Y247" s="1353"/>
      <c r="Z247" s="1354"/>
    </row>
    <row r="248" spans="2:52" s="130" customFormat="1" ht="407.5" customHeight="1" x14ac:dyDescent="0.25">
      <c r="B248" s="1300" t="str">
        <f>'Description of Incidents'!A381</f>
        <v>DIOSDADO A. COPE JR.</v>
      </c>
      <c r="C248" s="1301"/>
      <c r="D248" s="1302" t="s">
        <v>2344</v>
      </c>
      <c r="E248" s="1303"/>
      <c r="F248" s="1303"/>
      <c r="G248" s="1303"/>
      <c r="H248" s="1303"/>
      <c r="I248" s="1303"/>
      <c r="J248" s="1303"/>
      <c r="K248" s="1303"/>
      <c r="L248" s="1303"/>
      <c r="M248" s="1304"/>
      <c r="N248" s="965" t="s">
        <v>2366</v>
      </c>
      <c r="O248" s="966"/>
      <c r="P248" s="966"/>
      <c r="Q248" s="966"/>
      <c r="R248" s="966"/>
      <c r="S248" s="966"/>
      <c r="T248" s="966"/>
      <c r="U248" s="966"/>
      <c r="V248" s="966"/>
      <c r="W248" s="966"/>
      <c r="X248" s="966"/>
      <c r="Y248" s="966"/>
      <c r="Z248" s="967"/>
    </row>
    <row r="249" spans="2:52" s="130" customFormat="1" ht="407.5" customHeight="1" x14ac:dyDescent="0.25">
      <c r="B249" s="977" t="str">
        <f>'Description of Incidents'!A382</f>
        <v>Occupational Illness / Pain</v>
      </c>
      <c r="C249" s="1317"/>
      <c r="D249" s="1305"/>
      <c r="E249" s="1306"/>
      <c r="F249" s="1306"/>
      <c r="G249" s="1306"/>
      <c r="H249" s="1306"/>
      <c r="I249" s="1306"/>
      <c r="J249" s="1306"/>
      <c r="K249" s="1306"/>
      <c r="L249" s="1306"/>
      <c r="M249" s="1307"/>
      <c r="N249" s="968"/>
      <c r="O249" s="969"/>
      <c r="P249" s="969"/>
      <c r="Q249" s="969"/>
      <c r="R249" s="969"/>
      <c r="S249" s="969"/>
      <c r="T249" s="969"/>
      <c r="U249" s="969"/>
      <c r="V249" s="969"/>
      <c r="W249" s="969"/>
      <c r="X249" s="969"/>
      <c r="Y249" s="969"/>
      <c r="Z249" s="970"/>
      <c r="AC249" s="131"/>
      <c r="AZ249" s="131"/>
    </row>
    <row r="250" spans="2:52" s="130" customFormat="1" ht="407.5" customHeight="1" thickBot="1" x14ac:dyDescent="0.3">
      <c r="B250" s="979" t="str">
        <f>'Description of Incidents'!A383</f>
        <v>Mine Office</v>
      </c>
      <c r="C250" s="1318"/>
      <c r="D250" s="1308"/>
      <c r="E250" s="1309"/>
      <c r="F250" s="1309"/>
      <c r="G250" s="1309"/>
      <c r="H250" s="1309"/>
      <c r="I250" s="1309"/>
      <c r="J250" s="1309"/>
      <c r="K250" s="1309"/>
      <c r="L250" s="1309"/>
      <c r="M250" s="1310"/>
      <c r="N250" s="968"/>
      <c r="O250" s="969"/>
      <c r="P250" s="969"/>
      <c r="Q250" s="969"/>
      <c r="R250" s="969"/>
      <c r="S250" s="969"/>
      <c r="T250" s="969"/>
      <c r="U250" s="969"/>
      <c r="V250" s="969"/>
      <c r="W250" s="969"/>
      <c r="X250" s="969"/>
      <c r="Y250" s="969"/>
      <c r="Z250" s="970"/>
    </row>
    <row r="251" spans="2:52" s="130" customFormat="1" ht="312.5" customHeight="1" x14ac:dyDescent="0.25">
      <c r="B251" s="1115" t="str">
        <f>'Description of Incidents'!A384</f>
        <v>MARK SHINK T. DAYAWON</v>
      </c>
      <c r="C251" s="1116"/>
      <c r="D251" s="956" t="s">
        <v>2345</v>
      </c>
      <c r="E251" s="957"/>
      <c r="F251" s="957"/>
      <c r="G251" s="957"/>
      <c r="H251" s="957"/>
      <c r="I251" s="957"/>
      <c r="J251" s="957"/>
      <c r="K251" s="957"/>
      <c r="L251" s="957"/>
      <c r="M251" s="958"/>
      <c r="N251" s="1319" t="s">
        <v>2367</v>
      </c>
      <c r="O251" s="1320"/>
      <c r="P251" s="1320"/>
      <c r="Q251" s="1320"/>
      <c r="R251" s="1320"/>
      <c r="S251" s="1320"/>
      <c r="T251" s="1320"/>
      <c r="U251" s="1320"/>
      <c r="V251" s="1320"/>
      <c r="W251" s="1320"/>
      <c r="X251" s="1320"/>
      <c r="Y251" s="1320"/>
      <c r="Z251" s="1321"/>
    </row>
    <row r="252" spans="2:52" s="130" customFormat="1" ht="312.5" customHeight="1" x14ac:dyDescent="0.25">
      <c r="B252" s="1117" t="str">
        <f>'Description of Incidents'!A385</f>
        <v>Struck by Falling Rock</v>
      </c>
      <c r="C252" s="1118"/>
      <c r="D252" s="959"/>
      <c r="E252" s="960"/>
      <c r="F252" s="960"/>
      <c r="G252" s="960"/>
      <c r="H252" s="960"/>
      <c r="I252" s="960"/>
      <c r="J252" s="960"/>
      <c r="K252" s="960"/>
      <c r="L252" s="960"/>
      <c r="M252" s="961"/>
      <c r="N252" s="1322"/>
      <c r="O252" s="1323"/>
      <c r="P252" s="1323"/>
      <c r="Q252" s="1323"/>
      <c r="R252" s="1323"/>
      <c r="S252" s="1323"/>
      <c r="T252" s="1323"/>
      <c r="U252" s="1323"/>
      <c r="V252" s="1323"/>
      <c r="W252" s="1323"/>
      <c r="X252" s="1323"/>
      <c r="Y252" s="1323"/>
      <c r="Z252" s="1324"/>
      <c r="AC252" s="131"/>
    </row>
    <row r="253" spans="2:52" s="130" customFormat="1" ht="312.5" customHeight="1" thickBot="1" x14ac:dyDescent="0.3">
      <c r="B253" s="1328" t="str">
        <f>'Description of Incidents'!A386</f>
        <v>248 8M1</v>
      </c>
      <c r="C253" s="1329"/>
      <c r="D253" s="962"/>
      <c r="E253" s="963"/>
      <c r="F253" s="963"/>
      <c r="G253" s="963"/>
      <c r="H253" s="963"/>
      <c r="I253" s="963"/>
      <c r="J253" s="963"/>
      <c r="K253" s="963"/>
      <c r="L253" s="963"/>
      <c r="M253" s="964"/>
      <c r="N253" s="1325"/>
      <c r="O253" s="1326"/>
      <c r="P253" s="1326"/>
      <c r="Q253" s="1326"/>
      <c r="R253" s="1326"/>
      <c r="S253" s="1326"/>
      <c r="T253" s="1326"/>
      <c r="U253" s="1326"/>
      <c r="V253" s="1326"/>
      <c r="W253" s="1326"/>
      <c r="X253" s="1326"/>
      <c r="Y253" s="1326"/>
      <c r="Z253" s="1327"/>
    </row>
    <row r="254" spans="2:52" s="130" customFormat="1" ht="367.5" customHeight="1" x14ac:dyDescent="0.25">
      <c r="B254" s="975" t="str">
        <f>'Description of Incidents'!A387</f>
        <v>GILBERT C. FACSOY</v>
      </c>
      <c r="C254" s="976"/>
      <c r="D254" s="1302" t="s">
        <v>2346</v>
      </c>
      <c r="E254" s="1303"/>
      <c r="F254" s="1303"/>
      <c r="G254" s="1303"/>
      <c r="H254" s="1303"/>
      <c r="I254" s="1303"/>
      <c r="J254" s="1303"/>
      <c r="K254" s="1303"/>
      <c r="L254" s="1303"/>
      <c r="M254" s="1304"/>
      <c r="N254" s="965" t="s">
        <v>2369</v>
      </c>
      <c r="O254" s="966"/>
      <c r="P254" s="966"/>
      <c r="Q254" s="966"/>
      <c r="R254" s="966"/>
      <c r="S254" s="966"/>
      <c r="T254" s="966"/>
      <c r="U254" s="966"/>
      <c r="V254" s="966"/>
      <c r="W254" s="966"/>
      <c r="X254" s="966"/>
      <c r="Y254" s="966"/>
      <c r="Z254" s="967"/>
    </row>
    <row r="255" spans="2:52" s="130" customFormat="1" ht="367.5" customHeight="1" x14ac:dyDescent="0.25">
      <c r="B255" s="977" t="str">
        <f>'Description of Incidents'!A388</f>
        <v>Struck by Falling Rock</v>
      </c>
      <c r="C255" s="978"/>
      <c r="D255" s="1305"/>
      <c r="E255" s="1306"/>
      <c r="F255" s="1306"/>
      <c r="G255" s="1306"/>
      <c r="H255" s="1306"/>
      <c r="I255" s="1306"/>
      <c r="J255" s="1306"/>
      <c r="K255" s="1306"/>
      <c r="L255" s="1306"/>
      <c r="M255" s="1307"/>
      <c r="N255" s="968"/>
      <c r="O255" s="969"/>
      <c r="P255" s="969"/>
      <c r="Q255" s="969"/>
      <c r="R255" s="969"/>
      <c r="S255" s="969"/>
      <c r="T255" s="969"/>
      <c r="U255" s="969"/>
      <c r="V255" s="969"/>
      <c r="W255" s="969"/>
      <c r="X255" s="969"/>
      <c r="Y255" s="969"/>
      <c r="Z255" s="970"/>
      <c r="AC255" s="131"/>
      <c r="AZ255" s="131"/>
    </row>
    <row r="256" spans="2:52" s="130" customFormat="1" ht="367.5" customHeight="1" thickBot="1" x14ac:dyDescent="0.3">
      <c r="B256" s="979" t="str">
        <f>'Description of Incidents'!A389</f>
        <v>1254 G31N</v>
      </c>
      <c r="C256" s="980"/>
      <c r="D256" s="1308"/>
      <c r="E256" s="1309"/>
      <c r="F256" s="1309"/>
      <c r="G256" s="1309"/>
      <c r="H256" s="1309"/>
      <c r="I256" s="1309"/>
      <c r="J256" s="1309"/>
      <c r="K256" s="1309"/>
      <c r="L256" s="1309"/>
      <c r="M256" s="1310"/>
      <c r="N256" s="968"/>
      <c r="O256" s="969"/>
      <c r="P256" s="969"/>
      <c r="Q256" s="969"/>
      <c r="R256" s="969"/>
      <c r="S256" s="969"/>
      <c r="T256" s="969"/>
      <c r="U256" s="969"/>
      <c r="V256" s="969"/>
      <c r="W256" s="969"/>
      <c r="X256" s="969"/>
      <c r="Y256" s="969"/>
      <c r="Z256" s="970"/>
    </row>
    <row r="257" spans="2:29" s="130" customFormat="1" ht="352.5" customHeight="1" x14ac:dyDescent="0.25">
      <c r="B257" s="1115" t="str">
        <f>'Description of Incidents'!A390</f>
        <v>BANGUIYAO, DIONISIO</v>
      </c>
      <c r="C257" s="1116"/>
      <c r="D257" s="939" t="s">
        <v>2347</v>
      </c>
      <c r="E257" s="940"/>
      <c r="F257" s="940"/>
      <c r="G257" s="940"/>
      <c r="H257" s="940"/>
      <c r="I257" s="940"/>
      <c r="J257" s="940"/>
      <c r="K257" s="940"/>
      <c r="L257" s="940"/>
      <c r="M257" s="941"/>
      <c r="N257" s="956" t="s">
        <v>2370</v>
      </c>
      <c r="O257" s="957"/>
      <c r="P257" s="957"/>
      <c r="Q257" s="957"/>
      <c r="R257" s="957"/>
      <c r="S257" s="957"/>
      <c r="T257" s="957"/>
      <c r="U257" s="957"/>
      <c r="V257" s="957"/>
      <c r="W257" s="957"/>
      <c r="X257" s="957"/>
      <c r="Y257" s="957"/>
      <c r="Z257" s="958"/>
    </row>
    <row r="258" spans="2:29" s="130" customFormat="1" ht="352.5" customHeight="1" x14ac:dyDescent="0.25">
      <c r="B258" s="1117" t="str">
        <f>'Description of Incidents'!A391</f>
        <v>Struck by Object</v>
      </c>
      <c r="C258" s="1118"/>
      <c r="D258" s="942"/>
      <c r="E258" s="943"/>
      <c r="F258" s="943"/>
      <c r="G258" s="943"/>
      <c r="H258" s="943"/>
      <c r="I258" s="943"/>
      <c r="J258" s="943"/>
      <c r="K258" s="943"/>
      <c r="L258" s="943"/>
      <c r="M258" s="944"/>
      <c r="N258" s="959"/>
      <c r="O258" s="960"/>
      <c r="P258" s="960"/>
      <c r="Q258" s="960"/>
      <c r="R258" s="960"/>
      <c r="S258" s="960"/>
      <c r="T258" s="960"/>
      <c r="U258" s="960"/>
      <c r="V258" s="960"/>
      <c r="W258" s="960"/>
      <c r="X258" s="960"/>
      <c r="Y258" s="960"/>
      <c r="Z258" s="961"/>
      <c r="AC258" s="131"/>
    </row>
    <row r="259" spans="2:29" s="130" customFormat="1" ht="352.5" customHeight="1" thickBot="1" x14ac:dyDescent="0.3">
      <c r="B259" s="1119" t="str">
        <f>'Description of Incidents'!A392</f>
        <v>207K Ramp</v>
      </c>
      <c r="C259" s="1120"/>
      <c r="D259" s="945"/>
      <c r="E259" s="946"/>
      <c r="F259" s="946"/>
      <c r="G259" s="946"/>
      <c r="H259" s="946"/>
      <c r="I259" s="946"/>
      <c r="J259" s="946"/>
      <c r="K259" s="946"/>
      <c r="L259" s="946"/>
      <c r="M259" s="947"/>
      <c r="N259" s="962"/>
      <c r="O259" s="963"/>
      <c r="P259" s="963"/>
      <c r="Q259" s="963"/>
      <c r="R259" s="963"/>
      <c r="S259" s="963"/>
      <c r="T259" s="963"/>
      <c r="U259" s="963"/>
      <c r="V259" s="963"/>
      <c r="W259" s="963"/>
      <c r="X259" s="963"/>
      <c r="Y259" s="963"/>
      <c r="Z259" s="964"/>
    </row>
    <row r="260" spans="2:29" s="130" customFormat="1" ht="87.5" hidden="1" x14ac:dyDescent="0.25">
      <c r="B260" s="1115" t="str">
        <f>'Description of Incidents'!A344</f>
        <v>Brief Description of Incident (s):</v>
      </c>
      <c r="C260" s="1116"/>
      <c r="D260" s="939"/>
      <c r="E260" s="940"/>
      <c r="F260" s="940"/>
      <c r="G260" s="940"/>
      <c r="H260" s="940"/>
      <c r="I260" s="940"/>
      <c r="J260" s="940"/>
      <c r="K260" s="940"/>
      <c r="L260" s="940"/>
      <c r="M260" s="941"/>
      <c r="N260" s="939"/>
      <c r="O260" s="940"/>
      <c r="P260" s="940"/>
      <c r="Q260" s="940"/>
      <c r="R260" s="940"/>
      <c r="S260" s="940"/>
      <c r="T260" s="940"/>
      <c r="U260" s="940"/>
      <c r="V260" s="940"/>
      <c r="W260" s="940"/>
      <c r="X260" s="940"/>
      <c r="Y260" s="940"/>
      <c r="Z260" s="941"/>
    </row>
    <row r="261" spans="2:29" s="130" customFormat="1" ht="89.5" hidden="1" x14ac:dyDescent="0.25">
      <c r="B261" s="1117" t="str">
        <f>'Description of Incidents'!A345</f>
        <v>ROWELL C. DELA CRUZ</v>
      </c>
      <c r="C261" s="1118"/>
      <c r="D261" s="942"/>
      <c r="E261" s="943"/>
      <c r="F261" s="943"/>
      <c r="G261" s="943"/>
      <c r="H261" s="943"/>
      <c r="I261" s="943"/>
      <c r="J261" s="943"/>
      <c r="K261" s="943"/>
      <c r="L261" s="943"/>
      <c r="M261" s="944"/>
      <c r="N261" s="942"/>
      <c r="O261" s="943"/>
      <c r="P261" s="943"/>
      <c r="Q261" s="943"/>
      <c r="R261" s="943"/>
      <c r="S261" s="943"/>
      <c r="T261" s="943"/>
      <c r="U261" s="943"/>
      <c r="V261" s="943"/>
      <c r="W261" s="943"/>
      <c r="X261" s="943"/>
      <c r="Y261" s="943"/>
      <c r="Z261" s="944"/>
      <c r="AC261" s="131"/>
    </row>
    <row r="262" spans="2:29" s="130" customFormat="1" ht="90" hidden="1" thickBot="1" x14ac:dyDescent="0.3">
      <c r="B262" s="1119" t="str">
        <f>'Description of Incidents'!A346</f>
        <v>Eye Contact with Foreign Object</v>
      </c>
      <c r="C262" s="1120"/>
      <c r="D262" s="945"/>
      <c r="E262" s="946"/>
      <c r="F262" s="946"/>
      <c r="G262" s="946"/>
      <c r="H262" s="946"/>
      <c r="I262" s="946"/>
      <c r="J262" s="946"/>
      <c r="K262" s="946"/>
      <c r="L262" s="946"/>
      <c r="M262" s="947"/>
      <c r="N262" s="945"/>
      <c r="O262" s="946"/>
      <c r="P262" s="946"/>
      <c r="Q262" s="946"/>
      <c r="R262" s="946"/>
      <c r="S262" s="946"/>
      <c r="T262" s="946"/>
      <c r="U262" s="946"/>
      <c r="V262" s="946"/>
      <c r="W262" s="946"/>
      <c r="X262" s="946"/>
      <c r="Y262" s="946"/>
      <c r="Z262" s="947"/>
    </row>
    <row r="263" spans="2:29" s="130" customFormat="1" ht="87.5" hidden="1" x14ac:dyDescent="0.25">
      <c r="B263" s="975" t="str">
        <f>'Description of Incidents'!A347</f>
        <v>Flocculant Tank Area</v>
      </c>
      <c r="C263" s="976"/>
      <c r="D263" s="924"/>
      <c r="E263" s="925"/>
      <c r="F263" s="925"/>
      <c r="G263" s="925"/>
      <c r="H263" s="925"/>
      <c r="I263" s="925"/>
      <c r="J263" s="925"/>
      <c r="K263" s="925"/>
      <c r="L263" s="925"/>
      <c r="M263" s="926"/>
      <c r="N263" s="924"/>
      <c r="O263" s="925"/>
      <c r="P263" s="925"/>
      <c r="Q263" s="925"/>
      <c r="R263" s="925"/>
      <c r="S263" s="925"/>
      <c r="T263" s="925"/>
      <c r="U263" s="925"/>
      <c r="V263" s="925"/>
      <c r="W263" s="925"/>
      <c r="X263" s="925"/>
      <c r="Y263" s="925"/>
      <c r="Z263" s="926"/>
    </row>
    <row r="264" spans="2:29" s="130" customFormat="1" ht="89.5" hidden="1" x14ac:dyDescent="0.25">
      <c r="B264" s="977" t="str">
        <f>'Description of Incidents'!A348</f>
        <v>JUNJUN PATTONDOC</v>
      </c>
      <c r="C264" s="978"/>
      <c r="D264" s="927"/>
      <c r="E264" s="928"/>
      <c r="F264" s="928"/>
      <c r="G264" s="928"/>
      <c r="H264" s="928"/>
      <c r="I264" s="928"/>
      <c r="J264" s="928"/>
      <c r="K264" s="928"/>
      <c r="L264" s="928"/>
      <c r="M264" s="929"/>
      <c r="N264" s="927"/>
      <c r="O264" s="928"/>
      <c r="P264" s="928"/>
      <c r="Q264" s="928"/>
      <c r="R264" s="928"/>
      <c r="S264" s="928"/>
      <c r="T264" s="928"/>
      <c r="U264" s="928"/>
      <c r="V264" s="928"/>
      <c r="W264" s="928"/>
      <c r="X264" s="928"/>
      <c r="Y264" s="928"/>
      <c r="Z264" s="929"/>
      <c r="AC264" s="131"/>
    </row>
    <row r="265" spans="2:29" s="130" customFormat="1" ht="90" hidden="1" thickBot="1" x14ac:dyDescent="0.3">
      <c r="B265" s="979" t="str">
        <f>'Description of Incidents'!A349</f>
        <v>Contact with Object</v>
      </c>
      <c r="C265" s="980"/>
      <c r="D265" s="930"/>
      <c r="E265" s="931"/>
      <c r="F265" s="931"/>
      <c r="G265" s="931"/>
      <c r="H265" s="931"/>
      <c r="I265" s="931"/>
      <c r="J265" s="931"/>
      <c r="K265" s="931"/>
      <c r="L265" s="931"/>
      <c r="M265" s="932"/>
      <c r="N265" s="930"/>
      <c r="O265" s="931"/>
      <c r="P265" s="931"/>
      <c r="Q265" s="931"/>
      <c r="R265" s="931"/>
      <c r="S265" s="931"/>
      <c r="T265" s="931"/>
      <c r="U265" s="931"/>
      <c r="V265" s="931"/>
      <c r="W265" s="931"/>
      <c r="X265" s="931"/>
      <c r="Y265" s="931"/>
      <c r="Z265" s="932"/>
    </row>
    <row r="266" spans="2:29" s="130" customFormat="1" ht="87.5" hidden="1" x14ac:dyDescent="0.25">
      <c r="B266" s="1115" t="str">
        <f>'Description of Incidents'!A350</f>
        <v>Carpentry Shop</v>
      </c>
      <c r="C266" s="1116"/>
      <c r="D266" s="939"/>
      <c r="E266" s="940"/>
      <c r="F266" s="940"/>
      <c r="G266" s="940"/>
      <c r="H266" s="940"/>
      <c r="I266" s="940"/>
      <c r="J266" s="940"/>
      <c r="K266" s="940"/>
      <c r="L266" s="940"/>
      <c r="M266" s="941"/>
      <c r="N266" s="939"/>
      <c r="O266" s="940"/>
      <c r="P266" s="940"/>
      <c r="Q266" s="940"/>
      <c r="R266" s="940"/>
      <c r="S266" s="940"/>
      <c r="T266" s="940"/>
      <c r="U266" s="940"/>
      <c r="V266" s="940"/>
      <c r="W266" s="940"/>
      <c r="X266" s="940"/>
      <c r="Y266" s="940"/>
      <c r="Z266" s="941"/>
    </row>
    <row r="267" spans="2:29" s="130" customFormat="1" ht="89.5" hidden="1" x14ac:dyDescent="0.25">
      <c r="B267" s="1117" t="e">
        <f>'Description of Incidents'!#REF!</f>
        <v>#REF!</v>
      </c>
      <c r="C267" s="1118"/>
      <c r="D267" s="942"/>
      <c r="E267" s="943"/>
      <c r="F267" s="943"/>
      <c r="G267" s="943"/>
      <c r="H267" s="943"/>
      <c r="I267" s="943"/>
      <c r="J267" s="943"/>
      <c r="K267" s="943"/>
      <c r="L267" s="943"/>
      <c r="M267" s="944"/>
      <c r="N267" s="942"/>
      <c r="O267" s="943"/>
      <c r="P267" s="943"/>
      <c r="Q267" s="943"/>
      <c r="R267" s="943"/>
      <c r="S267" s="943"/>
      <c r="T267" s="943"/>
      <c r="U267" s="943"/>
      <c r="V267" s="943"/>
      <c r="W267" s="943"/>
      <c r="X267" s="943"/>
      <c r="Y267" s="943"/>
      <c r="Z267" s="944"/>
      <c r="AC267" s="131"/>
    </row>
    <row r="268" spans="2:29" s="130" customFormat="1" ht="90" hidden="1" thickBot="1" x14ac:dyDescent="0.3">
      <c r="B268" s="1119" t="e">
        <f>'Description of Incidents'!#REF!</f>
        <v>#REF!</v>
      </c>
      <c r="C268" s="1120"/>
      <c r="D268" s="945"/>
      <c r="E268" s="946"/>
      <c r="F268" s="946"/>
      <c r="G268" s="946"/>
      <c r="H268" s="946"/>
      <c r="I268" s="946"/>
      <c r="J268" s="946"/>
      <c r="K268" s="946"/>
      <c r="L268" s="946"/>
      <c r="M268" s="947"/>
      <c r="N268" s="945"/>
      <c r="O268" s="946"/>
      <c r="P268" s="946"/>
      <c r="Q268" s="946"/>
      <c r="R268" s="946"/>
      <c r="S268" s="946"/>
      <c r="T268" s="946"/>
      <c r="U268" s="946"/>
      <c r="V268" s="946"/>
      <c r="W268" s="946"/>
      <c r="X268" s="946"/>
      <c r="Y268" s="946"/>
      <c r="Z268" s="947"/>
    </row>
    <row r="269" spans="2:29" s="130" customFormat="1" ht="87.5" hidden="1" x14ac:dyDescent="0.25">
      <c r="B269" s="975" t="e">
        <f>'Description of Incidents'!#REF!</f>
        <v>#REF!</v>
      </c>
      <c r="C269" s="976"/>
      <c r="D269" s="924"/>
      <c r="E269" s="925"/>
      <c r="F269" s="925"/>
      <c r="G269" s="925"/>
      <c r="H269" s="925"/>
      <c r="I269" s="925"/>
      <c r="J269" s="925"/>
      <c r="K269" s="925"/>
      <c r="L269" s="925"/>
      <c r="M269" s="926"/>
      <c r="N269" s="924"/>
      <c r="O269" s="925"/>
      <c r="P269" s="925"/>
      <c r="Q269" s="925"/>
      <c r="R269" s="925"/>
      <c r="S269" s="925"/>
      <c r="T269" s="925"/>
      <c r="U269" s="925"/>
      <c r="V269" s="925"/>
      <c r="W269" s="925"/>
      <c r="X269" s="925"/>
      <c r="Y269" s="925"/>
      <c r="Z269" s="926"/>
    </row>
    <row r="270" spans="2:29" s="130" customFormat="1" ht="89.5" hidden="1" x14ac:dyDescent="0.25">
      <c r="B270" s="977" t="str">
        <f>'Description of Incidents'!A351</f>
        <v>HARLEM B. BALONG</v>
      </c>
      <c r="C270" s="978"/>
      <c r="D270" s="927"/>
      <c r="E270" s="928"/>
      <c r="F270" s="928"/>
      <c r="G270" s="928"/>
      <c r="H270" s="928"/>
      <c r="I270" s="928"/>
      <c r="J270" s="928"/>
      <c r="K270" s="928"/>
      <c r="L270" s="928"/>
      <c r="M270" s="929"/>
      <c r="N270" s="927"/>
      <c r="O270" s="928"/>
      <c r="P270" s="928"/>
      <c r="Q270" s="928"/>
      <c r="R270" s="928"/>
      <c r="S270" s="928"/>
      <c r="T270" s="928"/>
      <c r="U270" s="928"/>
      <c r="V270" s="928"/>
      <c r="W270" s="928"/>
      <c r="X270" s="928"/>
      <c r="Y270" s="928"/>
      <c r="Z270" s="929"/>
      <c r="AC270" s="131"/>
    </row>
    <row r="271" spans="2:29" s="130" customFormat="1" ht="90" hidden="1" thickBot="1" x14ac:dyDescent="0.3">
      <c r="B271" s="979" t="str">
        <f>'Description of Incidents'!A352</f>
        <v>Over-Exertion in Lifting Objects</v>
      </c>
      <c r="C271" s="980"/>
      <c r="D271" s="930"/>
      <c r="E271" s="931"/>
      <c r="F271" s="931"/>
      <c r="G271" s="931"/>
      <c r="H271" s="931"/>
      <c r="I271" s="931"/>
      <c r="J271" s="931"/>
      <c r="K271" s="931"/>
      <c r="L271" s="931"/>
      <c r="M271" s="932"/>
      <c r="N271" s="930"/>
      <c r="O271" s="931"/>
      <c r="P271" s="931"/>
      <c r="Q271" s="931"/>
      <c r="R271" s="931"/>
      <c r="S271" s="931"/>
      <c r="T271" s="931"/>
      <c r="U271" s="931"/>
      <c r="V271" s="931"/>
      <c r="W271" s="931"/>
      <c r="X271" s="931"/>
      <c r="Y271" s="931"/>
      <c r="Z271" s="932"/>
    </row>
    <row r="272" spans="2:29" s="130" customFormat="1" ht="87.5" hidden="1" x14ac:dyDescent="0.25">
      <c r="B272" s="1115" t="str">
        <f>'Description of Incidents'!A353</f>
        <v>Symone Cone Crusher No. 2</v>
      </c>
      <c r="C272" s="1116"/>
      <c r="D272" s="939"/>
      <c r="E272" s="940"/>
      <c r="F272" s="940"/>
      <c r="G272" s="940"/>
      <c r="H272" s="940"/>
      <c r="I272" s="940"/>
      <c r="J272" s="940"/>
      <c r="K272" s="940"/>
      <c r="L272" s="940"/>
      <c r="M272" s="941"/>
      <c r="N272" s="939"/>
      <c r="O272" s="940"/>
      <c r="P272" s="940"/>
      <c r="Q272" s="940"/>
      <c r="R272" s="940"/>
      <c r="S272" s="940"/>
      <c r="T272" s="940"/>
      <c r="U272" s="940"/>
      <c r="V272" s="940"/>
      <c r="W272" s="940"/>
      <c r="X272" s="940"/>
      <c r="Y272" s="940"/>
      <c r="Z272" s="941"/>
    </row>
    <row r="273" spans="2:29" s="130" customFormat="1" ht="89.5" hidden="1" x14ac:dyDescent="0.25">
      <c r="B273" s="1117" t="str">
        <f>'Description of Incidents'!A354</f>
        <v>AGOSTO P. MIGUEL</v>
      </c>
      <c r="C273" s="1118"/>
      <c r="D273" s="942"/>
      <c r="E273" s="943"/>
      <c r="F273" s="943"/>
      <c r="G273" s="943"/>
      <c r="H273" s="943"/>
      <c r="I273" s="943"/>
      <c r="J273" s="943"/>
      <c r="K273" s="943"/>
      <c r="L273" s="943"/>
      <c r="M273" s="944"/>
      <c r="N273" s="942"/>
      <c r="O273" s="943"/>
      <c r="P273" s="943"/>
      <c r="Q273" s="943"/>
      <c r="R273" s="943"/>
      <c r="S273" s="943"/>
      <c r="T273" s="943"/>
      <c r="U273" s="943"/>
      <c r="V273" s="943"/>
      <c r="W273" s="943"/>
      <c r="X273" s="943"/>
      <c r="Y273" s="943"/>
      <c r="Z273" s="944"/>
      <c r="AC273" s="131"/>
    </row>
    <row r="274" spans="2:29" s="130" customFormat="1" ht="90" hidden="1" thickBot="1" x14ac:dyDescent="0.3">
      <c r="B274" s="1119" t="str">
        <f>'Description of Incidents'!A355</f>
        <v>Struck by Object</v>
      </c>
      <c r="C274" s="1120"/>
      <c r="D274" s="945"/>
      <c r="E274" s="946"/>
      <c r="F274" s="946"/>
      <c r="G274" s="946"/>
      <c r="H274" s="946"/>
      <c r="I274" s="946"/>
      <c r="J274" s="946"/>
      <c r="K274" s="946"/>
      <c r="L274" s="946"/>
      <c r="M274" s="947"/>
      <c r="N274" s="945"/>
      <c r="O274" s="946"/>
      <c r="P274" s="946"/>
      <c r="Q274" s="946"/>
      <c r="R274" s="946"/>
      <c r="S274" s="946"/>
      <c r="T274" s="946"/>
      <c r="U274" s="946"/>
      <c r="V274" s="946"/>
      <c r="W274" s="946"/>
      <c r="X274" s="946"/>
      <c r="Y274" s="946"/>
      <c r="Z274" s="947"/>
    </row>
    <row r="276" spans="2:29" x14ac:dyDescent="0.25">
      <c r="N276" s="128" t="s">
        <v>2172</v>
      </c>
    </row>
  </sheetData>
  <autoFilter ref="A5:AZ5" xr:uid="{EDC8D351-135A-4E71-8318-BD7E28A4161F}">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autoFilter>
  <mergeCells count="569">
    <mergeCell ref="Z3:Z4"/>
    <mergeCell ref="B5:Z5"/>
    <mergeCell ref="N3:N4"/>
    <mergeCell ref="O3:O4"/>
    <mergeCell ref="P3:P4"/>
    <mergeCell ref="Q3:Q4"/>
    <mergeCell ref="R3:R4"/>
    <mergeCell ref="S3:S4"/>
    <mergeCell ref="B1:Z1"/>
    <mergeCell ref="B2:Z2"/>
    <mergeCell ref="B3:C4"/>
    <mergeCell ref="D3:D4"/>
    <mergeCell ref="E3:E4"/>
    <mergeCell ref="F3:G4"/>
    <mergeCell ref="H3:H4"/>
    <mergeCell ref="I3:I4"/>
    <mergeCell ref="J3:K4"/>
    <mergeCell ref="L3:M4"/>
    <mergeCell ref="B6:C6"/>
    <mergeCell ref="F6:G6"/>
    <mergeCell ref="J6:K6"/>
    <mergeCell ref="L6:M6"/>
    <mergeCell ref="T6:U6"/>
    <mergeCell ref="X6:Y6"/>
    <mergeCell ref="T3:U4"/>
    <mergeCell ref="V3:V4"/>
    <mergeCell ref="W3:W4"/>
    <mergeCell ref="X3:Y4"/>
    <mergeCell ref="B8:C8"/>
    <mergeCell ref="F8:G8"/>
    <mergeCell ref="J8:K8"/>
    <mergeCell ref="L8:M8"/>
    <mergeCell ref="T8:U8"/>
    <mergeCell ref="X8:Y8"/>
    <mergeCell ref="B7:C7"/>
    <mergeCell ref="F7:G7"/>
    <mergeCell ref="J7:K7"/>
    <mergeCell ref="L7:M7"/>
    <mergeCell ref="T7:U7"/>
    <mergeCell ref="X7:Y7"/>
    <mergeCell ref="B10:C10"/>
    <mergeCell ref="F10:G10"/>
    <mergeCell ref="J10:K10"/>
    <mergeCell ref="L10:M10"/>
    <mergeCell ref="T10:U10"/>
    <mergeCell ref="X10:Y10"/>
    <mergeCell ref="B9:C9"/>
    <mergeCell ref="F9:G9"/>
    <mergeCell ref="J9:K9"/>
    <mergeCell ref="L9:M9"/>
    <mergeCell ref="T9:U9"/>
    <mergeCell ref="X9:Y9"/>
    <mergeCell ref="B12:C12"/>
    <mergeCell ref="F12:G12"/>
    <mergeCell ref="J12:K12"/>
    <mergeCell ref="L12:M12"/>
    <mergeCell ref="T12:U12"/>
    <mergeCell ref="X12:Y12"/>
    <mergeCell ref="B11:C11"/>
    <mergeCell ref="F11:G11"/>
    <mergeCell ref="J11:K11"/>
    <mergeCell ref="L11:M11"/>
    <mergeCell ref="T11:U11"/>
    <mergeCell ref="X11:Y11"/>
    <mergeCell ref="X17:Y17"/>
    <mergeCell ref="B15:Z15"/>
    <mergeCell ref="B16:C16"/>
    <mergeCell ref="F16:G16"/>
    <mergeCell ref="J16:K16"/>
    <mergeCell ref="L16:M16"/>
    <mergeCell ref="T16:U16"/>
    <mergeCell ref="X16:Y16"/>
    <mergeCell ref="B13:C13"/>
    <mergeCell ref="F13:G13"/>
    <mergeCell ref="J13:K13"/>
    <mergeCell ref="L13:M13"/>
    <mergeCell ref="T13:U13"/>
    <mergeCell ref="X13:Y13"/>
    <mergeCell ref="B23:C23"/>
    <mergeCell ref="F23:G23"/>
    <mergeCell ref="J23:K23"/>
    <mergeCell ref="L23:M23"/>
    <mergeCell ref="T23:U23"/>
    <mergeCell ref="X23:Y23"/>
    <mergeCell ref="B21:Z21"/>
    <mergeCell ref="B22:C22"/>
    <mergeCell ref="F22:G22"/>
    <mergeCell ref="J22:K22"/>
    <mergeCell ref="L22:M22"/>
    <mergeCell ref="T22:U22"/>
    <mergeCell ref="X22:Y22"/>
    <mergeCell ref="B26:C26"/>
    <mergeCell ref="N26:P26"/>
    <mergeCell ref="B27:C27"/>
    <mergeCell ref="N27:P27"/>
    <mergeCell ref="B28:C28"/>
    <mergeCell ref="N28:P28"/>
    <mergeCell ref="B24:Z24"/>
    <mergeCell ref="B25:C25"/>
    <mergeCell ref="F25:G25"/>
    <mergeCell ref="J25:K25"/>
    <mergeCell ref="L25:M25"/>
    <mergeCell ref="T25:U25"/>
    <mergeCell ref="X25:Y25"/>
    <mergeCell ref="N33:P33"/>
    <mergeCell ref="B34:C34"/>
    <mergeCell ref="N34:P34"/>
    <mergeCell ref="B29:C29"/>
    <mergeCell ref="N29:P29"/>
    <mergeCell ref="B30:C30"/>
    <mergeCell ref="N30:P30"/>
    <mergeCell ref="B31:C31"/>
    <mergeCell ref="N31:P31"/>
    <mergeCell ref="B46:C46"/>
    <mergeCell ref="N46:P46"/>
    <mergeCell ref="B47:C47"/>
    <mergeCell ref="N47:P47"/>
    <mergeCell ref="B48:C48"/>
    <mergeCell ref="N48:P48"/>
    <mergeCell ref="B42:C42"/>
    <mergeCell ref="N42:P42"/>
    <mergeCell ref="B43:C43"/>
    <mergeCell ref="N43:P43"/>
    <mergeCell ref="B44:C44"/>
    <mergeCell ref="N44:P44"/>
    <mergeCell ref="B52:C52"/>
    <mergeCell ref="N52:P52"/>
    <mergeCell ref="B53:C53"/>
    <mergeCell ref="N53:P53"/>
    <mergeCell ref="B54:C54"/>
    <mergeCell ref="N54:P54"/>
    <mergeCell ref="B49:C49"/>
    <mergeCell ref="N49:P49"/>
    <mergeCell ref="B50:C50"/>
    <mergeCell ref="N50:P50"/>
    <mergeCell ref="B51:C51"/>
    <mergeCell ref="N51:P51"/>
    <mergeCell ref="B58:C58"/>
    <mergeCell ref="N58:P58"/>
    <mergeCell ref="B59:C59"/>
    <mergeCell ref="N59:P59"/>
    <mergeCell ref="B60:C60"/>
    <mergeCell ref="N60:P60"/>
    <mergeCell ref="B55:C55"/>
    <mergeCell ref="N55:P55"/>
    <mergeCell ref="B56:C56"/>
    <mergeCell ref="N56:P56"/>
    <mergeCell ref="B57:C57"/>
    <mergeCell ref="N57:P57"/>
    <mergeCell ref="B64:C64"/>
    <mergeCell ref="N64:P64"/>
    <mergeCell ref="B65:C65"/>
    <mergeCell ref="N65:P65"/>
    <mergeCell ref="B67:C67"/>
    <mergeCell ref="N67:P67"/>
    <mergeCell ref="B61:C61"/>
    <mergeCell ref="N61:P61"/>
    <mergeCell ref="B62:C62"/>
    <mergeCell ref="N62:P62"/>
    <mergeCell ref="B63:C63"/>
    <mergeCell ref="N63:P63"/>
    <mergeCell ref="B66:C66"/>
    <mergeCell ref="N66:P66"/>
    <mergeCell ref="B72:C72"/>
    <mergeCell ref="N72:P72"/>
    <mergeCell ref="B73:C73"/>
    <mergeCell ref="N73:P73"/>
    <mergeCell ref="B74:C74"/>
    <mergeCell ref="N74:P74"/>
    <mergeCell ref="B68:C68"/>
    <mergeCell ref="N68:P68"/>
    <mergeCell ref="B69:C69"/>
    <mergeCell ref="N69:P69"/>
    <mergeCell ref="B70:C70"/>
    <mergeCell ref="N70:P70"/>
    <mergeCell ref="B71:C71"/>
    <mergeCell ref="N71:P71"/>
    <mergeCell ref="B75:C75"/>
    <mergeCell ref="N75:P75"/>
    <mergeCell ref="B76:C91"/>
    <mergeCell ref="D76:D91"/>
    <mergeCell ref="E76:E91"/>
    <mergeCell ref="F76:F91"/>
    <mergeCell ref="G76:G91"/>
    <mergeCell ref="H76:H91"/>
    <mergeCell ref="I76:I91"/>
    <mergeCell ref="J76:J91"/>
    <mergeCell ref="N86:P86"/>
    <mergeCell ref="N87:P87"/>
    <mergeCell ref="N88:P88"/>
    <mergeCell ref="N89:P89"/>
    <mergeCell ref="N90:P90"/>
    <mergeCell ref="N91:P91"/>
    <mergeCell ref="K76:K91"/>
    <mergeCell ref="L76:L91"/>
    <mergeCell ref="M76:M91"/>
    <mergeCell ref="N76:P76"/>
    <mergeCell ref="N79:P79"/>
    <mergeCell ref="N80:P80"/>
    <mergeCell ref="N81:P81"/>
    <mergeCell ref="N82:P82"/>
    <mergeCell ref="N83:P83"/>
    <mergeCell ref="N85:P85"/>
    <mergeCell ref="I92:I111"/>
    <mergeCell ref="J92:J111"/>
    <mergeCell ref="K92:K111"/>
    <mergeCell ref="L92:L110"/>
    <mergeCell ref="M92:M111"/>
    <mergeCell ref="N92:P92"/>
    <mergeCell ref="N93:P93"/>
    <mergeCell ref="N94:P94"/>
    <mergeCell ref="N123:P123"/>
    <mergeCell ref="G92:G111"/>
    <mergeCell ref="H92:H111"/>
    <mergeCell ref="N103:P103"/>
    <mergeCell ref="N105:P105"/>
    <mergeCell ref="N106:P106"/>
    <mergeCell ref="N107:P107"/>
    <mergeCell ref="N108:P108"/>
    <mergeCell ref="N109:P109"/>
    <mergeCell ref="N95:P95"/>
    <mergeCell ref="N96:P96"/>
    <mergeCell ref="N132:P132"/>
    <mergeCell ref="B92:C111"/>
    <mergeCell ref="D92:D111"/>
    <mergeCell ref="E92:E111"/>
    <mergeCell ref="F92:F111"/>
    <mergeCell ref="N119:P119"/>
    <mergeCell ref="N120:P120"/>
    <mergeCell ref="N121:P121"/>
    <mergeCell ref="N97:P97"/>
    <mergeCell ref="N98:P98"/>
    <mergeCell ref="N99:P99"/>
    <mergeCell ref="N100:P100"/>
    <mergeCell ref="N101:P101"/>
    <mergeCell ref="N102:P102"/>
    <mergeCell ref="N110:P110"/>
    <mergeCell ref="N111:P111"/>
    <mergeCell ref="B112:C132"/>
    <mergeCell ref="D112:D132"/>
    <mergeCell ref="E112:E132"/>
    <mergeCell ref="F112:F132"/>
    <mergeCell ref="G112:G132"/>
    <mergeCell ref="H112:H132"/>
    <mergeCell ref="I112:I132"/>
    <mergeCell ref="N122:P122"/>
    <mergeCell ref="B133:C133"/>
    <mergeCell ref="N133:P133"/>
    <mergeCell ref="B134:C134"/>
    <mergeCell ref="N134:P134"/>
    <mergeCell ref="B135:C135"/>
    <mergeCell ref="N135:P135"/>
    <mergeCell ref="N125:P125"/>
    <mergeCell ref="N126:P126"/>
    <mergeCell ref="N127:P127"/>
    <mergeCell ref="N129:P129"/>
    <mergeCell ref="N130:P130"/>
    <mergeCell ref="N131:P131"/>
    <mergeCell ref="J112:J132"/>
    <mergeCell ref="N124:P124"/>
    <mergeCell ref="K112:K132"/>
    <mergeCell ref="L112:L132"/>
    <mergeCell ref="M112:M132"/>
    <mergeCell ref="N112:P112"/>
    <mergeCell ref="N113:P113"/>
    <mergeCell ref="N114:P114"/>
    <mergeCell ref="N115:P115"/>
    <mergeCell ref="N116:P116"/>
    <mergeCell ref="N117:P117"/>
    <mergeCell ref="N118:P118"/>
    <mergeCell ref="B141:C141"/>
    <mergeCell ref="N141:P141"/>
    <mergeCell ref="B142:C142"/>
    <mergeCell ref="N142:P142"/>
    <mergeCell ref="B143:C143"/>
    <mergeCell ref="N143:P143"/>
    <mergeCell ref="B136:C136"/>
    <mergeCell ref="N136:P136"/>
    <mergeCell ref="B139:C139"/>
    <mergeCell ref="N139:P139"/>
    <mergeCell ref="B140:C140"/>
    <mergeCell ref="N140:P140"/>
    <mergeCell ref="B149:C149"/>
    <mergeCell ref="N149:P149"/>
    <mergeCell ref="B150:C150"/>
    <mergeCell ref="N150:P150"/>
    <mergeCell ref="B151:C151"/>
    <mergeCell ref="N151:P151"/>
    <mergeCell ref="B145:C145"/>
    <mergeCell ref="N145:P145"/>
    <mergeCell ref="B147:C147"/>
    <mergeCell ref="N147:P147"/>
    <mergeCell ref="B148:C148"/>
    <mergeCell ref="N148:P148"/>
    <mergeCell ref="B155:C155"/>
    <mergeCell ref="N155:P155"/>
    <mergeCell ref="B156:C156"/>
    <mergeCell ref="N156:P156"/>
    <mergeCell ref="B157:C157"/>
    <mergeCell ref="N157:P157"/>
    <mergeCell ref="B152:C152"/>
    <mergeCell ref="N152:P152"/>
    <mergeCell ref="B153:C153"/>
    <mergeCell ref="N153:P153"/>
    <mergeCell ref="B154:C154"/>
    <mergeCell ref="N154:P154"/>
    <mergeCell ref="B162:C162"/>
    <mergeCell ref="N173:P173"/>
    <mergeCell ref="B163:C163"/>
    <mergeCell ref="B164:C164"/>
    <mergeCell ref="B158:C158"/>
    <mergeCell ref="N158:P158"/>
    <mergeCell ref="B159:C159"/>
    <mergeCell ref="N159:P159"/>
    <mergeCell ref="B160:C160"/>
    <mergeCell ref="N160:P160"/>
    <mergeCell ref="N161:P161"/>
    <mergeCell ref="N162:P162"/>
    <mergeCell ref="B169:C169"/>
    <mergeCell ref="N169:P169"/>
    <mergeCell ref="B170:C170"/>
    <mergeCell ref="N170:P170"/>
    <mergeCell ref="B171:C171"/>
    <mergeCell ref="N171:P171"/>
    <mergeCell ref="B165:C165"/>
    <mergeCell ref="N163:P163"/>
    <mergeCell ref="B166:C166"/>
    <mergeCell ref="N164:P164"/>
    <mergeCell ref="B167:C167"/>
    <mergeCell ref="N167:P167"/>
    <mergeCell ref="N165:P165"/>
    <mergeCell ref="N166:P166"/>
    <mergeCell ref="B175:C175"/>
    <mergeCell ref="N175:P175"/>
    <mergeCell ref="B176:C176"/>
    <mergeCell ref="N176:P176"/>
    <mergeCell ref="B177:C177"/>
    <mergeCell ref="B178:C178"/>
    <mergeCell ref="B172:C172"/>
    <mergeCell ref="B173:C173"/>
    <mergeCell ref="B174:C174"/>
    <mergeCell ref="N174:P174"/>
    <mergeCell ref="B182:C182"/>
    <mergeCell ref="B183:C183"/>
    <mergeCell ref="B184:C184"/>
    <mergeCell ref="B185:C185"/>
    <mergeCell ref="B186:C186"/>
    <mergeCell ref="B187:C187"/>
    <mergeCell ref="B179:C179"/>
    <mergeCell ref="N179:P179"/>
    <mergeCell ref="B180:C180"/>
    <mergeCell ref="N180:P180"/>
    <mergeCell ref="B181:C181"/>
    <mergeCell ref="N181:P181"/>
    <mergeCell ref="B191:C191"/>
    <mergeCell ref="N191:P191"/>
    <mergeCell ref="B192:C192"/>
    <mergeCell ref="N192:P192"/>
    <mergeCell ref="B195:C195"/>
    <mergeCell ref="N195:P195"/>
    <mergeCell ref="B188:C188"/>
    <mergeCell ref="N188:P188"/>
    <mergeCell ref="B189:C189"/>
    <mergeCell ref="N189:P189"/>
    <mergeCell ref="B190:C190"/>
    <mergeCell ref="N190:P190"/>
    <mergeCell ref="B200:C200"/>
    <mergeCell ref="N200:P200"/>
    <mergeCell ref="B201:C201"/>
    <mergeCell ref="N201:P201"/>
    <mergeCell ref="B202:C202"/>
    <mergeCell ref="N202:P202"/>
    <mergeCell ref="B197:C197"/>
    <mergeCell ref="N197:P197"/>
    <mergeCell ref="B198:C198"/>
    <mergeCell ref="N198:P198"/>
    <mergeCell ref="B199:C199"/>
    <mergeCell ref="N199:P199"/>
    <mergeCell ref="B209:C209"/>
    <mergeCell ref="N209:P209"/>
    <mergeCell ref="B210:C210"/>
    <mergeCell ref="N210:P210"/>
    <mergeCell ref="B211:C211"/>
    <mergeCell ref="D211:M211"/>
    <mergeCell ref="N211:Z211"/>
    <mergeCell ref="B203:C203"/>
    <mergeCell ref="N203:P203"/>
    <mergeCell ref="B204:C204"/>
    <mergeCell ref="N204:P204"/>
    <mergeCell ref="B207:C207"/>
    <mergeCell ref="B208:C208"/>
    <mergeCell ref="N208:P208"/>
    <mergeCell ref="B212:C212"/>
    <mergeCell ref="D212:M214"/>
    <mergeCell ref="N212:Z214"/>
    <mergeCell ref="B213:C213"/>
    <mergeCell ref="B214:C214"/>
    <mergeCell ref="B215:C215"/>
    <mergeCell ref="D215:M217"/>
    <mergeCell ref="N215:Z217"/>
    <mergeCell ref="B216:C216"/>
    <mergeCell ref="B217:C217"/>
    <mergeCell ref="B218:C218"/>
    <mergeCell ref="D218:M220"/>
    <mergeCell ref="N218:Z220"/>
    <mergeCell ref="B219:C219"/>
    <mergeCell ref="B220:C220"/>
    <mergeCell ref="B221:C221"/>
    <mergeCell ref="D221:M223"/>
    <mergeCell ref="N221:Z223"/>
    <mergeCell ref="B222:C222"/>
    <mergeCell ref="B223:C223"/>
    <mergeCell ref="B232:C232"/>
    <mergeCell ref="B233:C233"/>
    <mergeCell ref="D233:M235"/>
    <mergeCell ref="N233:Z235"/>
    <mergeCell ref="B234:C234"/>
    <mergeCell ref="B235:C235"/>
    <mergeCell ref="B224:C224"/>
    <mergeCell ref="B225:C225"/>
    <mergeCell ref="B226:C226"/>
    <mergeCell ref="B227:C227"/>
    <mergeCell ref="B228:C228"/>
    <mergeCell ref="B229:C229"/>
    <mergeCell ref="B230:C230"/>
    <mergeCell ref="B231:C231"/>
    <mergeCell ref="D224:M226"/>
    <mergeCell ref="D227:M229"/>
    <mergeCell ref="N224:Z226"/>
    <mergeCell ref="N227:Z229"/>
    <mergeCell ref="D230:M232"/>
    <mergeCell ref="N230:Z232"/>
    <mergeCell ref="B236:C236"/>
    <mergeCell ref="D236:M238"/>
    <mergeCell ref="N236:Z238"/>
    <mergeCell ref="B237:C237"/>
    <mergeCell ref="B238:C238"/>
    <mergeCell ref="B239:C239"/>
    <mergeCell ref="D239:M241"/>
    <mergeCell ref="N239:Z241"/>
    <mergeCell ref="B240:C240"/>
    <mergeCell ref="B241:C241"/>
    <mergeCell ref="B242:C242"/>
    <mergeCell ref="D242:M244"/>
    <mergeCell ref="N242:Z244"/>
    <mergeCell ref="B243:C243"/>
    <mergeCell ref="B244:C244"/>
    <mergeCell ref="B245:C245"/>
    <mergeCell ref="D245:M247"/>
    <mergeCell ref="N245:Z247"/>
    <mergeCell ref="B246:C246"/>
    <mergeCell ref="B247:C247"/>
    <mergeCell ref="B248:C248"/>
    <mergeCell ref="D248:M250"/>
    <mergeCell ref="N248:Z250"/>
    <mergeCell ref="B249:C249"/>
    <mergeCell ref="B250:C250"/>
    <mergeCell ref="B251:C251"/>
    <mergeCell ref="D251:M253"/>
    <mergeCell ref="N251:Z253"/>
    <mergeCell ref="B252:C252"/>
    <mergeCell ref="B253:C253"/>
    <mergeCell ref="B254:C254"/>
    <mergeCell ref="D254:M256"/>
    <mergeCell ref="N254:Z256"/>
    <mergeCell ref="B255:C255"/>
    <mergeCell ref="B256:C256"/>
    <mergeCell ref="B257:C257"/>
    <mergeCell ref="D257:M259"/>
    <mergeCell ref="N257:Z259"/>
    <mergeCell ref="B258:C258"/>
    <mergeCell ref="B259:C259"/>
    <mergeCell ref="B260:C260"/>
    <mergeCell ref="D260:M262"/>
    <mergeCell ref="N260:Z262"/>
    <mergeCell ref="B261:C261"/>
    <mergeCell ref="B262:C262"/>
    <mergeCell ref="B263:C263"/>
    <mergeCell ref="D263:M265"/>
    <mergeCell ref="N263:Z265"/>
    <mergeCell ref="B264:C264"/>
    <mergeCell ref="B265:C265"/>
    <mergeCell ref="B272:C272"/>
    <mergeCell ref="D272:M274"/>
    <mergeCell ref="N272:Z274"/>
    <mergeCell ref="B273:C273"/>
    <mergeCell ref="B274:C274"/>
    <mergeCell ref="B266:C266"/>
    <mergeCell ref="D266:M268"/>
    <mergeCell ref="N266:Z268"/>
    <mergeCell ref="B267:C267"/>
    <mergeCell ref="B268:C268"/>
    <mergeCell ref="B269:C269"/>
    <mergeCell ref="D269:M271"/>
    <mergeCell ref="N269:Z271"/>
    <mergeCell ref="B270:C270"/>
    <mergeCell ref="B271:C271"/>
    <mergeCell ref="X20:Y20"/>
    <mergeCell ref="B14:C14"/>
    <mergeCell ref="F14:G14"/>
    <mergeCell ref="J14:K14"/>
    <mergeCell ref="L14:M14"/>
    <mergeCell ref="T14:U14"/>
    <mergeCell ref="X14:Y14"/>
    <mergeCell ref="B18:C18"/>
    <mergeCell ref="F18:G18"/>
    <mergeCell ref="J18:K18"/>
    <mergeCell ref="L18:M18"/>
    <mergeCell ref="T18:U18"/>
    <mergeCell ref="X18:Y18"/>
    <mergeCell ref="B19:C19"/>
    <mergeCell ref="F19:G19"/>
    <mergeCell ref="J19:K19"/>
    <mergeCell ref="L19:M19"/>
    <mergeCell ref="T19:U19"/>
    <mergeCell ref="X19:Y19"/>
    <mergeCell ref="B17:C17"/>
    <mergeCell ref="F17:G17"/>
    <mergeCell ref="J17:K17"/>
    <mergeCell ref="L17:M17"/>
    <mergeCell ref="T17:U17"/>
    <mergeCell ref="B41:C41"/>
    <mergeCell ref="N41:P41"/>
    <mergeCell ref="B45:C45"/>
    <mergeCell ref="N45:P45"/>
    <mergeCell ref="B20:C20"/>
    <mergeCell ref="F20:G20"/>
    <mergeCell ref="J20:K20"/>
    <mergeCell ref="L20:M20"/>
    <mergeCell ref="T20:U20"/>
    <mergeCell ref="B38:C38"/>
    <mergeCell ref="N38:P38"/>
    <mergeCell ref="B39:C39"/>
    <mergeCell ref="N39:P39"/>
    <mergeCell ref="B40:C40"/>
    <mergeCell ref="N40:P40"/>
    <mergeCell ref="B35:C35"/>
    <mergeCell ref="N35:P35"/>
    <mergeCell ref="B36:C36"/>
    <mergeCell ref="N36:P36"/>
    <mergeCell ref="B37:C37"/>
    <mergeCell ref="N37:P37"/>
    <mergeCell ref="B32:C32"/>
    <mergeCell ref="N32:P32"/>
    <mergeCell ref="B33:C33"/>
    <mergeCell ref="N144:P144"/>
    <mergeCell ref="N77:P77"/>
    <mergeCell ref="N78:P78"/>
    <mergeCell ref="N84:P84"/>
    <mergeCell ref="N104:P104"/>
    <mergeCell ref="N128:P128"/>
    <mergeCell ref="B206:C206"/>
    <mergeCell ref="B193:C193"/>
    <mergeCell ref="N193:P193"/>
    <mergeCell ref="B194:C194"/>
    <mergeCell ref="N194:P194"/>
    <mergeCell ref="B161:C161"/>
    <mergeCell ref="B168:C168"/>
    <mergeCell ref="B196:C196"/>
    <mergeCell ref="B144:C144"/>
    <mergeCell ref="B137:C137"/>
    <mergeCell ref="B138:C138"/>
    <mergeCell ref="B205:C205"/>
    <mergeCell ref="B146:C146"/>
    <mergeCell ref="N146:P146"/>
    <mergeCell ref="N172:P172"/>
    <mergeCell ref="N168:P168"/>
    <mergeCell ref="N137:P137"/>
    <mergeCell ref="N138:P138"/>
  </mergeCells>
  <conditionalFormatting sqref="B27">
    <cfRule type="duplicateValues" dxfId="60" priority="38"/>
  </conditionalFormatting>
  <conditionalFormatting sqref="N28:N58">
    <cfRule type="duplicateValues" dxfId="59" priority="37"/>
  </conditionalFormatting>
  <conditionalFormatting sqref="B145:B148">
    <cfRule type="duplicateValues" dxfId="58" priority="34"/>
  </conditionalFormatting>
  <conditionalFormatting sqref="B154:B155 B157:B159">
    <cfRule type="duplicateValues" dxfId="57" priority="26"/>
    <cfRule type="duplicateValues" dxfId="56" priority="27"/>
    <cfRule type="duplicateValues" dxfId="55" priority="28"/>
  </conditionalFormatting>
  <conditionalFormatting sqref="B157:B159">
    <cfRule type="duplicateValues" dxfId="54" priority="29"/>
    <cfRule type="duplicateValues" dxfId="53" priority="30"/>
    <cfRule type="duplicateValues" dxfId="52" priority="31"/>
  </conditionalFormatting>
  <conditionalFormatting sqref="N76 N81:N132">
    <cfRule type="duplicateValues" dxfId="51" priority="39"/>
    <cfRule type="duplicateValues" dxfId="50" priority="40"/>
    <cfRule type="duplicateValues" dxfId="49" priority="41"/>
  </conditionalFormatting>
  <conditionalFormatting sqref="B21">
    <cfRule type="duplicateValues" dxfId="48" priority="42"/>
  </conditionalFormatting>
  <conditionalFormatting sqref="N177:N178">
    <cfRule type="duplicateValues" dxfId="47" priority="21"/>
    <cfRule type="duplicateValues" dxfId="46" priority="22"/>
  </conditionalFormatting>
  <conditionalFormatting sqref="B159:B169">
    <cfRule type="duplicateValues" dxfId="45" priority="18"/>
  </conditionalFormatting>
  <conditionalFormatting sqref="B167:B169">
    <cfRule type="duplicateValues" dxfId="44" priority="17"/>
  </conditionalFormatting>
  <conditionalFormatting sqref="B169">
    <cfRule type="duplicateValues" dxfId="43" priority="16"/>
  </conditionalFormatting>
  <conditionalFormatting sqref="B167:B169">
    <cfRule type="duplicateValues" dxfId="42" priority="19"/>
    <cfRule type="duplicateValues" dxfId="41" priority="20"/>
  </conditionalFormatting>
  <conditionalFormatting sqref="B167:B169">
    <cfRule type="duplicateValues" dxfId="40" priority="43"/>
  </conditionalFormatting>
  <conditionalFormatting sqref="B147:B151">
    <cfRule type="duplicateValues" dxfId="39" priority="12"/>
  </conditionalFormatting>
  <conditionalFormatting sqref="B147:B151">
    <cfRule type="duplicateValues" dxfId="38" priority="11"/>
  </conditionalFormatting>
  <conditionalFormatting sqref="B147:B151">
    <cfRule type="duplicateValues" dxfId="37" priority="14"/>
    <cfRule type="duplicateValues" dxfId="36" priority="15"/>
  </conditionalFormatting>
  <conditionalFormatting sqref="B147:B151">
    <cfRule type="duplicateValues" dxfId="35" priority="13"/>
  </conditionalFormatting>
  <conditionalFormatting sqref="B135:B147">
    <cfRule type="duplicateValues" dxfId="34" priority="44"/>
  </conditionalFormatting>
  <conditionalFormatting sqref="B154:B155 B157:B159 B135:B148">
    <cfRule type="duplicateValues" dxfId="33" priority="45"/>
    <cfRule type="duplicateValues" dxfId="32" priority="46"/>
  </conditionalFormatting>
  <conditionalFormatting sqref="B154:B155 B157:B159 B135:B148">
    <cfRule type="duplicateValues" dxfId="31" priority="47"/>
  </conditionalFormatting>
  <conditionalFormatting sqref="B149:B159">
    <cfRule type="duplicateValues" dxfId="30" priority="48"/>
    <cfRule type="duplicateValues" dxfId="29" priority="49"/>
    <cfRule type="duplicateValues" dxfId="28" priority="50"/>
  </conditionalFormatting>
  <conditionalFormatting sqref="B173:B178">
    <cfRule type="duplicateValues" dxfId="27" priority="2"/>
    <cfRule type="duplicateValues" dxfId="26" priority="3"/>
    <cfRule type="duplicateValues" dxfId="25" priority="4"/>
  </conditionalFormatting>
  <conditionalFormatting sqref="B173:B178">
    <cfRule type="duplicateValues" dxfId="24" priority="5"/>
    <cfRule type="duplicateValues" dxfId="23" priority="6"/>
  </conditionalFormatting>
  <conditionalFormatting sqref="B173:B178">
    <cfRule type="duplicateValues" dxfId="22" priority="7"/>
  </conditionalFormatting>
  <conditionalFormatting sqref="B173:B178">
    <cfRule type="duplicateValues" dxfId="21" priority="8"/>
    <cfRule type="duplicateValues" dxfId="20" priority="9"/>
    <cfRule type="duplicateValues" dxfId="19" priority="10"/>
  </conditionalFormatting>
  <conditionalFormatting sqref="B27:B73">
    <cfRule type="duplicateValues" dxfId="18" priority="51"/>
  </conditionalFormatting>
  <conditionalFormatting sqref="B28:B73">
    <cfRule type="duplicateValues" dxfId="17" priority="52"/>
  </conditionalFormatting>
  <conditionalFormatting sqref="B51:B52 B64:B65">
    <cfRule type="duplicateValues" dxfId="16" priority="53"/>
  </conditionalFormatting>
  <conditionalFormatting sqref="N27:N73">
    <cfRule type="duplicateValues" dxfId="15" priority="54"/>
  </conditionalFormatting>
  <conditionalFormatting sqref="N59:N73">
    <cfRule type="duplicateValues" dxfId="14" priority="55"/>
  </conditionalFormatting>
  <conditionalFormatting sqref="N177:N189">
    <cfRule type="duplicateValues" dxfId="13" priority="58"/>
    <cfRule type="duplicateValues" dxfId="12" priority="59"/>
  </conditionalFormatting>
  <conditionalFormatting sqref="B25">
    <cfRule type="duplicateValues" dxfId="11" priority="60"/>
  </conditionalFormatting>
  <conditionalFormatting sqref="B24:B25">
    <cfRule type="duplicateValues" dxfId="10" priority="61"/>
  </conditionalFormatting>
  <conditionalFormatting sqref="B22:B23">
    <cfRule type="duplicateValues" dxfId="9" priority="1"/>
  </conditionalFormatting>
  <conditionalFormatting sqref="B6:B14">
    <cfRule type="duplicateValues" dxfId="8" priority="782"/>
  </conditionalFormatting>
  <conditionalFormatting sqref="N177:N209">
    <cfRule type="duplicateValues" dxfId="7" priority="783"/>
    <cfRule type="duplicateValues" dxfId="6" priority="784"/>
  </conditionalFormatting>
  <conditionalFormatting sqref="B170:B172 B157:B159 B179:B209">
    <cfRule type="duplicateValues" dxfId="5" priority="787"/>
    <cfRule type="duplicateValues" dxfId="4" priority="788"/>
    <cfRule type="duplicateValues" dxfId="3" priority="789"/>
  </conditionalFormatting>
  <conditionalFormatting sqref="B16:B20">
    <cfRule type="duplicateValues" dxfId="2" priority="803"/>
  </conditionalFormatting>
  <conditionalFormatting sqref="N135:N176">
    <cfRule type="duplicateValues" dxfId="1" priority="804"/>
    <cfRule type="duplicateValues" dxfId="0" priority="805"/>
  </conditionalFormatting>
  <printOptions horizontalCentered="1" verticalCentered="1"/>
  <pageMargins left="0.19685039370078741" right="0.19685039370078741" top="0.19685039370078741" bottom="0.19685039370078741" header="0.31496062992125984" footer="0.31496062992125984"/>
  <pageSetup paperSize="14" scale="10" fitToHeight="0" orientation="landscape" horizontalDpi="360" verticalDpi="360" r:id="rId1"/>
  <rowBreaks count="7" manualBreakCount="7">
    <brk id="25" min="1" max="25" man="1"/>
    <brk id="133" min="1" max="25" man="1"/>
    <brk id="217" min="1" max="25" man="1"/>
    <brk id="232" min="1" max="25" man="1"/>
    <brk id="238" min="1" max="25" man="1"/>
    <brk id="250" min="1" max="25" man="1"/>
    <brk id="256" min="1" max="25"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B036E-0D37-4A6C-82EB-BD176B5B1EBA}">
  <dimension ref="A1:L38"/>
  <sheetViews>
    <sheetView zoomScale="70" zoomScaleNormal="70" workbookViewId="0">
      <selection activeCell="C4" sqref="C4"/>
    </sheetView>
  </sheetViews>
  <sheetFormatPr defaultRowHeight="12.5" x14ac:dyDescent="0.25"/>
  <cols>
    <col min="1" max="1" width="14.81640625" style="438" bestFit="1" customWidth="1"/>
    <col min="2" max="2" width="12" style="437" customWidth="1"/>
    <col min="3" max="4" width="34.08984375" style="356" customWidth="1"/>
    <col min="5" max="5" width="12.36328125" style="356" customWidth="1"/>
    <col min="6" max="6" width="9.90625" style="356" hidden="1" customWidth="1"/>
    <col min="7" max="7" width="11" style="356" hidden="1" customWidth="1"/>
    <col min="8" max="8" width="0" style="356" hidden="1" customWidth="1"/>
    <col min="9" max="9" width="8.7265625" style="356"/>
    <col min="10" max="10" width="13.7265625" style="356" customWidth="1"/>
    <col min="11" max="16384" width="8.7265625" style="356"/>
  </cols>
  <sheetData>
    <row r="1" spans="1:10" s="355" customFormat="1" ht="26.5" thickBot="1" x14ac:dyDescent="0.3">
      <c r="A1" s="441" t="s">
        <v>2354</v>
      </c>
      <c r="B1" s="442" t="s">
        <v>2409</v>
      </c>
      <c r="C1" s="443" t="s">
        <v>2368</v>
      </c>
      <c r="D1" s="443" t="s">
        <v>2350</v>
      </c>
      <c r="E1" s="443" t="s">
        <v>2400</v>
      </c>
      <c r="F1" s="443" t="s">
        <v>2352</v>
      </c>
      <c r="G1" s="443" t="s">
        <v>2356</v>
      </c>
      <c r="H1" s="443" t="s">
        <v>2351</v>
      </c>
      <c r="I1" s="443" t="s">
        <v>2353</v>
      </c>
      <c r="J1" s="444" t="s">
        <v>2414</v>
      </c>
    </row>
    <row r="2" spans="1:10" ht="87.5" x14ac:dyDescent="0.25">
      <c r="A2" s="445">
        <f>August!J16</f>
        <v>46238</v>
      </c>
      <c r="B2" s="446" t="str">
        <f>August!B16</f>
        <v>ROWELL C. DELA CRUZ</v>
      </c>
      <c r="C2" s="447" t="s">
        <v>2355</v>
      </c>
      <c r="D2" s="447" t="s">
        <v>2410</v>
      </c>
      <c r="E2" s="448" t="s">
        <v>431</v>
      </c>
      <c r="F2" s="449"/>
      <c r="G2" s="447"/>
      <c r="H2" s="447"/>
      <c r="I2" s="447" t="s">
        <v>2420</v>
      </c>
      <c r="J2" s="450" t="s">
        <v>2415</v>
      </c>
    </row>
    <row r="3" spans="1:10" ht="125.5" thickBot="1" x14ac:dyDescent="0.3">
      <c r="A3" s="451">
        <f>A2</f>
        <v>46238</v>
      </c>
      <c r="B3" s="452" t="str">
        <f>B2</f>
        <v>ROWELL C. DELA CRUZ</v>
      </c>
      <c r="C3" s="453" t="s">
        <v>2411</v>
      </c>
      <c r="D3" s="453" t="s">
        <v>2422</v>
      </c>
      <c r="E3" s="454" t="s">
        <v>2412</v>
      </c>
      <c r="F3" s="455"/>
      <c r="G3" s="453"/>
      <c r="H3" s="453"/>
      <c r="I3" s="453" t="s">
        <v>2423</v>
      </c>
      <c r="J3" s="456" t="s">
        <v>2415</v>
      </c>
    </row>
    <row r="4" spans="1:10" ht="62.5" x14ac:dyDescent="0.25">
      <c r="A4" s="445">
        <f>August!J17</f>
        <v>46239</v>
      </c>
      <c r="B4" s="446" t="str">
        <f>August!B215</f>
        <v>JUNJUN PATTONDOC</v>
      </c>
      <c r="C4" s="448" t="s">
        <v>2413</v>
      </c>
      <c r="D4" s="447" t="s">
        <v>2424</v>
      </c>
      <c r="E4" s="448" t="s">
        <v>139</v>
      </c>
      <c r="F4" s="447"/>
      <c r="G4" s="447"/>
      <c r="H4" s="447"/>
      <c r="I4" s="447" t="s">
        <v>2421</v>
      </c>
      <c r="J4" s="450" t="s">
        <v>2415</v>
      </c>
    </row>
    <row r="5" spans="1:10" ht="75" x14ac:dyDescent="0.25">
      <c r="A5" s="457">
        <f>A4</f>
        <v>46239</v>
      </c>
      <c r="B5" s="439" t="str">
        <f>B4</f>
        <v>JUNJUN PATTONDOC</v>
      </c>
      <c r="C5" s="440" t="s">
        <v>2416</v>
      </c>
      <c r="D5" s="375" t="s">
        <v>2425</v>
      </c>
      <c r="E5" s="440" t="s">
        <v>139</v>
      </c>
      <c r="F5" s="375"/>
      <c r="G5" s="375"/>
      <c r="H5" s="375"/>
      <c r="I5" s="375" t="s">
        <v>2421</v>
      </c>
      <c r="J5" s="458" t="s">
        <v>2415</v>
      </c>
    </row>
    <row r="6" spans="1:10" ht="63" thickBot="1" x14ac:dyDescent="0.3">
      <c r="A6" s="459">
        <f>A4</f>
        <v>46239</v>
      </c>
      <c r="B6" s="452" t="str">
        <f>B4</f>
        <v>JUNJUN PATTONDOC</v>
      </c>
      <c r="C6" s="454" t="s">
        <v>2417</v>
      </c>
      <c r="D6" s="453" t="s">
        <v>2418</v>
      </c>
      <c r="E6" s="454" t="s">
        <v>2427</v>
      </c>
      <c r="F6" s="453"/>
      <c r="G6" s="453"/>
      <c r="H6" s="453"/>
      <c r="I6" s="453" t="s">
        <v>2421</v>
      </c>
      <c r="J6" s="456" t="s">
        <v>2415</v>
      </c>
    </row>
    <row r="7" spans="1:10" ht="62.5" x14ac:dyDescent="0.25">
      <c r="A7" s="445">
        <f>August!J18</f>
        <v>46245</v>
      </c>
      <c r="B7" s="446" t="str">
        <f>August!B18</f>
        <v>HARLEM B. BALONG</v>
      </c>
      <c r="C7" s="448" t="s">
        <v>2431</v>
      </c>
      <c r="D7" s="447" t="s">
        <v>2432</v>
      </c>
      <c r="E7" s="448" t="s">
        <v>2402</v>
      </c>
      <c r="F7" s="447"/>
      <c r="G7" s="447"/>
      <c r="H7" s="447"/>
      <c r="I7" s="447" t="s">
        <v>2436</v>
      </c>
      <c r="J7" s="450" t="s">
        <v>2415</v>
      </c>
    </row>
    <row r="8" spans="1:10" ht="100" x14ac:dyDescent="0.25">
      <c r="A8" s="457">
        <f>A7</f>
        <v>46245</v>
      </c>
      <c r="B8" s="439" t="str">
        <f>B7</f>
        <v>HARLEM B. BALONG</v>
      </c>
      <c r="C8" s="440" t="s">
        <v>2428</v>
      </c>
      <c r="D8" s="375" t="s">
        <v>2433</v>
      </c>
      <c r="E8" s="440" t="s">
        <v>2402</v>
      </c>
      <c r="F8" s="375"/>
      <c r="G8" s="375"/>
      <c r="H8" s="375"/>
      <c r="I8" s="375" t="s">
        <v>2436</v>
      </c>
      <c r="J8" s="458" t="s">
        <v>2434</v>
      </c>
    </row>
    <row r="9" spans="1:10" ht="62.5" x14ac:dyDescent="0.25">
      <c r="A9" s="457">
        <f>A7</f>
        <v>46245</v>
      </c>
      <c r="B9" s="439" t="str">
        <f>B7</f>
        <v>HARLEM B. BALONG</v>
      </c>
      <c r="C9" s="440" t="s">
        <v>2403</v>
      </c>
      <c r="D9" s="375" t="s">
        <v>2435</v>
      </c>
      <c r="E9" s="440" t="s">
        <v>2402</v>
      </c>
      <c r="F9" s="375"/>
      <c r="G9" s="375"/>
      <c r="H9" s="375"/>
      <c r="I9" s="375" t="s">
        <v>2436</v>
      </c>
      <c r="J9" s="458" t="s">
        <v>2415</v>
      </c>
    </row>
    <row r="10" spans="1:10" ht="50.5" thickBot="1" x14ac:dyDescent="0.3">
      <c r="A10" s="459">
        <f>A7</f>
        <v>46245</v>
      </c>
      <c r="B10" s="452" t="str">
        <f>B7</f>
        <v>HARLEM B. BALONG</v>
      </c>
      <c r="C10" s="454" t="s">
        <v>2371</v>
      </c>
      <c r="D10" s="453" t="s">
        <v>2429</v>
      </c>
      <c r="E10" s="454" t="s">
        <v>2401</v>
      </c>
      <c r="F10" s="453"/>
      <c r="G10" s="453"/>
      <c r="H10" s="453"/>
      <c r="I10" s="453" t="s">
        <v>2430</v>
      </c>
      <c r="J10" s="456" t="s">
        <v>2415</v>
      </c>
    </row>
    <row r="11" spans="1:10" ht="75" x14ac:dyDescent="0.25">
      <c r="A11" s="445">
        <f>August!J19</f>
        <v>46247</v>
      </c>
      <c r="B11" s="446" t="str">
        <f>August!B19</f>
        <v>AGOSTO P. MIGUEL</v>
      </c>
      <c r="C11" s="448" t="s">
        <v>2372</v>
      </c>
      <c r="D11" s="447" t="s">
        <v>2438</v>
      </c>
      <c r="E11" s="448" t="s">
        <v>2404</v>
      </c>
      <c r="F11" s="447"/>
      <c r="G11" s="447"/>
      <c r="H11" s="447"/>
      <c r="I11" s="447" t="s">
        <v>2436</v>
      </c>
      <c r="J11" s="450" t="s">
        <v>2415</v>
      </c>
    </row>
    <row r="12" spans="1:10" ht="75" x14ac:dyDescent="0.25">
      <c r="A12" s="457">
        <f>A11</f>
        <v>46247</v>
      </c>
      <c r="B12" s="439" t="str">
        <f>B11</f>
        <v>AGOSTO P. MIGUEL</v>
      </c>
      <c r="C12" s="440" t="s">
        <v>2373</v>
      </c>
      <c r="D12" s="375" t="s">
        <v>2438</v>
      </c>
      <c r="E12" s="440" t="s">
        <v>2404</v>
      </c>
      <c r="F12" s="375"/>
      <c r="G12" s="375"/>
      <c r="H12" s="375"/>
      <c r="I12" s="375" t="s">
        <v>2436</v>
      </c>
      <c r="J12" s="458" t="s">
        <v>2415</v>
      </c>
    </row>
    <row r="13" spans="1:10" ht="75.5" thickBot="1" x14ac:dyDescent="0.3">
      <c r="A13" s="459">
        <f>A11</f>
        <v>46247</v>
      </c>
      <c r="B13" s="452" t="str">
        <f>B11</f>
        <v>AGOSTO P. MIGUEL</v>
      </c>
      <c r="C13" s="454" t="s">
        <v>2374</v>
      </c>
      <c r="D13" s="453" t="s">
        <v>2438</v>
      </c>
      <c r="E13" s="454" t="s">
        <v>2404</v>
      </c>
      <c r="F13" s="453"/>
      <c r="G13" s="453"/>
      <c r="H13" s="453"/>
      <c r="I13" s="453" t="s">
        <v>2436</v>
      </c>
      <c r="J13" s="456" t="s">
        <v>2415</v>
      </c>
    </row>
    <row r="14" spans="1:10" ht="62.5" x14ac:dyDescent="0.25">
      <c r="A14" s="445">
        <f>August!J22</f>
        <v>46257</v>
      </c>
      <c r="B14" s="446" t="str">
        <f>August!B22</f>
        <v>VERONICA T. VELASCO</v>
      </c>
      <c r="C14" s="448" t="s">
        <v>2375</v>
      </c>
      <c r="D14" s="447" t="s">
        <v>2437</v>
      </c>
      <c r="E14" s="448" t="s">
        <v>2405</v>
      </c>
      <c r="F14" s="447"/>
      <c r="G14" s="447"/>
      <c r="H14" s="447"/>
      <c r="I14" s="447" t="s">
        <v>2436</v>
      </c>
      <c r="J14" s="450" t="s">
        <v>2415</v>
      </c>
    </row>
    <row r="15" spans="1:10" ht="63" thickBot="1" x14ac:dyDescent="0.3">
      <c r="A15" s="459">
        <f>A14</f>
        <v>46257</v>
      </c>
      <c r="B15" s="452" t="str">
        <f>B14</f>
        <v>VERONICA T. VELASCO</v>
      </c>
      <c r="C15" s="454" t="s">
        <v>2376</v>
      </c>
      <c r="D15" s="453" t="s">
        <v>2439</v>
      </c>
      <c r="E15" s="454" t="s">
        <v>2405</v>
      </c>
      <c r="F15" s="453"/>
      <c r="G15" s="453"/>
      <c r="H15" s="453"/>
      <c r="I15" s="453" t="s">
        <v>2436</v>
      </c>
      <c r="J15" s="456" t="s">
        <v>2415</v>
      </c>
    </row>
    <row r="16" spans="1:10" ht="87.5" x14ac:dyDescent="0.25">
      <c r="A16" s="445">
        <f>August!J20</f>
        <v>46258</v>
      </c>
      <c r="B16" s="446" t="str">
        <f>August!B20</f>
        <v>DESMOND D. BAYANGAN</v>
      </c>
      <c r="C16" s="448" t="s">
        <v>2377</v>
      </c>
      <c r="D16" s="447" t="s">
        <v>2419</v>
      </c>
      <c r="E16" s="448" t="s">
        <v>139</v>
      </c>
      <c r="F16" s="447"/>
      <c r="G16" s="447"/>
      <c r="H16" s="447"/>
      <c r="I16" s="447" t="s">
        <v>2421</v>
      </c>
      <c r="J16" s="450" t="s">
        <v>2415</v>
      </c>
    </row>
    <row r="17" spans="1:12" ht="75.5" thickBot="1" x14ac:dyDescent="0.3">
      <c r="A17" s="459">
        <f>A16</f>
        <v>46258</v>
      </c>
      <c r="B17" s="452" t="str">
        <f>B16</f>
        <v>DESMOND D. BAYANGAN</v>
      </c>
      <c r="C17" s="454" t="s">
        <v>2378</v>
      </c>
      <c r="D17" s="453" t="s">
        <v>2426</v>
      </c>
      <c r="E17" s="454" t="s">
        <v>139</v>
      </c>
      <c r="F17" s="453"/>
      <c r="G17" s="453"/>
      <c r="H17" s="453"/>
      <c r="I17" s="453" t="s">
        <v>2421</v>
      </c>
      <c r="J17" s="456" t="s">
        <v>2415</v>
      </c>
    </row>
    <row r="18" spans="1:12" ht="50.5" thickBot="1" x14ac:dyDescent="0.3">
      <c r="A18" s="460">
        <f>August!J6</f>
        <v>46237</v>
      </c>
      <c r="B18" s="461" t="str">
        <f>August!B6</f>
        <v xml:space="preserve">JOLIVER T. CABRADILLA </v>
      </c>
      <c r="C18" s="462" t="s">
        <v>2440</v>
      </c>
      <c r="D18" s="462" t="s">
        <v>2444</v>
      </c>
      <c r="E18" s="463" t="s">
        <v>2406</v>
      </c>
      <c r="F18" s="462"/>
      <c r="G18" s="462"/>
      <c r="H18" s="462"/>
      <c r="I18" s="462" t="s">
        <v>2445</v>
      </c>
      <c r="J18" s="464" t="s">
        <v>2415</v>
      </c>
    </row>
    <row r="19" spans="1:12" ht="50.5" thickBot="1" x14ac:dyDescent="0.3">
      <c r="A19" s="460">
        <f>August!J7</f>
        <v>46237</v>
      </c>
      <c r="B19" s="461" t="str">
        <f>August!B7</f>
        <v>JOHN REY T. SABIO</v>
      </c>
      <c r="C19" s="463" t="s">
        <v>2379</v>
      </c>
      <c r="D19" s="462" t="s">
        <v>2452</v>
      </c>
      <c r="E19" s="463" t="s">
        <v>259</v>
      </c>
      <c r="F19" s="462"/>
      <c r="G19" s="462"/>
      <c r="H19" s="462"/>
      <c r="I19" s="462" t="s">
        <v>2451</v>
      </c>
      <c r="J19" s="464" t="s">
        <v>2434</v>
      </c>
    </row>
    <row r="20" spans="1:12" ht="50.5" thickBot="1" x14ac:dyDescent="0.3">
      <c r="A20" s="460">
        <f>August!J8</f>
        <v>46244</v>
      </c>
      <c r="B20" s="461" t="str">
        <f>August!B8</f>
        <v>SHEMRAN A. KIWANG</v>
      </c>
      <c r="C20" s="462" t="s">
        <v>2380</v>
      </c>
      <c r="D20" s="462" t="s">
        <v>2446</v>
      </c>
      <c r="E20" s="463" t="s">
        <v>54</v>
      </c>
      <c r="F20" s="462"/>
      <c r="G20" s="462"/>
      <c r="H20" s="462"/>
      <c r="I20" s="462" t="s">
        <v>2447</v>
      </c>
      <c r="J20" s="464" t="s">
        <v>2415</v>
      </c>
    </row>
    <row r="21" spans="1:12" ht="50" x14ac:dyDescent="0.25">
      <c r="A21" s="445">
        <f>August!J9</f>
        <v>46244</v>
      </c>
      <c r="B21" s="446" t="str">
        <f>August!B9</f>
        <v>SALDY A. DALUG</v>
      </c>
      <c r="C21" s="448" t="s">
        <v>2381</v>
      </c>
      <c r="D21" s="447" t="s">
        <v>2448</v>
      </c>
      <c r="E21" s="448" t="s">
        <v>54</v>
      </c>
      <c r="F21" s="447"/>
      <c r="G21" s="447"/>
      <c r="H21" s="447"/>
      <c r="I21" s="447" t="s">
        <v>2447</v>
      </c>
      <c r="J21" s="450" t="s">
        <v>2415</v>
      </c>
    </row>
    <row r="22" spans="1:12" ht="50.5" thickBot="1" x14ac:dyDescent="0.3">
      <c r="A22" s="459">
        <f>A21</f>
        <v>46244</v>
      </c>
      <c r="B22" s="452" t="str">
        <f>B21</f>
        <v>SALDY A. DALUG</v>
      </c>
      <c r="C22" s="454" t="s">
        <v>2382</v>
      </c>
      <c r="D22" s="453" t="s">
        <v>2448</v>
      </c>
      <c r="E22" s="454" t="s">
        <v>54</v>
      </c>
      <c r="F22" s="453"/>
      <c r="G22" s="453"/>
      <c r="H22" s="453"/>
      <c r="I22" s="453" t="s">
        <v>2447</v>
      </c>
      <c r="J22" s="456" t="s">
        <v>2415</v>
      </c>
    </row>
    <row r="23" spans="1:12" ht="50" x14ac:dyDescent="0.25">
      <c r="A23" s="445">
        <f>August!J10</f>
        <v>46245</v>
      </c>
      <c r="B23" s="446" t="str">
        <f>August!B10</f>
        <v>LUNES D. MUSLING</v>
      </c>
      <c r="C23" s="448" t="s">
        <v>2384</v>
      </c>
      <c r="D23" s="447" t="s">
        <v>2449</v>
      </c>
      <c r="E23" s="448" t="s">
        <v>54</v>
      </c>
      <c r="F23" s="447"/>
      <c r="G23" s="447"/>
      <c r="H23" s="447"/>
      <c r="I23" s="447" t="s">
        <v>2447</v>
      </c>
      <c r="J23" s="450" t="s">
        <v>2415</v>
      </c>
    </row>
    <row r="24" spans="1:12" ht="50.5" thickBot="1" x14ac:dyDescent="0.3">
      <c r="A24" s="459">
        <f>A23</f>
        <v>46245</v>
      </c>
      <c r="B24" s="452" t="str">
        <f>B23</f>
        <v>LUNES D. MUSLING</v>
      </c>
      <c r="C24" s="454" t="s">
        <v>2385</v>
      </c>
      <c r="D24" s="453" t="s">
        <v>2448</v>
      </c>
      <c r="E24" s="454" t="s">
        <v>54</v>
      </c>
      <c r="F24" s="453"/>
      <c r="G24" s="453"/>
      <c r="H24" s="453"/>
      <c r="I24" s="453" t="s">
        <v>2447</v>
      </c>
      <c r="J24" s="456" t="s">
        <v>2415</v>
      </c>
    </row>
    <row r="25" spans="1:12" ht="50" x14ac:dyDescent="0.25">
      <c r="A25" s="445">
        <f>August!J23</f>
        <v>46252</v>
      </c>
      <c r="B25" s="446" t="str">
        <f>August!B23</f>
        <v>LHD 139</v>
      </c>
      <c r="C25" s="448" t="s">
        <v>2386</v>
      </c>
      <c r="D25" s="447" t="s">
        <v>2450</v>
      </c>
      <c r="E25" s="447" t="s">
        <v>54</v>
      </c>
      <c r="F25" s="447"/>
      <c r="G25" s="447"/>
      <c r="H25" s="447"/>
      <c r="I25" s="447" t="s">
        <v>2447</v>
      </c>
      <c r="J25" s="450" t="s">
        <v>2415</v>
      </c>
    </row>
    <row r="26" spans="1:12" ht="75" x14ac:dyDescent="0.25">
      <c r="A26" s="457">
        <f>A25</f>
        <v>46252</v>
      </c>
      <c r="B26" s="439" t="str">
        <f>B25</f>
        <v>LHD 139</v>
      </c>
      <c r="C26" s="440" t="s">
        <v>2387</v>
      </c>
      <c r="D26" s="375" t="s">
        <v>2453</v>
      </c>
      <c r="E26" s="375" t="s">
        <v>259</v>
      </c>
      <c r="F26" s="375"/>
      <c r="G26" s="375"/>
      <c r="H26" s="375"/>
      <c r="I26" s="375" t="s">
        <v>2447</v>
      </c>
      <c r="J26" s="458" t="s">
        <v>2415</v>
      </c>
    </row>
    <row r="27" spans="1:12" ht="63" thickBot="1" x14ac:dyDescent="0.3">
      <c r="A27" s="459">
        <f>A25</f>
        <v>46252</v>
      </c>
      <c r="B27" s="452" t="str">
        <f>B25</f>
        <v>LHD 139</v>
      </c>
      <c r="C27" s="454" t="s">
        <v>2388</v>
      </c>
      <c r="D27" s="453" t="s">
        <v>2456</v>
      </c>
      <c r="E27" s="453" t="s">
        <v>259</v>
      </c>
      <c r="F27" s="453"/>
      <c r="G27" s="453"/>
      <c r="H27" s="453"/>
      <c r="I27" s="453" t="s">
        <v>2455</v>
      </c>
      <c r="J27" s="456" t="s">
        <v>2434</v>
      </c>
      <c r="L27" s="356" t="s">
        <v>2454</v>
      </c>
    </row>
    <row r="28" spans="1:12" ht="50" x14ac:dyDescent="0.25">
      <c r="A28" s="445">
        <f>August!J11</f>
        <v>46254</v>
      </c>
      <c r="B28" s="446" t="str">
        <f>August!B11</f>
        <v>DIOSDADO A. COPE JR.</v>
      </c>
      <c r="C28" s="448" t="s">
        <v>2389</v>
      </c>
      <c r="D28" s="447" t="s">
        <v>2457</v>
      </c>
      <c r="E28" s="447" t="s">
        <v>2407</v>
      </c>
      <c r="F28" s="447"/>
      <c r="G28" s="447"/>
      <c r="H28" s="447"/>
      <c r="I28" s="447" t="s">
        <v>2460</v>
      </c>
      <c r="J28" s="450" t="s">
        <v>2415</v>
      </c>
    </row>
    <row r="29" spans="1:12" ht="62.5" x14ac:dyDescent="0.25">
      <c r="A29" s="457">
        <f>A28</f>
        <v>46254</v>
      </c>
      <c r="B29" s="439" t="str">
        <f>B28</f>
        <v>DIOSDADO A. COPE JR.</v>
      </c>
      <c r="C29" s="440" t="s">
        <v>2390</v>
      </c>
      <c r="D29" s="375" t="s">
        <v>2458</v>
      </c>
      <c r="E29" s="375" t="s">
        <v>2407</v>
      </c>
      <c r="F29" s="375"/>
      <c r="G29" s="375"/>
      <c r="H29" s="375"/>
      <c r="I29" s="375" t="s">
        <v>2460</v>
      </c>
      <c r="J29" s="458" t="s">
        <v>2415</v>
      </c>
    </row>
    <row r="30" spans="1:12" ht="38" thickBot="1" x14ac:dyDescent="0.3">
      <c r="A30" s="459">
        <f>A28</f>
        <v>46254</v>
      </c>
      <c r="B30" s="452" t="str">
        <f>B28</f>
        <v>DIOSDADO A. COPE JR.</v>
      </c>
      <c r="C30" s="454" t="s">
        <v>2391</v>
      </c>
      <c r="D30" s="453" t="s">
        <v>2459</v>
      </c>
      <c r="E30" s="453" t="s">
        <v>2407</v>
      </c>
      <c r="F30" s="453"/>
      <c r="G30" s="453"/>
      <c r="H30" s="453"/>
      <c r="I30" s="453" t="s">
        <v>2460</v>
      </c>
      <c r="J30" s="456" t="s">
        <v>2415</v>
      </c>
    </row>
    <row r="31" spans="1:12" ht="50" x14ac:dyDescent="0.25">
      <c r="A31" s="445">
        <f>August!J12</f>
        <v>46255</v>
      </c>
      <c r="B31" s="446" t="str">
        <f>August!B12</f>
        <v>MARK SHINK T. DAYAWON</v>
      </c>
      <c r="C31" s="448" t="s">
        <v>2392</v>
      </c>
      <c r="D31" s="447" t="s">
        <v>2461</v>
      </c>
      <c r="E31" s="447" t="s">
        <v>54</v>
      </c>
      <c r="F31" s="447"/>
      <c r="G31" s="447"/>
      <c r="H31" s="447"/>
      <c r="I31" s="447" t="s">
        <v>2460</v>
      </c>
      <c r="J31" s="450" t="s">
        <v>2434</v>
      </c>
    </row>
    <row r="32" spans="1:12" ht="50.5" thickBot="1" x14ac:dyDescent="0.3">
      <c r="A32" s="459">
        <f>A31</f>
        <v>46255</v>
      </c>
      <c r="B32" s="452" t="str">
        <f>B31</f>
        <v>MARK SHINK T. DAYAWON</v>
      </c>
      <c r="C32" s="454" t="s">
        <v>2393</v>
      </c>
      <c r="D32" s="453" t="s">
        <v>2461</v>
      </c>
      <c r="E32" s="453" t="s">
        <v>2408</v>
      </c>
      <c r="F32" s="453"/>
      <c r="G32" s="453"/>
      <c r="H32" s="453"/>
      <c r="I32" s="453" t="s">
        <v>2460</v>
      </c>
      <c r="J32" s="456" t="s">
        <v>2434</v>
      </c>
    </row>
    <row r="33" spans="1:12" ht="37.5" x14ac:dyDescent="0.25">
      <c r="A33" s="445">
        <f>August!J13</f>
        <v>46256</v>
      </c>
      <c r="B33" s="446" t="str">
        <f>August!B13</f>
        <v>GILBERT C. FACSOY</v>
      </c>
      <c r="C33" s="448" t="s">
        <v>2394</v>
      </c>
      <c r="D33" s="447" t="s">
        <v>2461</v>
      </c>
      <c r="E33" s="447" t="s">
        <v>54</v>
      </c>
      <c r="F33" s="447"/>
      <c r="G33" s="447"/>
      <c r="H33" s="447"/>
      <c r="I33" s="447" t="s">
        <v>2460</v>
      </c>
      <c r="J33" s="450" t="s">
        <v>2434</v>
      </c>
    </row>
    <row r="34" spans="1:12" ht="50" x14ac:dyDescent="0.25">
      <c r="A34" s="457">
        <f>A33</f>
        <v>46256</v>
      </c>
      <c r="B34" s="439" t="str">
        <f>B33</f>
        <v>GILBERT C. FACSOY</v>
      </c>
      <c r="C34" s="440" t="s">
        <v>2395</v>
      </c>
      <c r="D34" s="375" t="s">
        <v>2456</v>
      </c>
      <c r="E34" s="375" t="s">
        <v>259</v>
      </c>
      <c r="F34" s="375"/>
      <c r="G34" s="375"/>
      <c r="H34" s="375"/>
      <c r="I34" s="375" t="s">
        <v>2460</v>
      </c>
      <c r="J34" s="458" t="s">
        <v>2434</v>
      </c>
      <c r="L34" s="356" t="s">
        <v>2454</v>
      </c>
    </row>
    <row r="35" spans="1:12" ht="38" thickBot="1" x14ac:dyDescent="0.3">
      <c r="A35" s="459">
        <f>A33</f>
        <v>46256</v>
      </c>
      <c r="B35" s="452" t="str">
        <f>B33</f>
        <v>GILBERT C. FACSOY</v>
      </c>
      <c r="C35" s="454" t="s">
        <v>2396</v>
      </c>
      <c r="D35" s="453" t="s">
        <v>2461</v>
      </c>
      <c r="E35" s="453" t="s">
        <v>54</v>
      </c>
      <c r="F35" s="453"/>
      <c r="G35" s="453"/>
      <c r="H35" s="453"/>
      <c r="I35" s="453" t="s">
        <v>2460</v>
      </c>
      <c r="J35" s="456" t="s">
        <v>2434</v>
      </c>
    </row>
    <row r="36" spans="1:12" ht="50" x14ac:dyDescent="0.25">
      <c r="A36" s="445">
        <f>August!J14</f>
        <v>46257</v>
      </c>
      <c r="B36" s="446" t="str">
        <f>August!B14</f>
        <v>BANGUIYAO, DIONISIO</v>
      </c>
      <c r="C36" s="448" t="s">
        <v>2397</v>
      </c>
      <c r="D36" s="447" t="s">
        <v>2461</v>
      </c>
      <c r="E36" s="447" t="s">
        <v>54</v>
      </c>
      <c r="F36" s="447"/>
      <c r="G36" s="447"/>
      <c r="H36" s="447"/>
      <c r="I36" s="447" t="s">
        <v>2460</v>
      </c>
      <c r="J36" s="450" t="s">
        <v>2434</v>
      </c>
    </row>
    <row r="37" spans="1:12" ht="37.5" x14ac:dyDescent="0.25">
      <c r="A37" s="457">
        <f>A36</f>
        <v>46257</v>
      </c>
      <c r="B37" s="439" t="str">
        <f>B36</f>
        <v>BANGUIYAO, DIONISIO</v>
      </c>
      <c r="C37" s="440" t="s">
        <v>2398</v>
      </c>
      <c r="D37" s="375" t="s">
        <v>2461</v>
      </c>
      <c r="E37" s="375" t="s">
        <v>54</v>
      </c>
      <c r="F37" s="375"/>
      <c r="G37" s="375"/>
      <c r="H37" s="375"/>
      <c r="I37" s="375" t="s">
        <v>2460</v>
      </c>
      <c r="J37" s="458" t="s">
        <v>2434</v>
      </c>
    </row>
    <row r="38" spans="1:12" ht="75.5" thickBot="1" x14ac:dyDescent="0.3">
      <c r="A38" s="459">
        <f>A36</f>
        <v>46257</v>
      </c>
      <c r="B38" s="452" t="str">
        <f>B36</f>
        <v>BANGUIYAO, DIONISIO</v>
      </c>
      <c r="C38" s="454" t="s">
        <v>2399</v>
      </c>
      <c r="D38" s="453" t="s">
        <v>2461</v>
      </c>
      <c r="E38" s="453" t="s">
        <v>2407</v>
      </c>
      <c r="F38" s="453"/>
      <c r="G38" s="453"/>
      <c r="H38" s="453"/>
      <c r="I38" s="453" t="s">
        <v>2460</v>
      </c>
      <c r="J38" s="456" t="s">
        <v>2434</v>
      </c>
    </row>
  </sheetData>
  <autoFilter ref="A1:J38" xr:uid="{1A8B036E-0D37-4A6C-82EB-BD176B5B1EB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5A1CC1-F67B-4D63-B27D-3DB733BE42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18</vt:i4>
      </vt:variant>
    </vt:vector>
  </HeadingPairs>
  <TitlesOfParts>
    <vt:vector size="33" baseType="lpstr">
      <vt:lpstr>Monthly Statistics</vt:lpstr>
      <vt:lpstr>Compliation</vt:lpstr>
      <vt:lpstr>SCAT Reference</vt:lpstr>
      <vt:lpstr>DataReferences</vt:lpstr>
      <vt:lpstr>input</vt:lpstr>
      <vt:lpstr>Description of Incidents</vt:lpstr>
      <vt:lpstr>January</vt:lpstr>
      <vt:lpstr>February</vt:lpstr>
      <vt:lpstr>March</vt:lpstr>
      <vt:lpstr>April</vt:lpstr>
      <vt:lpstr>May</vt:lpstr>
      <vt:lpstr>June</vt:lpstr>
      <vt:lpstr>July</vt:lpstr>
      <vt:lpstr>August</vt:lpstr>
      <vt:lpstr>CPAP Status</vt:lpstr>
      <vt:lpstr>April!Print_Area</vt:lpstr>
      <vt:lpstr>August!Print_Area</vt:lpstr>
      <vt:lpstr>'Description of Incidents'!Print_Area</vt:lpstr>
      <vt:lpstr>February!Print_Area</vt:lpstr>
      <vt:lpstr>January!Print_Area</vt:lpstr>
      <vt:lpstr>July!Print_Area</vt:lpstr>
      <vt:lpstr>June!Print_Area</vt:lpstr>
      <vt:lpstr>March!Print_Area</vt:lpstr>
      <vt:lpstr>May!Print_Area</vt:lpstr>
      <vt:lpstr>April!Print_Titles</vt:lpstr>
      <vt:lpstr>August!Print_Titles</vt:lpstr>
      <vt:lpstr>'Description of Incidents'!Print_Titles</vt:lpstr>
      <vt:lpstr>February!Print_Titles</vt:lpstr>
      <vt:lpstr>January!Print_Titles</vt:lpstr>
      <vt:lpstr>July!Print_Titles</vt:lpstr>
      <vt:lpstr>June!Print_Titles</vt:lpstr>
      <vt:lpstr>March!Print_Titles</vt:lpstr>
      <vt:lpstr>May!Print_Titles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Safety NAYAK</dc:creator>
  <cp:lastModifiedBy>LMD LCOM104 (Khurshe Abad)</cp:lastModifiedBy>
  <cp:lastPrinted>2026-07-04T08:49:29Z</cp:lastPrinted>
  <dcterms:created xsi:type="dcterms:W3CDTF">2008-06-17T13:42:02Z</dcterms:created>
  <dcterms:modified xsi:type="dcterms:W3CDTF">2026-09-12T06:57:47Z</dcterms:modified>
</cp:coreProperties>
</file>